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updateLinks="never" codeName="ЭтаКнига" defaultThemeVersion="124226"/>
  <xr:revisionPtr revIDLastSave="0" documentId="13_ncr:1_{99D8E7F4-7F45-4799-BFB8-0F141381FC86}" xr6:coauthVersionLast="47" xr6:coauthVersionMax="47" xr10:uidLastSave="{00000000-0000-0000-0000-000000000000}"/>
  <bookViews>
    <workbookView xWindow="-110" yWindow="-110" windowWidth="25820" windowHeight="15500" tabRatio="576" firstSheet="2" activeTab="2" xr2:uid="{00000000-000D-0000-FFFF-FFFF00000000}"/>
  </bookViews>
  <sheets>
    <sheet name="выбор кабеля" sheetId="6" state="hidden" r:id="rId1"/>
    <sheet name="каталог" sheetId="3" state="hidden" r:id="rId2"/>
    <sheet name="расчет" sheetId="8" r:id="rId3"/>
    <sheet name="hy" sheetId="15" state="hidden" r:id="rId4"/>
    <sheet name="chint" sheetId="14" state="hidden" r:id="rId5"/>
    <sheet name="DEKraft" sheetId="11" state="hidden" r:id="rId6"/>
    <sheet name="systeme" sheetId="13" state="hidden" r:id="rId7"/>
    <sheet name="КЭАЗ" sheetId="12" state="hidden" r:id="rId8"/>
    <sheet name="автоматы" sheetId="10" state="hidden" r:id="rId9"/>
    <sheet name="для_выбора" sheetId="9" state="hidden" r:id="rId10"/>
  </sheets>
  <definedNames>
    <definedName name="_FilterDatabase" localSheetId="2" hidden="1">расчет!$A$4:$CJ$49</definedName>
    <definedName name="_xlnm._FilterDatabase" localSheetId="2" hidden="1">расчет!$A$4:$T$66</definedName>
    <definedName name="CVS100B">каталог!$Z$2:$Z$9</definedName>
    <definedName name="CVS100F">каталог!$AA$2:$AA$9</definedName>
    <definedName name="CVS100N">каталог!$AB$2:$AB$9</definedName>
    <definedName name="CVS160B">каталог!$AC$2:$AC$4</definedName>
    <definedName name="CVS160F">каталог!$AD$2:$AD$4</definedName>
    <definedName name="CVS160N">каталог!$AE$2:$AE$4</definedName>
    <definedName name="CVS250B">каталог!$AF$2:$AF$4</definedName>
    <definedName name="CVS250F">каталог!$AG$2:$AG$4</definedName>
    <definedName name="CVS250N">каталог!$AH$2:$AH$4</definedName>
    <definedName name="CVS400F">каталог!$AI$2:$AI$3</definedName>
    <definedName name="CVS400N">каталог!$AJ$2:$AJ$3</definedName>
    <definedName name="CVS630F">каталог!$AK$2:$AK$3</definedName>
    <definedName name="CVS630N">каталог!$AL$2:$AL$3</definedName>
    <definedName name="EZC100B">каталог!$O$2:$O$15</definedName>
    <definedName name="EZC100F">каталог!$P$2:$P$15</definedName>
    <definedName name="EZC100H">каталог!$R$2:$R$15</definedName>
    <definedName name="EZC100N">каталог!$Q$2:$Q$15</definedName>
    <definedName name="EZC250F">каталог!$S$2:$S$9</definedName>
    <definedName name="EZC250H">каталог!$U$2:$U$9</definedName>
    <definedName name="EZC250N">каталог!$T$2:$T$9</definedName>
    <definedName name="EZC400H">каталог!$W$2:$W$4</definedName>
    <definedName name="EZC400N">каталог!$V$2:$V$4</definedName>
    <definedName name="EZC630H">каталог!$Y$2:$Y$4</definedName>
    <definedName name="EZC630N">каталог!$X$2:$X$4</definedName>
    <definedName name="iC60H_B">каталог!$J$2:$J$16</definedName>
    <definedName name="iC60H_C">каталог!$L$2:$L$16</definedName>
    <definedName name="iC60H_D">каталог!$N$2:$N$16</definedName>
    <definedName name="iC60N_B">каталог!$I$2:$I$16</definedName>
    <definedName name="iC60N_C">каталог!$K$2:$K$16</definedName>
    <definedName name="iC60N_D">каталог!$M$2:$M$16</definedName>
    <definedName name="iDif_K">каталог!$H$2:$H$7</definedName>
    <definedName name="iK60N">каталог!$G$2:$G$15</definedName>
    <definedName name="MVS08H">каталог!$BP$2</definedName>
    <definedName name="MVS08N">каталог!$BO$2</definedName>
    <definedName name="MVS10H">каталог!$BR$2</definedName>
    <definedName name="MVS10N">каталог!$BQ$2</definedName>
    <definedName name="MVS12H">каталог!$BT$2</definedName>
    <definedName name="MVS12N">каталог!$BS$2</definedName>
    <definedName name="MVS16H">каталог!$BV$2</definedName>
    <definedName name="MVS16N">каталог!$BU$2</definedName>
    <definedName name="MVS20H">каталог!$BX$2</definedName>
    <definedName name="MVS20N">каталог!$BW$2</definedName>
    <definedName name="MVS25H">каталог!$BZ$2</definedName>
    <definedName name="MVS25N">каталог!$BY$2</definedName>
    <definedName name="MVS32H">каталог!$CB$2</definedName>
    <definedName name="MVS32N">каталог!$CA$2</definedName>
    <definedName name="MVS40H">каталог!$CD$2</definedName>
    <definedName name="MVS40N">каталог!$CC$2</definedName>
    <definedName name="NSX100B">каталог!$AM$2:$AM$3</definedName>
    <definedName name="NSX100F">каталог!$AN$2:$AN$3</definedName>
    <definedName name="NSX100H">каталог!$AP$2:$AP$3</definedName>
    <definedName name="NSX100L">каталог!$AR$2:$AR$3</definedName>
    <definedName name="NSX100N">каталог!$AO$2:$AO$3</definedName>
    <definedName name="NSX100S">каталог!$AQ$2:$AQ$3</definedName>
    <definedName name="NSX160B">каталог!$AS$2:$AS$4</definedName>
    <definedName name="NSX160F">каталог!$AT$2:$AT$4</definedName>
    <definedName name="NSX160H">каталог!$AV$2:$AV$4</definedName>
    <definedName name="NSX160L">каталог!$AX$2:$AX$4</definedName>
    <definedName name="NSX160N">каталог!$AU$2:$AU$4</definedName>
    <definedName name="NSX160S">каталог!$AW$2:$AW$4</definedName>
    <definedName name="NSX250B">каталог!$AY$2:$AY$5</definedName>
    <definedName name="NSX250F">каталог!$AZ$2:$AZ$5</definedName>
    <definedName name="NSX250H">каталог!$BB$2:$BB$5</definedName>
    <definedName name="NSX250L">каталог!$BD$2:$BD$5</definedName>
    <definedName name="NSX250N">каталог!$BA$2:$BA$5</definedName>
    <definedName name="NSX250S">каталог!$BC$2:$BC$5</definedName>
    <definedName name="NSX400F">каталог!$BE$2</definedName>
    <definedName name="NSX400H">каталог!$BG$2</definedName>
    <definedName name="NSX400L">каталог!$BI$2</definedName>
    <definedName name="NSX400N">каталог!$BF$2</definedName>
    <definedName name="NSX400S">каталог!$BH$2</definedName>
    <definedName name="NSX630F">каталог!$BJ$2:$BJ$3</definedName>
    <definedName name="NSX630H">каталог!$BL$2:$BL$3</definedName>
    <definedName name="NSX630L">каталог!$BN$2:$BN$3</definedName>
    <definedName name="NSX630N">каталог!$BK$2:$BK$3</definedName>
    <definedName name="NSX630S">каталог!$BM$2:$BM$3</definedName>
    <definedName name="кол_пол">автоматы!$B$2:$D$2</definedName>
    <definedName name="производители">для_выбора!$A$1:$A$20</definedName>
    <definedName name="сечение">каталог!$CF$2:$CF$22</definedName>
    <definedName name="тип_авт">автоматы!$D$45:$D$68</definedName>
    <definedName name="тип_выкл">автоматы!$A$1:$R$1</definedName>
    <definedName name="Тип_кабеля">каталог!$CE$2:$CE$10</definedName>
    <definedName name="Трансформатор">каталог!$A$2:$A$41</definedName>
    <definedName name="Характер_нагрузки">для_выбора!$B$1:$B$6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8" l="1"/>
  <c r="G49" i="8"/>
  <c r="G52" i="8" l="1"/>
  <c r="G58" i="8" l="1"/>
  <c r="N47" i="8"/>
  <c r="L47" i="8"/>
  <c r="K47" i="8"/>
  <c r="M47" i="8" s="1"/>
  <c r="H47" i="8"/>
  <c r="CB46" i="8" l="1"/>
  <c r="CA46" i="8"/>
  <c r="BZ46" i="8"/>
  <c r="BT46" i="8"/>
  <c r="BS46" i="8"/>
  <c r="AE46" i="8"/>
  <c r="AF46" i="8" s="1"/>
  <c r="AA46" i="8"/>
  <c r="AB46" i="8" s="1"/>
  <c r="Y46" i="8"/>
  <c r="Z46" i="8" s="1"/>
  <c r="U46" i="8"/>
  <c r="BM46" i="8" s="1"/>
  <c r="BN46" i="8" s="1"/>
  <c r="N46" i="8"/>
  <c r="L46" i="8"/>
  <c r="K46" i="8"/>
  <c r="M46" i="8" s="1"/>
  <c r="H46" i="8"/>
  <c r="V46" i="8" s="1"/>
  <c r="CB45" i="8"/>
  <c r="CA45" i="8"/>
  <c r="BZ45" i="8"/>
  <c r="BT45" i="8"/>
  <c r="BS45" i="8"/>
  <c r="BF45" i="8"/>
  <c r="BG45" i="8" s="1"/>
  <c r="BD45" i="8"/>
  <c r="BE45" i="8" s="1"/>
  <c r="BB45" i="8"/>
  <c r="BC45" i="8" s="1"/>
  <c r="AZ45" i="8"/>
  <c r="BR45" i="8" s="1"/>
  <c r="AQ45" i="8"/>
  <c r="AU45" i="8" s="1"/>
  <c r="AK45" i="8"/>
  <c r="AL45" i="8" s="1"/>
  <c r="AG45" i="8"/>
  <c r="AH45" i="8" s="1"/>
  <c r="AE45" i="8"/>
  <c r="AF45" i="8" s="1"/>
  <c r="AA45" i="8"/>
  <c r="AB45" i="8" s="1"/>
  <c r="Y45" i="8"/>
  <c r="Z45" i="8" s="1"/>
  <c r="U45" i="8"/>
  <c r="BM45" i="8" s="1"/>
  <c r="BN45" i="8" s="1"/>
  <c r="N45" i="8"/>
  <c r="L45" i="8"/>
  <c r="K45" i="8"/>
  <c r="M45" i="8" s="1"/>
  <c r="H45" i="8"/>
  <c r="V45" i="8" s="1"/>
  <c r="CB44" i="8"/>
  <c r="CA44" i="8"/>
  <c r="BZ44" i="8"/>
  <c r="BT44" i="8"/>
  <c r="BS44" i="8"/>
  <c r="BJ44" i="8"/>
  <c r="BL44" i="8" s="1"/>
  <c r="BH44" i="8"/>
  <c r="BI44" i="8" s="1"/>
  <c r="BF44" i="8"/>
  <c r="BG44" i="8" s="1"/>
  <c r="BD44" i="8"/>
  <c r="BE44" i="8" s="1"/>
  <c r="BB44" i="8"/>
  <c r="BC44" i="8" s="1"/>
  <c r="AZ44" i="8"/>
  <c r="BR44" i="8" s="1"/>
  <c r="AV44" i="8"/>
  <c r="BA44" i="8" s="1"/>
  <c r="BQ44" i="8" s="1"/>
  <c r="AQ44" i="8"/>
  <c r="AR44" i="8" s="1"/>
  <c r="AM44" i="8"/>
  <c r="AN44" i="8" s="1"/>
  <c r="AK44" i="8"/>
  <c r="AL44" i="8" s="1"/>
  <c r="AG44" i="8"/>
  <c r="AH44" i="8" s="1"/>
  <c r="AE44" i="8"/>
  <c r="AF44" i="8" s="1"/>
  <c r="AA44" i="8"/>
  <c r="AB44" i="8" s="1"/>
  <c r="Y44" i="8"/>
  <c r="Z44" i="8" s="1"/>
  <c r="U44" i="8"/>
  <c r="BM44" i="8" s="1"/>
  <c r="BN44" i="8" s="1"/>
  <c r="N44" i="8"/>
  <c r="L44" i="8"/>
  <c r="K44" i="8"/>
  <c r="M44" i="8" s="1"/>
  <c r="H44" i="8"/>
  <c r="V44" i="8" s="1"/>
  <c r="BO45" i="8" l="1"/>
  <c r="BP45" i="8" s="1"/>
  <c r="AM46" i="8"/>
  <c r="AN46" i="8" s="1"/>
  <c r="AQ46" i="8"/>
  <c r="AU46" i="8" s="1"/>
  <c r="AV46" i="8"/>
  <c r="BA46" i="8" s="1"/>
  <c r="BQ46" i="8" s="1"/>
  <c r="AX46" i="8"/>
  <c r="AY46" i="8" s="1"/>
  <c r="AZ46" i="8"/>
  <c r="BR46" i="8" s="1"/>
  <c r="BB46" i="8"/>
  <c r="BC46" i="8" s="1"/>
  <c r="BO44" i="8"/>
  <c r="BP44" i="8" s="1"/>
  <c r="AM45" i="8"/>
  <c r="AN45" i="8" s="1"/>
  <c r="BD46" i="8"/>
  <c r="BE46" i="8" s="1"/>
  <c r="BF46" i="8"/>
  <c r="BG46" i="8" s="1"/>
  <c r="AV45" i="8"/>
  <c r="BA45" i="8" s="1"/>
  <c r="BQ45" i="8" s="1"/>
  <c r="BH46" i="8"/>
  <c r="BI46" i="8" s="1"/>
  <c r="AX45" i="8"/>
  <c r="AY45" i="8" s="1"/>
  <c r="BJ46" i="8"/>
  <c r="BL46" i="8" s="1"/>
  <c r="BO46" i="8"/>
  <c r="BP46" i="8" s="1"/>
  <c r="AG46" i="8"/>
  <c r="AH46" i="8" s="1"/>
  <c r="BH45" i="8"/>
  <c r="BI45" i="8" s="1"/>
  <c r="AX44" i="8"/>
  <c r="AY44" i="8" s="1"/>
  <c r="BJ45" i="8"/>
  <c r="BL45" i="8" s="1"/>
  <c r="AK46" i="8"/>
  <c r="AL46" i="8" s="1"/>
  <c r="AW46" i="8"/>
  <c r="AR46" i="8"/>
  <c r="AS46" i="8"/>
  <c r="AT46" i="8"/>
  <c r="AC46" i="8"/>
  <c r="AD46" i="8" s="1"/>
  <c r="AI46" i="8"/>
  <c r="AJ46" i="8" s="1"/>
  <c r="AO46" i="8"/>
  <c r="AP46" i="8" s="1"/>
  <c r="AW45" i="8"/>
  <c r="AR45" i="8"/>
  <c r="AS45" i="8"/>
  <c r="AT45" i="8"/>
  <c r="AC45" i="8"/>
  <c r="AD45" i="8" s="1"/>
  <c r="AI45" i="8"/>
  <c r="AJ45" i="8" s="1"/>
  <c r="AO45" i="8"/>
  <c r="AP45" i="8" s="1"/>
  <c r="AW44" i="8"/>
  <c r="AS44" i="8"/>
  <c r="BK44" i="8"/>
  <c r="AT44" i="8"/>
  <c r="AC44" i="8"/>
  <c r="AD44" i="8" s="1"/>
  <c r="AI44" i="8"/>
  <c r="AJ44" i="8" s="1"/>
  <c r="AO44" i="8"/>
  <c r="AP44" i="8" s="1"/>
  <c r="AU44" i="8"/>
  <c r="BK46" i="8" l="1"/>
  <c r="BK45" i="8"/>
  <c r="CA42" i="8"/>
  <c r="N42" i="8"/>
  <c r="L42" i="8"/>
  <c r="K42" i="8"/>
  <c r="M42" i="8" s="1"/>
  <c r="H42" i="8"/>
  <c r="G69" i="8" l="1"/>
  <c r="N43" i="8"/>
  <c r="M43" i="8"/>
  <c r="L43" i="8"/>
  <c r="H43" i="8"/>
  <c r="H38" i="8" l="1"/>
  <c r="N36" i="8"/>
  <c r="L36" i="8"/>
  <c r="K36" i="8"/>
  <c r="M36" i="8" s="1"/>
  <c r="H36" i="8"/>
  <c r="N35" i="8"/>
  <c r="L35" i="8"/>
  <c r="K35" i="8"/>
  <c r="M35" i="8" s="1"/>
  <c r="H35" i="8"/>
  <c r="CB33" i="8"/>
  <c r="CA33" i="8"/>
  <c r="BZ33" i="8"/>
  <c r="BT33" i="8"/>
  <c r="BS33" i="8"/>
  <c r="N33" i="8"/>
  <c r="L33" i="8"/>
  <c r="K33" i="8"/>
  <c r="M33" i="8" s="1"/>
  <c r="H33" i="8"/>
  <c r="V33" i="8" s="1"/>
  <c r="CB32" i="8"/>
  <c r="CA32" i="8"/>
  <c r="BZ32" i="8"/>
  <c r="BT32" i="8"/>
  <c r="BS32" i="8"/>
  <c r="N32" i="8"/>
  <c r="L32" i="8"/>
  <c r="K32" i="8"/>
  <c r="M32" i="8" s="1"/>
  <c r="H32" i="8"/>
  <c r="V32" i="8" s="1"/>
  <c r="U32" i="8" l="1"/>
  <c r="AV32" i="8" s="1"/>
  <c r="U33" i="8"/>
  <c r="AQ32" i="8" l="1"/>
  <c r="AR32" i="8" s="1"/>
  <c r="BO32" i="8"/>
  <c r="BP32" i="8" s="1"/>
  <c r="AZ32" i="8"/>
  <c r="BF32" i="8"/>
  <c r="BG32" i="8" s="1"/>
  <c r="BM32" i="8"/>
  <c r="BN32" i="8" s="1"/>
  <c r="AE32" i="8"/>
  <c r="AF32" i="8" s="1"/>
  <c r="AC32" i="8"/>
  <c r="AD32" i="8" s="1"/>
  <c r="BD32" i="8"/>
  <c r="BE32" i="8" s="1"/>
  <c r="AA32" i="8"/>
  <c r="AB32" i="8" s="1"/>
  <c r="AK32" i="8"/>
  <c r="AL32" i="8" s="1"/>
  <c r="BJ32" i="8"/>
  <c r="BK32" i="8" s="1"/>
  <c r="Y32" i="8"/>
  <c r="Z32" i="8" s="1"/>
  <c r="AX32" i="8"/>
  <c r="AY32" i="8" s="1"/>
  <c r="BH32" i="8"/>
  <c r="BI32" i="8" s="1"/>
  <c r="AM32" i="8"/>
  <c r="AN32" i="8" s="1"/>
  <c r="AO32" i="8"/>
  <c r="AP32" i="8" s="1"/>
  <c r="BB32" i="8"/>
  <c r="BC32" i="8" s="1"/>
  <c r="AG32" i="8"/>
  <c r="AH32" i="8" s="1"/>
  <c r="AI32" i="8"/>
  <c r="AJ32" i="8" s="1"/>
  <c r="AW32" i="8"/>
  <c r="BA32" i="8"/>
  <c r="BJ33" i="8"/>
  <c r="BD33" i="8"/>
  <c r="BE33" i="8" s="1"/>
  <c r="AX33" i="8"/>
  <c r="AY33" i="8" s="1"/>
  <c r="BO33" i="8"/>
  <c r="BP33" i="8" s="1"/>
  <c r="AK33" i="8"/>
  <c r="AL33" i="8" s="1"/>
  <c r="Y33" i="8"/>
  <c r="Z33" i="8" s="1"/>
  <c r="AQ33" i="8"/>
  <c r="BH33" i="8"/>
  <c r="BI33" i="8" s="1"/>
  <c r="BB33" i="8"/>
  <c r="BC33" i="8" s="1"/>
  <c r="AV33" i="8"/>
  <c r="BM33" i="8"/>
  <c r="BN33" i="8" s="1"/>
  <c r="AO33" i="8"/>
  <c r="AP33" i="8" s="1"/>
  <c r="AI33" i="8"/>
  <c r="AJ33" i="8" s="1"/>
  <c r="AC33" i="8"/>
  <c r="AD33" i="8" s="1"/>
  <c r="BF33" i="8"/>
  <c r="BG33" i="8" s="1"/>
  <c r="AZ33" i="8"/>
  <c r="AM33" i="8"/>
  <c r="AN33" i="8" s="1"/>
  <c r="AG33" i="8"/>
  <c r="AH33" i="8" s="1"/>
  <c r="AA33" i="8"/>
  <c r="AB33" i="8" s="1"/>
  <c r="AE33" i="8"/>
  <c r="AF33" i="8" s="1"/>
  <c r="AS32" i="8" l="1"/>
  <c r="BR32" i="8"/>
  <c r="AT32" i="8"/>
  <c r="AU32" i="8"/>
  <c r="BQ32" i="8" s="1"/>
  <c r="BL32" i="8"/>
  <c r="BL33" i="8"/>
  <c r="BK33" i="8"/>
  <c r="AR33" i="8"/>
  <c r="AU33" i="8"/>
  <c r="BQ33" i="8" s="1"/>
  <c r="BR33" i="8"/>
  <c r="AT33" i="8"/>
  <c r="AS33" i="8"/>
  <c r="AW33" i="8"/>
  <c r="BA33" i="8"/>
  <c r="CB29" i="8" l="1"/>
  <c r="CA29" i="8"/>
  <c r="BZ29" i="8"/>
  <c r="BT29" i="8"/>
  <c r="BS29" i="8"/>
  <c r="U29" i="8"/>
  <c r="BM29" i="8" s="1"/>
  <c r="BN29" i="8" s="1"/>
  <c r="N29" i="8"/>
  <c r="L29" i="8"/>
  <c r="K29" i="8"/>
  <c r="M29" i="8" s="1"/>
  <c r="H29" i="8"/>
  <c r="V29" i="8" s="1"/>
  <c r="CB28" i="8"/>
  <c r="CA28" i="8"/>
  <c r="BZ28" i="8"/>
  <c r="BT28" i="8"/>
  <c r="BS28" i="8"/>
  <c r="U28" i="8"/>
  <c r="BM28" i="8" s="1"/>
  <c r="BN28" i="8" s="1"/>
  <c r="N28" i="8"/>
  <c r="L28" i="8"/>
  <c r="K28" i="8"/>
  <c r="M28" i="8" s="1"/>
  <c r="H28" i="8"/>
  <c r="V28" i="8" s="1"/>
  <c r="CB25" i="8"/>
  <c r="CA25" i="8"/>
  <c r="BZ25" i="8"/>
  <c r="BT25" i="8"/>
  <c r="BS25" i="8"/>
  <c r="N25" i="8"/>
  <c r="L25" i="8"/>
  <c r="K25" i="8"/>
  <c r="M25" i="8" s="1"/>
  <c r="H25" i="8"/>
  <c r="V25" i="8" s="1"/>
  <c r="CB24" i="8"/>
  <c r="CA24" i="8"/>
  <c r="BZ24" i="8"/>
  <c r="BT24" i="8"/>
  <c r="BS24" i="8"/>
  <c r="N24" i="8"/>
  <c r="L24" i="8"/>
  <c r="K24" i="8"/>
  <c r="M24" i="8" s="1"/>
  <c r="H24" i="8"/>
  <c r="V24" i="8" s="1"/>
  <c r="CB21" i="8"/>
  <c r="CA21" i="8"/>
  <c r="BZ21" i="8"/>
  <c r="BT21" i="8"/>
  <c r="BS21" i="8"/>
  <c r="N21" i="8"/>
  <c r="L21" i="8"/>
  <c r="K21" i="8"/>
  <c r="M21" i="8" s="1"/>
  <c r="H21" i="8"/>
  <c r="V21" i="8" s="1"/>
  <c r="CB20" i="8"/>
  <c r="CA20" i="8"/>
  <c r="BZ20" i="8"/>
  <c r="BT20" i="8"/>
  <c r="BS20" i="8"/>
  <c r="N20" i="8"/>
  <c r="L20" i="8"/>
  <c r="K20" i="8"/>
  <c r="M20" i="8" s="1"/>
  <c r="H20" i="8"/>
  <c r="V20" i="8" s="1"/>
  <c r="N17" i="8"/>
  <c r="L17" i="8"/>
  <c r="K17" i="8"/>
  <c r="M17" i="8" s="1"/>
  <c r="H17" i="8"/>
  <c r="N16" i="8"/>
  <c r="L16" i="8"/>
  <c r="K16" i="8"/>
  <c r="M16" i="8" s="1"/>
  <c r="H16" i="8"/>
  <c r="Y29" i="8" l="1"/>
  <c r="Z29" i="8" s="1"/>
  <c r="BB29" i="8"/>
  <c r="BC29" i="8" s="1"/>
  <c r="BD29" i="8"/>
  <c r="BE29" i="8" s="1"/>
  <c r="AE29" i="8"/>
  <c r="AF29" i="8" s="1"/>
  <c r="BF29" i="8"/>
  <c r="BG29" i="8" s="1"/>
  <c r="AQ29" i="8"/>
  <c r="AS29" i="8" s="1"/>
  <c r="AK29" i="8"/>
  <c r="AL29" i="8" s="1"/>
  <c r="U25" i="8"/>
  <c r="BH25" i="8" s="1"/>
  <c r="BI25" i="8" s="1"/>
  <c r="AG29" i="8"/>
  <c r="AH29" i="8" s="1"/>
  <c r="AX29" i="8"/>
  <c r="AY29" i="8" s="1"/>
  <c r="BO29" i="8"/>
  <c r="BP29" i="8" s="1"/>
  <c r="AM29" i="8"/>
  <c r="AN29" i="8" s="1"/>
  <c r="AZ29" i="8"/>
  <c r="BH29" i="8"/>
  <c r="BI29" i="8" s="1"/>
  <c r="AA29" i="8"/>
  <c r="AB29" i="8" s="1"/>
  <c r="AV29" i="8"/>
  <c r="BJ29" i="8"/>
  <c r="AC28" i="8"/>
  <c r="AD28" i="8" s="1"/>
  <c r="Y28" i="8"/>
  <c r="Z28" i="8" s="1"/>
  <c r="AE28" i="8"/>
  <c r="AF28" i="8" s="1"/>
  <c r="AK28" i="8"/>
  <c r="AL28" i="8" s="1"/>
  <c r="AQ28" i="8"/>
  <c r="BO28" i="8"/>
  <c r="BP28" i="8" s="1"/>
  <c r="AX28" i="8"/>
  <c r="AY28" i="8" s="1"/>
  <c r="BD28" i="8"/>
  <c r="BE28" i="8" s="1"/>
  <c r="BJ28" i="8"/>
  <c r="AT29" i="8"/>
  <c r="BR29" i="8"/>
  <c r="AA28" i="8"/>
  <c r="AB28" i="8" s="1"/>
  <c r="AG28" i="8"/>
  <c r="AH28" i="8" s="1"/>
  <c r="AM28" i="8"/>
  <c r="AN28" i="8" s="1"/>
  <c r="AC29" i="8"/>
  <c r="AD29" i="8" s="1"/>
  <c r="AI29" i="8"/>
  <c r="AJ29" i="8" s="1"/>
  <c r="AO29" i="8"/>
  <c r="AP29" i="8" s="1"/>
  <c r="AZ28" i="8"/>
  <c r="BF28" i="8"/>
  <c r="BG28" i="8" s="1"/>
  <c r="AO28" i="8"/>
  <c r="AP28" i="8" s="1"/>
  <c r="AV28" i="8"/>
  <c r="BB28" i="8"/>
  <c r="BC28" i="8" s="1"/>
  <c r="BH28" i="8"/>
  <c r="BI28" i="8" s="1"/>
  <c r="AR29" i="8"/>
  <c r="AI28" i="8"/>
  <c r="AJ28" i="8" s="1"/>
  <c r="U24" i="8"/>
  <c r="Y24" i="8" s="1"/>
  <c r="Z24" i="8" s="1"/>
  <c r="BO24" i="8"/>
  <c r="BP24" i="8" s="1"/>
  <c r="U20" i="8"/>
  <c r="BM20" i="8" s="1"/>
  <c r="BN20" i="8" s="1"/>
  <c r="U21" i="8"/>
  <c r="CB53" i="8"/>
  <c r="CA53" i="8"/>
  <c r="BZ53" i="8"/>
  <c r="CB50" i="8"/>
  <c r="CA50" i="8"/>
  <c r="BZ50" i="8"/>
  <c r="BT54" i="8"/>
  <c r="BS54" i="8"/>
  <c r="BT53" i="8"/>
  <c r="BS53" i="8"/>
  <c r="BT50" i="8"/>
  <c r="BS50" i="8"/>
  <c r="BT51" i="8"/>
  <c r="BS51" i="8"/>
  <c r="T53" i="8"/>
  <c r="U53" i="8" s="1"/>
  <c r="T50" i="8"/>
  <c r="U50" i="8" s="1"/>
  <c r="AU29" i="8" l="1"/>
  <c r="BQ29" i="8" s="1"/>
  <c r="BJ25" i="8"/>
  <c r="BL25" i="8" s="1"/>
  <c r="BM25" i="8"/>
  <c r="BN25" i="8" s="1"/>
  <c r="BF25" i="8"/>
  <c r="BG25" i="8" s="1"/>
  <c r="BO25" i="8"/>
  <c r="BP25" i="8" s="1"/>
  <c r="AM24" i="8"/>
  <c r="AN24" i="8" s="1"/>
  <c r="AC24" i="8"/>
  <c r="AD24" i="8" s="1"/>
  <c r="Y25" i="8"/>
  <c r="Z25" i="8" s="1"/>
  <c r="AI25" i="8"/>
  <c r="AJ25" i="8" s="1"/>
  <c r="AZ25" i="8"/>
  <c r="AM25" i="8"/>
  <c r="AN25" i="8" s="1"/>
  <c r="AK25" i="8"/>
  <c r="AL25" i="8" s="1"/>
  <c r="BB25" i="8"/>
  <c r="BC25" i="8" s="1"/>
  <c r="AC25" i="8"/>
  <c r="AD25" i="8" s="1"/>
  <c r="AE25" i="8"/>
  <c r="AF25" i="8" s="1"/>
  <c r="BD25" i="8"/>
  <c r="BE25" i="8" s="1"/>
  <c r="AV25" i="8"/>
  <c r="AW25" i="8" s="1"/>
  <c r="AX25" i="8"/>
  <c r="AY25" i="8" s="1"/>
  <c r="AG25" i="8"/>
  <c r="AH25" i="8" s="1"/>
  <c r="AO25" i="8"/>
  <c r="AP25" i="8" s="1"/>
  <c r="AA25" i="8"/>
  <c r="AB25" i="8" s="1"/>
  <c r="AQ25" i="8"/>
  <c r="AR25" i="8" s="1"/>
  <c r="AX24" i="8"/>
  <c r="AY24" i="8" s="1"/>
  <c r="BH24" i="8"/>
  <c r="BI24" i="8" s="1"/>
  <c r="BB24" i="8"/>
  <c r="BC24" i="8" s="1"/>
  <c r="BM24" i="8"/>
  <c r="BN24" i="8" s="1"/>
  <c r="AE20" i="8"/>
  <c r="AF20" i="8" s="1"/>
  <c r="BF24" i="8"/>
  <c r="BG24" i="8" s="1"/>
  <c r="AI24" i="8"/>
  <c r="AJ24" i="8" s="1"/>
  <c r="AG24" i="8"/>
  <c r="AH24" i="8" s="1"/>
  <c r="BJ24" i="8"/>
  <c r="BL24" i="8" s="1"/>
  <c r="AA24" i="8"/>
  <c r="AB24" i="8" s="1"/>
  <c r="AI20" i="8"/>
  <c r="AJ20" i="8" s="1"/>
  <c r="AQ24" i="8"/>
  <c r="AU24" i="8" s="1"/>
  <c r="BQ24" i="8" s="1"/>
  <c r="BF20" i="8"/>
  <c r="BG20" i="8" s="1"/>
  <c r="AC20" i="8"/>
  <c r="AD20" i="8" s="1"/>
  <c r="BL29" i="8"/>
  <c r="BK29" i="8"/>
  <c r="AA20" i="8"/>
  <c r="AB20" i="8" s="1"/>
  <c r="BA29" i="8"/>
  <c r="AW29" i="8"/>
  <c r="BJ20" i="8"/>
  <c r="BL20" i="8" s="1"/>
  <c r="AK20" i="8"/>
  <c r="AL20" i="8" s="1"/>
  <c r="BA28" i="8"/>
  <c r="AW28" i="8"/>
  <c r="BL28" i="8"/>
  <c r="BK28" i="8"/>
  <c r="AU28" i="8"/>
  <c r="BQ28" i="8" s="1"/>
  <c r="BR28" i="8"/>
  <c r="AT28" i="8"/>
  <c r="AS28" i="8"/>
  <c r="AR28" i="8"/>
  <c r="BK25" i="8"/>
  <c r="AV24" i="8"/>
  <c r="BA24" i="8" s="1"/>
  <c r="AZ24" i="8"/>
  <c r="AK24" i="8"/>
  <c r="AL24" i="8" s="1"/>
  <c r="AO24" i="8"/>
  <c r="AP24" i="8" s="1"/>
  <c r="AE24" i="8"/>
  <c r="AF24" i="8" s="1"/>
  <c r="BD24" i="8"/>
  <c r="BE24" i="8" s="1"/>
  <c r="AX20" i="8"/>
  <c r="AY20" i="8" s="1"/>
  <c r="BH20" i="8"/>
  <c r="BI20" i="8" s="1"/>
  <c r="AZ20" i="8"/>
  <c r="BD20" i="8"/>
  <c r="BE20" i="8" s="1"/>
  <c r="Y20" i="8"/>
  <c r="Z20" i="8" s="1"/>
  <c r="AM20" i="8"/>
  <c r="AN20" i="8" s="1"/>
  <c r="BO20" i="8"/>
  <c r="BP20" i="8" s="1"/>
  <c r="BB20" i="8"/>
  <c r="BC20" i="8" s="1"/>
  <c r="AO20" i="8"/>
  <c r="BR20" i="8" s="1"/>
  <c r="AG20" i="8"/>
  <c r="AH20" i="8" s="1"/>
  <c r="AQ20" i="8"/>
  <c r="AR20" i="8" s="1"/>
  <c r="AV20" i="8"/>
  <c r="BA20" i="8" s="1"/>
  <c r="AM21" i="8"/>
  <c r="AN21" i="8" s="1"/>
  <c r="AG21" i="8"/>
  <c r="AH21" i="8" s="1"/>
  <c r="AA21" i="8"/>
  <c r="AB21" i="8" s="1"/>
  <c r="AQ21" i="8"/>
  <c r="Y21" i="8"/>
  <c r="Z21" i="8" s="1"/>
  <c r="BH21" i="8"/>
  <c r="BI21" i="8" s="1"/>
  <c r="BB21" i="8"/>
  <c r="BC21" i="8" s="1"/>
  <c r="AV21" i="8"/>
  <c r="BM21" i="8"/>
  <c r="BN21" i="8" s="1"/>
  <c r="AO21" i="8"/>
  <c r="AI21" i="8"/>
  <c r="AJ21" i="8" s="1"/>
  <c r="AC21" i="8"/>
  <c r="AD21" i="8" s="1"/>
  <c r="BF21" i="8"/>
  <c r="BG21" i="8" s="1"/>
  <c r="AZ21" i="8"/>
  <c r="BJ21" i="8"/>
  <c r="BD21" i="8"/>
  <c r="BE21" i="8" s="1"/>
  <c r="AX21" i="8"/>
  <c r="AY21" i="8" s="1"/>
  <c r="BO21" i="8"/>
  <c r="BP21" i="8" s="1"/>
  <c r="AK21" i="8"/>
  <c r="AL21" i="8" s="1"/>
  <c r="AE21" i="8"/>
  <c r="AF21" i="8" s="1"/>
  <c r="BF50" i="8"/>
  <c r="BG50" i="8" s="1"/>
  <c r="BQ50" i="8" s="1"/>
  <c r="Y50" i="8"/>
  <c r="Z50" i="8" s="1"/>
  <c r="BM50" i="8"/>
  <c r="BN50" i="8" s="1"/>
  <c r="BH50" i="8"/>
  <c r="BI50" i="8" s="1"/>
  <c r="BJ50" i="8"/>
  <c r="BL50" i="8" s="1"/>
  <c r="AK50" i="8"/>
  <c r="AL50" i="8" s="1"/>
  <c r="AG50" i="8"/>
  <c r="AH50" i="8" s="1"/>
  <c r="AO50" i="8"/>
  <c r="AP50" i="8" s="1"/>
  <c r="BJ53" i="8"/>
  <c r="BL53" i="8" s="1"/>
  <c r="BM53" i="8"/>
  <c r="BN53" i="8" s="1"/>
  <c r="AG53" i="8"/>
  <c r="AH53" i="8" s="1"/>
  <c r="AE53" i="8"/>
  <c r="AF53" i="8" s="1"/>
  <c r="AA53" i="8"/>
  <c r="AB53" i="8" s="1"/>
  <c r="AO53" i="8"/>
  <c r="AP53" i="8" s="1"/>
  <c r="Y53" i="8"/>
  <c r="Z53" i="8" s="1"/>
  <c r="BH53" i="8"/>
  <c r="BI53" i="8" s="1"/>
  <c r="AX53" i="8"/>
  <c r="AY53" i="8" s="1"/>
  <c r="AK53" i="8"/>
  <c r="AL53" i="8" s="1"/>
  <c r="BF53" i="8"/>
  <c r="BG53" i="8" s="1"/>
  <c r="BQ53" i="8" s="1"/>
  <c r="BB53" i="8"/>
  <c r="BC53" i="8" s="1"/>
  <c r="AC53" i="8"/>
  <c r="AD53" i="8" s="1"/>
  <c r="AX50" i="8"/>
  <c r="AY50" i="8" s="1"/>
  <c r="AC50" i="8"/>
  <c r="AD50" i="8" s="1"/>
  <c r="AA50" i="8"/>
  <c r="AB50" i="8" s="1"/>
  <c r="BB50" i="8"/>
  <c r="BC50" i="8" s="1"/>
  <c r="AE50" i="8"/>
  <c r="AF50" i="8" s="1"/>
  <c r="AI53" i="8"/>
  <c r="AJ53" i="8" s="1"/>
  <c r="AM53" i="8"/>
  <c r="AN53" i="8" s="1"/>
  <c r="AQ53" i="8"/>
  <c r="BO53" i="8"/>
  <c r="BP53" i="8" s="1"/>
  <c r="AV53" i="8"/>
  <c r="AZ53" i="8"/>
  <c r="BD53" i="8"/>
  <c r="BE53" i="8" s="1"/>
  <c r="AI50" i="8"/>
  <c r="AJ50" i="8" s="1"/>
  <c r="AM50" i="8"/>
  <c r="AN50" i="8" s="1"/>
  <c r="AQ50" i="8"/>
  <c r="BO50" i="8"/>
  <c r="BP50" i="8" s="1"/>
  <c r="AV50" i="8"/>
  <c r="AZ50" i="8"/>
  <c r="BD50" i="8"/>
  <c r="BE50" i="8" s="1"/>
  <c r="G62" i="8"/>
  <c r="BK20" i="8" l="1"/>
  <c r="AT20" i="8"/>
  <c r="BK24" i="8"/>
  <c r="BA25" i="8"/>
  <c r="AS24" i="8"/>
  <c r="AS25" i="8"/>
  <c r="AW24" i="8"/>
  <c r="BR25" i="8"/>
  <c r="AT25" i="8"/>
  <c r="AU25" i="8"/>
  <c r="BQ25" i="8" s="1"/>
  <c r="BK53" i="8"/>
  <c r="BR24" i="8"/>
  <c r="AP20" i="8"/>
  <c r="BQ20" i="8" s="1"/>
  <c r="AR24" i="8"/>
  <c r="BR53" i="8"/>
  <c r="AT24" i="8"/>
  <c r="BR50" i="8"/>
  <c r="AS20" i="8"/>
  <c r="AW20" i="8"/>
  <c r="AU20" i="8"/>
  <c r="AP21" i="8"/>
  <c r="BQ21" i="8" s="1"/>
  <c r="BR21" i="8"/>
  <c r="AS21" i="8"/>
  <c r="AR21" i="8"/>
  <c r="AU21" i="8"/>
  <c r="AT21" i="8"/>
  <c r="BK21" i="8"/>
  <c r="BL21" i="8"/>
  <c r="AW21" i="8"/>
  <c r="BA21" i="8"/>
  <c r="BK50" i="8"/>
  <c r="BA53" i="8"/>
  <c r="AW53" i="8"/>
  <c r="AR53" i="8"/>
  <c r="AT53" i="8"/>
  <c r="AU53" i="8"/>
  <c r="AS53" i="8"/>
  <c r="BA50" i="8"/>
  <c r="AW50" i="8"/>
  <c r="AR50" i="8"/>
  <c r="AU50" i="8"/>
  <c r="AT50" i="8"/>
  <c r="AS50" i="8"/>
  <c r="CB8" i="8"/>
  <c r="CA8" i="8"/>
  <c r="BZ8" i="8"/>
  <c r="BT8" i="8"/>
  <c r="BS8" i="8"/>
  <c r="U8" i="8"/>
  <c r="BO8" i="8" s="1"/>
  <c r="BP8" i="8" s="1"/>
  <c r="N8" i="8"/>
  <c r="L8" i="8"/>
  <c r="K8" i="8"/>
  <c r="M8" i="8" s="1"/>
  <c r="H8" i="8"/>
  <c r="V8" i="8" s="1"/>
  <c r="Y8" i="8" l="1"/>
  <c r="Z8" i="8" s="1"/>
  <c r="AO8" i="8"/>
  <c r="AP8" i="8" s="1"/>
  <c r="BB8" i="8"/>
  <c r="BC8" i="8" s="1"/>
  <c r="BJ8" i="8"/>
  <c r="BK8" i="8" s="1"/>
  <c r="AK8" i="8"/>
  <c r="AL8" i="8" s="1"/>
  <c r="AZ8" i="8"/>
  <c r="BH8" i="8"/>
  <c r="BI8" i="8" s="1"/>
  <c r="AC8" i="8"/>
  <c r="AD8" i="8" s="1"/>
  <c r="AV8" i="8"/>
  <c r="AW8" i="8" s="1"/>
  <c r="BD8" i="8"/>
  <c r="BE8" i="8" s="1"/>
  <c r="AG8" i="8"/>
  <c r="AH8" i="8" s="1"/>
  <c r="AX8" i="8"/>
  <c r="AY8" i="8" s="1"/>
  <c r="BF8" i="8"/>
  <c r="BG8" i="8" s="1"/>
  <c r="BM8" i="8"/>
  <c r="BN8" i="8" s="1"/>
  <c r="AA8" i="8"/>
  <c r="AB8" i="8" s="1"/>
  <c r="AE8" i="8"/>
  <c r="AF8" i="8" s="1"/>
  <c r="AI8" i="8"/>
  <c r="AJ8" i="8" s="1"/>
  <c r="AM8" i="8"/>
  <c r="AN8" i="8" s="1"/>
  <c r="AQ8" i="8"/>
  <c r="BR8" i="8" s="1"/>
  <c r="H39" i="8"/>
  <c r="U39" i="8" s="1"/>
  <c r="H37" i="8"/>
  <c r="CB40" i="8"/>
  <c r="CA40" i="8"/>
  <c r="BZ40" i="8"/>
  <c r="BT40" i="8"/>
  <c r="BS40" i="8"/>
  <c r="N40" i="8"/>
  <c r="L40" i="8"/>
  <c r="K40" i="8"/>
  <c r="M40" i="8" s="1"/>
  <c r="H40" i="8"/>
  <c r="U40" i="8" s="1"/>
  <c r="BL8" i="8" l="1"/>
  <c r="BA8" i="8"/>
  <c r="V40" i="8"/>
  <c r="AU8" i="8"/>
  <c r="BQ8" i="8" s="1"/>
  <c r="AT8" i="8"/>
  <c r="AS8" i="8"/>
  <c r="AR8" i="8"/>
  <c r="BO40" i="8"/>
  <c r="BP40" i="8" s="1"/>
  <c r="AQ40" i="8"/>
  <c r="AM40" i="8"/>
  <c r="AN40" i="8" s="1"/>
  <c r="AI40" i="8"/>
  <c r="AJ40" i="8" s="1"/>
  <c r="AE40" i="8"/>
  <c r="AF40" i="8" s="1"/>
  <c r="AA40" i="8"/>
  <c r="AB40" i="8" s="1"/>
  <c r="AZ40" i="8"/>
  <c r="BJ40" i="8"/>
  <c r="BF40" i="8"/>
  <c r="BG40" i="8" s="1"/>
  <c r="BB40" i="8"/>
  <c r="BC40" i="8" s="1"/>
  <c r="AX40" i="8"/>
  <c r="AY40" i="8" s="1"/>
  <c r="AK40" i="8"/>
  <c r="AL40" i="8" s="1"/>
  <c r="Y40" i="8"/>
  <c r="Z40" i="8" s="1"/>
  <c r="BM40" i="8"/>
  <c r="AO40" i="8"/>
  <c r="AP40" i="8" s="1"/>
  <c r="AG40" i="8"/>
  <c r="AH40" i="8" s="1"/>
  <c r="AC40" i="8"/>
  <c r="AD40" i="8" s="1"/>
  <c r="BH40" i="8"/>
  <c r="BI40" i="8" s="1"/>
  <c r="BD40" i="8"/>
  <c r="BE40" i="8" s="1"/>
  <c r="AV40" i="8"/>
  <c r="BK40" i="8" l="1"/>
  <c r="BL40" i="8"/>
  <c r="BR40" i="8"/>
  <c r="BN40" i="8"/>
  <c r="AU40" i="8"/>
  <c r="AT40" i="8"/>
  <c r="AS40" i="8"/>
  <c r="AR40" i="8"/>
  <c r="BA40" i="8"/>
  <c r="AW40" i="8"/>
  <c r="BQ40" i="8" l="1"/>
  <c r="U27" i="8"/>
  <c r="U26" i="8"/>
  <c r="U6" i="8"/>
  <c r="U7" i="8" l="1"/>
  <c r="U5" i="8"/>
  <c r="U10" i="8"/>
  <c r="H64" i="8" l="1"/>
  <c r="N48" i="8"/>
  <c r="L48" i="8"/>
  <c r="N41" i="8"/>
  <c r="L41" i="8"/>
  <c r="N39" i="8"/>
  <c r="L39" i="8"/>
  <c r="N38" i="8"/>
  <c r="L38" i="8"/>
  <c r="N37" i="8"/>
  <c r="L37" i="8"/>
  <c r="N34" i="8"/>
  <c r="L34" i="8"/>
  <c r="N31" i="8"/>
  <c r="L31" i="8"/>
  <c r="N30" i="8"/>
  <c r="L30" i="8"/>
  <c r="N27" i="8"/>
  <c r="L27" i="8"/>
  <c r="N26" i="8"/>
  <c r="L26" i="8"/>
  <c r="N23" i="8"/>
  <c r="L23" i="8"/>
  <c r="N22" i="8"/>
  <c r="L22" i="8"/>
  <c r="N19" i="8"/>
  <c r="L19" i="8"/>
  <c r="N18" i="8"/>
  <c r="L18" i="8"/>
  <c r="N15" i="8"/>
  <c r="L15" i="8"/>
  <c r="N14" i="8"/>
  <c r="L14" i="8"/>
  <c r="N13" i="8"/>
  <c r="L13" i="8"/>
  <c r="N12" i="8"/>
  <c r="L12" i="8"/>
  <c r="N11" i="8"/>
  <c r="L11" i="8"/>
  <c r="N10" i="8"/>
  <c r="L10" i="8"/>
  <c r="N9" i="8"/>
  <c r="L9" i="8"/>
  <c r="N7" i="8"/>
  <c r="L7" i="8"/>
  <c r="N5" i="8"/>
  <c r="M5" i="8"/>
  <c r="L5" i="8"/>
  <c r="L6" i="8"/>
  <c r="M6" i="8"/>
  <c r="N6" i="8"/>
  <c r="L55" i="8" l="1"/>
  <c r="L49" i="8"/>
  <c r="N49" i="8"/>
  <c r="N55" i="8"/>
  <c r="L52" i="8"/>
  <c r="L58" i="8"/>
  <c r="N52" i="8"/>
  <c r="N58" i="8"/>
  <c r="O58" i="8" s="1"/>
  <c r="Q49" i="8"/>
  <c r="Q51" i="8" s="1"/>
  <c r="Q52" i="8"/>
  <c r="Q54" i="8" s="1"/>
  <c r="O55" i="8" l="1"/>
  <c r="Q55" i="8"/>
  <c r="Q57" i="8" s="1"/>
  <c r="Q58" i="8"/>
  <c r="Q60" i="8" s="1"/>
  <c r="Q61" i="8" l="1"/>
  <c r="BT61" i="8"/>
  <c r="BS61" i="8"/>
  <c r="G65" i="8"/>
  <c r="L65" i="8" s="1"/>
  <c r="G66" i="8"/>
  <c r="L66" i="8" s="1"/>
  <c r="G70" i="8"/>
  <c r="G71" i="8"/>
  <c r="G64" i="8"/>
  <c r="CB19" i="8"/>
  <c r="CA19" i="8"/>
  <c r="BZ19" i="8"/>
  <c r="BT19" i="8"/>
  <c r="BS19" i="8"/>
  <c r="K19" i="8"/>
  <c r="M19" i="8" s="1"/>
  <c r="H19" i="8"/>
  <c r="U19" i="8" s="1"/>
  <c r="CB18" i="8"/>
  <c r="CA18" i="8"/>
  <c r="BZ18" i="8"/>
  <c r="BT18" i="8"/>
  <c r="BS18" i="8"/>
  <c r="K18" i="8"/>
  <c r="M18" i="8" s="1"/>
  <c r="H18" i="8"/>
  <c r="U18" i="8" s="1"/>
  <c r="CB15" i="8"/>
  <c r="CA15" i="8"/>
  <c r="BZ15" i="8"/>
  <c r="BT15" i="8"/>
  <c r="BS15" i="8"/>
  <c r="K15" i="8"/>
  <c r="M15" i="8" s="1"/>
  <c r="H15" i="8"/>
  <c r="U15" i="8" s="1"/>
  <c r="CB14" i="8"/>
  <c r="CA14" i="8"/>
  <c r="BZ14" i="8"/>
  <c r="BT14" i="8"/>
  <c r="BS14" i="8"/>
  <c r="K14" i="8"/>
  <c r="M14" i="8" s="1"/>
  <c r="H14" i="8"/>
  <c r="U14" i="8" s="1"/>
  <c r="CB43" i="8"/>
  <c r="CA43" i="8"/>
  <c r="BZ43" i="8"/>
  <c r="BT43" i="8"/>
  <c r="BS43" i="8"/>
  <c r="CB41" i="8"/>
  <c r="CA41" i="8"/>
  <c r="BZ41" i="8"/>
  <c r="BT41" i="8"/>
  <c r="BS41" i="8"/>
  <c r="CB39" i="8"/>
  <c r="CA39" i="8"/>
  <c r="BZ39" i="8"/>
  <c r="BT39" i="8"/>
  <c r="BS39" i="8"/>
  <c r="CB38" i="8"/>
  <c r="CA38" i="8"/>
  <c r="BZ38" i="8"/>
  <c r="BT38" i="8"/>
  <c r="BS38" i="8"/>
  <c r="CB37" i="8"/>
  <c r="CA37" i="8"/>
  <c r="BZ37" i="8"/>
  <c r="BT37" i="8"/>
  <c r="BS37" i="8"/>
  <c r="CB35" i="8"/>
  <c r="CA35" i="8"/>
  <c r="BZ35" i="8"/>
  <c r="BT35" i="8"/>
  <c r="BS35" i="8"/>
  <c r="CB34" i="8"/>
  <c r="CA34" i="8"/>
  <c r="BZ34" i="8"/>
  <c r="BT34" i="8"/>
  <c r="BS34" i="8"/>
  <c r="H6" i="8"/>
  <c r="H5" i="8"/>
  <c r="H7" i="8"/>
  <c r="H9" i="8"/>
  <c r="U9" i="8" s="1"/>
  <c r="H10" i="8"/>
  <c r="H11" i="8"/>
  <c r="H12" i="8"/>
  <c r="H13" i="8"/>
  <c r="H22" i="8"/>
  <c r="U22" i="8" s="1"/>
  <c r="H23" i="8"/>
  <c r="U23" i="8" s="1"/>
  <c r="H26" i="8"/>
  <c r="H27" i="8"/>
  <c r="H30" i="8"/>
  <c r="U30" i="8" s="1"/>
  <c r="H31" i="8"/>
  <c r="U31" i="8" s="1"/>
  <c r="H34" i="8"/>
  <c r="V34" i="8" s="1"/>
  <c r="V35" i="8"/>
  <c r="V37" i="8"/>
  <c r="V38" i="8"/>
  <c r="V39" i="8"/>
  <c r="H41" i="8"/>
  <c r="U41" i="8" s="1"/>
  <c r="U43" i="8"/>
  <c r="O49" i="8" l="1"/>
  <c r="L71" i="8"/>
  <c r="V43" i="8"/>
  <c r="L64" i="8"/>
  <c r="J64" i="8"/>
  <c r="N71" i="8"/>
  <c r="P71" i="8" s="1"/>
  <c r="N70" i="8"/>
  <c r="P70" i="8" s="1"/>
  <c r="L70" i="8"/>
  <c r="N69" i="8"/>
  <c r="P69" i="8" s="1"/>
  <c r="L69" i="8"/>
  <c r="V15" i="8"/>
  <c r="V14" i="8"/>
  <c r="V19" i="8"/>
  <c r="V18" i="8"/>
  <c r="BO19" i="8"/>
  <c r="BP19" i="8" s="1"/>
  <c r="AQ19" i="8"/>
  <c r="AM19" i="8"/>
  <c r="AN19" i="8" s="1"/>
  <c r="AI19" i="8"/>
  <c r="AJ19" i="8" s="1"/>
  <c r="AE19" i="8"/>
  <c r="AF19" i="8" s="1"/>
  <c r="AA19" i="8"/>
  <c r="AB19" i="8" s="1"/>
  <c r="BH19" i="8"/>
  <c r="BI19" i="8" s="1"/>
  <c r="AV19" i="8"/>
  <c r="BJ19" i="8"/>
  <c r="BF19" i="8"/>
  <c r="BG19" i="8" s="1"/>
  <c r="BB19" i="8"/>
  <c r="BC19" i="8" s="1"/>
  <c r="AX19" i="8"/>
  <c r="AY19" i="8" s="1"/>
  <c r="BD19" i="8"/>
  <c r="BE19" i="8" s="1"/>
  <c r="AZ19" i="8"/>
  <c r="BM19" i="8"/>
  <c r="AO19" i="8"/>
  <c r="AP19" i="8" s="1"/>
  <c r="AK19" i="8"/>
  <c r="AL19" i="8" s="1"/>
  <c r="AG19" i="8"/>
  <c r="AH19" i="8" s="1"/>
  <c r="AC19" i="8"/>
  <c r="AD19" i="8" s="1"/>
  <c r="Y19" i="8"/>
  <c r="Z19" i="8" s="1"/>
  <c r="BO18" i="8"/>
  <c r="BP18" i="8" s="1"/>
  <c r="AQ18" i="8"/>
  <c r="AM18" i="8"/>
  <c r="AN18" i="8" s="1"/>
  <c r="AI18" i="8"/>
  <c r="AJ18" i="8" s="1"/>
  <c r="AE18" i="8"/>
  <c r="AF18" i="8" s="1"/>
  <c r="AA18" i="8"/>
  <c r="AB18" i="8" s="1"/>
  <c r="AZ18" i="8"/>
  <c r="BJ18" i="8"/>
  <c r="BF18" i="8"/>
  <c r="BG18" i="8" s="1"/>
  <c r="BB18" i="8"/>
  <c r="BC18" i="8" s="1"/>
  <c r="AX18" i="8"/>
  <c r="AY18" i="8" s="1"/>
  <c r="BM18" i="8"/>
  <c r="AO18" i="8"/>
  <c r="AP18" i="8" s="1"/>
  <c r="AK18" i="8"/>
  <c r="AL18" i="8" s="1"/>
  <c r="AG18" i="8"/>
  <c r="AH18" i="8" s="1"/>
  <c r="AC18" i="8"/>
  <c r="AD18" i="8" s="1"/>
  <c r="Y18" i="8"/>
  <c r="Z18" i="8" s="1"/>
  <c r="BH18" i="8"/>
  <c r="BI18" i="8" s="1"/>
  <c r="BD18" i="8"/>
  <c r="BE18" i="8" s="1"/>
  <c r="AV18" i="8"/>
  <c r="BO15" i="8"/>
  <c r="BP15" i="8" s="1"/>
  <c r="AQ15" i="8"/>
  <c r="AM15" i="8"/>
  <c r="AN15" i="8" s="1"/>
  <c r="AI15" i="8"/>
  <c r="AJ15" i="8" s="1"/>
  <c r="AE15" i="8"/>
  <c r="AF15" i="8" s="1"/>
  <c r="AA15" i="8"/>
  <c r="AB15" i="8" s="1"/>
  <c r="BJ15" i="8"/>
  <c r="BF15" i="8"/>
  <c r="BG15" i="8" s="1"/>
  <c r="BB15" i="8"/>
  <c r="BC15" i="8" s="1"/>
  <c r="AX15" i="8"/>
  <c r="AY15" i="8" s="1"/>
  <c r="AZ15" i="8"/>
  <c r="BM15" i="8"/>
  <c r="AO15" i="8"/>
  <c r="AP15" i="8" s="1"/>
  <c r="AK15" i="8"/>
  <c r="AL15" i="8" s="1"/>
  <c r="AG15" i="8"/>
  <c r="AH15" i="8" s="1"/>
  <c r="AC15" i="8"/>
  <c r="AD15" i="8" s="1"/>
  <c r="Y15" i="8"/>
  <c r="Z15" i="8" s="1"/>
  <c r="BH15" i="8"/>
  <c r="BI15" i="8" s="1"/>
  <c r="BD15" i="8"/>
  <c r="BE15" i="8" s="1"/>
  <c r="AV15" i="8"/>
  <c r="BO14" i="8"/>
  <c r="BP14" i="8" s="1"/>
  <c r="AQ14" i="8"/>
  <c r="AM14" i="8"/>
  <c r="AN14" i="8" s="1"/>
  <c r="AI14" i="8"/>
  <c r="AJ14" i="8" s="1"/>
  <c r="AE14" i="8"/>
  <c r="AF14" i="8" s="1"/>
  <c r="AA14" i="8"/>
  <c r="AB14" i="8" s="1"/>
  <c r="BM14" i="8"/>
  <c r="AO14" i="8"/>
  <c r="AP14" i="8" s="1"/>
  <c r="AC14" i="8"/>
  <c r="AD14" i="8" s="1"/>
  <c r="BJ14" i="8"/>
  <c r="BF14" i="8"/>
  <c r="BG14" i="8" s="1"/>
  <c r="BB14" i="8"/>
  <c r="BC14" i="8" s="1"/>
  <c r="AX14" i="8"/>
  <c r="AY14" i="8" s="1"/>
  <c r="AK14" i="8"/>
  <c r="AL14" i="8" s="1"/>
  <c r="AG14" i="8"/>
  <c r="AH14" i="8" s="1"/>
  <c r="Y14" i="8"/>
  <c r="Z14" i="8" s="1"/>
  <c r="BH14" i="8"/>
  <c r="BI14" i="8" s="1"/>
  <c r="BD14" i="8"/>
  <c r="BE14" i="8" s="1"/>
  <c r="AZ14" i="8"/>
  <c r="AV14" i="8"/>
  <c r="Y39" i="8"/>
  <c r="Z39" i="8" s="1"/>
  <c r="Y41" i="8"/>
  <c r="Z41" i="8" s="1"/>
  <c r="AE41" i="8"/>
  <c r="AF41" i="8" s="1"/>
  <c r="AO41" i="8"/>
  <c r="AP41" i="8" s="1"/>
  <c r="AV41" i="8"/>
  <c r="AW41" i="8" s="1"/>
  <c r="BB41" i="8"/>
  <c r="BC41" i="8" s="1"/>
  <c r="AC41" i="8"/>
  <c r="AD41" i="8" s="1"/>
  <c r="AA41" i="8"/>
  <c r="AB41" i="8" s="1"/>
  <c r="AK41" i="8"/>
  <c r="AL41" i="8" s="1"/>
  <c r="AQ41" i="8"/>
  <c r="AT41" i="8" s="1"/>
  <c r="AX41" i="8"/>
  <c r="AY41" i="8" s="1"/>
  <c r="BH41" i="8"/>
  <c r="BI41" i="8" s="1"/>
  <c r="BM41" i="8"/>
  <c r="BN41" i="8" s="1"/>
  <c r="AI41" i="8"/>
  <c r="AJ41" i="8" s="1"/>
  <c r="AZ41" i="8"/>
  <c r="AG41" i="8"/>
  <c r="AH41" i="8" s="1"/>
  <c r="AM41" i="8"/>
  <c r="AN41" i="8" s="1"/>
  <c r="BD41" i="8"/>
  <c r="BE41" i="8" s="1"/>
  <c r="BJ41" i="8"/>
  <c r="BO41" i="8"/>
  <c r="BP41" i="8" s="1"/>
  <c r="BF41" i="8"/>
  <c r="BG41" i="8" s="1"/>
  <c r="V41" i="8"/>
  <c r="U37" i="8"/>
  <c r="U38" i="8"/>
  <c r="O52" i="8" l="1"/>
  <c r="AX39" i="8"/>
  <c r="AY39" i="8" s="1"/>
  <c r="BJ39" i="8"/>
  <c r="BL39" i="8" s="1"/>
  <c r="AE39" i="8"/>
  <c r="AF39" i="8" s="1"/>
  <c r="AZ39" i="8"/>
  <c r="BH39" i="8"/>
  <c r="BI39" i="8" s="1"/>
  <c r="BF39" i="8"/>
  <c r="BG39" i="8" s="1"/>
  <c r="BO39" i="8"/>
  <c r="BP39" i="8" s="1"/>
  <c r="AA39" i="8"/>
  <c r="AB39" i="8" s="1"/>
  <c r="AG39" i="8"/>
  <c r="AH39" i="8" s="1"/>
  <c r="AV39" i="8"/>
  <c r="BM39" i="8"/>
  <c r="BB39" i="8"/>
  <c r="BC39" i="8" s="1"/>
  <c r="AK39" i="8"/>
  <c r="AL39" i="8" s="1"/>
  <c r="BD39" i="8"/>
  <c r="BE39" i="8" s="1"/>
  <c r="AI39" i="8"/>
  <c r="AJ39" i="8" s="1"/>
  <c r="AO39" i="8"/>
  <c r="AP39" i="8" s="1"/>
  <c r="AC39" i="8"/>
  <c r="AD39" i="8" s="1"/>
  <c r="AQ39" i="8"/>
  <c r="AT39" i="8" s="1"/>
  <c r="AM39" i="8"/>
  <c r="AN39" i="8" s="1"/>
  <c r="BR19" i="8"/>
  <c r="BN19" i="8"/>
  <c r="BQ19" i="8" s="1"/>
  <c r="AU19" i="8"/>
  <c r="AT19" i="8"/>
  <c r="AR19" i="8"/>
  <c r="AS19" i="8"/>
  <c r="BA19" i="8"/>
  <c r="AW19" i="8"/>
  <c r="BK19" i="8"/>
  <c r="BL19" i="8"/>
  <c r="BA18" i="8"/>
  <c r="AW18" i="8"/>
  <c r="BR18" i="8"/>
  <c r="BN18" i="8"/>
  <c r="BQ18" i="8" s="1"/>
  <c r="BK18" i="8"/>
  <c r="BL18" i="8"/>
  <c r="AU18" i="8"/>
  <c r="AR18" i="8"/>
  <c r="AT18" i="8"/>
  <c r="AS18" i="8"/>
  <c r="BK15" i="8"/>
  <c r="BL15" i="8"/>
  <c r="BA15" i="8"/>
  <c r="AW15" i="8"/>
  <c r="BR15" i="8"/>
  <c r="BN15" i="8"/>
  <c r="BQ15" i="8" s="1"/>
  <c r="AU15" i="8"/>
  <c r="AT15" i="8"/>
  <c r="AR15" i="8"/>
  <c r="AS15" i="8"/>
  <c r="BA14" i="8"/>
  <c r="AW14" i="8"/>
  <c r="BR14" i="8"/>
  <c r="BN14" i="8"/>
  <c r="BQ14" i="8" s="1"/>
  <c r="BK14" i="8"/>
  <c r="BL14" i="8"/>
  <c r="AU14" i="8"/>
  <c r="AT14" i="8"/>
  <c r="AS14" i="8"/>
  <c r="AR14" i="8"/>
  <c r="BA41" i="8"/>
  <c r="Y43" i="8"/>
  <c r="Z43" i="8" s="1"/>
  <c r="AE43" i="8"/>
  <c r="AF43" i="8" s="1"/>
  <c r="AO43" i="8"/>
  <c r="AP43" i="8" s="1"/>
  <c r="AV43" i="8"/>
  <c r="BB43" i="8"/>
  <c r="BC43" i="8" s="1"/>
  <c r="AC43" i="8"/>
  <c r="AD43" i="8" s="1"/>
  <c r="AA43" i="8"/>
  <c r="AB43" i="8" s="1"/>
  <c r="AK43" i="8"/>
  <c r="AL43" i="8" s="1"/>
  <c r="AQ43" i="8"/>
  <c r="AX43" i="8"/>
  <c r="AY43" i="8" s="1"/>
  <c r="BH43" i="8"/>
  <c r="BI43" i="8" s="1"/>
  <c r="BM43" i="8"/>
  <c r="BN43" i="8" s="1"/>
  <c r="BF43" i="8"/>
  <c r="BG43" i="8" s="1"/>
  <c r="AG43" i="8"/>
  <c r="AH43" i="8" s="1"/>
  <c r="AM43" i="8"/>
  <c r="AN43" i="8" s="1"/>
  <c r="BD43" i="8"/>
  <c r="BE43" i="8" s="1"/>
  <c r="BJ43" i="8"/>
  <c r="BO43" i="8"/>
  <c r="BP43" i="8" s="1"/>
  <c r="AI43" i="8"/>
  <c r="AJ43" i="8" s="1"/>
  <c r="AZ43" i="8"/>
  <c r="BL41" i="8"/>
  <c r="BR41" i="8"/>
  <c r="BK41" i="8"/>
  <c r="Y38" i="8"/>
  <c r="Z38" i="8" s="1"/>
  <c r="AE38" i="8"/>
  <c r="AF38" i="8" s="1"/>
  <c r="AO38" i="8"/>
  <c r="AP38" i="8" s="1"/>
  <c r="AV38" i="8"/>
  <c r="BB38" i="8"/>
  <c r="BC38" i="8" s="1"/>
  <c r="AZ38" i="8"/>
  <c r="AA38" i="8"/>
  <c r="AB38" i="8" s="1"/>
  <c r="AK38" i="8"/>
  <c r="AL38" i="8" s="1"/>
  <c r="AQ38" i="8"/>
  <c r="AX38" i="8"/>
  <c r="AY38" i="8" s="1"/>
  <c r="BH38" i="8"/>
  <c r="BI38" i="8" s="1"/>
  <c r="BM38" i="8"/>
  <c r="AI38" i="8"/>
  <c r="AJ38" i="8" s="1"/>
  <c r="AG38" i="8"/>
  <c r="AH38" i="8" s="1"/>
  <c r="AM38" i="8"/>
  <c r="AN38" i="8" s="1"/>
  <c r="BD38" i="8"/>
  <c r="BE38" i="8" s="1"/>
  <c r="BJ38" i="8"/>
  <c r="BO38" i="8"/>
  <c r="BP38" i="8" s="1"/>
  <c r="AC38" i="8"/>
  <c r="AD38" i="8" s="1"/>
  <c r="BF38" i="8"/>
  <c r="BG38" i="8" s="1"/>
  <c r="Y37" i="8"/>
  <c r="Z37" i="8" s="1"/>
  <c r="AE37" i="8"/>
  <c r="AF37" i="8" s="1"/>
  <c r="AO37" i="8"/>
  <c r="AP37" i="8" s="1"/>
  <c r="AV37" i="8"/>
  <c r="BB37" i="8"/>
  <c r="BC37" i="8" s="1"/>
  <c r="AA37" i="8"/>
  <c r="AB37" i="8" s="1"/>
  <c r="AK37" i="8"/>
  <c r="AL37" i="8" s="1"/>
  <c r="AQ37" i="8"/>
  <c r="AX37" i="8"/>
  <c r="AY37" i="8" s="1"/>
  <c r="BH37" i="8"/>
  <c r="BI37" i="8" s="1"/>
  <c r="BM37" i="8"/>
  <c r="BF37" i="8"/>
  <c r="BG37" i="8" s="1"/>
  <c r="AG37" i="8"/>
  <c r="AH37" i="8" s="1"/>
  <c r="AM37" i="8"/>
  <c r="AN37" i="8" s="1"/>
  <c r="BD37" i="8"/>
  <c r="BE37" i="8" s="1"/>
  <c r="BJ37" i="8"/>
  <c r="BO37" i="8"/>
  <c r="BP37" i="8" s="1"/>
  <c r="AC37" i="8"/>
  <c r="AD37" i="8" s="1"/>
  <c r="AI37" i="8"/>
  <c r="AJ37" i="8" s="1"/>
  <c r="AZ37" i="8"/>
  <c r="AS41" i="8"/>
  <c r="AU41" i="8"/>
  <c r="AR41" i="8"/>
  <c r="BQ41" i="8" l="1"/>
  <c r="BR39" i="8"/>
  <c r="BK39" i="8"/>
  <c r="AR39" i="8"/>
  <c r="BN39" i="8"/>
  <c r="AS39" i="8"/>
  <c r="AU39" i="8"/>
  <c r="AW39" i="8"/>
  <c r="BA39" i="8"/>
  <c r="BL37" i="8"/>
  <c r="BK37" i="8"/>
  <c r="AS37" i="8"/>
  <c r="AR37" i="8"/>
  <c r="AU37" i="8"/>
  <c r="AT37" i="8"/>
  <c r="AW37" i="8"/>
  <c r="BA37" i="8"/>
  <c r="BN37" i="8"/>
  <c r="BQ37" i="8" s="1"/>
  <c r="BR37" i="8"/>
  <c r="BL38" i="8"/>
  <c r="BK38" i="8"/>
  <c r="AS38" i="8"/>
  <c r="AU38" i="8"/>
  <c r="AR38" i="8"/>
  <c r="AT38" i="8"/>
  <c r="AW43" i="8"/>
  <c r="BA43" i="8"/>
  <c r="BN38" i="8"/>
  <c r="BQ38" i="8" s="1"/>
  <c r="BR38" i="8"/>
  <c r="AW38" i="8"/>
  <c r="BA38" i="8"/>
  <c r="BL43" i="8"/>
  <c r="BR43" i="8"/>
  <c r="BK43" i="8"/>
  <c r="AS43" i="8"/>
  <c r="AU43" i="8"/>
  <c r="AR43" i="8"/>
  <c r="AT43" i="8"/>
  <c r="BQ39" i="8" l="1"/>
  <c r="BQ43" i="8"/>
  <c r="K41" i="8"/>
  <c r="M41" i="8" s="1"/>
  <c r="K39" i="8"/>
  <c r="M39" i="8" s="1"/>
  <c r="K38" i="8"/>
  <c r="M38" i="8" s="1"/>
  <c r="K37" i="8"/>
  <c r="M37" i="8" s="1"/>
  <c r="BS7" i="8"/>
  <c r="BT7" i="8"/>
  <c r="BZ7" i="8"/>
  <c r="CA7" i="8"/>
  <c r="CB7" i="8"/>
  <c r="BS9" i="8"/>
  <c r="BT9" i="8"/>
  <c r="BZ9" i="8"/>
  <c r="CA9" i="8"/>
  <c r="CB9" i="8"/>
  <c r="BS10" i="8"/>
  <c r="BT10" i="8"/>
  <c r="BZ10" i="8"/>
  <c r="CA10" i="8"/>
  <c r="CB10" i="8"/>
  <c r="BS11" i="8"/>
  <c r="BT11" i="8"/>
  <c r="BZ11" i="8"/>
  <c r="CA11" i="8"/>
  <c r="CB11" i="8"/>
  <c r="BS12" i="8"/>
  <c r="BT12" i="8"/>
  <c r="BZ12" i="8"/>
  <c r="CA12" i="8"/>
  <c r="CB12" i="8"/>
  <c r="BS13" i="8"/>
  <c r="BT13" i="8"/>
  <c r="BZ13" i="8"/>
  <c r="CA13" i="8"/>
  <c r="CB13" i="8"/>
  <c r="CB5" i="8"/>
  <c r="CA5" i="8"/>
  <c r="BZ5" i="8"/>
  <c r="BT5" i="8"/>
  <c r="BS5" i="8"/>
  <c r="V5" i="8"/>
  <c r="BO5" i="8"/>
  <c r="BP5" i="8" s="1"/>
  <c r="CB6" i="8"/>
  <c r="CA6" i="8"/>
  <c r="BZ6" i="8"/>
  <c r="BT6" i="8"/>
  <c r="BS6" i="8"/>
  <c r="V6" i="8"/>
  <c r="BO6" i="8"/>
  <c r="BP6" i="8" s="1"/>
  <c r="BS26" i="8"/>
  <c r="BT26" i="8"/>
  <c r="BZ26" i="8"/>
  <c r="CA26" i="8"/>
  <c r="CB26" i="8"/>
  <c r="BS27" i="8"/>
  <c r="BT27" i="8"/>
  <c r="BZ27" i="8"/>
  <c r="CA27" i="8"/>
  <c r="CB27" i="8"/>
  <c r="AO6" i="8" l="1"/>
  <c r="AP6" i="8" s="1"/>
  <c r="AC5" i="8"/>
  <c r="AD5" i="8" s="1"/>
  <c r="AV5" i="8"/>
  <c r="BA5" i="8" s="1"/>
  <c r="BJ6" i="8"/>
  <c r="BK6" i="8" s="1"/>
  <c r="AZ6" i="8"/>
  <c r="Y6" i="8"/>
  <c r="Z6" i="8" s="1"/>
  <c r="BB6" i="8"/>
  <c r="BC6" i="8" s="1"/>
  <c r="BD5" i="8"/>
  <c r="BE5" i="8" s="1"/>
  <c r="AK6" i="8"/>
  <c r="AL6" i="8" s="1"/>
  <c r="BH6" i="8"/>
  <c r="BI6" i="8" s="1"/>
  <c r="AC6" i="8"/>
  <c r="AD6" i="8" s="1"/>
  <c r="AV6" i="8"/>
  <c r="BA6" i="8" s="1"/>
  <c r="BD6" i="8"/>
  <c r="BE6" i="8" s="1"/>
  <c r="AK5" i="8"/>
  <c r="AL5" i="8" s="1"/>
  <c r="AZ5" i="8"/>
  <c r="BH5" i="8"/>
  <c r="BI5" i="8" s="1"/>
  <c r="AG6" i="8"/>
  <c r="AH6" i="8" s="1"/>
  <c r="AX6" i="8"/>
  <c r="AY6" i="8" s="1"/>
  <c r="BF6" i="8"/>
  <c r="BG6" i="8" s="1"/>
  <c r="BM6" i="8"/>
  <c r="BN6" i="8" s="1"/>
  <c r="Y5" i="8"/>
  <c r="Z5" i="8" s="1"/>
  <c r="AO5" i="8"/>
  <c r="AP5" i="8" s="1"/>
  <c r="BB5" i="8"/>
  <c r="BC5" i="8" s="1"/>
  <c r="BJ5" i="8"/>
  <c r="AG5" i="8"/>
  <c r="AH5" i="8" s="1"/>
  <c r="AX5" i="8"/>
  <c r="AY5" i="8" s="1"/>
  <c r="BF5" i="8"/>
  <c r="BG5" i="8" s="1"/>
  <c r="BM5" i="8"/>
  <c r="BN5" i="8" s="1"/>
  <c r="AA5" i="8"/>
  <c r="AB5" i="8" s="1"/>
  <c r="AE5" i="8"/>
  <c r="AF5" i="8" s="1"/>
  <c r="AI5" i="8"/>
  <c r="AJ5" i="8" s="1"/>
  <c r="AM5" i="8"/>
  <c r="AN5" i="8" s="1"/>
  <c r="AQ5" i="8"/>
  <c r="AA6" i="8"/>
  <c r="AB6" i="8" s="1"/>
  <c r="AE6" i="8"/>
  <c r="AF6" i="8" s="1"/>
  <c r="AI6" i="8"/>
  <c r="AJ6" i="8" s="1"/>
  <c r="AM6" i="8"/>
  <c r="AN6" i="8" s="1"/>
  <c r="AQ6" i="8"/>
  <c r="BR5" i="8" l="1"/>
  <c r="AW5" i="8"/>
  <c r="AW6" i="8"/>
  <c r="BR6" i="8"/>
  <c r="BL6" i="8"/>
  <c r="BK5" i="8"/>
  <c r="BL5" i="8"/>
  <c r="AU5" i="8"/>
  <c r="AT5" i="8"/>
  <c r="AS5" i="8"/>
  <c r="AR5" i="8"/>
  <c r="AU6" i="8"/>
  <c r="BQ6" i="8" s="1"/>
  <c r="AT6" i="8"/>
  <c r="AR6" i="8"/>
  <c r="AS6" i="8"/>
  <c r="BQ5" i="8" l="1"/>
  <c r="K12" i="8"/>
  <c r="M12" i="8" s="1"/>
  <c r="K13" i="8"/>
  <c r="M13" i="8" s="1"/>
  <c r="K11" i="8"/>
  <c r="M11" i="8" s="1"/>
  <c r="K10" i="8"/>
  <c r="M10" i="8" s="1"/>
  <c r="K9" i="8"/>
  <c r="M9" i="8" s="1"/>
  <c r="K27" i="8"/>
  <c r="M27" i="8" s="1"/>
  <c r="K26" i="8"/>
  <c r="M26" i="8" s="1"/>
  <c r="K7" i="8"/>
  <c r="M7" i="8" s="1"/>
  <c r="V9" i="8" l="1"/>
  <c r="V10" i="8"/>
  <c r="U11" i="8"/>
  <c r="V11" i="8"/>
  <c r="V27" i="8"/>
  <c r="V7" i="8"/>
  <c r="V26" i="8"/>
  <c r="U13" i="8"/>
  <c r="V13" i="8"/>
  <c r="V12" i="8"/>
  <c r="U12" i="8"/>
  <c r="AC26" i="8" l="1"/>
  <c r="AD26" i="8" s="1"/>
  <c r="AI26" i="8"/>
  <c r="AJ26" i="8" s="1"/>
  <c r="AO26" i="8"/>
  <c r="AP26" i="8" s="1"/>
  <c r="BB26" i="8"/>
  <c r="BC26" i="8" s="1"/>
  <c r="BH26" i="8"/>
  <c r="BI26" i="8" s="1"/>
  <c r="BO26" i="8"/>
  <c r="BP26" i="8" s="1"/>
  <c r="AK26" i="8"/>
  <c r="AL26" i="8" s="1"/>
  <c r="AX26" i="8"/>
  <c r="AY26" i="8" s="1"/>
  <c r="BD26" i="8"/>
  <c r="BE26" i="8" s="1"/>
  <c r="Y26" i="8"/>
  <c r="Z26" i="8" s="1"/>
  <c r="AE26" i="8"/>
  <c r="AF26" i="8" s="1"/>
  <c r="AQ26" i="8"/>
  <c r="AZ26" i="8"/>
  <c r="BJ26" i="8"/>
  <c r="AG26" i="8"/>
  <c r="AH26" i="8" s="1"/>
  <c r="BF26" i="8"/>
  <c r="BG26" i="8" s="1"/>
  <c r="AV26" i="8"/>
  <c r="AA26" i="8"/>
  <c r="AB26" i="8" s="1"/>
  <c r="AM26" i="8"/>
  <c r="AN26" i="8" s="1"/>
  <c r="BM26" i="8"/>
  <c r="BN26" i="8" s="1"/>
  <c r="AA7" i="8"/>
  <c r="AB7" i="8" s="1"/>
  <c r="AG7" i="8"/>
  <c r="AH7" i="8" s="1"/>
  <c r="AQ7" i="8"/>
  <c r="AV7" i="8"/>
  <c r="BF7" i="8"/>
  <c r="BG7" i="8" s="1"/>
  <c r="BM7" i="8"/>
  <c r="BN7" i="8" s="1"/>
  <c r="AC7" i="8"/>
  <c r="AD7" i="8" s="1"/>
  <c r="AM7" i="8"/>
  <c r="AN7" i="8" s="1"/>
  <c r="BB7" i="8"/>
  <c r="BC7" i="8" s="1"/>
  <c r="BH7" i="8"/>
  <c r="BI7" i="8" s="1"/>
  <c r="Y7" i="8"/>
  <c r="Z7" i="8" s="1"/>
  <c r="AI7" i="8"/>
  <c r="AJ7" i="8" s="1"/>
  <c r="AO7" i="8"/>
  <c r="AP7" i="8" s="1"/>
  <c r="AX7" i="8"/>
  <c r="AY7" i="8" s="1"/>
  <c r="BD7" i="8"/>
  <c r="BE7" i="8" s="1"/>
  <c r="BO7" i="8"/>
  <c r="BP7" i="8" s="1"/>
  <c r="AE7" i="8"/>
  <c r="AF7" i="8" s="1"/>
  <c r="AK7" i="8"/>
  <c r="AL7" i="8" s="1"/>
  <c r="AZ7" i="8"/>
  <c r="BJ7" i="8"/>
  <c r="AG11" i="8"/>
  <c r="AH11" i="8" s="1"/>
  <c r="AM11" i="8"/>
  <c r="AN11" i="8" s="1"/>
  <c r="AV11" i="8"/>
  <c r="BF11" i="8"/>
  <c r="BG11" i="8" s="1"/>
  <c r="BM11" i="8"/>
  <c r="BN11" i="8" s="1"/>
  <c r="Y11" i="8"/>
  <c r="Z11" i="8" s="1"/>
  <c r="AE11" i="8"/>
  <c r="AF11" i="8" s="1"/>
  <c r="AO11" i="8"/>
  <c r="AP11" i="8" s="1"/>
  <c r="AX11" i="8"/>
  <c r="AY11" i="8" s="1"/>
  <c r="BD11" i="8"/>
  <c r="BE11" i="8" s="1"/>
  <c r="BJ11" i="8"/>
  <c r="AA11" i="8"/>
  <c r="AB11" i="8" s="1"/>
  <c r="AK11" i="8"/>
  <c r="AL11" i="8" s="1"/>
  <c r="AQ11" i="8"/>
  <c r="AZ11" i="8"/>
  <c r="AC11" i="8"/>
  <c r="AD11" i="8" s="1"/>
  <c r="BO11" i="8"/>
  <c r="BP11" i="8" s="1"/>
  <c r="AI11" i="8"/>
  <c r="AJ11" i="8" s="1"/>
  <c r="BB11" i="8"/>
  <c r="BC11" i="8" s="1"/>
  <c r="BH11" i="8"/>
  <c r="BI11" i="8" s="1"/>
  <c r="AC27" i="8"/>
  <c r="AD27" i="8" s="1"/>
  <c r="AI27" i="8"/>
  <c r="AJ27" i="8" s="1"/>
  <c r="AX27" i="8"/>
  <c r="AY27" i="8" s="1"/>
  <c r="BD27" i="8"/>
  <c r="BE27" i="8" s="1"/>
  <c r="BJ27" i="8"/>
  <c r="BF27" i="8"/>
  <c r="BG27" i="8" s="1"/>
  <c r="Y27" i="8"/>
  <c r="Z27" i="8" s="1"/>
  <c r="AE27" i="8"/>
  <c r="AF27" i="8" s="1"/>
  <c r="AO27" i="8"/>
  <c r="AP27" i="8" s="1"/>
  <c r="AZ27" i="8"/>
  <c r="BM27" i="8"/>
  <c r="BN27" i="8" s="1"/>
  <c r="AA27" i="8"/>
  <c r="AB27" i="8" s="1"/>
  <c r="AK27" i="8"/>
  <c r="AL27" i="8" s="1"/>
  <c r="AQ27" i="8"/>
  <c r="AV27" i="8"/>
  <c r="AG27" i="8"/>
  <c r="AH27" i="8" s="1"/>
  <c r="BB27" i="8"/>
  <c r="BC27" i="8" s="1"/>
  <c r="BO27" i="8"/>
  <c r="BP27" i="8" s="1"/>
  <c r="AM27" i="8"/>
  <c r="AN27" i="8" s="1"/>
  <c r="BH27" i="8"/>
  <c r="BI27" i="8" s="1"/>
  <c r="AV10" i="8"/>
  <c r="AC10" i="8"/>
  <c r="AD10" i="8" s="1"/>
  <c r="AM10" i="8"/>
  <c r="AN10" i="8" s="1"/>
  <c r="BB10" i="8"/>
  <c r="BC10" i="8" s="1"/>
  <c r="AE10" i="8"/>
  <c r="AF10" i="8" s="1"/>
  <c r="AK10" i="8"/>
  <c r="AL10" i="8" s="1"/>
  <c r="BJ10" i="8"/>
  <c r="Y10" i="8"/>
  <c r="Z10" i="8" s="1"/>
  <c r="AA10" i="8"/>
  <c r="AB10" i="8" s="1"/>
  <c r="AG10" i="8"/>
  <c r="AH10" i="8" s="1"/>
  <c r="AQ10" i="8"/>
  <c r="AX10" i="8"/>
  <c r="AY10" i="8" s="1"/>
  <c r="BM10" i="8"/>
  <c r="BN10" i="8" s="1"/>
  <c r="BF10" i="8"/>
  <c r="BG10" i="8" s="1"/>
  <c r="AI10" i="8"/>
  <c r="AJ10" i="8" s="1"/>
  <c r="BO10" i="8"/>
  <c r="BP10" i="8" s="1"/>
  <c r="AO10" i="8"/>
  <c r="AP10" i="8" s="1"/>
  <c r="BH10" i="8"/>
  <c r="BI10" i="8" s="1"/>
  <c r="BD10" i="8"/>
  <c r="BE10" i="8" s="1"/>
  <c r="AZ10" i="8"/>
  <c r="AZ12" i="8"/>
  <c r="AM12" i="8"/>
  <c r="AN12" i="8" s="1"/>
  <c r="AE12" i="8"/>
  <c r="AF12" i="8" s="1"/>
  <c r="BH12" i="8"/>
  <c r="BI12" i="8" s="1"/>
  <c r="AC12" i="8"/>
  <c r="AD12" i="8" s="1"/>
  <c r="BM12" i="8"/>
  <c r="BN12" i="8" s="1"/>
  <c r="BJ12" i="8"/>
  <c r="AQ12" i="8"/>
  <c r="BD12" i="8"/>
  <c r="BE12" i="8" s="1"/>
  <c r="AG12" i="8"/>
  <c r="AH12" i="8" s="1"/>
  <c r="AX12" i="8"/>
  <c r="AY12" i="8" s="1"/>
  <c r="AI12" i="8"/>
  <c r="AJ12" i="8" s="1"/>
  <c r="AV12" i="8"/>
  <c r="AK12" i="8"/>
  <c r="AL12" i="8" s="1"/>
  <c r="BB12" i="8"/>
  <c r="BC12" i="8" s="1"/>
  <c r="AA12" i="8"/>
  <c r="AB12" i="8" s="1"/>
  <c r="Y12" i="8"/>
  <c r="Z12" i="8" s="1"/>
  <c r="AO12" i="8"/>
  <c r="AP12" i="8" s="1"/>
  <c r="BF12" i="8"/>
  <c r="BG12" i="8" s="1"/>
  <c r="BO12" i="8"/>
  <c r="BP12" i="8" s="1"/>
  <c r="AQ13" i="8"/>
  <c r="AA13" i="8"/>
  <c r="AB13" i="8" s="1"/>
  <c r="AM13" i="8"/>
  <c r="AN13" i="8" s="1"/>
  <c r="BF13" i="8"/>
  <c r="BG13" i="8" s="1"/>
  <c r="BO13" i="8"/>
  <c r="BP13" i="8" s="1"/>
  <c r="AI13" i="8"/>
  <c r="AJ13" i="8" s="1"/>
  <c r="AZ13" i="8"/>
  <c r="BJ13" i="8"/>
  <c r="BD13" i="8"/>
  <c r="BE13" i="8" s="1"/>
  <c r="AX13" i="8"/>
  <c r="AY13" i="8" s="1"/>
  <c r="AE13" i="8"/>
  <c r="AF13" i="8" s="1"/>
  <c r="BH13" i="8"/>
  <c r="BI13" i="8" s="1"/>
  <c r="AG13" i="8"/>
  <c r="AH13" i="8" s="1"/>
  <c r="AK13" i="8"/>
  <c r="AL13" i="8" s="1"/>
  <c r="BB13" i="8"/>
  <c r="BC13" i="8" s="1"/>
  <c r="Y13" i="8"/>
  <c r="Z13" i="8" s="1"/>
  <c r="AO13" i="8"/>
  <c r="AP13" i="8" s="1"/>
  <c r="AV13" i="8"/>
  <c r="AC13" i="8"/>
  <c r="AD13" i="8" s="1"/>
  <c r="BM13" i="8"/>
  <c r="BN13" i="8" s="1"/>
  <c r="Y9" i="8"/>
  <c r="Z9" i="8" s="1"/>
  <c r="AE9" i="8"/>
  <c r="AF9" i="8" s="1"/>
  <c r="AM9" i="8"/>
  <c r="AN9" i="8" s="1"/>
  <c r="BH9" i="8"/>
  <c r="BI9" i="8" s="1"/>
  <c r="AV9" i="8"/>
  <c r="AA9" i="8"/>
  <c r="AB9" i="8" s="1"/>
  <c r="AI9" i="8"/>
  <c r="AJ9" i="8" s="1"/>
  <c r="AQ9" i="8"/>
  <c r="AZ9" i="8"/>
  <c r="BO9" i="8"/>
  <c r="BP9" i="8" s="1"/>
  <c r="BD9" i="8"/>
  <c r="BE9" i="8" s="1"/>
  <c r="BF9" i="8"/>
  <c r="BG9" i="8" s="1"/>
  <c r="BM9" i="8"/>
  <c r="BN9" i="8" s="1"/>
  <c r="AC9" i="8"/>
  <c r="AD9" i="8" s="1"/>
  <c r="BB9" i="8"/>
  <c r="BC9" i="8" s="1"/>
  <c r="AO9" i="8"/>
  <c r="AP9" i="8" s="1"/>
  <c r="AX9" i="8"/>
  <c r="AY9" i="8" s="1"/>
  <c r="AK9" i="8"/>
  <c r="AL9" i="8" s="1"/>
  <c r="BJ9" i="8"/>
  <c r="AG9" i="8"/>
  <c r="AH9" i="8" s="1"/>
  <c r="AW13" i="8" l="1"/>
  <c r="BA13" i="8"/>
  <c r="AR12" i="8"/>
  <c r="AU12" i="8"/>
  <c r="AS12" i="8"/>
  <c r="AT12" i="8"/>
  <c r="BR7" i="8"/>
  <c r="BL7" i="8"/>
  <c r="BK7" i="8"/>
  <c r="BA7" i="8"/>
  <c r="AW7" i="8"/>
  <c r="AR26" i="8"/>
  <c r="AT26" i="8"/>
  <c r="AS26" i="8"/>
  <c r="AU26" i="8"/>
  <c r="AW9" i="8"/>
  <c r="BA9" i="8"/>
  <c r="AT13" i="8"/>
  <c r="AR13" i="8"/>
  <c r="AU13" i="8"/>
  <c r="AS13" i="8"/>
  <c r="BR12" i="8"/>
  <c r="BL12" i="8"/>
  <c r="BK12" i="8"/>
  <c r="AR10" i="8"/>
  <c r="AS10" i="8"/>
  <c r="AU10" i="8"/>
  <c r="AT10" i="8"/>
  <c r="BR10" i="8"/>
  <c r="BK10" i="8"/>
  <c r="BL10" i="8"/>
  <c r="BA27" i="8"/>
  <c r="AW27" i="8"/>
  <c r="BK11" i="8"/>
  <c r="BL11" i="8"/>
  <c r="BR11" i="8"/>
  <c r="BA11" i="8"/>
  <c r="AW11" i="8"/>
  <c r="AR7" i="8"/>
  <c r="AS7" i="8"/>
  <c r="AT7" i="8"/>
  <c r="AU7" i="8"/>
  <c r="AS9" i="8"/>
  <c r="AU9" i="8"/>
  <c r="AR9" i="8"/>
  <c r="AT9" i="8"/>
  <c r="BL13" i="8"/>
  <c r="BK13" i="8"/>
  <c r="BR13" i="8"/>
  <c r="AT27" i="8"/>
  <c r="AS27" i="8"/>
  <c r="AU27" i="8"/>
  <c r="AR27" i="8"/>
  <c r="AR11" i="8"/>
  <c r="AT11" i="8"/>
  <c r="AU11" i="8"/>
  <c r="AS11" i="8"/>
  <c r="BL26" i="8"/>
  <c r="BR26" i="8"/>
  <c r="BK26" i="8"/>
  <c r="BK9" i="8"/>
  <c r="BL9" i="8"/>
  <c r="BR9" i="8"/>
  <c r="AW12" i="8"/>
  <c r="BA12" i="8"/>
  <c r="AW10" i="8"/>
  <c r="BA10" i="8"/>
  <c r="BK27" i="8"/>
  <c r="BR27" i="8"/>
  <c r="BL27" i="8"/>
  <c r="AW26" i="8"/>
  <c r="BA26" i="8"/>
  <c r="CA48" i="8"/>
  <c r="BT48" i="8"/>
  <c r="BS48" i="8"/>
  <c r="K48" i="8"/>
  <c r="M48" i="8" s="1"/>
  <c r="H48" i="8"/>
  <c r="V48" i="8" s="1"/>
  <c r="BQ13" i="8" l="1"/>
  <c r="BQ12" i="8"/>
  <c r="BQ27" i="8"/>
  <c r="BQ26" i="8"/>
  <c r="BQ7" i="8"/>
  <c r="BQ9" i="8"/>
  <c r="BQ11" i="8"/>
  <c r="BQ10" i="8"/>
  <c r="U48" i="8"/>
  <c r="BF48" i="8" l="1"/>
  <c r="BG48" i="8" s="1"/>
  <c r="BM48" i="8"/>
  <c r="BN48" i="8" s="1"/>
  <c r="BO48" i="8"/>
  <c r="BP48" i="8" s="1"/>
  <c r="BJ48" i="8"/>
  <c r="BB48" i="8"/>
  <c r="BC48" i="8" s="1"/>
  <c r="AK48" i="8"/>
  <c r="AL48" i="8" s="1"/>
  <c r="AG48" i="8"/>
  <c r="AH48" i="8" s="1"/>
  <c r="AA48" i="8"/>
  <c r="AB48" i="8" s="1"/>
  <c r="BD48" i="8"/>
  <c r="BE48" i="8" s="1"/>
  <c r="AQ48" i="8"/>
  <c r="AT48" i="8" s="1"/>
  <c r="AZ48" i="8"/>
  <c r="AM48" i="8"/>
  <c r="AN48" i="8" s="1"/>
  <c r="AX48" i="8"/>
  <c r="AY48" i="8" s="1"/>
  <c r="AV48" i="8"/>
  <c r="BA48" i="8" s="1"/>
  <c r="AC48" i="8"/>
  <c r="AD48" i="8" s="1"/>
  <c r="AI48" i="8"/>
  <c r="AJ48" i="8" s="1"/>
  <c r="BH48" i="8"/>
  <c r="BI48" i="8" s="1"/>
  <c r="AO48" i="8"/>
  <c r="AP48" i="8" s="1"/>
  <c r="Y48" i="8"/>
  <c r="Z48" i="8" s="1"/>
  <c r="AE48" i="8"/>
  <c r="AF48" i="8" s="1"/>
  <c r="BK48" i="8" l="1"/>
  <c r="BR48" i="8"/>
  <c r="BL48" i="8"/>
  <c r="AW48" i="8"/>
  <c r="AS48" i="8"/>
  <c r="AR48" i="8"/>
  <c r="AU48" i="8"/>
  <c r="BQ48" i="8" l="1"/>
  <c r="BS23" i="8"/>
  <c r="BT23" i="8"/>
  <c r="BZ23" i="8"/>
  <c r="CA23" i="8"/>
  <c r="CB23" i="8"/>
  <c r="BS30" i="8"/>
  <c r="BT30" i="8"/>
  <c r="BZ30" i="8"/>
  <c r="CA30" i="8"/>
  <c r="CB30" i="8"/>
  <c r="BS31" i="8"/>
  <c r="BT31" i="8"/>
  <c r="BZ31" i="8"/>
  <c r="CA31" i="8"/>
  <c r="CB31" i="8"/>
  <c r="K31" i="8" l="1"/>
  <c r="M31" i="8" s="1"/>
  <c r="K23" i="8"/>
  <c r="M23" i="8" s="1"/>
  <c r="M52" i="8" l="1"/>
  <c r="M58" i="8"/>
  <c r="V23" i="8"/>
  <c r="V31" i="8"/>
  <c r="BM31" i="8" l="1"/>
  <c r="BO31" i="8"/>
  <c r="BP31" i="8" s="1"/>
  <c r="BJ31" i="8"/>
  <c r="BO23" i="8"/>
  <c r="BP23" i="8" s="1"/>
  <c r="BJ23" i="8"/>
  <c r="BM23" i="8"/>
  <c r="BN23" i="8" s="1"/>
  <c r="Y31" i="8"/>
  <c r="Z31" i="8" s="1"/>
  <c r="AG31" i="8"/>
  <c r="AH31" i="8" s="1"/>
  <c r="AO31" i="8"/>
  <c r="AP31" i="8" s="1"/>
  <c r="AZ31" i="8"/>
  <c r="BH31" i="8"/>
  <c r="BI31" i="8" s="1"/>
  <c r="AA31" i="8"/>
  <c r="AB31" i="8" s="1"/>
  <c r="AI31" i="8"/>
  <c r="AJ31" i="8" s="1"/>
  <c r="AQ31" i="8"/>
  <c r="BB31" i="8"/>
  <c r="BC31" i="8" s="1"/>
  <c r="AC31" i="8"/>
  <c r="AD31" i="8" s="1"/>
  <c r="AK31" i="8"/>
  <c r="AL31" i="8" s="1"/>
  <c r="AV31" i="8"/>
  <c r="BD31" i="8"/>
  <c r="BE31" i="8" s="1"/>
  <c r="BF31" i="8"/>
  <c r="BG31" i="8" s="1"/>
  <c r="AE31" i="8"/>
  <c r="AF31" i="8" s="1"/>
  <c r="AM31" i="8"/>
  <c r="AX31" i="8"/>
  <c r="AY31" i="8" s="1"/>
  <c r="AE23" i="8"/>
  <c r="AF23" i="8" s="1"/>
  <c r="AK23" i="8"/>
  <c r="AL23" i="8" s="1"/>
  <c r="AZ23" i="8"/>
  <c r="BH23" i="8"/>
  <c r="BI23" i="8" s="1"/>
  <c r="Y23" i="8"/>
  <c r="Z23" i="8" s="1"/>
  <c r="AG23" i="8"/>
  <c r="AH23" i="8" s="1"/>
  <c r="AM23" i="8"/>
  <c r="AN23" i="8" s="1"/>
  <c r="BB23" i="8"/>
  <c r="BC23" i="8" s="1"/>
  <c r="AA23" i="8"/>
  <c r="AB23" i="8" s="1"/>
  <c r="AI23" i="8"/>
  <c r="AJ23" i="8" s="1"/>
  <c r="AO23" i="8"/>
  <c r="AP23" i="8" s="1"/>
  <c r="AV23" i="8"/>
  <c r="BD23" i="8"/>
  <c r="BE23" i="8" s="1"/>
  <c r="AQ23" i="8"/>
  <c r="AX23" i="8"/>
  <c r="AY23" i="8" s="1"/>
  <c r="AC23" i="8"/>
  <c r="AD23" i="8" s="1"/>
  <c r="BF23" i="8"/>
  <c r="BG23" i="8" s="1"/>
  <c r="K30" i="8"/>
  <c r="M30" i="8" s="1"/>
  <c r="U35" i="8"/>
  <c r="K34" i="8"/>
  <c r="M34" i="8" s="1"/>
  <c r="U34" i="8"/>
  <c r="K22" i="8"/>
  <c r="M22" i="8" s="1"/>
  <c r="M55" i="8" l="1"/>
  <c r="M49" i="8"/>
  <c r="R49" i="8" s="1"/>
  <c r="R52" i="8"/>
  <c r="Y35" i="8"/>
  <c r="Z35" i="8" s="1"/>
  <c r="AE35" i="8"/>
  <c r="AF35" i="8" s="1"/>
  <c r="AO35" i="8"/>
  <c r="AP35" i="8" s="1"/>
  <c r="AV35" i="8"/>
  <c r="BB35" i="8"/>
  <c r="BC35" i="8" s="1"/>
  <c r="AA35" i="8"/>
  <c r="AB35" i="8" s="1"/>
  <c r="AK35" i="8"/>
  <c r="AL35" i="8" s="1"/>
  <c r="AQ35" i="8"/>
  <c r="AX35" i="8"/>
  <c r="AY35" i="8" s="1"/>
  <c r="BH35" i="8"/>
  <c r="BI35" i="8" s="1"/>
  <c r="BM35" i="8"/>
  <c r="BN35" i="8" s="1"/>
  <c r="AI35" i="8"/>
  <c r="AJ35" i="8" s="1"/>
  <c r="AG35" i="8"/>
  <c r="AH35" i="8" s="1"/>
  <c r="AM35" i="8"/>
  <c r="AN35" i="8" s="1"/>
  <c r="BD35" i="8"/>
  <c r="BE35" i="8" s="1"/>
  <c r="BJ35" i="8"/>
  <c r="BO35" i="8"/>
  <c r="AC35" i="8"/>
  <c r="AD35" i="8" s="1"/>
  <c r="AZ35" i="8"/>
  <c r="BF35" i="8"/>
  <c r="BG35" i="8" s="1"/>
  <c r="BJ34" i="8"/>
  <c r="BM34" i="8"/>
  <c r="BN34" i="8" s="1"/>
  <c r="BO34" i="8"/>
  <c r="BK23" i="8"/>
  <c r="BR23" i="8"/>
  <c r="BL23" i="8"/>
  <c r="BN31" i="8"/>
  <c r="BR31" i="8"/>
  <c r="BK31" i="8"/>
  <c r="BL31" i="8"/>
  <c r="AW23" i="8"/>
  <c r="BA23" i="8"/>
  <c r="AR23" i="8"/>
  <c r="AT23" i="8"/>
  <c r="AU23" i="8"/>
  <c r="AS23" i="8"/>
  <c r="AN31" i="8"/>
  <c r="AW31" i="8"/>
  <c r="BA31" i="8"/>
  <c r="AU31" i="8"/>
  <c r="AS31" i="8"/>
  <c r="AR31" i="8"/>
  <c r="AT31" i="8"/>
  <c r="V22" i="8"/>
  <c r="V30" i="8"/>
  <c r="S52" i="8" l="1"/>
  <c r="T52" i="8" s="1"/>
  <c r="R54" i="8"/>
  <c r="S54" i="8" s="1"/>
  <c r="S49" i="8"/>
  <c r="T49" i="8" s="1"/>
  <c r="R51" i="8"/>
  <c r="S51" i="8" s="1"/>
  <c r="BQ23" i="8"/>
  <c r="R58" i="8"/>
  <c r="R55" i="8"/>
  <c r="R57" i="8" s="1"/>
  <c r="AW35" i="8"/>
  <c r="BA35" i="8"/>
  <c r="BL35" i="8"/>
  <c r="BK35" i="8"/>
  <c r="AS35" i="8"/>
  <c r="AR35" i="8"/>
  <c r="AU35" i="8"/>
  <c r="AT35" i="8"/>
  <c r="BP35" i="8"/>
  <c r="BR35" i="8"/>
  <c r="BQ31" i="8"/>
  <c r="BP34" i="8"/>
  <c r="BM30" i="8"/>
  <c r="BO30" i="8"/>
  <c r="BP30" i="8" s="1"/>
  <c r="BJ30" i="8"/>
  <c r="BO22" i="8"/>
  <c r="BP22" i="8" s="1"/>
  <c r="BJ22" i="8"/>
  <c r="BM22" i="8"/>
  <c r="BN22" i="8" s="1"/>
  <c r="BK34" i="8"/>
  <c r="BL34" i="8"/>
  <c r="AC34" i="8"/>
  <c r="AD34" i="8" s="1"/>
  <c r="AK34" i="8"/>
  <c r="AL34" i="8" s="1"/>
  <c r="AV34" i="8"/>
  <c r="BD34" i="8"/>
  <c r="AE34" i="8"/>
  <c r="AF34" i="8" s="1"/>
  <c r="AM34" i="8"/>
  <c r="AN34" i="8" s="1"/>
  <c r="AX34" i="8"/>
  <c r="AY34" i="8" s="1"/>
  <c r="BF34" i="8"/>
  <c r="BG34" i="8" s="1"/>
  <c r="Y34" i="8"/>
  <c r="Z34" i="8" s="1"/>
  <c r="AG34" i="8"/>
  <c r="AH34" i="8" s="1"/>
  <c r="AO34" i="8"/>
  <c r="AP34" i="8" s="1"/>
  <c r="AZ34" i="8"/>
  <c r="BH34" i="8"/>
  <c r="BI34" i="8" s="1"/>
  <c r="AI34" i="8"/>
  <c r="AJ34" i="8" s="1"/>
  <c r="AQ34" i="8"/>
  <c r="BB34" i="8"/>
  <c r="BC34" i="8" s="1"/>
  <c r="AA34" i="8"/>
  <c r="AB34" i="8" s="1"/>
  <c r="AE30" i="8"/>
  <c r="AF30" i="8" s="1"/>
  <c r="AM30" i="8"/>
  <c r="AV30" i="8"/>
  <c r="BD30" i="8"/>
  <c r="BE30" i="8" s="1"/>
  <c r="Y30" i="8"/>
  <c r="Z30" i="8" s="1"/>
  <c r="AG30" i="8"/>
  <c r="AH30" i="8" s="1"/>
  <c r="AO30" i="8"/>
  <c r="AP30" i="8" s="1"/>
  <c r="AX30" i="8"/>
  <c r="AY30" i="8" s="1"/>
  <c r="BF30" i="8"/>
  <c r="BG30" i="8" s="1"/>
  <c r="AA30" i="8"/>
  <c r="AB30" i="8" s="1"/>
  <c r="AI30" i="8"/>
  <c r="AJ30" i="8" s="1"/>
  <c r="AQ30" i="8"/>
  <c r="AZ30" i="8"/>
  <c r="BH30" i="8"/>
  <c r="BI30" i="8" s="1"/>
  <c r="AC30" i="8"/>
  <c r="AD30" i="8" s="1"/>
  <c r="AK30" i="8"/>
  <c r="AL30" i="8" s="1"/>
  <c r="BB30" i="8"/>
  <c r="BC30" i="8" s="1"/>
  <c r="BF22" i="8"/>
  <c r="BG22" i="8" s="1"/>
  <c r="BB22" i="8"/>
  <c r="BC22" i="8" s="1"/>
  <c r="AV22" i="8"/>
  <c r="AM22" i="8"/>
  <c r="AN22" i="8" s="1"/>
  <c r="BD22" i="8"/>
  <c r="BE22" i="8" s="1"/>
  <c r="AO22" i="8"/>
  <c r="AP22" i="8" s="1"/>
  <c r="AG22" i="8"/>
  <c r="AX22" i="8"/>
  <c r="AY22" i="8" s="1"/>
  <c r="AZ22" i="8"/>
  <c r="J52" i="8" l="1"/>
  <c r="K52" i="8" s="1"/>
  <c r="S58" i="8"/>
  <c r="T58" i="8" s="1"/>
  <c r="R60" i="8"/>
  <c r="S60" i="8" s="1"/>
  <c r="T54" i="8"/>
  <c r="U54" i="8" s="1"/>
  <c r="J54" i="8"/>
  <c r="K54" i="8" s="1"/>
  <c r="J49" i="8"/>
  <c r="K49" i="8" s="1"/>
  <c r="T51" i="8"/>
  <c r="U51" i="8" s="1"/>
  <c r="J51" i="8"/>
  <c r="K51" i="8" s="1"/>
  <c r="S57" i="8"/>
  <c r="BR34" i="8"/>
  <c r="S55" i="8"/>
  <c r="T55" i="8" s="1"/>
  <c r="BQ34" i="8"/>
  <c r="BK30" i="8"/>
  <c r="BL30" i="8"/>
  <c r="BQ35" i="8"/>
  <c r="BL22" i="8"/>
  <c r="BK22" i="8"/>
  <c r="BN30" i="8"/>
  <c r="BR30" i="8"/>
  <c r="AW34" i="8"/>
  <c r="BA34" i="8"/>
  <c r="AS30" i="8"/>
  <c r="AT30" i="8"/>
  <c r="AU30" i="8"/>
  <c r="AR30" i="8"/>
  <c r="AW30" i="8"/>
  <c r="BA30" i="8"/>
  <c r="AU34" i="8"/>
  <c r="AS34" i="8"/>
  <c r="AR34" i="8"/>
  <c r="AT34" i="8"/>
  <c r="AN30" i="8"/>
  <c r="BE34" i="8"/>
  <c r="AW22" i="8"/>
  <c r="BA22" i="8"/>
  <c r="J58" i="8" l="1"/>
  <c r="K58" i="8" s="1"/>
  <c r="R61" i="8"/>
  <c r="S61" i="8" s="1"/>
  <c r="T61" i="8" s="1"/>
  <c r="U61" i="8" s="1"/>
  <c r="BH54" i="8"/>
  <c r="BI54" i="8" s="1"/>
  <c r="AQ54" i="8"/>
  <c r="AI54" i="8"/>
  <c r="AJ54" i="8" s="1"/>
  <c r="BB54" i="8"/>
  <c r="BC54" i="8" s="1"/>
  <c r="AA54" i="8"/>
  <c r="AB54" i="8" s="1"/>
  <c r="BM54" i="8"/>
  <c r="BN54" i="8" s="1"/>
  <c r="AX54" i="8"/>
  <c r="AY54" i="8" s="1"/>
  <c r="AO54" i="8"/>
  <c r="AP54" i="8" s="1"/>
  <c r="AG54" i="8"/>
  <c r="AH54" i="8" s="1"/>
  <c r="Y54" i="8"/>
  <c r="Z54" i="8" s="1"/>
  <c r="BJ54" i="8"/>
  <c r="AM54" i="8"/>
  <c r="AN54" i="8" s="1"/>
  <c r="AE54" i="8"/>
  <c r="AF54" i="8" s="1"/>
  <c r="BF54" i="8"/>
  <c r="AK54" i="8"/>
  <c r="AL54" i="8" s="1"/>
  <c r="AC54" i="8"/>
  <c r="AD54" i="8" s="1"/>
  <c r="AZ54" i="8"/>
  <c r="BD54" i="8"/>
  <c r="BE54" i="8" s="1"/>
  <c r="BO54" i="8"/>
  <c r="BP54" i="8" s="1"/>
  <c r="AV54" i="8"/>
  <c r="T60" i="8"/>
  <c r="J60" i="8"/>
  <c r="K60" i="8" s="1"/>
  <c r="T57" i="8"/>
  <c r="J57" i="8"/>
  <c r="K57" i="8" s="1"/>
  <c r="BH51" i="8"/>
  <c r="BI51" i="8" s="1"/>
  <c r="BJ51" i="8"/>
  <c r="AO51" i="8"/>
  <c r="AP51" i="8" s="1"/>
  <c r="AG51" i="8"/>
  <c r="AH51" i="8" s="1"/>
  <c r="Y51" i="8"/>
  <c r="Z51" i="8" s="1"/>
  <c r="BF51" i="8"/>
  <c r="AM51" i="8"/>
  <c r="AN51" i="8" s="1"/>
  <c r="AE51" i="8"/>
  <c r="AF51" i="8" s="1"/>
  <c r="BB51" i="8"/>
  <c r="BC51" i="8" s="1"/>
  <c r="AK51" i="8"/>
  <c r="AL51" i="8" s="1"/>
  <c r="AC51" i="8"/>
  <c r="AD51" i="8" s="1"/>
  <c r="BM51" i="8"/>
  <c r="BN51" i="8" s="1"/>
  <c r="AX51" i="8"/>
  <c r="AY51" i="8" s="1"/>
  <c r="AI51" i="8"/>
  <c r="AJ51" i="8" s="1"/>
  <c r="AA51" i="8"/>
  <c r="AB51" i="8" s="1"/>
  <c r="BO51" i="8"/>
  <c r="BP51" i="8" s="1"/>
  <c r="AV51" i="8"/>
  <c r="AQ51" i="8"/>
  <c r="AZ51" i="8"/>
  <c r="BD51" i="8"/>
  <c r="BE51" i="8" s="1"/>
  <c r="J55" i="8"/>
  <c r="K55" i="8" s="1"/>
  <c r="BQ30" i="8"/>
  <c r="J61" i="8" l="1"/>
  <c r="K61" i="8" s="1"/>
  <c r="BA54" i="8"/>
  <c r="AW54" i="8"/>
  <c r="BL54" i="8"/>
  <c r="BK54" i="8"/>
  <c r="BG54" i="8"/>
  <c r="BQ54" i="8" s="1"/>
  <c r="BR54" i="8"/>
  <c r="AR54" i="8"/>
  <c r="AT54" i="8"/>
  <c r="AS54" i="8"/>
  <c r="AU54" i="8"/>
  <c r="AU51" i="8"/>
  <c r="AT51" i="8"/>
  <c r="AR51" i="8"/>
  <c r="AS51" i="8"/>
  <c r="BG51" i="8"/>
  <c r="BQ51" i="8" s="1"/>
  <c r="BR51" i="8"/>
  <c r="BL51" i="8"/>
  <c r="BK51" i="8"/>
  <c r="BA51" i="8"/>
  <c r="AW51" i="8"/>
  <c r="BH61" i="8"/>
  <c r="BI61" i="8" s="1"/>
  <c r="BO61" i="8"/>
  <c r="AE61" i="8"/>
  <c r="AF61" i="8" s="1"/>
  <c r="BB61" i="8"/>
  <c r="BC61" i="8" s="1"/>
  <c r="AK61" i="8"/>
  <c r="AL61" i="8" s="1"/>
  <c r="AI61" i="8"/>
  <c r="AJ61" i="8" s="1"/>
  <c r="BD61" i="8"/>
  <c r="BE61" i="8" s="1"/>
  <c r="AQ61" i="8"/>
  <c r="AA61" i="8"/>
  <c r="AB61" i="8" s="1"/>
  <c r="AX61" i="8"/>
  <c r="AY61" i="8" s="1"/>
  <c r="AG61" i="8"/>
  <c r="AH61" i="8" s="1"/>
  <c r="AZ61" i="8"/>
  <c r="AM61" i="8"/>
  <c r="AN61" i="8" s="1"/>
  <c r="BJ61" i="8"/>
  <c r="BM61" i="8"/>
  <c r="BN61" i="8" s="1"/>
  <c r="AC61" i="8"/>
  <c r="AD61" i="8" s="1"/>
  <c r="AV61" i="8"/>
  <c r="BF61" i="8"/>
  <c r="BG61" i="8" s="1"/>
  <c r="AO61" i="8"/>
  <c r="AP61" i="8" s="1"/>
  <c r="Y61" i="8"/>
  <c r="Z61" i="8" s="1"/>
  <c r="AQ22" i="8"/>
  <c r="BR22" i="8" s="1"/>
  <c r="AT61" i="8" l="1"/>
  <c r="AS61" i="8"/>
  <c r="AR61" i="8"/>
  <c r="AU61" i="8"/>
  <c r="BL61" i="8"/>
  <c r="BK61" i="8"/>
  <c r="BP61" i="8"/>
  <c r="BQ61" i="8" s="1"/>
  <c r="BR61" i="8"/>
  <c r="BA61" i="8"/>
  <c r="AW61" i="8"/>
  <c r="AU22" i="8"/>
  <c r="BQ22" i="8" s="1"/>
  <c r="AR22" i="8"/>
  <c r="AT22" i="8"/>
  <c r="AS22" i="8"/>
  <c r="AK22" i="8"/>
  <c r="BH22" i="8"/>
  <c r="BI22" i="8" s="1"/>
  <c r="AL22" i="8" l="1"/>
  <c r="CB22" i="8" l="1"/>
  <c r="CA22" i="8"/>
  <c r="BZ22" i="8" l="1"/>
  <c r="AI22" i="8" l="1"/>
  <c r="AJ22" i="8" s="1"/>
  <c r="AA22" i="8"/>
  <c r="AB22" i="8" s="1"/>
  <c r="AH22" i="8"/>
  <c r="Y22" i="8"/>
  <c r="Z22" i="8" s="1"/>
  <c r="AE22" i="8"/>
  <c r="AC22" i="8"/>
  <c r="AD22" i="8" s="1"/>
  <c r="AF22" i="8" l="1"/>
  <c r="BS22" i="8"/>
  <c r="BT22" i="8"/>
  <c r="G4" i="6" l="1"/>
  <c r="H4" i="6" l="1"/>
  <c r="I4" i="6"/>
  <c r="F4" i="6"/>
  <c r="J4" i="6" l="1"/>
  <c r="AF28" i="10" l="1"/>
  <c r="AG28" i="10" s="1"/>
  <c r="AB12" i="10" l="1"/>
  <c r="AC12" i="10" s="1"/>
  <c r="V19" i="10" l="1"/>
  <c r="W19" i="10" s="1"/>
  <c r="DJ5" i="3" l="1"/>
  <c r="P41" i="10" l="1"/>
  <c r="Q41" i="10" s="1"/>
  <c r="J41" i="10"/>
  <c r="K41" i="10" s="1"/>
  <c r="C41" i="10"/>
  <c r="D41" i="10" s="1"/>
  <c r="P4" i="6" l="1"/>
  <c r="Q4" i="6"/>
  <c r="N4" i="6" l="1"/>
  <c r="D4" i="6" l="1"/>
  <c r="AA4" i="6" l="1"/>
  <c r="AB4" i="6" s="1"/>
  <c r="AH4" i="6"/>
  <c r="AI4" i="6" s="1"/>
  <c r="CS31" i="3"/>
  <c r="CT31" i="3" s="1"/>
  <c r="CS30" i="3"/>
  <c r="CT30" i="3" s="1"/>
  <c r="CS29" i="3"/>
  <c r="CT29" i="3" s="1"/>
  <c r="CS28" i="3"/>
  <c r="CT28" i="3" s="1"/>
  <c r="CS27" i="3"/>
  <c r="CT27" i="3" s="1"/>
  <c r="CS26" i="3"/>
  <c r="CT26" i="3" s="1"/>
  <c r="CS25" i="3"/>
  <c r="CT25" i="3" s="1"/>
  <c r="CS24" i="3"/>
  <c r="CT24" i="3" s="1"/>
  <c r="CS23" i="3"/>
  <c r="CT23" i="3" s="1"/>
  <c r="CS22" i="3"/>
  <c r="CT22" i="3" s="1"/>
  <c r="CS21" i="3"/>
  <c r="CT21" i="3" s="1"/>
  <c r="CS20" i="3"/>
  <c r="CT20" i="3" s="1"/>
  <c r="CS19" i="3"/>
  <c r="CT19" i="3" s="1"/>
  <c r="CS18" i="3"/>
  <c r="CT18" i="3" s="1"/>
  <c r="CS17" i="3"/>
  <c r="CT17" i="3" s="1"/>
  <c r="CS16" i="3"/>
  <c r="CT16" i="3" s="1"/>
  <c r="CS15" i="3"/>
  <c r="CT15" i="3" s="1"/>
  <c r="CW14" i="3"/>
  <c r="CS14" i="3"/>
  <c r="CT14" i="3" s="1"/>
  <c r="CW13" i="3"/>
  <c r="CS13" i="3"/>
  <c r="CT13" i="3" s="1"/>
  <c r="CW12" i="3"/>
  <c r="CS12" i="3"/>
  <c r="CT12" i="3" s="1"/>
  <c r="CW11" i="3"/>
  <c r="CS11" i="3"/>
  <c r="CT11" i="3" s="1"/>
  <c r="CW10" i="3"/>
  <c r="CS10" i="3"/>
  <c r="CT10" i="3" s="1"/>
  <c r="CW9" i="3"/>
  <c r="CS9" i="3"/>
  <c r="CT9" i="3" s="1"/>
  <c r="CW8" i="3"/>
  <c r="CS8" i="3"/>
  <c r="CT8" i="3" s="1"/>
  <c r="CW7" i="3"/>
  <c r="CS7" i="3"/>
  <c r="CT7" i="3" s="1"/>
  <c r="CW6" i="3"/>
  <c r="CS6" i="3"/>
  <c r="CT6" i="3" s="1"/>
  <c r="CW5" i="3"/>
  <c r="CS5" i="3"/>
  <c r="CT5" i="3" s="1"/>
  <c r="CW4" i="3"/>
  <c r="CS4" i="3"/>
  <c r="CT4" i="3" s="1"/>
  <c r="CW3" i="3"/>
  <c r="CS3" i="3"/>
  <c r="CT3" i="3" s="1"/>
  <c r="V73" i="3"/>
  <c r="W73" i="3"/>
  <c r="V72" i="3"/>
  <c r="W72" i="3"/>
  <c r="V74" i="3"/>
  <c r="W74" i="3"/>
  <c r="X74" i="3"/>
  <c r="Y74" i="3"/>
  <c r="X75" i="3"/>
  <c r="Y75" i="3"/>
  <c r="X76" i="3"/>
  <c r="Y76" i="3"/>
  <c r="T64" i="3"/>
  <c r="U64" i="3"/>
  <c r="T65" i="3"/>
  <c r="U65" i="3"/>
  <c r="T66" i="3"/>
  <c r="U66" i="3"/>
  <c r="T67" i="3"/>
  <c r="U67" i="3"/>
  <c r="T68" i="3"/>
  <c r="U68" i="3"/>
  <c r="T69" i="3"/>
  <c r="U69" i="3"/>
  <c r="T70" i="3"/>
  <c r="U70" i="3"/>
  <c r="T71" i="3"/>
  <c r="U71" i="3"/>
  <c r="S65" i="3"/>
  <c r="S66" i="3"/>
  <c r="S67" i="3"/>
  <c r="S68" i="3"/>
  <c r="S69" i="3"/>
  <c r="S70" i="3"/>
  <c r="S71" i="3"/>
  <c r="S64" i="3"/>
  <c r="O52" i="3"/>
  <c r="P52" i="3"/>
  <c r="Q52" i="3"/>
  <c r="R52" i="3"/>
  <c r="O53" i="3"/>
  <c r="P53" i="3"/>
  <c r="Q53" i="3"/>
  <c r="R53" i="3"/>
  <c r="O54" i="3"/>
  <c r="P54" i="3"/>
  <c r="Q54" i="3"/>
  <c r="R54" i="3"/>
  <c r="O55" i="3"/>
  <c r="P55" i="3"/>
  <c r="Q55" i="3"/>
  <c r="R55" i="3"/>
  <c r="O56" i="3"/>
  <c r="P56" i="3"/>
  <c r="Q56" i="3"/>
  <c r="R56" i="3"/>
  <c r="O57" i="3"/>
  <c r="P57" i="3"/>
  <c r="Q57" i="3"/>
  <c r="R57" i="3"/>
  <c r="O58" i="3"/>
  <c r="P58" i="3"/>
  <c r="Q58" i="3"/>
  <c r="R58" i="3"/>
  <c r="O59" i="3"/>
  <c r="P59" i="3"/>
  <c r="Q59" i="3"/>
  <c r="R59" i="3"/>
  <c r="O60" i="3"/>
  <c r="P60" i="3"/>
  <c r="Q60" i="3"/>
  <c r="R60" i="3"/>
  <c r="O61" i="3"/>
  <c r="P61" i="3"/>
  <c r="Q61" i="3"/>
  <c r="R61" i="3"/>
  <c r="O62" i="3"/>
  <c r="P62" i="3"/>
  <c r="Q62" i="3"/>
  <c r="R62" i="3"/>
  <c r="O63" i="3"/>
  <c r="P63" i="3"/>
  <c r="Q63" i="3"/>
  <c r="R63" i="3"/>
  <c r="O64" i="3"/>
  <c r="P64" i="3"/>
  <c r="Q64" i="3"/>
  <c r="R64" i="3"/>
  <c r="P51" i="3"/>
  <c r="Q51" i="3"/>
  <c r="R51" i="3"/>
  <c r="O51" i="3"/>
  <c r="K57" i="3"/>
  <c r="K53" i="3"/>
  <c r="K54" i="3"/>
  <c r="K61" i="3"/>
  <c r="K59" i="3"/>
  <c r="K56" i="3"/>
  <c r="K52" i="3"/>
  <c r="K44" i="3"/>
  <c r="K45" i="3"/>
  <c r="K46" i="3"/>
  <c r="K47" i="3"/>
  <c r="K48" i="3"/>
  <c r="K49" i="3"/>
  <c r="K50" i="3"/>
  <c r="K43" i="3"/>
  <c r="H56" i="3"/>
  <c r="H54" i="3"/>
  <c r="H53" i="3"/>
  <c r="H52" i="3"/>
  <c r="H49" i="3"/>
  <c r="H48" i="3"/>
  <c r="G54" i="3"/>
  <c r="G53" i="3"/>
  <c r="G61" i="3"/>
  <c r="G59" i="3"/>
  <c r="G57" i="3"/>
  <c r="G56" i="3"/>
  <c r="G52" i="3"/>
  <c r="G45" i="3"/>
  <c r="G46" i="3"/>
  <c r="G47" i="3"/>
  <c r="G48" i="3"/>
  <c r="G49" i="3"/>
  <c r="G50" i="3"/>
  <c r="G44" i="3"/>
  <c r="C4" i="6" l="1"/>
  <c r="R4" i="6" s="1"/>
  <c r="V4" i="6" l="1"/>
  <c r="AJ4" i="6" s="1"/>
  <c r="AL4" i="6" s="1"/>
  <c r="AC4" i="6" l="1"/>
  <c r="AE4" i="6" s="1"/>
  <c r="AF4" i="6" l="1"/>
</calcChain>
</file>

<file path=xl/sharedStrings.xml><?xml version="1.0" encoding="utf-8"?>
<sst xmlns="http://schemas.openxmlformats.org/spreadsheetml/2006/main" count="4652" uniqueCount="1076">
  <si>
    <t>ТЛС-10/6/0,4</t>
  </si>
  <si>
    <t>ТЛС-16/6/0,4</t>
  </si>
  <si>
    <t>ТЛС-25/6/0,4</t>
  </si>
  <si>
    <t>ТЛС-40/6/0,4</t>
  </si>
  <si>
    <t>ТЛС-63/6/0,4</t>
  </si>
  <si>
    <t>ТЛС-100/6/0,4</t>
  </si>
  <si>
    <t>ТЛС-160/6/0,4</t>
  </si>
  <si>
    <t>ТЛС-250/6/0,4</t>
  </si>
  <si>
    <t>ТЛС-400/6/0,4</t>
  </si>
  <si>
    <t>ТЛС-630/6/0,4</t>
  </si>
  <si>
    <t>ТЛС-1000/6/0,4</t>
  </si>
  <si>
    <t>ТЛС-1250/6/0,4</t>
  </si>
  <si>
    <t>ТЛС-1600/6/0,4</t>
  </si>
  <si>
    <t>ТЛС-2500/6/0,4</t>
  </si>
  <si>
    <t>ТЛС-10/10/0,4</t>
  </si>
  <si>
    <t>ТЛС-16/10/0,4</t>
  </si>
  <si>
    <t>ТЛС-25/10/0,4</t>
  </si>
  <si>
    <t>ТЛС-40/10/0,4</t>
  </si>
  <si>
    <t>ТЛС-63/10/0,4</t>
  </si>
  <si>
    <t>ТЛС-100/10/0,4</t>
  </si>
  <si>
    <t>ТЛС-160/10/0,4</t>
  </si>
  <si>
    <t>ТЛС-250/10/0,4</t>
  </si>
  <si>
    <t>ТЛС-400/10/0,4</t>
  </si>
  <si>
    <t>ТЛС-630/10/0,4</t>
  </si>
  <si>
    <t>ТЛС-1000/10/0,4</t>
  </si>
  <si>
    <t>ТЛС-1250/10/0,4</t>
  </si>
  <si>
    <t>ТЛС-1600/10/0,4</t>
  </si>
  <si>
    <t>ТЛС-2500/10/0,4</t>
  </si>
  <si>
    <t>Трансформатор</t>
  </si>
  <si>
    <t>Тип</t>
  </si>
  <si>
    <t>Наименование электроприемников</t>
  </si>
  <si>
    <t>Действующие нагрузки</t>
  </si>
  <si>
    <t>Коэффициенты</t>
  </si>
  <si>
    <t>Расчетные величины</t>
  </si>
  <si>
    <t>Коэффициент расчетной нагрузки Кр</t>
  </si>
  <si>
    <t>Расчетная мощность</t>
  </si>
  <si>
    <t>Расчетный ток, А Iр=Sр/(√3Uн)</t>
  </si>
  <si>
    <t>Мощность Рн=n·рн, кВт</t>
  </si>
  <si>
    <t>Ток I, А</t>
  </si>
  <si>
    <t>Использования, Ки</t>
  </si>
  <si>
    <t>Мощности, cosφ</t>
  </si>
  <si>
    <t>Реактивной мощности tgφ</t>
  </si>
  <si>
    <t>Ки·Рн(раб), кВт</t>
  </si>
  <si>
    <t>Ки·Рн(раб)·tgφ, кВт</t>
  </si>
  <si>
    <t>n·Рн²</t>
  </si>
  <si>
    <t>Активная, кВт Рр=Кр·∑КиРн</t>
  </si>
  <si>
    <t>Полная, кВА S=√Рр²+Qр²</t>
  </si>
  <si>
    <t>Эффективное число ЭП, nэ=(∑Рн)²/∑n·рн²</t>
  </si>
  <si>
    <t>Реактивная, кВар, Qр=1,1·∑Ки·Рн·tgφ при nэ≤10; Qр=∑Ки·Рн·tgφ при nэ&gt;10</t>
  </si>
  <si>
    <t>Напряжение, U, В</t>
  </si>
  <si>
    <t>кпд</t>
  </si>
  <si>
    <t>ТМГ-100/6/0,4</t>
  </si>
  <si>
    <t>ТМГ-160/6/0,4</t>
  </si>
  <si>
    <t>ТМГ-250/6/0,4</t>
  </si>
  <si>
    <t>ТМГ-400/6/0,4</t>
  </si>
  <si>
    <t>ТМГ-630/6/0,4</t>
  </si>
  <si>
    <t>ТМГ-1000/6/0,4</t>
  </si>
  <si>
    <t>ТМГ-100/10/0,4</t>
  </si>
  <si>
    <t>ТМГ-160/10/0,4</t>
  </si>
  <si>
    <t>ТМГ-250/10/0,4</t>
  </si>
  <si>
    <t>ТМГ-400/10/0,4</t>
  </si>
  <si>
    <t>ТМГ-630/10/0,4</t>
  </si>
  <si>
    <t>ТМГ-1000/10/0,4</t>
  </si>
  <si>
    <t>тип</t>
  </si>
  <si>
    <t>EZC100B</t>
  </si>
  <si>
    <t>EZC100F</t>
  </si>
  <si>
    <t>EZC100N</t>
  </si>
  <si>
    <t>EZC100H</t>
  </si>
  <si>
    <t>EZC250F</t>
  </si>
  <si>
    <t>EZC250N</t>
  </si>
  <si>
    <t>EZC250H</t>
  </si>
  <si>
    <t>EZC400N</t>
  </si>
  <si>
    <t>EZC400H</t>
  </si>
  <si>
    <t>EZC630N</t>
  </si>
  <si>
    <t>EZC630H</t>
  </si>
  <si>
    <t>CVS100B</t>
  </si>
  <si>
    <t>CVS100F</t>
  </si>
  <si>
    <t>CVS100N</t>
  </si>
  <si>
    <t>CVS160B</t>
  </si>
  <si>
    <t>CVS160F</t>
  </si>
  <si>
    <t>CVS160N</t>
  </si>
  <si>
    <t>CVS250B</t>
  </si>
  <si>
    <t>CVS250F</t>
  </si>
  <si>
    <t>CVS250N</t>
  </si>
  <si>
    <t>CVS400F</t>
  </si>
  <si>
    <t>CVS400N</t>
  </si>
  <si>
    <t>CVS630F</t>
  </si>
  <si>
    <t>CVS630N</t>
  </si>
  <si>
    <t>ном. ток</t>
  </si>
  <si>
    <t>Iотл.</t>
  </si>
  <si>
    <t>iK60N</t>
  </si>
  <si>
    <t>iC60N_B</t>
  </si>
  <si>
    <t>iC60H_B</t>
  </si>
  <si>
    <r>
      <t>Номинальная мощность, 
S</t>
    </r>
    <r>
      <rPr>
        <vertAlign val="subscript"/>
        <sz val="11"/>
        <color theme="1"/>
        <rFont val="Calibri"/>
        <family val="2"/>
        <charset val="204"/>
        <scheme val="minor"/>
      </rPr>
      <t xml:space="preserve">т.ном </t>
    </r>
    <r>
      <rPr>
        <sz val="11"/>
        <color theme="1"/>
        <rFont val="Calibri"/>
        <family val="2"/>
        <scheme val="minor"/>
      </rPr>
      <t xml:space="preserve">, </t>
    </r>
    <r>
      <rPr>
        <sz val="8"/>
        <color theme="1"/>
        <rFont val="GOST type A"/>
        <family val="2"/>
        <charset val="204"/>
      </rPr>
      <t>кВА</t>
    </r>
  </si>
  <si>
    <r>
      <t>Потери короткого замыкания, 
P</t>
    </r>
    <r>
      <rPr>
        <vertAlign val="subscript"/>
        <sz val="11"/>
        <color theme="1"/>
        <rFont val="Calibri"/>
        <family val="2"/>
        <charset val="204"/>
        <scheme val="minor"/>
      </rPr>
      <t xml:space="preserve">к.ном 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8"/>
        <color theme="1"/>
        <rFont val="GOST type A"/>
        <family val="2"/>
        <charset val="204"/>
      </rPr>
      <t>кВт</t>
    </r>
  </si>
  <si>
    <r>
      <t>Напряжение короткого замыкания, u</t>
    </r>
    <r>
      <rPr>
        <vertAlign val="subscript"/>
        <sz val="11"/>
        <color theme="1"/>
        <rFont val="Calibri"/>
        <family val="2"/>
        <charset val="204"/>
        <scheme val="minor"/>
      </rPr>
      <t xml:space="preserve">к 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8"/>
        <color theme="1"/>
        <rFont val="GOST type A"/>
        <family val="2"/>
        <charset val="204"/>
      </rPr>
      <t>%</t>
    </r>
  </si>
  <si>
    <t>iC60N_C</t>
  </si>
  <si>
    <t>iC60H_C</t>
  </si>
  <si>
    <t>iC60N_D</t>
  </si>
  <si>
    <t>iC60H_D</t>
  </si>
  <si>
    <t>iDif_K</t>
  </si>
  <si>
    <t>NSX100B</t>
  </si>
  <si>
    <t>NSX100F</t>
  </si>
  <si>
    <t>NSX100N</t>
  </si>
  <si>
    <t>NSX100H</t>
  </si>
  <si>
    <t>NSX100S</t>
  </si>
  <si>
    <t>NSX100L</t>
  </si>
  <si>
    <t>NSX160B</t>
  </si>
  <si>
    <t>NSX160F</t>
  </si>
  <si>
    <t>NSX160N</t>
  </si>
  <si>
    <t>NSX160H</t>
  </si>
  <si>
    <t>NSX160S</t>
  </si>
  <si>
    <t>NSX160L</t>
  </si>
  <si>
    <t>NSX250B</t>
  </si>
  <si>
    <t>NSX250F</t>
  </si>
  <si>
    <t>NSX250N</t>
  </si>
  <si>
    <t>NSX250H</t>
  </si>
  <si>
    <t>NSX250S</t>
  </si>
  <si>
    <t>NSX250L</t>
  </si>
  <si>
    <t>NSX400F</t>
  </si>
  <si>
    <t>NSX400N</t>
  </si>
  <si>
    <t>NSX400H</t>
  </si>
  <si>
    <t>NSX400S</t>
  </si>
  <si>
    <t>NSX400L</t>
  </si>
  <si>
    <t>NSX630F</t>
  </si>
  <si>
    <t>NSX630N</t>
  </si>
  <si>
    <t>NSX630H</t>
  </si>
  <si>
    <t>NSX630S</t>
  </si>
  <si>
    <t>NSX630L</t>
  </si>
  <si>
    <t>MVS08N</t>
  </si>
  <si>
    <t>MVS08H</t>
  </si>
  <si>
    <t>MVS10N</t>
  </si>
  <si>
    <t>MVS10H</t>
  </si>
  <si>
    <t>MVS12N</t>
  </si>
  <si>
    <t>MVS12H</t>
  </si>
  <si>
    <t>MVS16N</t>
  </si>
  <si>
    <t>MVS16H</t>
  </si>
  <si>
    <t>MVS20N</t>
  </si>
  <si>
    <t>MVS20H</t>
  </si>
  <si>
    <t>MVS25N</t>
  </si>
  <si>
    <t>MVS25H</t>
  </si>
  <si>
    <t>MVS32N</t>
  </si>
  <si>
    <t>MVS32H</t>
  </si>
  <si>
    <t>MVS40N</t>
  </si>
  <si>
    <t>MVS40H</t>
  </si>
  <si>
    <t xml:space="preserve"> -</t>
  </si>
  <si>
    <t>р</t>
  </si>
  <si>
    <t>ВВГнг(А)-LS</t>
  </si>
  <si>
    <t>ВВГнг(А)-FRLS</t>
  </si>
  <si>
    <t>АВВГнг(А)-LS</t>
  </si>
  <si>
    <t>АВВГнг(А)-FRLS</t>
  </si>
  <si>
    <t>ВБШвнг(А)-LS</t>
  </si>
  <si>
    <t>ВБШвнг(А)-FRLS</t>
  </si>
  <si>
    <t>АВБШвнг(А)-LS</t>
  </si>
  <si>
    <t>АВБШвнг(А)-FRLS</t>
  </si>
  <si>
    <t>ПвВнг(А)-LS</t>
  </si>
  <si>
    <t>кабель</t>
  </si>
  <si>
    <t>труба</t>
  </si>
  <si>
    <t>нд</t>
  </si>
  <si>
    <t>сеч</t>
  </si>
  <si>
    <t>ду</t>
  </si>
  <si>
    <t>2x1,5</t>
  </si>
  <si>
    <t>2x2,5</t>
  </si>
  <si>
    <t>2x4</t>
  </si>
  <si>
    <t>2x6</t>
  </si>
  <si>
    <t>2x16</t>
  </si>
  <si>
    <t>3x1,5</t>
  </si>
  <si>
    <t>3x2,5</t>
  </si>
  <si>
    <t>3x4</t>
  </si>
  <si>
    <t>3x6</t>
  </si>
  <si>
    <t>3x10</t>
  </si>
  <si>
    <t>3x16</t>
  </si>
  <si>
    <t>3x25</t>
  </si>
  <si>
    <t>3x35</t>
  </si>
  <si>
    <t>4x1,5</t>
  </si>
  <si>
    <t>4x2,5</t>
  </si>
  <si>
    <t>4x4</t>
  </si>
  <si>
    <t>4x6</t>
  </si>
  <si>
    <t>4x10</t>
  </si>
  <si>
    <t>4x16</t>
  </si>
  <si>
    <t>4x25</t>
  </si>
  <si>
    <t>4x35</t>
  </si>
  <si>
    <t>5x1,5</t>
  </si>
  <si>
    <t>5x2,5</t>
  </si>
  <si>
    <t>5x4</t>
  </si>
  <si>
    <t>5x6</t>
  </si>
  <si>
    <t>5x10</t>
  </si>
  <si>
    <t>5x16</t>
  </si>
  <si>
    <t>5x25</t>
  </si>
  <si>
    <t>5x35</t>
  </si>
  <si>
    <r>
      <t>Сечение токопроводящей жилы, мм</t>
    </r>
    <r>
      <rPr>
        <vertAlign val="superscript"/>
        <sz val="8"/>
        <color theme="1"/>
        <rFont val="GOST type A"/>
        <family val="2"/>
      </rPr>
      <t>2</t>
    </r>
  </si>
  <si>
    <t>Сопротивление четырехжильного кабеля, мОм/м, при температуре жилы 65 *С</t>
  </si>
  <si>
    <r>
      <t>r</t>
    </r>
    <r>
      <rPr>
        <vertAlign val="subscript"/>
        <sz val="8"/>
        <color theme="1"/>
        <rFont val="GOST type A"/>
        <family val="2"/>
      </rPr>
      <t>1</t>
    </r>
    <r>
      <rPr>
        <sz val="8"/>
        <color theme="1"/>
        <rFont val="GOST type A"/>
        <family val="2"/>
      </rPr>
      <t xml:space="preserve"> = r</t>
    </r>
    <r>
      <rPr>
        <vertAlign val="subscript"/>
        <sz val="8"/>
        <color theme="1"/>
        <rFont val="GOST type A"/>
        <family val="2"/>
      </rPr>
      <t>2</t>
    </r>
  </si>
  <si>
    <r>
      <t>x</t>
    </r>
    <r>
      <rPr>
        <vertAlign val="subscript"/>
        <sz val="8"/>
        <color theme="1"/>
        <rFont val="GOST type A"/>
        <family val="2"/>
      </rPr>
      <t>1</t>
    </r>
    <r>
      <rPr>
        <sz val="8"/>
        <color theme="1"/>
        <rFont val="GOST type A"/>
        <family val="2"/>
      </rPr>
      <t xml:space="preserve"> = x</t>
    </r>
    <r>
      <rPr>
        <vertAlign val="subscript"/>
        <sz val="8"/>
        <color theme="1"/>
        <rFont val="GOST type A"/>
        <family val="2"/>
      </rPr>
      <t>2</t>
    </r>
  </si>
  <si>
    <r>
      <t>r</t>
    </r>
    <r>
      <rPr>
        <vertAlign val="subscript"/>
        <sz val="8"/>
        <color theme="1"/>
        <rFont val="GOST type A"/>
        <family val="2"/>
      </rPr>
      <t>0</t>
    </r>
  </si>
  <si>
    <r>
      <t>x</t>
    </r>
    <r>
      <rPr>
        <vertAlign val="subscript"/>
        <sz val="8"/>
        <color theme="1"/>
        <rFont val="GOST type A"/>
        <family val="2"/>
      </rPr>
      <t>0</t>
    </r>
  </si>
  <si>
    <t>Номинальный ток выключателя, А</t>
  </si>
  <si>
    <t>Сопротивление катушки и контакта, мОм</t>
  </si>
  <si>
    <r>
      <t>r</t>
    </r>
    <r>
      <rPr>
        <vertAlign val="subscript"/>
        <sz val="8"/>
        <color theme="1"/>
        <rFont val="GOST type A"/>
        <family val="2"/>
      </rPr>
      <t>kb</t>
    </r>
  </si>
  <si>
    <r>
      <t>x</t>
    </r>
    <r>
      <rPr>
        <vertAlign val="subscript"/>
        <sz val="8"/>
        <color theme="1"/>
        <rFont val="GOST type A"/>
        <family val="2"/>
      </rPr>
      <t>kb</t>
    </r>
  </si>
  <si>
    <t>Тип_кабеля</t>
  </si>
  <si>
    <t>-</t>
  </si>
  <si>
    <t>12,6 </t>
  </si>
  <si>
    <t>7,90 </t>
  </si>
  <si>
    <t>5,26 </t>
  </si>
  <si>
    <t>3,16 </t>
  </si>
  <si>
    <t>1,98 </t>
  </si>
  <si>
    <t>1,28 </t>
  </si>
  <si>
    <t>0,92 </t>
  </si>
  <si>
    <t>0,64 </t>
  </si>
  <si>
    <t>0,34 </t>
  </si>
  <si>
    <t>0,27 </t>
  </si>
  <si>
    <t>0,21 </t>
  </si>
  <si>
    <t>0,132 </t>
  </si>
  <si>
    <t>0,106 </t>
  </si>
  <si>
    <t>сечение</t>
  </si>
  <si>
    <t>Выбор кабеля</t>
  </si>
  <si>
    <t>тип кабеля</t>
  </si>
  <si>
    <t>кол-во кабелей</t>
  </si>
  <si>
    <t>кол-во жил</t>
  </si>
  <si>
    <t>коэф. на температуру среды</t>
  </si>
  <si>
    <r>
      <t xml:space="preserve">Снижающий коэффициент при прокладке в </t>
    </r>
    <r>
      <rPr>
        <sz val="8"/>
        <color rgb="FFFF0000"/>
        <rFont val="GOST type A"/>
        <family val="2"/>
      </rPr>
      <t>коробах</t>
    </r>
  </si>
  <si>
    <r>
      <t xml:space="preserve">Снижающий коэффициент при прокладке в </t>
    </r>
    <r>
      <rPr>
        <sz val="8"/>
        <color rgb="FFFF0000"/>
        <rFont val="GOST type A"/>
        <family val="2"/>
      </rPr>
      <t>земле</t>
    </r>
  </si>
  <si>
    <t>длина кабеля
L, м</t>
  </si>
  <si>
    <r>
      <t>I</t>
    </r>
    <r>
      <rPr>
        <vertAlign val="subscript"/>
        <sz val="8"/>
        <color theme="1"/>
        <rFont val="GOST type A"/>
        <family val="2"/>
      </rPr>
      <t>дд</t>
    </r>
    <r>
      <rPr>
        <sz val="8"/>
        <color theme="1"/>
        <rFont val="GOST type A"/>
        <family val="2"/>
      </rPr>
      <t>, А
(I</t>
    </r>
    <r>
      <rPr>
        <vertAlign val="subscript"/>
        <sz val="8"/>
        <color theme="1"/>
        <rFont val="GOST type A"/>
        <family val="2"/>
      </rPr>
      <t xml:space="preserve">дд </t>
    </r>
    <r>
      <rPr>
        <sz val="8"/>
        <color theme="1"/>
        <rFont val="Calibri"/>
        <family val="2"/>
        <charset val="204"/>
      </rPr>
      <t>≥</t>
    </r>
    <r>
      <rPr>
        <sz val="8"/>
        <color theme="1"/>
        <rFont val="GOST type A"/>
        <family val="2"/>
      </rPr>
      <t xml:space="preserve"> In)</t>
    </r>
  </si>
  <si>
    <r>
      <t>I</t>
    </r>
    <r>
      <rPr>
        <vertAlign val="subscript"/>
        <sz val="8"/>
        <color theme="1"/>
        <rFont val="GOST type A"/>
        <family val="2"/>
      </rPr>
      <t>дд</t>
    </r>
    <r>
      <rPr>
        <sz val="8"/>
        <color theme="1"/>
        <rFont val="GOST type A"/>
        <family val="2"/>
      </rPr>
      <t>, А
с учетом коэфф-ов
(</t>
    </r>
    <r>
      <rPr>
        <vertAlign val="subscript"/>
        <sz val="8"/>
        <color theme="1"/>
        <rFont val="GOST type A"/>
        <family val="2"/>
      </rPr>
      <t>Iдд</t>
    </r>
    <r>
      <rPr>
        <sz val="8"/>
        <color theme="1"/>
        <rFont val="GOST type A"/>
        <family val="2"/>
      </rPr>
      <t xml:space="preserve"> ≥ In)</t>
    </r>
  </si>
  <si>
    <t>Уставка защиты от перегрузки автоматического выключателя, Ir</t>
  </si>
  <si>
    <t>Проверка кабеля
по ∆ U%</t>
  </si>
  <si>
    <t>Проверка по термической устойчивости к К.З.</t>
  </si>
  <si>
    <t>Проверка по невозгоранию при К.З.</t>
  </si>
  <si>
    <r>
      <t>r</t>
    </r>
    <r>
      <rPr>
        <vertAlign val="subscript"/>
        <sz val="11"/>
        <color theme="1"/>
        <rFont val="GOST type A"/>
        <family val="2"/>
      </rPr>
      <t>0</t>
    </r>
  </si>
  <si>
    <r>
      <t>x</t>
    </r>
    <r>
      <rPr>
        <vertAlign val="subscript"/>
        <sz val="11"/>
        <color theme="1"/>
        <rFont val="GOST type A"/>
        <family val="2"/>
      </rPr>
      <t>0</t>
    </r>
  </si>
  <si>
    <r>
      <t xml:space="preserve">∆ U% 
</t>
    </r>
    <r>
      <rPr>
        <sz val="8"/>
        <color theme="1"/>
        <rFont val="GOST type A"/>
        <family val="2"/>
      </rPr>
      <t>(медь, 380В)</t>
    </r>
  </si>
  <si>
    <r>
      <t>температура окр. среды
Q</t>
    </r>
    <r>
      <rPr>
        <vertAlign val="subscript"/>
        <sz val="8"/>
        <color theme="1"/>
        <rFont val="GOST type A"/>
        <family val="2"/>
      </rPr>
      <t xml:space="preserve">окр </t>
    </r>
  </si>
  <si>
    <r>
      <t>длительно допустимая темп. кабеля
Q</t>
    </r>
    <r>
      <rPr>
        <vertAlign val="subscript"/>
        <sz val="8"/>
        <color theme="1"/>
        <rFont val="GOST type A"/>
        <family val="2"/>
      </rPr>
      <t>дд</t>
    </r>
  </si>
  <si>
    <r>
      <t>фактическая температура окр. среды
Q</t>
    </r>
    <r>
      <rPr>
        <vertAlign val="subscript"/>
        <sz val="8"/>
        <color theme="1"/>
        <rFont val="GOST type A"/>
        <family val="2"/>
      </rPr>
      <t>0</t>
    </r>
  </si>
  <si>
    <r>
      <t>температура жилы до КЗ
Q</t>
    </r>
    <r>
      <rPr>
        <vertAlign val="subscript"/>
        <sz val="8"/>
        <color theme="1"/>
        <rFont val="GOST type A"/>
        <family val="2"/>
      </rPr>
      <t>н</t>
    </r>
  </si>
  <si>
    <t>эквивалентная постоянная времени затухания апериодической составляющей Т.К.З
Таэ</t>
  </si>
  <si>
    <t>Постоянная характеризующая теплофизические характеристики материала,
b</t>
  </si>
  <si>
    <t>Величина обратная температурному коэффициенту электрического сопротивления
а</t>
  </si>
  <si>
    <r>
      <t>Тепловой импульс, 
В</t>
    </r>
    <r>
      <rPr>
        <vertAlign val="subscript"/>
        <sz val="8"/>
        <color theme="1"/>
        <rFont val="GOST type A"/>
        <family val="2"/>
      </rPr>
      <t>тер</t>
    </r>
  </si>
  <si>
    <r>
      <t>Тепм. жилы в конце КЗ, Q</t>
    </r>
    <r>
      <rPr>
        <vertAlign val="subscript"/>
        <sz val="8"/>
        <color theme="1"/>
        <rFont val="GOST type A"/>
        <family val="2"/>
      </rPr>
      <t>к</t>
    </r>
  </si>
  <si>
    <t>проверка по термической устойчивости</t>
  </si>
  <si>
    <r>
      <t>время отключения резервной защиты
t*</t>
    </r>
    <r>
      <rPr>
        <vertAlign val="subscript"/>
        <sz val="8"/>
        <color theme="1"/>
        <rFont val="GOST type A"/>
        <family val="2"/>
      </rPr>
      <t xml:space="preserve">откл </t>
    </r>
  </si>
  <si>
    <t>проверка по условию невозгорания</t>
  </si>
  <si>
    <t>активное сопротивление</t>
  </si>
  <si>
    <t>индуктивное сопротивление</t>
  </si>
  <si>
    <t>ГОСТ 31996-2012</t>
  </si>
  <si>
    <t>ГОСТ 31996-2012 или производитель</t>
  </si>
  <si>
    <t>Ц02-98</t>
  </si>
  <si>
    <t>Ц02-98
для алюминия - 45,65
для меди - 19,58</t>
  </si>
  <si>
    <t>Ц02-98
228 С</t>
  </si>
  <si>
    <t>характеристика автомата</t>
  </si>
  <si>
    <t>по ГОСТ 31996-2012 или производитель</t>
  </si>
  <si>
    <t>время отключения селективного вышестоящего автомата</t>
  </si>
  <si>
    <t>ток</t>
  </si>
  <si>
    <t>контактор</t>
  </si>
  <si>
    <t>LC1E06</t>
  </si>
  <si>
    <t>LC1E12</t>
  </si>
  <si>
    <t>LC1E18</t>
  </si>
  <si>
    <t>LC1E25</t>
  </si>
  <si>
    <t>LC1E32</t>
  </si>
  <si>
    <t>LC1E40</t>
  </si>
  <si>
    <t>LC1E50</t>
  </si>
  <si>
    <t>LC1E65</t>
  </si>
  <si>
    <t>LC1E80</t>
  </si>
  <si>
    <t>LC1E120</t>
  </si>
  <si>
    <t>LC1E160</t>
  </si>
  <si>
    <t>LC1E200</t>
  </si>
  <si>
    <t>LC1E250</t>
  </si>
  <si>
    <t>LC1E400</t>
  </si>
  <si>
    <t>LC1E500</t>
  </si>
  <si>
    <t>LC1E630</t>
  </si>
  <si>
    <t>Диапазон
уставок тока
реле</t>
  </si>
  <si>
    <t>0,1…0,16А</t>
  </si>
  <si>
    <t>LRE01</t>
  </si>
  <si>
    <t>Питающий кабель</t>
  </si>
  <si>
    <t>Поз.</t>
  </si>
  <si>
    <r>
      <t>Ток трехфазного короткого замыкания в начале кабеля I</t>
    </r>
    <r>
      <rPr>
        <vertAlign val="superscript"/>
        <sz val="11"/>
        <color theme="1"/>
        <rFont val="GOST type A"/>
        <family val="2"/>
      </rPr>
      <t>(3)</t>
    </r>
    <r>
      <rPr>
        <vertAlign val="subscript"/>
        <sz val="11"/>
        <color theme="1"/>
        <rFont val="GOST type A"/>
        <family val="2"/>
      </rPr>
      <t xml:space="preserve">кз </t>
    </r>
    <r>
      <rPr>
        <sz val="11"/>
        <color theme="1"/>
        <rFont val="GOST type A"/>
        <family val="2"/>
      </rPr>
      <t>,</t>
    </r>
    <r>
      <rPr>
        <vertAlign val="subscript"/>
        <sz val="11"/>
        <color theme="1"/>
        <rFont val="GOST type A"/>
        <family val="2"/>
      </rPr>
      <t xml:space="preserve"> </t>
    </r>
    <r>
      <rPr>
        <sz val="11"/>
        <color theme="1"/>
        <rFont val="GOST type A"/>
        <family val="2"/>
      </rPr>
      <t>кА</t>
    </r>
  </si>
  <si>
    <t>Расчетный ток линии</t>
  </si>
  <si>
    <r>
      <t>время отключения основной защиты
t</t>
    </r>
    <r>
      <rPr>
        <vertAlign val="subscript"/>
        <sz val="8"/>
        <color theme="1"/>
        <rFont val="GOST type A"/>
        <family val="2"/>
      </rPr>
      <t xml:space="preserve">откл 
</t>
    </r>
    <r>
      <rPr>
        <sz val="8"/>
        <color rgb="FFFF0000"/>
        <rFont val="GOST type A"/>
        <family val="2"/>
        <charset val="204"/>
      </rPr>
      <t>(техн. характеристика автомата)</t>
    </r>
  </si>
  <si>
    <r>
      <t>Тепм. жилы в начаде КЗ, Q</t>
    </r>
    <r>
      <rPr>
        <vertAlign val="subscript"/>
        <sz val="8"/>
        <color theme="1"/>
        <rFont val="GOST type A"/>
        <family val="2"/>
      </rPr>
      <t>к</t>
    </r>
  </si>
  <si>
    <t>Коэффициент k</t>
  </si>
  <si>
    <r>
      <t>Тепловой импульс, В</t>
    </r>
    <r>
      <rPr>
        <vertAlign val="subscript"/>
        <sz val="8"/>
        <color theme="1"/>
        <rFont val="GOST type A"/>
        <family val="2"/>
      </rPr>
      <t>тер</t>
    </r>
  </si>
  <si>
    <t>Температура по условию невозгорания при коротком замыканиия</t>
  </si>
  <si>
    <t>Температура кабеля по условию термической устойчивости</t>
  </si>
  <si>
    <t>Наименование электроприемника</t>
  </si>
  <si>
    <t>Выбор оборудования</t>
  </si>
  <si>
    <t>производители</t>
  </si>
  <si>
    <t>Schneider Electric</t>
  </si>
  <si>
    <t>ABB</t>
  </si>
  <si>
    <t>Eaton</t>
  </si>
  <si>
    <t>Производитель</t>
  </si>
  <si>
    <t>Авт. выкл.</t>
  </si>
  <si>
    <t>Характер_нагрузки</t>
  </si>
  <si>
    <t>Двигатель</t>
  </si>
  <si>
    <t>Easy9 Schneider Electric</t>
  </si>
  <si>
    <t>EasyPact TVS Schneider Electric</t>
  </si>
  <si>
    <t>LZM Eaton</t>
  </si>
  <si>
    <t>кол_пол</t>
  </si>
  <si>
    <t>1Р</t>
  </si>
  <si>
    <t>2Р</t>
  </si>
  <si>
    <t>3Р</t>
  </si>
  <si>
    <t>ток отлк.</t>
  </si>
  <si>
    <t>перегрузка</t>
  </si>
  <si>
    <t>ткз</t>
  </si>
  <si>
    <t>EZ9F34106</t>
  </si>
  <si>
    <t>EZ9F34206</t>
  </si>
  <si>
    <t>EZ9F34306</t>
  </si>
  <si>
    <t>GZ1 E01</t>
  </si>
  <si>
    <t>0,1…0,16</t>
  </si>
  <si>
    <t>LZMB1-A20-I</t>
  </si>
  <si>
    <t>15…20</t>
  </si>
  <si>
    <t>EZ9F34110</t>
  </si>
  <si>
    <t>EZ9F34210</t>
  </si>
  <si>
    <t>EZ9F34310</t>
  </si>
  <si>
    <t>GZ1 E02</t>
  </si>
  <si>
    <t>0,16…0,25</t>
  </si>
  <si>
    <t>LZMB1-A25-I</t>
  </si>
  <si>
    <t>20…25</t>
  </si>
  <si>
    <t>EZ9F34116</t>
  </si>
  <si>
    <t>EZ9F34216</t>
  </si>
  <si>
    <t>EZ9F34316</t>
  </si>
  <si>
    <t>GZ1 E03</t>
  </si>
  <si>
    <t>0,25…0,40</t>
  </si>
  <si>
    <t>LZMB1-A32-I</t>
  </si>
  <si>
    <t>25…32</t>
  </si>
  <si>
    <t>EZ9F34120</t>
  </si>
  <si>
    <t>EZ9F34220</t>
  </si>
  <si>
    <t>EZ9F34320</t>
  </si>
  <si>
    <t>GZ1 E04</t>
  </si>
  <si>
    <t>0,40…0,63</t>
  </si>
  <si>
    <t>LZMB1-A40-I</t>
  </si>
  <si>
    <t>32…40</t>
  </si>
  <si>
    <t>320…400</t>
  </si>
  <si>
    <t>EZ9F34125</t>
  </si>
  <si>
    <t>EZ9F34225</t>
  </si>
  <si>
    <t>EZ9F34325</t>
  </si>
  <si>
    <t>GZ1 E05</t>
  </si>
  <si>
    <t>0,63…1</t>
  </si>
  <si>
    <t>LZMB1-A50-I</t>
  </si>
  <si>
    <t>40…50</t>
  </si>
  <si>
    <t>300…500</t>
  </si>
  <si>
    <t>EZ9F34132</t>
  </si>
  <si>
    <t>EZ9F34232</t>
  </si>
  <si>
    <t>EZ9F34332</t>
  </si>
  <si>
    <t>GZ1 E06</t>
  </si>
  <si>
    <t>1…1,6</t>
  </si>
  <si>
    <t>LZMB1-A63-I</t>
  </si>
  <si>
    <t>50…63</t>
  </si>
  <si>
    <t>380…630</t>
  </si>
  <si>
    <t>EZ9F34140</t>
  </si>
  <si>
    <t>EZ9F34240</t>
  </si>
  <si>
    <t>EZ9F34340</t>
  </si>
  <si>
    <t>GZ1 E07</t>
  </si>
  <si>
    <t>1,6…2,5</t>
  </si>
  <si>
    <t>LZMB1-A80-I</t>
  </si>
  <si>
    <t>63…80</t>
  </si>
  <si>
    <t>480…800</t>
  </si>
  <si>
    <t>EZ9F34150</t>
  </si>
  <si>
    <t>EZ9F34250</t>
  </si>
  <si>
    <t>EZ9F34350</t>
  </si>
  <si>
    <t>GZ1 E08</t>
  </si>
  <si>
    <t>2,5…4</t>
  </si>
  <si>
    <t>LZMB1-A100-I</t>
  </si>
  <si>
    <t>80…100</t>
  </si>
  <si>
    <t>600…1000</t>
  </si>
  <si>
    <t>EZ9F34163</t>
  </si>
  <si>
    <t>EZ9F34263</t>
  </si>
  <si>
    <t>EZ9F34363</t>
  </si>
  <si>
    <t>GZ1 E10</t>
  </si>
  <si>
    <t>4…6,3</t>
  </si>
  <si>
    <t>LZMB1-A125-I</t>
  </si>
  <si>
    <t>10…125</t>
  </si>
  <si>
    <t>750…1250</t>
  </si>
  <si>
    <t>GZ1 E14</t>
  </si>
  <si>
    <t>6…10</t>
  </si>
  <si>
    <t>LZMB1-A160-I</t>
  </si>
  <si>
    <t>125…160</t>
  </si>
  <si>
    <t>GZ1 E16</t>
  </si>
  <si>
    <t>9…14</t>
  </si>
  <si>
    <t>LZMB2-A200-I</t>
  </si>
  <si>
    <t>160…200</t>
  </si>
  <si>
    <t>1200…2000</t>
  </si>
  <si>
    <t>GZ1 E20</t>
  </si>
  <si>
    <t>13…18</t>
  </si>
  <si>
    <t>LZMB2-A250-I</t>
  </si>
  <si>
    <t>200…250</t>
  </si>
  <si>
    <t>1500…2500</t>
  </si>
  <si>
    <t>GZ1 E21</t>
  </si>
  <si>
    <t>17…23</t>
  </si>
  <si>
    <t>LZMB2-A300-I</t>
  </si>
  <si>
    <t>240…300</t>
  </si>
  <si>
    <t>GZ1 E22</t>
  </si>
  <si>
    <t>LZMC3-A320-I</t>
  </si>
  <si>
    <t>250…320</t>
  </si>
  <si>
    <t>1920…3200</t>
  </si>
  <si>
    <t>GZ1 E32</t>
  </si>
  <si>
    <t>24…32</t>
  </si>
  <si>
    <t>LZMC3-A400-I</t>
  </si>
  <si>
    <t>2400…4000</t>
  </si>
  <si>
    <t>LZMC3-A500-I</t>
  </si>
  <si>
    <t>400…500</t>
  </si>
  <si>
    <t>3000…5000</t>
  </si>
  <si>
    <t xml:space="preserve">LZMC3-AE630-I </t>
  </si>
  <si>
    <t>315…630</t>
  </si>
  <si>
    <t>1260…5040</t>
  </si>
  <si>
    <t>расч.ток</t>
  </si>
  <si>
    <t>кол. пол</t>
  </si>
  <si>
    <t>ток авт</t>
  </si>
  <si>
    <t>тип_авт</t>
  </si>
  <si>
    <t>расчетный ток выключателя</t>
  </si>
  <si>
    <t>пусковой ток</t>
  </si>
  <si>
    <t>Кол-во полюсов</t>
  </si>
  <si>
    <t>Iном. Авт</t>
  </si>
  <si>
    <t>Уставка по перегрузке</t>
  </si>
  <si>
    <t>Уставка по кз</t>
  </si>
  <si>
    <t>сцеплено</t>
  </si>
  <si>
    <t>A9F74170</t>
  </si>
  <si>
    <t>Автоматический выключатель, Iоткл=6kA, 1P, хар-ка C, Iном=0,5A</t>
  </si>
  <si>
    <t>iC60N C0,5 1P</t>
  </si>
  <si>
    <t>A9F74270</t>
  </si>
  <si>
    <t>Автоматический выключатель, Iоткл=6kA, 2P, хар-ка C, Iном=0,5A</t>
  </si>
  <si>
    <t>iC60N C0,5 2P</t>
  </si>
  <si>
    <t>A9F74370</t>
  </si>
  <si>
    <t>Автоматический выключатель, Iоткл=6kA, 3P, хар-ка C, Iном=0,5A</t>
  </si>
  <si>
    <t>iC60N C0,5 3P</t>
  </si>
  <si>
    <t>A9F74101</t>
  </si>
  <si>
    <t>Автоматический выключатель, Iоткл=6kA, 1P, хар-ка C, Iном=1A</t>
  </si>
  <si>
    <t>iC60N C1 1P</t>
  </si>
  <si>
    <t>A9F74201</t>
  </si>
  <si>
    <t>Автоматический выключатель, Iоткл=6kA, 2P, хар-ка C, Iном=1A</t>
  </si>
  <si>
    <t>iC60N C1 2P</t>
  </si>
  <si>
    <t>A9F74301</t>
  </si>
  <si>
    <t>Автоматический выключатель, Iоткл=6kA, 3P, хар-ка C, Iном=1A</t>
  </si>
  <si>
    <t>iC60N C1 3P</t>
  </si>
  <si>
    <t>A9F79110</t>
  </si>
  <si>
    <t>Автоматический выключатель, Iоткл=6kA, 1P, хар-ка C, Iном=10A</t>
  </si>
  <si>
    <t>iC60N C10 1P</t>
  </si>
  <si>
    <t>A9F79210</t>
  </si>
  <si>
    <t>Автоматический выключатель, Iоткл=6kA, 2P, хар-ка C, Iном=10A</t>
  </si>
  <si>
    <t>iC60N C10 2P</t>
  </si>
  <si>
    <t>A9F79310</t>
  </si>
  <si>
    <t>Автоматический выключатель, Iоткл=6kA, 3P, хар-ка C, Iном=10A</t>
  </si>
  <si>
    <t>iC60N C10 3P</t>
  </si>
  <si>
    <t>A9F79116</t>
  </si>
  <si>
    <t>Автоматический выключатель, Iоткл=6kA, 1P, хар-ка C, Iном=16A</t>
  </si>
  <si>
    <t>iC60N C16 1P</t>
  </si>
  <si>
    <t>A9F79216</t>
  </si>
  <si>
    <t>Автоматический выключатель, Iоткл=6kA, 2P, хар-ка C, Iном=16A</t>
  </si>
  <si>
    <t>iC60N C16 2P</t>
  </si>
  <si>
    <t>A9F79316</t>
  </si>
  <si>
    <t>Автоматический выключатель, Iоткл=6kA, 3P, хар-ка C, Iном=16A</t>
  </si>
  <si>
    <t>iC60N C16 3P</t>
  </si>
  <si>
    <t>A9F74102</t>
  </si>
  <si>
    <t>Автоматический выключатель, Iоткл=6kA, 1P, хар-ка C, Iном=2A</t>
  </si>
  <si>
    <t>iC60N C2 1P</t>
  </si>
  <si>
    <t>A9F74202</t>
  </si>
  <si>
    <t>Автоматический выключатель, Iоткл=6kA, 2P, хар-ка C, Iном=2A</t>
  </si>
  <si>
    <t>iC60N C2 2P</t>
  </si>
  <si>
    <t>A9F74302</t>
  </si>
  <si>
    <t>Автоматический выключатель, Iоткл=6kA, 3P, хар-ка C, Iном=2A</t>
  </si>
  <si>
    <t>iC60N C2 3P</t>
  </si>
  <si>
    <t>A9F79120</t>
  </si>
  <si>
    <t>Автоматический выключатель, Iоткл=6kA, 1P, хар-ка C, Iном=20A</t>
  </si>
  <si>
    <t>iC60N C20 1P</t>
  </si>
  <si>
    <t>A9F79220</t>
  </si>
  <si>
    <t>Автоматический выключатель, Iоткл=6kA, 2P, хар-ка C, Iном=20A</t>
  </si>
  <si>
    <t>iC60N C20 2P</t>
  </si>
  <si>
    <t>A9F79320</t>
  </si>
  <si>
    <t>Автоматический выключатель, Iоткл=6kA, 3P, хар-ка C, Iном=20A</t>
  </si>
  <si>
    <t>iC60N C20 3P</t>
  </si>
  <si>
    <t>A9F79125</t>
  </si>
  <si>
    <t>Автоматический выключатель, Iоткл=6kA, 1P, хар-ка C, Iном=25A</t>
  </si>
  <si>
    <t>iC60N C25 1P</t>
  </si>
  <si>
    <t>A9F79225</t>
  </si>
  <si>
    <t>Автоматический выключатель, Iоткл=6kA, 2P, хар-ка C, Iном=25A</t>
  </si>
  <si>
    <t>iC60N C25 2P</t>
  </si>
  <si>
    <t>A9F79325</t>
  </si>
  <si>
    <t>Автоматический выключатель, Iоткл=6kA, 3P, хар-ка C, Iном=25A</t>
  </si>
  <si>
    <t>iC60N C25 3P</t>
  </si>
  <si>
    <t>A9F74103</t>
  </si>
  <si>
    <t>Автоматический выключатель, Iоткл=6kA, 1P, хар-ка C, Iном=3A</t>
  </si>
  <si>
    <t>iC60N C3 1P</t>
  </si>
  <si>
    <t>A9F74203</t>
  </si>
  <si>
    <t>Автоматический выключатель, Iоткл=6kA, 2P, хар-ка C, Iном=3A</t>
  </si>
  <si>
    <t>iC60N C3 2P</t>
  </si>
  <si>
    <t>A9F74303</t>
  </si>
  <si>
    <t>Автоматический выключатель, Iоткл=6kA, 3P, хар-ка C, Iном=3A</t>
  </si>
  <si>
    <t>iC60N C3 3P</t>
  </si>
  <si>
    <t>A9F79132</t>
  </si>
  <si>
    <t>Автоматический выключатель, Iоткл=6kA, 1P, хар-ка C, Iном=32A</t>
  </si>
  <si>
    <t>iC60N C32 1P</t>
  </si>
  <si>
    <t>A9F79232</t>
  </si>
  <si>
    <t>Автоматический выключатель, Iоткл=6kA, 2P, хар-ка C, Iном=32A</t>
  </si>
  <si>
    <t>iC60N C32 2P</t>
  </si>
  <si>
    <t>A9F79332</t>
  </si>
  <si>
    <t>Автоматический выключатель, Iоткл=6kA, 3P, хар-ка C, Iном=32A</t>
  </si>
  <si>
    <t>iC60N C32 3P</t>
  </si>
  <si>
    <t>A9F74104</t>
  </si>
  <si>
    <t>Автоматический выключатель, Iоткл=6kA, 1P, хар-ка C, Iном=4A</t>
  </si>
  <si>
    <t>iC60N C4 1P</t>
  </si>
  <si>
    <t>A9F74204</t>
  </si>
  <si>
    <t>Автоматический выключатель, Iоткл=6kA, 2P, хар-ка C, Iном=4A</t>
  </si>
  <si>
    <t>iC60N C4 2P</t>
  </si>
  <si>
    <t>A9F74304</t>
  </si>
  <si>
    <t>Автоматический выключатель, Iоткл=6kA, 3P, хар-ка C, Iном=4A</t>
  </si>
  <si>
    <t>iC60N C4 3P</t>
  </si>
  <si>
    <t>A9F79140</t>
  </si>
  <si>
    <t>Автоматический выключатель, Iоткл=6kA, 1P, хар-ка C, Iном=40A</t>
  </si>
  <si>
    <t>iC60N C40 1P</t>
  </si>
  <si>
    <t>A9F79240</t>
  </si>
  <si>
    <t>Автоматический выключатель, Iоткл=6kA, 2P, хар-ка C, Iном=40A</t>
  </si>
  <si>
    <t>iC60N C40 2P</t>
  </si>
  <si>
    <t>A9F79340</t>
  </si>
  <si>
    <t>Автоматический выключатель, Iоткл=6kA, 3P, хар-ка C, Iном=40A</t>
  </si>
  <si>
    <t>iC60N C40 3P</t>
  </si>
  <si>
    <t>A9F79150</t>
  </si>
  <si>
    <t>Автоматический выключатель, Iоткл=6kA, 1P, хар-ка C, Iном=50A</t>
  </si>
  <si>
    <t>iC60N C50 1P</t>
  </si>
  <si>
    <t>A9F79250</t>
  </si>
  <si>
    <t>Автоматический выключатель, Iоткл=6kA, 2P, хар-ка C, Iном=50A</t>
  </si>
  <si>
    <t>iC60N C50 2P</t>
  </si>
  <si>
    <t>A9F79350</t>
  </si>
  <si>
    <t>Автоматический выключатель, Iоткл=6kA, 3P, хар-ка C, Iном=50A</t>
  </si>
  <si>
    <t>iC60N C50 3P</t>
  </si>
  <si>
    <t>A9F79106</t>
  </si>
  <si>
    <t>Автоматический выключатель, Iоткл=6kA, 1P, хар-ка C, Iном=6A</t>
  </si>
  <si>
    <t>iC60N C6 1P</t>
  </si>
  <si>
    <t>A9F79206</t>
  </si>
  <si>
    <t>Автоматический выключатель, Iоткл=6kA, 2P, хар-ка C, Iном=6A</t>
  </si>
  <si>
    <t>iC60N C6 2P</t>
  </si>
  <si>
    <t>A9F79306</t>
  </si>
  <si>
    <t>Автоматический выключатель, Iоткл=6kA, 3P, хар-ка C, Iном=6A</t>
  </si>
  <si>
    <t>iC60N C6 3P</t>
  </si>
  <si>
    <t>A9F79163</t>
  </si>
  <si>
    <t>Автоматический выключатель, Iоткл=6kA, 1P, хар-ка C, Iном=63A</t>
  </si>
  <si>
    <t>iC60N C63 1P</t>
  </si>
  <si>
    <t>A9F79263</t>
  </si>
  <si>
    <t>Автоматический выключатель, Iоткл=6kA, 2P, хар-ка C, Iном=63A</t>
  </si>
  <si>
    <t>iC60N C63 2P</t>
  </si>
  <si>
    <t>A9F79363</t>
  </si>
  <si>
    <t>Автоматический выключатель, Iоткл=6kA, 3P, хар-ка C, Iном=63A</t>
  </si>
  <si>
    <t>iC60N C63 3P</t>
  </si>
  <si>
    <t>Acti9 Schneider Electric</t>
  </si>
  <si>
    <t>A9D31606</t>
  </si>
  <si>
    <t>A9D31610</t>
  </si>
  <si>
    <t>A9D31616</t>
  </si>
  <si>
    <t>A9D31620</t>
  </si>
  <si>
    <t>A9D31625</t>
  </si>
  <si>
    <t>A9D31632</t>
  </si>
  <si>
    <t>A9D31640</t>
  </si>
  <si>
    <t>1P+N</t>
  </si>
  <si>
    <t>iDPN N Vigi  Schneider Electric</t>
  </si>
  <si>
    <t>EZC100F3015</t>
  </si>
  <si>
    <t>EZC100F3016</t>
  </si>
  <si>
    <t>EZC100F3020</t>
  </si>
  <si>
    <t>EZC100F3025</t>
  </si>
  <si>
    <t>EZC100F3030</t>
  </si>
  <si>
    <t>EZC100F3032</t>
  </si>
  <si>
    <t>EZC100F3040</t>
  </si>
  <si>
    <t>EZC100F3045</t>
  </si>
  <si>
    <t>EZC100F3050</t>
  </si>
  <si>
    <t>EZC100F3060</t>
  </si>
  <si>
    <t>EZC100F3063</t>
  </si>
  <si>
    <t>EZC100F3075</t>
  </si>
  <si>
    <t>EZC100F3080</t>
  </si>
  <si>
    <t>EZC100F3100</t>
  </si>
  <si>
    <t>EZC250F3250</t>
  </si>
  <si>
    <t>EZC250F3125</t>
  </si>
  <si>
    <t>EZC250F3150</t>
  </si>
  <si>
    <t>EZC250F3160</t>
  </si>
  <si>
    <t>EZC250F3175</t>
  </si>
  <si>
    <t>EZC250F3200</t>
  </si>
  <si>
    <t>EZC250F3225</t>
  </si>
  <si>
    <t>EZC400N3320N</t>
  </si>
  <si>
    <t>EZC400N3350N</t>
  </si>
  <si>
    <t>EZC400N3400N</t>
  </si>
  <si>
    <t>EasyPact EZC</t>
  </si>
  <si>
    <t>секция шин</t>
  </si>
  <si>
    <t>L1, L2, L3</t>
  </si>
  <si>
    <t>DEKraft ВА105 10кА</t>
  </si>
  <si>
    <t>4Р</t>
  </si>
  <si>
    <t>DEKraft ВА431</t>
  </si>
  <si>
    <t>13148DEK</t>
  </si>
  <si>
    <t>13160DEK</t>
  </si>
  <si>
    <t>13172DEK</t>
  </si>
  <si>
    <t>13184DEK</t>
  </si>
  <si>
    <t>21220DEK</t>
  </si>
  <si>
    <t>13149DEK</t>
  </si>
  <si>
    <t>13161DEK</t>
  </si>
  <si>
    <t>13173DEK</t>
  </si>
  <si>
    <t>13185DEK</t>
  </si>
  <si>
    <t>21221DEK</t>
  </si>
  <si>
    <t>13150DEK</t>
  </si>
  <si>
    <t>13162DEK</t>
  </si>
  <si>
    <t>13174DEK</t>
  </si>
  <si>
    <t>13186DEK</t>
  </si>
  <si>
    <t>21222DEK</t>
  </si>
  <si>
    <t>13151DEK</t>
  </si>
  <si>
    <t>13163DEK</t>
  </si>
  <si>
    <t>13175DEK</t>
  </si>
  <si>
    <t>13187DEK</t>
  </si>
  <si>
    <t>21223DEK</t>
  </si>
  <si>
    <t>13152DEK</t>
  </si>
  <si>
    <t>13164DEK</t>
  </si>
  <si>
    <t>13176DEK</t>
  </si>
  <si>
    <t>13188DEK</t>
  </si>
  <si>
    <t>21224DEK</t>
  </si>
  <si>
    <t>13153DEK</t>
  </si>
  <si>
    <t>13165DEK</t>
  </si>
  <si>
    <t>13177DEK</t>
  </si>
  <si>
    <t>13189DEK</t>
  </si>
  <si>
    <t>21225DEK</t>
  </si>
  <si>
    <t>13154DEK</t>
  </si>
  <si>
    <t>13166DEK</t>
  </si>
  <si>
    <t>13178DEK</t>
  </si>
  <si>
    <t>13190DEK</t>
  </si>
  <si>
    <t>21226DEK</t>
  </si>
  <si>
    <t>13155DEK</t>
  </si>
  <si>
    <t>13167DEK</t>
  </si>
  <si>
    <t>13179DEK</t>
  </si>
  <si>
    <t>13191DEK</t>
  </si>
  <si>
    <t>21227DEK</t>
  </si>
  <si>
    <t>13156DEK</t>
  </si>
  <si>
    <t>13168DEK</t>
  </si>
  <si>
    <t>13180DEK</t>
  </si>
  <si>
    <t>13192DEK</t>
  </si>
  <si>
    <t>21228DEK</t>
  </si>
  <si>
    <t>13157DEK</t>
  </si>
  <si>
    <t>13169DEK</t>
  </si>
  <si>
    <t>13181DEK</t>
  </si>
  <si>
    <t>13193DEK</t>
  </si>
  <si>
    <t>21229DEK</t>
  </si>
  <si>
    <t>13158DEK</t>
  </si>
  <si>
    <t>13170DEK</t>
  </si>
  <si>
    <t>13182DEK</t>
  </si>
  <si>
    <t>13194DEK</t>
  </si>
  <si>
    <t>21230DEK</t>
  </si>
  <si>
    <t>13159DEK</t>
  </si>
  <si>
    <t>13171DEK</t>
  </si>
  <si>
    <t>13183DEK</t>
  </si>
  <si>
    <t>13195DEK</t>
  </si>
  <si>
    <t>21231DEK</t>
  </si>
  <si>
    <t>21232DEK</t>
  </si>
  <si>
    <t>21233DEK</t>
  </si>
  <si>
    <t>21234DEK</t>
  </si>
  <si>
    <t>КЭАЗ ВМ63 15кА</t>
  </si>
  <si>
    <t>kea.341872</t>
  </si>
  <si>
    <t>kea.341911</t>
  </si>
  <si>
    <t>kea.341950</t>
  </si>
  <si>
    <t>kea.341989</t>
  </si>
  <si>
    <t>kea.341873</t>
  </si>
  <si>
    <t>kea.341912</t>
  </si>
  <si>
    <t>kea.341951</t>
  </si>
  <si>
    <t>kea.341990</t>
  </si>
  <si>
    <t>kea.341874</t>
  </si>
  <si>
    <t>kea.341913</t>
  </si>
  <si>
    <t>kea.341952</t>
  </si>
  <si>
    <t>kea.341991</t>
  </si>
  <si>
    <t>kea.341875</t>
  </si>
  <si>
    <t>kea.341914</t>
  </si>
  <si>
    <t>kea.341953</t>
  </si>
  <si>
    <t>kea.341992</t>
  </si>
  <si>
    <t>kea.341876</t>
  </si>
  <si>
    <t>kea.341915</t>
  </si>
  <si>
    <t>kea.341954</t>
  </si>
  <si>
    <t>kea.341993</t>
  </si>
  <si>
    <t>kea.341877</t>
  </si>
  <si>
    <t>kea.341916</t>
  </si>
  <si>
    <t>kea.341955</t>
  </si>
  <si>
    <t>kea.341994</t>
  </si>
  <si>
    <t>kea.341878</t>
  </si>
  <si>
    <t>kea.341917</t>
  </si>
  <si>
    <t>kea.341956</t>
  </si>
  <si>
    <t>kea.341995</t>
  </si>
  <si>
    <t>kea.341879</t>
  </si>
  <si>
    <t>kea.341918</t>
  </si>
  <si>
    <t>kea.341957</t>
  </si>
  <si>
    <t>kea.341996</t>
  </si>
  <si>
    <t>kea.341880</t>
  </si>
  <si>
    <t>kea.341919</t>
  </si>
  <si>
    <t>kea.341958</t>
  </si>
  <si>
    <t>kea.341997</t>
  </si>
  <si>
    <t>kea.341881</t>
  </si>
  <si>
    <t>kea.341920</t>
  </si>
  <si>
    <t>kea.341959</t>
  </si>
  <si>
    <t>kea.341998</t>
  </si>
  <si>
    <t>kea.341882</t>
  </si>
  <si>
    <t>kea.341921</t>
  </si>
  <si>
    <t>kea.341960</t>
  </si>
  <si>
    <t>kea.341999</t>
  </si>
  <si>
    <t>kea.341883</t>
  </si>
  <si>
    <t>kea.341922</t>
  </si>
  <si>
    <t>kea.341961</t>
  </si>
  <si>
    <t>kea.342000</t>
  </si>
  <si>
    <t>kea.341884</t>
  </si>
  <si>
    <t>kea.341923</t>
  </si>
  <si>
    <t>kea.341962</t>
  </si>
  <si>
    <t>kea.342001</t>
  </si>
  <si>
    <t>DEKraft ВА431 защита двигателя</t>
  </si>
  <si>
    <t>М1</t>
  </si>
  <si>
    <t>М2</t>
  </si>
  <si>
    <t>М3</t>
  </si>
  <si>
    <t>М4</t>
  </si>
  <si>
    <t>ПЭСПЗ</t>
  </si>
  <si>
    <t>К</t>
  </si>
  <si>
    <t>DEKraft ВА103 6кА</t>
  </si>
  <si>
    <t>12264DEK</t>
  </si>
  <si>
    <t>12271DEK</t>
  </si>
  <si>
    <t>12265DEK</t>
  </si>
  <si>
    <t>12267DEK</t>
  </si>
  <si>
    <t>12269DEK</t>
  </si>
  <si>
    <t>12273DEK</t>
  </si>
  <si>
    <t>12274DEK</t>
  </si>
  <si>
    <t>12275DEK</t>
  </si>
  <si>
    <t>12276DEK</t>
  </si>
  <si>
    <t>12277DEK</t>
  </si>
  <si>
    <t>12278DEK</t>
  </si>
  <si>
    <t>12279DEK</t>
  </si>
  <si>
    <t>12280DEK</t>
  </si>
  <si>
    <t>12281DEK</t>
  </si>
  <si>
    <t>12283DEK</t>
  </si>
  <si>
    <t>12285DEK</t>
  </si>
  <si>
    <t>12287DEK</t>
  </si>
  <si>
    <t>12289DEK</t>
  </si>
  <si>
    <t>12290DEK</t>
  </si>
  <si>
    <t>12291DEK</t>
  </si>
  <si>
    <t>12292DEK</t>
  </si>
  <si>
    <t>12293DEK</t>
  </si>
  <si>
    <t>12294DEK</t>
  </si>
  <si>
    <t>12295DEK</t>
  </si>
  <si>
    <t>12296DEK</t>
  </si>
  <si>
    <t>12297DEK</t>
  </si>
  <si>
    <t>12299DEK</t>
  </si>
  <si>
    <t>12301DEK</t>
  </si>
  <si>
    <t>12303DEK</t>
  </si>
  <si>
    <t>12305DEK</t>
  </si>
  <si>
    <t>12306DEK</t>
  </si>
  <si>
    <t>12307DEK</t>
  </si>
  <si>
    <t>12308DEK</t>
  </si>
  <si>
    <t>12309DEK</t>
  </si>
  <si>
    <t>12310DEK</t>
  </si>
  <si>
    <t>12311DEK</t>
  </si>
  <si>
    <t>12312DEK</t>
  </si>
  <si>
    <t>12313DEK</t>
  </si>
  <si>
    <t>12315DEK</t>
  </si>
  <si>
    <t>12317DEK</t>
  </si>
  <si>
    <t>12319DEK</t>
  </si>
  <si>
    <t>12321DEK</t>
  </si>
  <si>
    <t>12322DEK</t>
  </si>
  <si>
    <t>12323DEK</t>
  </si>
  <si>
    <t>12324DEK</t>
  </si>
  <si>
    <t>12325DEK</t>
  </si>
  <si>
    <t>12326DEK</t>
  </si>
  <si>
    <t>12327DEK</t>
  </si>
  <si>
    <t>C9F36106</t>
  </si>
  <si>
    <t>C9F36110</t>
  </si>
  <si>
    <t>C9F36116</t>
  </si>
  <si>
    <t>C9F36120</t>
  </si>
  <si>
    <t>C9F36125</t>
  </si>
  <si>
    <t>C9F36132</t>
  </si>
  <si>
    <t>C9F36140</t>
  </si>
  <si>
    <t>C9F36150</t>
  </si>
  <si>
    <t>C9F36163</t>
  </si>
  <si>
    <t>C9F36206</t>
  </si>
  <si>
    <t>C9F36210</t>
  </si>
  <si>
    <t>C9F36216</t>
  </si>
  <si>
    <t>C9F36220</t>
  </si>
  <si>
    <t>C9F36225</t>
  </si>
  <si>
    <t>C9F36232</t>
  </si>
  <si>
    <t>C9F36240</t>
  </si>
  <si>
    <t>C9F36250</t>
  </si>
  <si>
    <t>C9F36263</t>
  </si>
  <si>
    <t>C9F36306</t>
  </si>
  <si>
    <t>C9F36310</t>
  </si>
  <si>
    <t>C9F36316</t>
  </si>
  <si>
    <t>C9F36320</t>
  </si>
  <si>
    <t>C9F36325</t>
  </si>
  <si>
    <t>C9F36332</t>
  </si>
  <si>
    <t>C9F36340</t>
  </si>
  <si>
    <t>C9F36350</t>
  </si>
  <si>
    <t>C9F36363</t>
  </si>
  <si>
    <t>SPC100F016L3DF</t>
  </si>
  <si>
    <t>SPC100F025L3DF</t>
  </si>
  <si>
    <t>SPC100F032L3DF</t>
  </si>
  <si>
    <t>SPC100F040L3DF</t>
  </si>
  <si>
    <t>SPC100F050L3DF</t>
  </si>
  <si>
    <t>SPC100F063L3DF</t>
  </si>
  <si>
    <t>SPC100F080L3DF</t>
  </si>
  <si>
    <t>SPC100F100L3DF</t>
  </si>
  <si>
    <t>SPC160F125L3DF</t>
  </si>
  <si>
    <t>SPC160F160L3DF</t>
  </si>
  <si>
    <t>SPC250F200L3DF</t>
  </si>
  <si>
    <t>SPC250F250L3DF</t>
  </si>
  <si>
    <t>SPC400F400L3DF</t>
  </si>
  <si>
    <t>SPC630F500L3DF</t>
  </si>
  <si>
    <t>SPC630F600L3DF</t>
  </si>
  <si>
    <t>ТОК для модульных</t>
  </si>
  <si>
    <t>GM2ME01</t>
  </si>
  <si>
    <t>GM2ME02</t>
  </si>
  <si>
    <t>GM2ME03</t>
  </si>
  <si>
    <t>GM2ME04</t>
  </si>
  <si>
    <t>GM2ME05</t>
  </si>
  <si>
    <t>GM2ME06</t>
  </si>
  <si>
    <t>GM2ME07</t>
  </si>
  <si>
    <t>GM2ME08</t>
  </si>
  <si>
    <t>GM2ME10</t>
  </si>
  <si>
    <t>GM2ME14</t>
  </si>
  <si>
    <t>GM2ME16</t>
  </si>
  <si>
    <t>GM2ME20</t>
  </si>
  <si>
    <t>GM2ME21</t>
  </si>
  <si>
    <t>GM2ME22</t>
  </si>
  <si>
    <t>GM2ME32</t>
  </si>
  <si>
    <t>28106DEK</t>
  </si>
  <si>
    <t>28100DEK</t>
  </si>
  <si>
    <t>28101DEK</t>
  </si>
  <si>
    <t>28102DEK</t>
  </si>
  <si>
    <t>28103DEK</t>
  </si>
  <si>
    <t>28104DEK</t>
  </si>
  <si>
    <t>28105DEK</t>
  </si>
  <si>
    <t>28107DEK</t>
  </si>
  <si>
    <t>28108DEK</t>
  </si>
  <si>
    <t>28109DEK</t>
  </si>
  <si>
    <t>28122DEK</t>
  </si>
  <si>
    <t>28123DEK</t>
  </si>
  <si>
    <t>28129DEK</t>
  </si>
  <si>
    <t>28130DEK</t>
  </si>
  <si>
    <t>28135DEK</t>
  </si>
  <si>
    <t>28136DEK</t>
  </si>
  <si>
    <t>DEKraft ВА-33_</t>
  </si>
  <si>
    <t>ВА-332А-3P-25A-35кА</t>
  </si>
  <si>
    <t>ВА-332А-3P-32A-35кА</t>
  </si>
  <si>
    <t>ВА-332А-3P-40A-35кА</t>
  </si>
  <si>
    <t>ВА-332А-3P-50A-35кА</t>
  </si>
  <si>
    <t>ВА-332А-3P-63A-35кА</t>
  </si>
  <si>
    <t>ВА-332А-3P-80A-35кА</t>
  </si>
  <si>
    <t>ВА-332А-3P-100A-35кА</t>
  </si>
  <si>
    <t>ВА-332А-3P-125A-35кА</t>
  </si>
  <si>
    <t>ВА-332А-3P-140A-35кА</t>
  </si>
  <si>
    <t>ВА-332А-3P-160A-35кА</t>
  </si>
  <si>
    <t>ВА-333А-3P-200A-35кА</t>
  </si>
  <si>
    <t>ВА-333А-3P-250A-35кА</t>
  </si>
  <si>
    <t>ВА-335А-3P-320A-50кА</t>
  </si>
  <si>
    <t>ВА-335А-3P-400A-50кА</t>
  </si>
  <si>
    <t>ВА-335А-3P-500A-50кА</t>
  </si>
  <si>
    <t>ВА-335А-3P-630A-50кА</t>
  </si>
  <si>
    <t>ДИФ103-6кА-1N-6А-30-C</t>
  </si>
  <si>
    <t>16202DEK</t>
  </si>
  <si>
    <t>ДИФ103-6кА-1N-10А-30-C</t>
  </si>
  <si>
    <t>16203DEK</t>
  </si>
  <si>
    <t>ДИФ103-6кА-1N-16А-30-C</t>
  </si>
  <si>
    <t>16204DEK</t>
  </si>
  <si>
    <t>ДИФ103-6кА-1N-20А-30-C</t>
  </si>
  <si>
    <t>16205DEK</t>
  </si>
  <si>
    <t>ДИФ103-6кА-1N-25А-30-C</t>
  </si>
  <si>
    <t>16206DEK</t>
  </si>
  <si>
    <t>ДИФ103-6кА-1N-32А-30-C</t>
  </si>
  <si>
    <t>16207DEK</t>
  </si>
  <si>
    <t>ДИФ103-6кА-1N-40А-30-C</t>
  </si>
  <si>
    <t>16208DEK</t>
  </si>
  <si>
    <t>DEKraft ДИФ-103</t>
  </si>
  <si>
    <t>SE_City9</t>
  </si>
  <si>
    <t>SE_CCB_F_36 кА</t>
  </si>
  <si>
    <t>SE_GM2</t>
  </si>
  <si>
    <t>SE_АВДТ</t>
  </si>
  <si>
    <t>C9D36610</t>
  </si>
  <si>
    <t>C9D36616</t>
  </si>
  <si>
    <t>C9D36620</t>
  </si>
  <si>
    <t>C9D36625</t>
  </si>
  <si>
    <t>C9D36632</t>
  </si>
  <si>
    <t>C9D36640</t>
  </si>
  <si>
    <t>Ch_NB1-63</t>
  </si>
  <si>
    <t>Ch_NM8N</t>
  </si>
  <si>
    <t>Ch_NS2</t>
  </si>
  <si>
    <t>Ch_NB2LE</t>
  </si>
  <si>
    <t>Авт. защиты двигателя</t>
  </si>
  <si>
    <t>Мод. авт. выключатель</t>
  </si>
  <si>
    <t>Диф. автомат</t>
  </si>
  <si>
    <t>Авт. литой корпус</t>
  </si>
  <si>
    <t>М5</t>
  </si>
  <si>
    <t>М6</t>
  </si>
  <si>
    <t>М7</t>
  </si>
  <si>
    <t>М8</t>
  </si>
  <si>
    <t>ШУК</t>
  </si>
  <si>
    <t>Шкаф управления котельной</t>
  </si>
  <si>
    <t>М9</t>
  </si>
  <si>
    <t>М10</t>
  </si>
  <si>
    <t>L1</t>
  </si>
  <si>
    <t>L2</t>
  </si>
  <si>
    <t>L3</t>
  </si>
  <si>
    <t>Резерв</t>
  </si>
  <si>
    <t>Панель противопожарных устройств</t>
  </si>
  <si>
    <t>hy_HGD63</t>
  </si>
  <si>
    <t>hy_HRO</t>
  </si>
  <si>
    <t>HGD63M 1PMCS0000C 00001</t>
  </si>
  <si>
    <t>HGD63M 2PMCS0000C 00001</t>
  </si>
  <si>
    <t>HGD63M 3PMCS0000C 00001</t>
  </si>
  <si>
    <t>HRO63M 1NG4С0000C00001G</t>
  </si>
  <si>
    <t>HGD63M 1PMCS0000C 00002</t>
  </si>
  <si>
    <t>HGD63M 2PMCS0000C 00002</t>
  </si>
  <si>
    <t>HGD63M 3PMCS0000C 00002</t>
  </si>
  <si>
    <t>HRO63M 1NG4С0000C00002G</t>
  </si>
  <si>
    <t>HGD63M 1PMCS0000C 00003</t>
  </si>
  <si>
    <t>HGD63M 2PMCS0000C 00003</t>
  </si>
  <si>
    <t>HGD63M 3PMCS0000C 00003</t>
  </si>
  <si>
    <t>HRO63M 1NG4С0000C00003G</t>
  </si>
  <si>
    <t>HGD63M 1PMCS0000C 00004</t>
  </si>
  <si>
    <t>HGD63M 2PMCS0000C 00004</t>
  </si>
  <si>
    <t>HGD63M 3PMCS0000C 00004</t>
  </si>
  <si>
    <t>HRO63M 1NG4С0000C00004G</t>
  </si>
  <si>
    <t>HGD63M 1PMCS0000C 00005</t>
  </si>
  <si>
    <t>HGD63M 2PMCS0000C 00005</t>
  </si>
  <si>
    <t>HGD63M 3PMCS0000C 00005</t>
  </si>
  <si>
    <t>HRO63M 1NG4С0000C00005G</t>
  </si>
  <si>
    <t>HGD63M 1PMCS0000C 00006</t>
  </si>
  <si>
    <t>HGD63M 2PMCS0000C 00006</t>
  </si>
  <si>
    <t>HGD63M 3PMCS0000C 00006</t>
  </si>
  <si>
    <t>HRO63M 1NG4С0000C00006G</t>
  </si>
  <si>
    <t>HGD63M 1PMCS0000C 00010</t>
  </si>
  <si>
    <t>HGD63M 2PMCS0000C 00010</t>
  </si>
  <si>
    <t>HGD63M 3PMCS0000C 00010</t>
  </si>
  <si>
    <t>HRO63M 1NG4С0000C00010G</t>
  </si>
  <si>
    <t>HGD63M 1PMCS0000C 00016</t>
  </si>
  <si>
    <t>HGD63M 2PMCS0000C 00016</t>
  </si>
  <si>
    <t>HGD63M 3PMCS0000C 00016</t>
  </si>
  <si>
    <t>HRO63M 1NG4С0000C00016G</t>
  </si>
  <si>
    <t>HGD63M 1PMCS0000C 00020</t>
  </si>
  <si>
    <t>HGD63M 2PMCS0000C 00020</t>
  </si>
  <si>
    <t>HGD63M 3PMCS0000C 00020</t>
  </si>
  <si>
    <t>HRO63M 1NG4С0000C00020G</t>
  </si>
  <si>
    <t>HGD63M 1PMCS0000C 00025</t>
  </si>
  <si>
    <t>HGD63M 2PMCS0000C 00025</t>
  </si>
  <si>
    <t>HGD63M 3PMCS0000C 00025</t>
  </si>
  <si>
    <t>HRO63M 1NG4С0000C00025G</t>
  </si>
  <si>
    <t>HGD63M 1PMCS0000C 00032</t>
  </si>
  <si>
    <t>HGD63M 2PMCS0000C 00032</t>
  </si>
  <si>
    <t>HGD63M 3PMCS0000C 00032</t>
  </si>
  <si>
    <t>HRO63M 1NG4С0000C00032G</t>
  </si>
  <si>
    <t>HGD63M 1PMCS0000C 00040</t>
  </si>
  <si>
    <t>HGD63M 2PMCS0000C 00040</t>
  </si>
  <si>
    <t>HGD63M 3PMCS0000C 00040</t>
  </si>
  <si>
    <t>HRO63M 1NG4С0000C00040G</t>
  </si>
  <si>
    <t>HGD63M 1PMCS0000C 00050</t>
  </si>
  <si>
    <t>HGD63M 2PMCS0000C 00050</t>
  </si>
  <si>
    <t>HGD63M 3PMCS0000C 00050</t>
  </si>
  <si>
    <t>HRO63M 1NG4С0000C00050G</t>
  </si>
  <si>
    <t>HGD63M 1PMCS0000C 00063</t>
  </si>
  <si>
    <t>HGD63M 2PMCS0000C 00063</t>
  </si>
  <si>
    <t>HGD63M 3PMCS0000C 00063</t>
  </si>
  <si>
    <t>HRO63M 1NG4С0000C00063G</t>
  </si>
  <si>
    <t>HGD63M 1PMCS0000C 00080</t>
  </si>
  <si>
    <t>HGD63M 2PMCS0000C 00080</t>
  </si>
  <si>
    <t>HGD63M 3PMCS0000C 00080</t>
  </si>
  <si>
    <t>HGD63M 1PMCS0000C 00100</t>
  </si>
  <si>
    <t>HGD63M 2PMCS0000C 00100</t>
  </si>
  <si>
    <t>HGD63M 3PMCS0000C 00100</t>
  </si>
  <si>
    <t>HGD63M 1PMCS0000C 00125</t>
  </si>
  <si>
    <t>HGD63M 2PMCS0000C 00125</t>
  </si>
  <si>
    <t>HGD63M 3PMCS0000C 00125</t>
  </si>
  <si>
    <t>hy_HGP</t>
  </si>
  <si>
    <t>HGP100S-G 3PT4S0000C 00100H</t>
  </si>
  <si>
    <t>HGP160S-G 3PT4S0000C 00125H</t>
  </si>
  <si>
    <t>HGP160S-G 3PT4S0000C 00150H</t>
  </si>
  <si>
    <t>HGP160S-G 3PT4S0000C 00160H</t>
  </si>
  <si>
    <t>HGP250S-G 3PT4S0000C 00175H</t>
  </si>
  <si>
    <t>HGP250S-G 3PT4S0000C 00200H</t>
  </si>
  <si>
    <t>HGP250S-G 3PT4S0000C 00225H</t>
  </si>
  <si>
    <t>HGP250S-G 3PT4S0000C 00250H</t>
  </si>
  <si>
    <t>HGP400S-G 3PT4S0000C 00300H</t>
  </si>
  <si>
    <t>HGP400S-G 3PT4S0000C 00350H</t>
  </si>
  <si>
    <t>HGP400S-G 3PT4S0000C 00400H</t>
  </si>
  <si>
    <t>HGP630S-G 3PT4S0000C 00500H</t>
  </si>
  <si>
    <t>HGP630S-G 3PT4S0000C 00630H</t>
  </si>
  <si>
    <t>HGP800S-G 3PT4S0000C 00700H</t>
  </si>
  <si>
    <t>HGP800S-G 3PT4S0000C 00800H</t>
  </si>
  <si>
    <t>hy_MMS32K</t>
  </si>
  <si>
    <t>MMS32K 0P16</t>
  </si>
  <si>
    <t>MMS32K 0P25</t>
  </si>
  <si>
    <t>MMS32K 0P40</t>
  </si>
  <si>
    <t>MMS32K 0P63</t>
  </si>
  <si>
    <t>MMS32K 1P00</t>
  </si>
  <si>
    <t>MMS32K 01P6</t>
  </si>
  <si>
    <t>MMS32K 02P5</t>
  </si>
  <si>
    <t>MMS32K 0004</t>
  </si>
  <si>
    <t>MMS32K 06P3</t>
  </si>
  <si>
    <t>MMS32K 0010</t>
  </si>
  <si>
    <t>MMS32K 0014</t>
  </si>
  <si>
    <t>MMS32K 0018</t>
  </si>
  <si>
    <t>MMS32K 0023</t>
  </si>
  <si>
    <t>MMS32K 0025</t>
  </si>
  <si>
    <t>MMS32K 0032</t>
  </si>
  <si>
    <t>мод_hy_HGD63</t>
  </si>
  <si>
    <t>диф_hy_HRO</t>
  </si>
  <si>
    <t>защ.двиг_hy_MMS32K</t>
  </si>
  <si>
    <t>лит_hy_HGP</t>
  </si>
  <si>
    <t>Г1</t>
  </si>
  <si>
    <t>Г2</t>
  </si>
  <si>
    <t>Горелка 1</t>
  </si>
  <si>
    <t>ЩУТ</t>
  </si>
  <si>
    <t>Щит учета тепла</t>
  </si>
  <si>
    <t>ШК1</t>
  </si>
  <si>
    <t>Шкаф управления котлом 1</t>
  </si>
  <si>
    <t>ШК2</t>
  </si>
  <si>
    <t>Шкаф управления котлом 2</t>
  </si>
  <si>
    <t>ЕК1</t>
  </si>
  <si>
    <t>Элеткробогрев дренажей газоходов</t>
  </si>
  <si>
    <t>ХВО</t>
  </si>
  <si>
    <t>Гр.1</t>
  </si>
  <si>
    <t>Гр.2</t>
  </si>
  <si>
    <t>Рабочее освещение группа 1</t>
  </si>
  <si>
    <t>Рабочее освещение группа 2</t>
  </si>
  <si>
    <t>А1</t>
  </si>
  <si>
    <t>А2</t>
  </si>
  <si>
    <t>Итого ВРУ</t>
  </si>
  <si>
    <t>ППУ</t>
  </si>
  <si>
    <t xml:space="preserve"> - рез</t>
  </si>
  <si>
    <t>%</t>
  </si>
  <si>
    <t>ШК3</t>
  </si>
  <si>
    <t>М11</t>
  </si>
  <si>
    <t>Г3</t>
  </si>
  <si>
    <t>ЩУГ</t>
  </si>
  <si>
    <t>Щит учета газа</t>
  </si>
  <si>
    <t>ЕК2</t>
  </si>
  <si>
    <t>Электрообогрев В1.1, В1.2 и Т96 (безнапорный слив из котельной)</t>
  </si>
  <si>
    <t>Секция шин 1 (максимальный режим работы секции (с учетом резервных ЭП))</t>
  </si>
  <si>
    <t>Регулироемое устройство компенсации реактивной мощности</t>
  </si>
  <si>
    <t>Секция шин 1 (максимальный режим работы секции (с учетом резервных ЭП)) с учетом УКРМ</t>
  </si>
  <si>
    <t>Секция шин 2 (максимальный режим работы секции (с учетом резервных ЭП))</t>
  </si>
  <si>
    <t>Секция шин 2 (максимальный режим работы секции (с учетом резервных ЭП)) с учетом УКРМ</t>
  </si>
  <si>
    <t>Один из вариантов распределения рабочих и резервных потребителей</t>
  </si>
  <si>
    <t>Секция шин 1 (нормальный режим (без учета резервных ЭП))</t>
  </si>
  <si>
    <t>Компенсация реактивной мощности</t>
  </si>
  <si>
    <t>Итого секция шин 1 (нормальный режим (без учета резервных ЭП)) с учетом УКРМ</t>
  </si>
  <si>
    <t>Секция шин 2 (нормальный режим (без учета резервных ЭП))</t>
  </si>
  <si>
    <t>Итого секция шин 2 (нормальный режим (без учета резервных ЭП)) с учетом УКРМ</t>
  </si>
  <si>
    <t>А3</t>
  </si>
  <si>
    <t>А4</t>
  </si>
  <si>
    <t>Вентилятор осевой с регулятором скорости</t>
  </si>
  <si>
    <t>Воздушно отопительный агрегат (раб.)</t>
  </si>
  <si>
    <t>Воздушно отопительный агрегат (рез.)</t>
  </si>
  <si>
    <t>П1</t>
  </si>
  <si>
    <t>П2</t>
  </si>
  <si>
    <t>П3</t>
  </si>
  <si>
    <t>П4</t>
  </si>
  <si>
    <t>Г4</t>
  </si>
  <si>
    <t>Горелка 3</t>
  </si>
  <si>
    <t>Горелка 4</t>
  </si>
  <si>
    <t>Шкаф управления котлом 3</t>
  </si>
  <si>
    <t>Шкаф управления котлом 4</t>
  </si>
  <si>
    <t>ШК4</t>
  </si>
  <si>
    <t>Насос циркуляции котла 1 (К4.1) (раб.)</t>
  </si>
  <si>
    <t>Насос циркуляции котла 2 (К4.2) (раб.)</t>
  </si>
  <si>
    <t>Насос циркуляции котла 3 (К4.3) (раб.)</t>
  </si>
  <si>
    <t>Насос циркуляции котла 4 (К4.4) (раб.)</t>
  </si>
  <si>
    <t>Сетевой насос системы теплоснабжения с ЧРП (К5.1) (раб.)</t>
  </si>
  <si>
    <t>Насос циркуляции ГВС внешний контур (К6.1) (раб.)</t>
  </si>
  <si>
    <t>Насос циркуляции ГВС внешний контур (К6.2) (рез.)</t>
  </si>
  <si>
    <t>Насос исходной воды с ЧРП (К8.1.) (раб.)</t>
  </si>
  <si>
    <t>Сетевой насос системы теплоснабжения с ЧРП (К5.2) (раб.)</t>
  </si>
  <si>
    <t>Сетевой насос системы теплоснабжения с ЧРП (К5.3) (рез.)</t>
  </si>
  <si>
    <t>Насос исходной воды с ЧРП (К8.2.) (рез.)</t>
  </si>
  <si>
    <t>М12</t>
  </si>
  <si>
    <t>М13</t>
  </si>
  <si>
    <t>ШСС</t>
  </si>
  <si>
    <t>Шкаф сетей связи</t>
  </si>
  <si>
    <t xml:space="preserve">Насос подпиточной воды </t>
  </si>
  <si>
    <t>Электрообогрев водостоков</t>
  </si>
  <si>
    <t>ЕК3</t>
  </si>
  <si>
    <t>ЕК4</t>
  </si>
  <si>
    <t>Водонагреватель</t>
  </si>
  <si>
    <t>Электроконвектор</t>
  </si>
  <si>
    <t>ВН</t>
  </si>
  <si>
    <t>М14</t>
  </si>
  <si>
    <t>Циркуляционный насос ГВС внутренний контур (К7.2)</t>
  </si>
  <si>
    <t>Циркуляционный насос ГВС внутренний контур (К7.1)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</si>
</sst>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b/>
      <u/>
      <sz val="14"/>
      <color theme="1"/>
      <name val="GOST type A"/>
      <family val="2"/>
      <charset val="204"/>
    </font>
    <font>
      <sz val="11"/>
      <color theme="1"/>
      <name val="GOST type A"/>
      <family val="2"/>
      <charset val="204"/>
    </font>
    <font>
      <sz val="10"/>
      <color theme="1"/>
      <name val="GOST type A"/>
      <family val="2"/>
      <charset val="204"/>
    </font>
    <font>
      <sz val="8"/>
      <color theme="1"/>
      <name val="GOST type A"/>
      <family val="2"/>
    </font>
    <font>
      <sz val="8"/>
      <color theme="1"/>
      <name val="GOST type A"/>
      <family val="2"/>
      <charset val="204"/>
    </font>
    <font>
      <sz val="11"/>
      <name val="GOST type A"/>
      <family val="2"/>
    </font>
    <font>
      <sz val="11"/>
      <color theme="1"/>
      <name val="GOST type A"/>
      <family val="2"/>
    </font>
    <font>
      <vertAlign val="subscript"/>
      <sz val="11"/>
      <color theme="1"/>
      <name val="GOST type A"/>
      <family val="2"/>
    </font>
    <font>
      <vertAlign val="superscript"/>
      <sz val="11"/>
      <color theme="1"/>
      <name val="GOST type A"/>
      <family val="2"/>
    </font>
    <font>
      <sz val="11"/>
      <color rgb="FF0070C0"/>
      <name val="GOST type A"/>
      <family val="2"/>
    </font>
    <font>
      <vertAlign val="superscript"/>
      <sz val="8"/>
      <color theme="1"/>
      <name val="GOST type A"/>
      <family val="2"/>
    </font>
    <font>
      <vertAlign val="subscript"/>
      <sz val="8"/>
      <color theme="1"/>
      <name val="GOST type A"/>
      <family val="2"/>
    </font>
    <font>
      <sz val="8"/>
      <color rgb="FF000000"/>
      <name val="GOST type A"/>
      <family val="2"/>
    </font>
    <font>
      <sz val="8"/>
      <color theme="1"/>
      <name val="Calibri"/>
      <family val="2"/>
      <scheme val="minor"/>
    </font>
    <font>
      <sz val="8"/>
      <color rgb="FFFF0000"/>
      <name val="GOST type A"/>
      <family val="2"/>
    </font>
    <font>
      <sz val="8"/>
      <color theme="1"/>
      <name val="Calibri"/>
      <family val="2"/>
      <charset val="204"/>
    </font>
    <font>
      <sz val="8"/>
      <name val="GOST type A"/>
      <family val="2"/>
    </font>
    <font>
      <sz val="8"/>
      <color rgb="FFFF0000"/>
      <name val="GOST type A"/>
      <family val="2"/>
      <charset val="204"/>
    </font>
    <font>
      <sz val="10"/>
      <name val="Calibri"/>
      <family val="2"/>
      <scheme val="minor"/>
    </font>
    <font>
      <sz val="10"/>
      <name val="GOST type A"/>
      <family val="2"/>
      <charset val="204"/>
    </font>
    <font>
      <sz val="10"/>
      <color theme="1"/>
      <name val="Calibri"/>
      <family val="2"/>
      <scheme val="minor"/>
    </font>
    <font>
      <sz val="10"/>
      <color theme="3" tint="0.39997558519241921"/>
      <name val="GOST type A"/>
      <family val="2"/>
      <charset val="204"/>
    </font>
    <font>
      <sz val="10"/>
      <color rgb="FF0070C0"/>
      <name val="GOST type A"/>
      <family val="2"/>
    </font>
    <font>
      <sz val="10"/>
      <name val="GOST type A"/>
      <family val="2"/>
    </font>
    <font>
      <sz val="8"/>
      <name val="Calibri"/>
      <family val="2"/>
      <scheme val="minor"/>
    </font>
    <font>
      <b/>
      <sz val="10"/>
      <color theme="1"/>
      <name val="GOST type A"/>
      <family val="2"/>
      <charset val="204"/>
    </font>
    <font>
      <sz val="1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0"/>
      <name val="GOST type A"/>
      <family val="2"/>
      <charset val="204"/>
    </font>
    <font>
      <sz val="9.5"/>
      <color theme="1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0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19" xfId="0" applyBorder="1"/>
    <xf numFmtId="0" fontId="0" fillId="0" borderId="7" xfId="0" applyBorder="1"/>
    <xf numFmtId="0" fontId="7" fillId="0" borderId="14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/>
    <xf numFmtId="0" fontId="0" fillId="0" borderId="14" xfId="0" applyBorder="1"/>
    <xf numFmtId="0" fontId="7" fillId="0" borderId="20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 textRotation="90"/>
    </xf>
    <xf numFmtId="0" fontId="7" fillId="0" borderId="10" xfId="0" applyFont="1" applyBorder="1" applyAlignment="1">
      <alignment horizontal="center" vertical="center" textRotation="90"/>
    </xf>
    <xf numFmtId="0" fontId="7" fillId="0" borderId="9" xfId="0" applyFont="1" applyBorder="1" applyAlignment="1">
      <alignment horizontal="center" vertical="center" textRotation="90"/>
    </xf>
    <xf numFmtId="0" fontId="7" fillId="0" borderId="17" xfId="0" applyFont="1" applyBorder="1" applyAlignment="1">
      <alignment horizontal="center" vertical="center"/>
    </xf>
    <xf numFmtId="0" fontId="0" fillId="0" borderId="17" xfId="0" applyBorder="1"/>
    <xf numFmtId="0" fontId="7" fillId="0" borderId="13" xfId="0" applyFont="1" applyBorder="1" applyAlignment="1">
      <alignment horizontal="center" vertical="center"/>
    </xf>
    <xf numFmtId="1" fontId="9" fillId="0" borderId="14" xfId="0" applyNumberFormat="1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center" vertical="center"/>
    </xf>
    <xf numFmtId="1" fontId="13" fillId="0" borderId="14" xfId="0" applyNumberFormat="1" applyFont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7" fillId="3" borderId="14" xfId="0" applyFont="1" applyFill="1" applyBorder="1" applyAlignment="1">
      <alignment horizontal="center" vertical="center" wrapText="1"/>
    </xf>
    <xf numFmtId="0" fontId="7" fillId="3" borderId="23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textRotation="90"/>
    </xf>
    <xf numFmtId="0" fontId="0" fillId="0" borderId="14" xfId="0" applyBorder="1" applyAlignment="1">
      <alignment horizontal="center" vertical="center"/>
    </xf>
    <xf numFmtId="0" fontId="7" fillId="0" borderId="14" xfId="0" applyFont="1" applyBorder="1" applyAlignment="1">
      <alignment horizontal="center" wrapText="1"/>
    </xf>
    <xf numFmtId="1" fontId="7" fillId="0" borderId="14" xfId="0" applyNumberFormat="1" applyFont="1" applyBorder="1" applyAlignment="1">
      <alignment horizontal="center" vertical="top" wrapText="1"/>
    </xf>
    <xf numFmtId="0" fontId="7" fillId="0" borderId="14" xfId="0" applyFont="1" applyBorder="1" applyAlignment="1">
      <alignment horizontal="center" vertical="top" wrapText="1"/>
    </xf>
    <xf numFmtId="0" fontId="7" fillId="0" borderId="0" xfId="0" applyFont="1" applyAlignment="1">
      <alignment vertical="center"/>
    </xf>
    <xf numFmtId="0" fontId="7" fillId="0" borderId="14" xfId="0" applyFont="1" applyBorder="1" applyAlignment="1">
      <alignment horizontal="center" vertical="center" textRotation="90"/>
    </xf>
    <xf numFmtId="164" fontId="16" fillId="0" borderId="14" xfId="0" applyNumberFormat="1" applyFont="1" applyBorder="1" applyAlignment="1">
      <alignment horizontal="center" vertical="center" wrapText="1"/>
    </xf>
    <xf numFmtId="165" fontId="16" fillId="0" borderId="14" xfId="0" applyNumberFormat="1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textRotation="90" wrapText="1"/>
    </xf>
    <xf numFmtId="2" fontId="10" fillId="0" borderId="14" xfId="0" applyNumberFormat="1" applyFont="1" applyBorder="1" applyAlignment="1" applyProtection="1">
      <alignment horizontal="center" vertical="center"/>
      <protection hidden="1"/>
    </xf>
    <xf numFmtId="1" fontId="10" fillId="0" borderId="14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" fontId="13" fillId="0" borderId="14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 textRotation="90" wrapText="1"/>
    </xf>
    <xf numFmtId="164" fontId="7" fillId="0" borderId="14" xfId="0" applyNumberFormat="1" applyFont="1" applyBorder="1" applyAlignment="1">
      <alignment horizontal="center" vertical="top" wrapText="1"/>
    </xf>
    <xf numFmtId="164" fontId="10" fillId="0" borderId="14" xfId="0" applyNumberFormat="1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2" fontId="9" fillId="0" borderId="14" xfId="0" applyNumberFormat="1" applyFont="1" applyBorder="1" applyAlignment="1" applyProtection="1">
      <alignment horizontal="center" vertical="center"/>
      <protection locked="0"/>
    </xf>
    <xf numFmtId="0" fontId="0" fillId="0" borderId="31" xfId="0" applyBorder="1"/>
    <xf numFmtId="0" fontId="17" fillId="0" borderId="3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1" fontId="9" fillId="0" borderId="23" xfId="0" applyNumberFormat="1" applyFont="1" applyBorder="1" applyAlignment="1" applyProtection="1">
      <alignment horizontal="center" vertical="center"/>
      <protection locked="0"/>
    </xf>
    <xf numFmtId="0" fontId="0" fillId="0" borderId="15" xfId="0" applyBorder="1"/>
    <xf numFmtId="0" fontId="0" fillId="0" borderId="16" xfId="0" applyBorder="1"/>
    <xf numFmtId="0" fontId="0" fillId="0" borderId="32" xfId="0" applyBorder="1"/>
    <xf numFmtId="0" fontId="7" fillId="0" borderId="13" xfId="0" applyFont="1" applyBorder="1" applyAlignment="1">
      <alignment horizontal="center" vertical="center" textRotation="90" wrapText="1"/>
    </xf>
    <xf numFmtId="0" fontId="7" fillId="0" borderId="17" xfId="0" applyFont="1" applyBorder="1" applyAlignment="1">
      <alignment horizontal="center" vertical="center" textRotation="90" wrapText="1"/>
    </xf>
    <xf numFmtId="1" fontId="13" fillId="0" borderId="13" xfId="0" applyNumberFormat="1" applyFont="1" applyBorder="1" applyAlignment="1" applyProtection="1">
      <alignment horizontal="center" vertical="center"/>
      <protection locked="0"/>
    </xf>
    <xf numFmtId="1" fontId="13" fillId="0" borderId="17" xfId="0" applyNumberFormat="1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>
      <alignment horizontal="center" vertical="center" textRotation="90" wrapText="1"/>
    </xf>
    <xf numFmtId="0" fontId="13" fillId="0" borderId="20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textRotation="90" wrapText="1"/>
    </xf>
    <xf numFmtId="2" fontId="10" fillId="0" borderId="13" xfId="0" applyNumberFormat="1" applyFont="1" applyBorder="1" applyAlignment="1" applyProtection="1">
      <alignment horizontal="center" vertical="center"/>
      <protection hidden="1"/>
    </xf>
    <xf numFmtId="2" fontId="10" fillId="0" borderId="17" xfId="0" applyNumberFormat="1" applyFont="1" applyBorder="1" applyAlignment="1" applyProtection="1">
      <alignment horizontal="center" vertical="center"/>
      <protection hidden="1"/>
    </xf>
    <xf numFmtId="0" fontId="6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textRotation="90" wrapText="1"/>
    </xf>
    <xf numFmtId="0" fontId="17" fillId="0" borderId="16" xfId="0" applyFont="1" applyBorder="1"/>
    <xf numFmtId="0" fontId="0" fillId="0" borderId="19" xfId="0" applyBorder="1" applyAlignment="1">
      <alignment horizontal="center" vertical="center"/>
    </xf>
    <xf numFmtId="1" fontId="0" fillId="0" borderId="19" xfId="0" applyNumberFormat="1" applyBorder="1"/>
    <xf numFmtId="0" fontId="0" fillId="0" borderId="33" xfId="0" applyBorder="1"/>
    <xf numFmtId="0" fontId="0" fillId="0" borderId="1" xfId="0" applyBorder="1"/>
    <xf numFmtId="0" fontId="0" fillId="0" borderId="34" xfId="0" applyBorder="1"/>
    <xf numFmtId="0" fontId="6" fillId="0" borderId="0" xfId="0" applyFont="1" applyAlignment="1">
      <alignment horizontal="center" vertical="center" textRotation="90" wrapText="1"/>
    </xf>
    <xf numFmtId="164" fontId="7" fillId="0" borderId="29" xfId="0" applyNumberFormat="1" applyFont="1" applyBorder="1" applyAlignment="1">
      <alignment horizontal="center" vertical="center"/>
    </xf>
    <xf numFmtId="164" fontId="7" fillId="0" borderId="13" xfId="0" applyNumberFormat="1" applyFont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2" fillId="0" borderId="2" xfId="0" applyFont="1" applyBorder="1"/>
    <xf numFmtId="0" fontId="0" fillId="0" borderId="16" xfId="0" applyBorder="1" applyAlignment="1">
      <alignment horizontal="center" vertical="center"/>
    </xf>
    <xf numFmtId="1" fontId="0" fillId="0" borderId="33" xfId="0" applyNumberFormat="1" applyBorder="1"/>
    <xf numFmtId="0" fontId="0" fillId="0" borderId="18" xfId="0" applyBorder="1" applyAlignment="1">
      <alignment horizontal="center" vertical="center"/>
    </xf>
    <xf numFmtId="0" fontId="0" fillId="0" borderId="30" xfId="0" applyBorder="1"/>
    <xf numFmtId="0" fontId="2" fillId="0" borderId="15" xfId="0" applyFont="1" applyBorder="1"/>
    <xf numFmtId="0" fontId="4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textRotation="90"/>
    </xf>
    <xf numFmtId="1" fontId="24" fillId="0" borderId="0" xfId="0" applyNumberFormat="1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" fontId="26" fillId="0" borderId="0" xfId="0" applyNumberFormat="1" applyFont="1" applyAlignment="1" applyProtection="1">
      <alignment horizontal="left" vertical="center"/>
      <protection locked="0"/>
    </xf>
    <xf numFmtId="1" fontId="27" fillId="0" borderId="0" xfId="0" applyNumberFormat="1" applyFont="1" applyAlignment="1" applyProtection="1">
      <alignment horizontal="left" vertical="center"/>
      <protection locked="0"/>
    </xf>
    <xf numFmtId="164" fontId="26" fillId="0" borderId="0" xfId="0" applyNumberFormat="1" applyFont="1" applyAlignment="1" applyProtection="1">
      <alignment horizontal="left" vertical="center"/>
      <protection locked="0"/>
    </xf>
    <xf numFmtId="0" fontId="0" fillId="0" borderId="12" xfId="0" applyBorder="1" applyAlignment="1">
      <alignment horizontal="center" textRotation="90"/>
    </xf>
    <xf numFmtId="0" fontId="22" fillId="0" borderId="14" xfId="0" applyFont="1" applyBorder="1" applyAlignment="1">
      <alignment horizontal="left" vertical="center"/>
    </xf>
    <xf numFmtId="1" fontId="23" fillId="0" borderId="14" xfId="0" applyNumberFormat="1" applyFont="1" applyBorder="1" applyAlignment="1">
      <alignment horizontal="left" vertical="center" wrapText="1"/>
    </xf>
    <xf numFmtId="2" fontId="23" fillId="0" borderId="14" xfId="0" applyNumberFormat="1" applyFont="1" applyBorder="1" applyAlignment="1">
      <alignment horizontal="left" vertical="center" wrapText="1"/>
    </xf>
    <xf numFmtId="2" fontId="23" fillId="0" borderId="14" xfId="0" applyNumberFormat="1" applyFont="1" applyBorder="1" applyAlignment="1">
      <alignment horizontal="left" vertical="center"/>
    </xf>
    <xf numFmtId="2" fontId="6" fillId="0" borderId="14" xfId="0" applyNumberFormat="1" applyFont="1" applyBorder="1" applyAlignment="1">
      <alignment horizontal="center" vertical="center" textRotation="90" wrapText="1"/>
    </xf>
    <xf numFmtId="2" fontId="0" fillId="0" borderId="0" xfId="0" applyNumberFormat="1"/>
    <xf numFmtId="49" fontId="5" fillId="0" borderId="14" xfId="0" applyNumberFormat="1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22" fillId="6" borderId="14" xfId="0" applyFont="1" applyFill="1" applyBorder="1" applyAlignment="1">
      <alignment horizontal="left" vertical="center"/>
    </xf>
    <xf numFmtId="49" fontId="23" fillId="0" borderId="14" xfId="0" applyNumberFormat="1" applyFont="1" applyBorder="1" applyAlignment="1">
      <alignment horizontal="left" vertical="center"/>
    </xf>
    <xf numFmtId="0" fontId="8" fillId="0" borderId="0" xfId="0" applyFont="1" applyAlignment="1">
      <alignment horizontal="center" vertical="center" textRotation="90"/>
    </xf>
    <xf numFmtId="0" fontId="8" fillId="0" borderId="0" xfId="0" applyFont="1" applyAlignment="1">
      <alignment horizontal="center" vertical="center" textRotation="90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19" xfId="0" applyFont="1" applyBorder="1" applyAlignment="1">
      <alignment horizontal="center" vertical="center" textRotation="90" wrapText="1"/>
    </xf>
    <xf numFmtId="0" fontId="8" fillId="0" borderId="19" xfId="0" applyFont="1" applyBorder="1" applyAlignment="1">
      <alignment horizontal="center" vertical="center" textRotation="90" wrapText="1"/>
    </xf>
    <xf numFmtId="0" fontId="6" fillId="0" borderId="7" xfId="0" applyFont="1" applyBorder="1" applyAlignment="1">
      <alignment horizontal="center" vertical="center" textRotation="90" wrapText="1"/>
    </xf>
    <xf numFmtId="0" fontId="0" fillId="4" borderId="0" xfId="0" applyFill="1"/>
    <xf numFmtId="1" fontId="23" fillId="0" borderId="14" xfId="0" applyNumberFormat="1" applyFont="1" applyBorder="1" applyAlignment="1">
      <alignment horizontal="left" vertical="center"/>
    </xf>
    <xf numFmtId="0" fontId="0" fillId="0" borderId="19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25" fillId="0" borderId="0" xfId="0" applyFont="1" applyAlignment="1">
      <alignment horizontal="left" vertical="center"/>
    </xf>
    <xf numFmtId="164" fontId="0" fillId="0" borderId="0" xfId="0" applyNumberFormat="1"/>
    <xf numFmtId="0" fontId="6" fillId="0" borderId="14" xfId="0" applyFont="1" applyBorder="1" applyAlignment="1">
      <alignment horizontal="left" vertical="center" textRotation="90" wrapText="1"/>
    </xf>
    <xf numFmtId="49" fontId="5" fillId="9" borderId="14" xfId="0" applyNumberFormat="1" applyFont="1" applyFill="1" applyBorder="1" applyAlignment="1">
      <alignment horizontal="left" vertical="center" wrapText="1"/>
    </xf>
    <xf numFmtId="0" fontId="22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1" fontId="23" fillId="0" borderId="0" xfId="0" applyNumberFormat="1" applyFont="1" applyAlignment="1">
      <alignment horizontal="left" vertical="center" wrapText="1"/>
    </xf>
    <xf numFmtId="2" fontId="23" fillId="0" borderId="0" xfId="0" applyNumberFormat="1" applyFont="1" applyAlignment="1">
      <alignment horizontal="left" vertical="center" wrapText="1"/>
    </xf>
    <xf numFmtId="2" fontId="30" fillId="0" borderId="0" xfId="0" applyNumberFormat="1" applyFont="1" applyAlignment="1">
      <alignment horizontal="left" vertical="center"/>
    </xf>
    <xf numFmtId="1" fontId="23" fillId="0" borderId="0" xfId="0" applyNumberFormat="1" applyFont="1" applyAlignment="1">
      <alignment horizontal="left" vertical="center"/>
    </xf>
    <xf numFmtId="2" fontId="23" fillId="0" borderId="0" xfId="0" applyNumberFormat="1" applyFont="1" applyAlignment="1">
      <alignment horizontal="left" vertical="center"/>
    </xf>
    <xf numFmtId="2" fontId="17" fillId="0" borderId="0" xfId="0" applyNumberFormat="1" applyFont="1"/>
    <xf numFmtId="0" fontId="6" fillId="0" borderId="0" xfId="0" applyFont="1" applyAlignment="1">
      <alignment horizontal="left" vertical="center" wrapText="1"/>
    </xf>
    <xf numFmtId="2" fontId="0" fillId="0" borderId="14" xfId="0" applyNumberFormat="1" applyBorder="1"/>
    <xf numFmtId="2" fontId="17" fillId="0" borderId="14" xfId="0" applyNumberFormat="1" applyFont="1" applyBorder="1"/>
    <xf numFmtId="0" fontId="6" fillId="0" borderId="0" xfId="0" applyFont="1" applyAlignment="1">
      <alignment horizontal="right" vertical="center" textRotation="90"/>
    </xf>
    <xf numFmtId="1" fontId="23" fillId="9" borderId="14" xfId="0" applyNumberFormat="1" applyFont="1" applyFill="1" applyBorder="1" applyAlignment="1">
      <alignment horizontal="left" vertical="center" wrapText="1"/>
    </xf>
    <xf numFmtId="0" fontId="6" fillId="9" borderId="14" xfId="0" applyFont="1" applyFill="1" applyBorder="1" applyAlignment="1">
      <alignment horizontal="left" vertical="center" wrapText="1"/>
    </xf>
    <xf numFmtId="0" fontId="0" fillId="10" borderId="14" xfId="0" applyFill="1" applyBorder="1"/>
    <xf numFmtId="0" fontId="23" fillId="10" borderId="14" xfId="0" applyFont="1" applyFill="1" applyBorder="1" applyAlignment="1">
      <alignment horizontal="left" vertical="center" wrapText="1"/>
    </xf>
    <xf numFmtId="0" fontId="0" fillId="11" borderId="14" xfId="0" applyFill="1" applyBorder="1"/>
    <xf numFmtId="0" fontId="23" fillId="11" borderId="14" xfId="0" applyFont="1" applyFill="1" applyBorder="1" applyAlignment="1">
      <alignment horizontal="left" vertical="center" wrapText="1"/>
    </xf>
    <xf numFmtId="0" fontId="32" fillId="12" borderId="14" xfId="0" applyFont="1" applyFill="1" applyBorder="1" applyAlignment="1">
      <alignment horizontal="left" vertical="center" wrapText="1"/>
    </xf>
    <xf numFmtId="1" fontId="23" fillId="10" borderId="14" xfId="0" applyNumberFormat="1" applyFont="1" applyFill="1" applyBorder="1" applyAlignment="1">
      <alignment horizontal="left" vertical="center" wrapText="1"/>
    </xf>
    <xf numFmtId="0" fontId="6" fillId="10" borderId="14" xfId="0" applyFont="1" applyFill="1" applyBorder="1" applyAlignment="1">
      <alignment horizontal="left" vertical="center" wrapText="1"/>
    </xf>
    <xf numFmtId="2" fontId="30" fillId="10" borderId="14" xfId="0" applyNumberFormat="1" applyFont="1" applyFill="1" applyBorder="1" applyAlignment="1">
      <alignment horizontal="left" vertical="center"/>
    </xf>
    <xf numFmtId="1" fontId="23" fillId="10" borderId="14" xfId="0" applyNumberFormat="1" applyFont="1" applyFill="1" applyBorder="1" applyAlignment="1">
      <alignment horizontal="left" vertical="center"/>
    </xf>
    <xf numFmtId="2" fontId="23" fillId="10" borderId="14" xfId="0" applyNumberFormat="1" applyFont="1" applyFill="1" applyBorder="1" applyAlignment="1">
      <alignment horizontal="left" vertical="center"/>
    </xf>
    <xf numFmtId="2" fontId="23" fillId="10" borderId="14" xfId="0" applyNumberFormat="1" applyFont="1" applyFill="1" applyBorder="1" applyAlignment="1">
      <alignment horizontal="left" vertical="center" wrapText="1"/>
    </xf>
    <xf numFmtId="1" fontId="23" fillId="11" borderId="14" xfId="0" applyNumberFormat="1" applyFont="1" applyFill="1" applyBorder="1" applyAlignment="1">
      <alignment horizontal="left" vertical="center" wrapText="1"/>
    </xf>
    <xf numFmtId="0" fontId="6" fillId="11" borderId="14" xfId="0" applyFont="1" applyFill="1" applyBorder="1" applyAlignment="1">
      <alignment horizontal="left" vertical="center" wrapText="1"/>
    </xf>
    <xf numFmtId="2" fontId="30" fillId="11" borderId="14" xfId="0" applyNumberFormat="1" applyFont="1" applyFill="1" applyBorder="1" applyAlignment="1">
      <alignment horizontal="left" vertical="center"/>
    </xf>
    <xf numFmtId="1" fontId="23" fillId="11" borderId="14" xfId="0" applyNumberFormat="1" applyFont="1" applyFill="1" applyBorder="1" applyAlignment="1">
      <alignment horizontal="left" vertical="center"/>
    </xf>
    <xf numFmtId="2" fontId="23" fillId="11" borderId="14" xfId="0" applyNumberFormat="1" applyFont="1" applyFill="1" applyBorder="1" applyAlignment="1">
      <alignment horizontal="left" vertical="center"/>
    </xf>
    <xf numFmtId="2" fontId="23" fillId="11" borderId="14" xfId="0" applyNumberFormat="1" applyFont="1" applyFill="1" applyBorder="1" applyAlignment="1">
      <alignment horizontal="left" vertical="center" wrapText="1"/>
    </xf>
    <xf numFmtId="1" fontId="23" fillId="12" borderId="14" xfId="0" applyNumberFormat="1" applyFont="1" applyFill="1" applyBorder="1" applyAlignment="1">
      <alignment horizontal="left" vertical="center" wrapText="1"/>
    </xf>
    <xf numFmtId="0" fontId="6" fillId="12" borderId="14" xfId="0" applyFont="1" applyFill="1" applyBorder="1" applyAlignment="1">
      <alignment horizontal="left" vertical="center" wrapText="1"/>
    </xf>
    <xf numFmtId="2" fontId="23" fillId="12" borderId="14" xfId="0" applyNumberFormat="1" applyFont="1" applyFill="1" applyBorder="1" applyAlignment="1">
      <alignment horizontal="left" vertical="center" wrapText="1"/>
    </xf>
    <xf numFmtId="2" fontId="30" fillId="12" borderId="14" xfId="0" applyNumberFormat="1" applyFont="1" applyFill="1" applyBorder="1" applyAlignment="1">
      <alignment horizontal="left" vertical="center"/>
    </xf>
    <xf numFmtId="1" fontId="23" fillId="12" borderId="14" xfId="0" applyNumberFormat="1" applyFont="1" applyFill="1" applyBorder="1" applyAlignment="1">
      <alignment horizontal="left" vertical="center"/>
    </xf>
    <xf numFmtId="2" fontId="32" fillId="10" borderId="14" xfId="0" applyNumberFormat="1" applyFont="1" applyFill="1" applyBorder="1" applyAlignment="1">
      <alignment horizontal="left" vertical="center"/>
    </xf>
    <xf numFmtId="2" fontId="32" fillId="10" borderId="14" xfId="0" applyNumberFormat="1" applyFont="1" applyFill="1" applyBorder="1" applyAlignment="1">
      <alignment horizontal="left" vertical="center" wrapText="1"/>
    </xf>
    <xf numFmtId="1" fontId="32" fillId="10" borderId="14" xfId="0" applyNumberFormat="1" applyFont="1" applyFill="1" applyBorder="1" applyAlignment="1">
      <alignment horizontal="left" vertical="center" wrapText="1"/>
    </xf>
    <xf numFmtId="1" fontId="32" fillId="10" borderId="14" xfId="0" applyNumberFormat="1" applyFont="1" applyFill="1" applyBorder="1" applyAlignment="1">
      <alignment horizontal="left" vertical="center"/>
    </xf>
    <xf numFmtId="2" fontId="32" fillId="11" borderId="14" xfId="0" applyNumberFormat="1" applyFont="1" applyFill="1" applyBorder="1" applyAlignment="1">
      <alignment horizontal="left" vertical="center"/>
    </xf>
    <xf numFmtId="2" fontId="32" fillId="11" borderId="14" xfId="0" applyNumberFormat="1" applyFont="1" applyFill="1" applyBorder="1" applyAlignment="1">
      <alignment horizontal="left" vertical="center" wrapText="1"/>
    </xf>
    <xf numFmtId="1" fontId="32" fillId="11" borderId="14" xfId="0" applyNumberFormat="1" applyFont="1" applyFill="1" applyBorder="1" applyAlignment="1">
      <alignment horizontal="left" vertical="center" wrapText="1"/>
    </xf>
    <xf numFmtId="1" fontId="32" fillId="11" borderId="14" xfId="0" applyNumberFormat="1" applyFont="1" applyFill="1" applyBorder="1" applyAlignment="1">
      <alignment horizontal="left" vertical="center"/>
    </xf>
    <xf numFmtId="2" fontId="32" fillId="12" borderId="14" xfId="0" applyNumberFormat="1" applyFont="1" applyFill="1" applyBorder="1" applyAlignment="1">
      <alignment horizontal="left" vertical="center"/>
    </xf>
    <xf numFmtId="2" fontId="32" fillId="12" borderId="14" xfId="0" applyNumberFormat="1" applyFont="1" applyFill="1" applyBorder="1" applyAlignment="1">
      <alignment horizontal="left" vertical="center" wrapText="1"/>
    </xf>
    <xf numFmtId="1" fontId="32" fillId="12" borderId="14" xfId="0" applyNumberFormat="1" applyFont="1" applyFill="1" applyBorder="1" applyAlignment="1">
      <alignment horizontal="left" vertical="center" wrapText="1"/>
    </xf>
    <xf numFmtId="1" fontId="32" fillId="12" borderId="14" xfId="0" applyNumberFormat="1" applyFont="1" applyFill="1" applyBorder="1" applyAlignment="1">
      <alignment horizontal="left" vertical="center"/>
    </xf>
    <xf numFmtId="2" fontId="23" fillId="9" borderId="14" xfId="0" applyNumberFormat="1" applyFont="1" applyFill="1" applyBorder="1" applyAlignment="1">
      <alignment horizontal="left" vertical="center" wrapText="1"/>
    </xf>
    <xf numFmtId="2" fontId="23" fillId="10" borderId="14" xfId="0" applyNumberFormat="1" applyFont="1" applyFill="1" applyBorder="1" applyAlignment="1">
      <alignment horizontal="center" vertical="center"/>
    </xf>
    <xf numFmtId="2" fontId="32" fillId="10" borderId="14" xfId="0" applyNumberFormat="1" applyFont="1" applyFill="1" applyBorder="1" applyAlignment="1">
      <alignment horizontal="center" vertical="center"/>
    </xf>
    <xf numFmtId="2" fontId="23" fillId="11" borderId="14" xfId="0" applyNumberFormat="1" applyFont="1" applyFill="1" applyBorder="1" applyAlignment="1">
      <alignment horizontal="center" vertical="center"/>
    </xf>
    <xf numFmtId="2" fontId="32" fillId="11" borderId="14" xfId="0" applyNumberFormat="1" applyFont="1" applyFill="1" applyBorder="1" applyAlignment="1">
      <alignment horizontal="center" vertical="center"/>
    </xf>
    <xf numFmtId="2" fontId="32" fillId="12" borderId="14" xfId="0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31" fillId="0" borderId="35" xfId="0" applyFont="1" applyBorder="1" applyAlignment="1">
      <alignment horizontal="center" vertical="center" textRotation="90" wrapText="1"/>
    </xf>
    <xf numFmtId="0" fontId="31" fillId="0" borderId="36" xfId="0" applyFont="1" applyBorder="1" applyAlignment="1">
      <alignment horizontal="center" vertical="center" textRotation="90" wrapText="1"/>
    </xf>
    <xf numFmtId="0" fontId="31" fillId="0" borderId="31" xfId="0" applyFont="1" applyBorder="1" applyAlignment="1">
      <alignment horizontal="center" vertical="center" textRotation="90" wrapText="1"/>
    </xf>
    <xf numFmtId="0" fontId="31" fillId="0" borderId="37" xfId="0" applyFont="1" applyBorder="1" applyAlignment="1">
      <alignment horizontal="center" vertical="center" textRotation="90" wrapText="1"/>
    </xf>
    <xf numFmtId="0" fontId="31" fillId="0" borderId="26" xfId="0" applyFont="1" applyBorder="1" applyAlignment="1">
      <alignment horizontal="center" vertical="center" textRotation="90" wrapText="1"/>
    </xf>
    <xf numFmtId="0" fontId="31" fillId="0" borderId="25" xfId="0" applyFont="1" applyBorder="1" applyAlignment="1">
      <alignment horizontal="center" vertical="center" textRotation="90" wrapText="1"/>
    </xf>
    <xf numFmtId="0" fontId="0" fillId="0" borderId="6" xfId="0" applyBorder="1" applyAlignment="1">
      <alignment horizontal="center" textRotation="90"/>
    </xf>
    <xf numFmtId="0" fontId="8" fillId="0" borderId="1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29" fillId="7" borderId="19" xfId="0" applyFont="1" applyFill="1" applyBorder="1" applyAlignment="1">
      <alignment horizontal="center" vertical="center" wrapText="1"/>
    </xf>
    <xf numFmtId="0" fontId="29" fillId="7" borderId="0" xfId="0" applyFont="1" applyFill="1" applyAlignment="1">
      <alignment horizontal="center" vertical="center" wrapText="1"/>
    </xf>
    <xf numFmtId="0" fontId="29" fillId="7" borderId="7" xfId="0" applyFont="1" applyFill="1" applyBorder="1" applyAlignment="1">
      <alignment horizontal="center" vertical="center" wrapText="1"/>
    </xf>
    <xf numFmtId="0" fontId="29" fillId="5" borderId="19" xfId="0" applyFont="1" applyFill="1" applyBorder="1" applyAlignment="1">
      <alignment horizontal="center" vertical="center" wrapText="1"/>
    </xf>
    <xf numFmtId="0" fontId="29" fillId="5" borderId="0" xfId="0" applyFont="1" applyFill="1" applyAlignment="1">
      <alignment horizontal="center" vertical="center" wrapText="1"/>
    </xf>
    <xf numFmtId="0" fontId="29" fillId="5" borderId="7" xfId="0" applyFont="1" applyFill="1" applyBorder="1" applyAlignment="1">
      <alignment horizontal="center" vertical="center" wrapText="1"/>
    </xf>
    <xf numFmtId="0" fontId="29" fillId="8" borderId="19" xfId="0" applyFont="1" applyFill="1" applyBorder="1" applyAlignment="1">
      <alignment horizontal="center" vertical="center" wrapText="1"/>
    </xf>
    <xf numFmtId="0" fontId="29" fillId="8" borderId="0" xfId="0" applyFont="1" applyFill="1" applyAlignment="1">
      <alignment horizontal="center" vertical="center" wrapText="1"/>
    </xf>
    <xf numFmtId="0" fontId="29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textRotation="90" wrapText="1"/>
    </xf>
    <xf numFmtId="0" fontId="20" fillId="0" borderId="14" xfId="0" applyFont="1" applyBorder="1" applyAlignment="1">
      <alignment horizontal="center" vertical="center" textRotation="90"/>
    </xf>
    <xf numFmtId="0" fontId="20" fillId="0" borderId="23" xfId="0" applyFont="1" applyBorder="1" applyAlignment="1">
      <alignment horizontal="center" vertical="center" textRotation="90" wrapText="1"/>
    </xf>
    <xf numFmtId="0" fontId="10" fillId="0" borderId="23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textRotation="90" wrapText="1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 textRotation="90" wrapText="1"/>
    </xf>
    <xf numFmtId="0" fontId="7" fillId="0" borderId="20" xfId="0" applyFont="1" applyBorder="1" applyAlignment="1">
      <alignment horizontal="center" vertical="center" textRotation="90" wrapText="1"/>
    </xf>
    <xf numFmtId="0" fontId="7" fillId="0" borderId="14" xfId="0" applyFont="1" applyBorder="1" applyAlignment="1">
      <alignment horizontal="center" wrapText="1"/>
    </xf>
    <xf numFmtId="0" fontId="0" fillId="0" borderId="27" xfId="0" applyBorder="1" applyAlignment="1">
      <alignment horizontal="center"/>
    </xf>
    <xf numFmtId="0" fontId="7" fillId="3" borderId="23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/>
    </xf>
    <xf numFmtId="0" fontId="7" fillId="3" borderId="25" xfId="0" applyFont="1" applyFill="1" applyBorder="1" applyAlignment="1">
      <alignment horizontal="center" vertical="center" wrapText="1"/>
    </xf>
    <xf numFmtId="0" fontId="7" fillId="0" borderId="24" xfId="0" applyFont="1" applyBorder="1" applyAlignment="1">
      <alignment horizontal="center" textRotation="90" wrapText="1"/>
    </xf>
    <xf numFmtId="0" fontId="7" fillId="0" borderId="12" xfId="0" applyFont="1" applyBorder="1" applyAlignment="1">
      <alignment horizontal="center" textRotation="90" wrapText="1"/>
    </xf>
    <xf numFmtId="0" fontId="7" fillId="0" borderId="22" xfId="0" applyFont="1" applyBorder="1" applyAlignment="1">
      <alignment horizontal="center" vertical="center" textRotation="90"/>
    </xf>
    <xf numFmtId="0" fontId="7" fillId="0" borderId="5" xfId="0" applyFont="1" applyBorder="1" applyAlignment="1">
      <alignment horizontal="center" vertical="center" textRotation="90"/>
    </xf>
    <xf numFmtId="0" fontId="7" fillId="0" borderId="11" xfId="0" applyFont="1" applyBorder="1" applyAlignment="1">
      <alignment horizontal="center" vertical="center" textRotation="90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Обычный" xfId="0" builtinId="0"/>
  </cellStyles>
  <dxfs count="3"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6</xdr:col>
      <xdr:colOff>342900</xdr:colOff>
      <xdr:row>37</xdr:row>
      <xdr:rowOff>161925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F29E81F-B362-4A07-8DFD-C97747173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525"/>
          <a:ext cx="4143375" cy="495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123826</xdr:colOff>
      <xdr:row>18</xdr:row>
      <xdr:rowOff>19050</xdr:rowOff>
    </xdr:from>
    <xdr:to>
      <xdr:col>12</xdr:col>
      <xdr:colOff>352426</xdr:colOff>
      <xdr:row>35</xdr:row>
      <xdr:rowOff>31134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4966DDA-D7F0-4096-84B4-733B6514D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4401" y="3457575"/>
          <a:ext cx="3752850" cy="32601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5"/>
  <dimension ref="A1:AL4"/>
  <sheetViews>
    <sheetView workbookViewId="0">
      <selection activeCell="W10" sqref="W10"/>
    </sheetView>
  </sheetViews>
  <sheetFormatPr defaultRowHeight="14.5" outlineLevelCol="1"/>
  <cols>
    <col min="1" max="1" width="4" customWidth="1"/>
    <col min="2" max="2" width="13.26953125" customWidth="1"/>
    <col min="3" max="4" width="6.1796875" customWidth="1"/>
    <col min="5" max="5" width="6.1796875" customWidth="1" outlineLevel="1"/>
    <col min="6" max="6" width="13.1796875" style="3" customWidth="1"/>
    <col min="7" max="7" width="24.26953125" customWidth="1"/>
    <col min="8" max="10" width="5" customWidth="1"/>
    <col min="11" max="13" width="6.81640625" customWidth="1" outlineLevel="1"/>
    <col min="14" max="14" width="7.1796875" customWidth="1" outlineLevel="1"/>
    <col min="15" max="15" width="7.1796875" style="4" customWidth="1"/>
    <col min="16" max="16" width="5.453125" style="3" customWidth="1"/>
    <col min="17" max="17" width="5.453125" customWidth="1"/>
    <col min="18" max="18" width="7" style="4" customWidth="1"/>
    <col min="19" max="22" width="4.7265625" customWidth="1"/>
    <col min="26" max="26" width="7.7265625" customWidth="1"/>
    <col min="27" max="27" width="5.7265625" customWidth="1"/>
    <col min="28" max="28" width="5.54296875" customWidth="1"/>
    <col min="29" max="29" width="4.81640625" customWidth="1"/>
    <col min="30" max="30" width="5.7265625" customWidth="1"/>
    <col min="31" max="31" width="7.7265625" customWidth="1"/>
    <col min="32" max="34" width="5.7265625" customWidth="1"/>
    <col min="35" max="35" width="4.453125" customWidth="1"/>
    <col min="36" max="36" width="6.453125" customWidth="1"/>
    <col min="37" max="37" width="5.7265625" customWidth="1"/>
    <col min="38" max="38" width="7.453125" customWidth="1"/>
  </cols>
  <sheetData>
    <row r="1" spans="1:38" ht="88.5" customHeight="1">
      <c r="F1" s="51"/>
      <c r="G1" s="52"/>
      <c r="H1" s="52"/>
      <c r="I1" s="52"/>
      <c r="J1" s="52"/>
      <c r="K1" s="52"/>
      <c r="L1" s="52"/>
      <c r="M1" s="52"/>
      <c r="N1" s="52"/>
      <c r="O1" s="53"/>
      <c r="P1" s="51"/>
      <c r="Q1" s="52"/>
      <c r="R1" s="53"/>
      <c r="S1" s="40" t="s">
        <v>247</v>
      </c>
      <c r="T1" s="40" t="s">
        <v>248</v>
      </c>
      <c r="U1" s="40"/>
      <c r="V1" s="40"/>
      <c r="W1" s="40" t="s">
        <v>249</v>
      </c>
      <c r="X1" s="40" t="s">
        <v>250</v>
      </c>
      <c r="Y1" s="40" t="s">
        <v>251</v>
      </c>
      <c r="Z1" s="40" t="s">
        <v>252</v>
      </c>
      <c r="AA1" s="40"/>
      <c r="AB1" s="40"/>
      <c r="AC1" s="40"/>
      <c r="AD1" s="40" t="s">
        <v>253</v>
      </c>
      <c r="AE1" s="40"/>
      <c r="AF1" s="40"/>
      <c r="AG1" s="40" t="s">
        <v>254</v>
      </c>
      <c r="AH1" s="40"/>
      <c r="AI1" s="40"/>
      <c r="AJ1" s="40"/>
      <c r="AK1" s="40" t="s">
        <v>253</v>
      </c>
      <c r="AL1" s="40"/>
    </row>
    <row r="2" spans="1:38" ht="33.75" customHeight="1">
      <c r="A2" s="197" t="s">
        <v>277</v>
      </c>
      <c r="B2" s="197" t="s">
        <v>30</v>
      </c>
      <c r="C2" s="199" t="s">
        <v>279</v>
      </c>
      <c r="D2" s="204" t="s">
        <v>278</v>
      </c>
      <c r="E2" s="200" t="s">
        <v>226</v>
      </c>
      <c r="F2" s="209" t="s">
        <v>216</v>
      </c>
      <c r="G2" s="208"/>
      <c r="H2" s="208"/>
      <c r="I2" s="208"/>
      <c r="J2" s="208"/>
      <c r="K2" s="208"/>
      <c r="L2" s="208"/>
      <c r="M2" s="208"/>
      <c r="N2" s="208"/>
      <c r="O2" s="210"/>
      <c r="P2" s="205" t="s">
        <v>227</v>
      </c>
      <c r="Q2" s="206"/>
      <c r="R2" s="207"/>
      <c r="S2" s="208" t="s">
        <v>228</v>
      </c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1" t="s">
        <v>229</v>
      </c>
      <c r="AH2" s="202"/>
      <c r="AI2" s="202"/>
      <c r="AJ2" s="202"/>
      <c r="AK2" s="202"/>
      <c r="AL2" s="203"/>
    </row>
    <row r="3" spans="1:38" ht="186.5">
      <c r="A3" s="197"/>
      <c r="B3" s="197"/>
      <c r="C3" s="199"/>
      <c r="D3" s="204"/>
      <c r="E3" s="200"/>
      <c r="F3" s="54" t="s">
        <v>217</v>
      </c>
      <c r="G3" s="35" t="s">
        <v>218</v>
      </c>
      <c r="H3" s="35" t="s">
        <v>219</v>
      </c>
      <c r="I3" s="35" t="s">
        <v>215</v>
      </c>
      <c r="J3" s="35" t="s">
        <v>224</v>
      </c>
      <c r="K3" s="35" t="s">
        <v>220</v>
      </c>
      <c r="L3" s="35" t="s">
        <v>221</v>
      </c>
      <c r="M3" s="35" t="s">
        <v>222</v>
      </c>
      <c r="N3" s="35" t="s">
        <v>225</v>
      </c>
      <c r="O3" s="55" t="s">
        <v>223</v>
      </c>
      <c r="P3" s="60" t="s">
        <v>230</v>
      </c>
      <c r="Q3" s="49" t="s">
        <v>231</v>
      </c>
      <c r="R3" s="61" t="s">
        <v>232</v>
      </c>
      <c r="S3" s="58" t="s">
        <v>233</v>
      </c>
      <c r="T3" s="35" t="s">
        <v>234</v>
      </c>
      <c r="U3" s="35" t="s">
        <v>235</v>
      </c>
      <c r="V3" s="35" t="s">
        <v>236</v>
      </c>
      <c r="W3" s="35" t="s">
        <v>237</v>
      </c>
      <c r="X3" s="35" t="s">
        <v>238</v>
      </c>
      <c r="Y3" s="35" t="s">
        <v>239</v>
      </c>
      <c r="Z3" s="35" t="s">
        <v>280</v>
      </c>
      <c r="AA3" s="35" t="s">
        <v>283</v>
      </c>
      <c r="AB3" s="35" t="s">
        <v>282</v>
      </c>
      <c r="AC3" s="35" t="s">
        <v>281</v>
      </c>
      <c r="AD3" s="35" t="s">
        <v>285</v>
      </c>
      <c r="AE3" s="211" t="s">
        <v>242</v>
      </c>
      <c r="AF3" s="212"/>
      <c r="AG3" s="35" t="s">
        <v>243</v>
      </c>
      <c r="AH3" s="35" t="s">
        <v>240</v>
      </c>
      <c r="AI3" s="35" t="s">
        <v>282</v>
      </c>
      <c r="AJ3" s="35" t="s">
        <v>241</v>
      </c>
      <c r="AK3" s="35" t="s">
        <v>284</v>
      </c>
      <c r="AL3" s="35" t="s">
        <v>244</v>
      </c>
    </row>
    <row r="4" spans="1:38" ht="25">
      <c r="A4" s="64"/>
      <c r="B4" s="19" t="s">
        <v>276</v>
      </c>
      <c r="C4" s="18" t="e">
        <f>расчет!#REF!</f>
        <v>#REF!</v>
      </c>
      <c r="D4" s="44" t="e">
        <f>#REF!</f>
        <v>#REF!</v>
      </c>
      <c r="E4" s="50">
        <v>400</v>
      </c>
      <c r="F4" s="56" t="e">
        <f>расчет!#REF!</f>
        <v>#REF!</v>
      </c>
      <c r="G4" s="56" t="e">
        <f>расчет!#REF!</f>
        <v>#REF!</v>
      </c>
      <c r="H4" s="56" t="e">
        <f>расчет!#REF!</f>
        <v>#REF!</v>
      </c>
      <c r="I4" s="56" t="e">
        <f>расчет!#REF!</f>
        <v>#REF!</v>
      </c>
      <c r="J4" s="56" t="e">
        <f>расчет!#REF!</f>
        <v>#REF!</v>
      </c>
      <c r="K4" s="21">
        <v>1</v>
      </c>
      <c r="L4" s="21">
        <v>1</v>
      </c>
      <c r="M4" s="21">
        <v>1</v>
      </c>
      <c r="N4" s="18" t="e">
        <f t="shared" ref="N4" si="0">J4*K4*L4*M4</f>
        <v>#REF!</v>
      </c>
      <c r="O4" s="57">
        <v>100</v>
      </c>
      <c r="P4" s="62" t="e">
        <f>(HLOOKUP(F4,каталог!$CG$42:$CO$60,MATCH(I4,каталог!$CF$42:$CF$60,0),0))/G4</f>
        <v>#REF!</v>
      </c>
      <c r="Q4" s="36" t="e">
        <f>(HLOOKUP(F4,каталог!$CS$42:$DA$57,MATCH(I4,каталог!$CR$42:$CR$57,0),0))/G4</f>
        <v>#REF!</v>
      </c>
      <c r="R4" s="63" t="e">
        <f>IF(расчет!#REF!=380,ROUND((1.732*C4*(P4*#REF!+Q4*SQRT(1-#REF!^2))*(O4/1000)*100)/#REF!,2),ROUND((2*C4*(P4*#REF!+Q4*SQRT(1-#REF!^2))*(O4/1000)*100)/#REF!,2))</f>
        <v>#REF!</v>
      </c>
      <c r="S4" s="59">
        <v>25</v>
      </c>
      <c r="T4" s="38">
        <v>70</v>
      </c>
      <c r="U4" s="38">
        <v>20</v>
      </c>
      <c r="V4" s="37" t="e">
        <f t="shared" ref="V4" si="1">U4+(T4-S4)*(C4/N4)^2</f>
        <v>#REF!</v>
      </c>
      <c r="W4" s="49">
        <v>0.02</v>
      </c>
      <c r="X4" s="38">
        <v>19.579999999999998</v>
      </c>
      <c r="Y4" s="39">
        <v>228</v>
      </c>
      <c r="Z4" s="38">
        <v>0.1</v>
      </c>
      <c r="AA4" s="42" t="e">
        <f t="shared" ref="AA4" si="2">D4^2*(Z4+W4*(1-EXP(-(2*Z4)/W4)))</f>
        <v>#REF!</v>
      </c>
      <c r="AB4" s="42" t="e">
        <f t="shared" ref="AB4" si="3">(X4*AA4)/(I4*G4)^2</f>
        <v>#REF!</v>
      </c>
      <c r="AC4" s="37" t="e">
        <f t="shared" ref="AC4" si="4">V4*EXP(AB4)+Y4*(EXP(AB4)-1)</f>
        <v>#REF!</v>
      </c>
      <c r="AD4" s="39">
        <v>160</v>
      </c>
      <c r="AE4" s="39" t="e">
        <f t="shared" ref="AE4" si="5">CONCATENATE(ROUND(AC4,),"&lt;",AD4)</f>
        <v>#REF!</v>
      </c>
      <c r="AF4" s="37" t="e">
        <f t="shared" ref="AF4" si="6">IF(AC4&lt;AD4,"ДА","НЕТ")</f>
        <v>#REF!</v>
      </c>
      <c r="AG4" s="38">
        <v>0.2</v>
      </c>
      <c r="AH4" s="42" t="e">
        <f t="shared" ref="AH4" si="7">D4^2*(AG4+W4*(1-EXP(-(2*AG4)/W4)))</f>
        <v>#REF!</v>
      </c>
      <c r="AI4" s="42" t="e">
        <f t="shared" ref="AI4" si="8">(X4*AH4)/(I4*G4)^2</f>
        <v>#REF!</v>
      </c>
      <c r="AJ4" s="37" t="e">
        <f>V4*EXP(AI4)+Y4*(EXP(AI4)-1)</f>
        <v>#REF!</v>
      </c>
      <c r="AK4" s="39">
        <v>350</v>
      </c>
      <c r="AL4" s="49" t="e">
        <f t="shared" ref="AL4" si="9">IF(AJ4&lt;AK4,"ДА","НЕТ")</f>
        <v>#REF!</v>
      </c>
    </row>
  </sheetData>
  <mergeCells count="10">
    <mergeCell ref="A2:A3"/>
    <mergeCell ref="B2:B3"/>
    <mergeCell ref="C2:C3"/>
    <mergeCell ref="E2:E3"/>
    <mergeCell ref="AG2:AL2"/>
    <mergeCell ref="D2:D3"/>
    <mergeCell ref="P2:R2"/>
    <mergeCell ref="S2:AF2"/>
    <mergeCell ref="F2:O2"/>
    <mergeCell ref="AE3:AF3"/>
  </mergeCells>
  <conditionalFormatting sqref="AF4">
    <cfRule type="expression" dxfId="2" priority="1">
      <formula>AC4&gt;AD4</formula>
    </cfRule>
  </conditionalFormatting>
  <conditionalFormatting sqref="AL4">
    <cfRule type="expression" dxfId="1" priority="13">
      <formula>AJ4&gt;AK4</formula>
    </cfRule>
  </conditionalFormatting>
  <dataValidations count="1">
    <dataValidation type="list" allowBlank="1" showInputMessage="1" showErrorMessage="1" sqref="F4:J4" xr:uid="{00000000-0002-0000-0000-000000000000}">
      <formula1>Тип_кабеля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6"/>
  <dimension ref="A1:DJ85"/>
  <sheetViews>
    <sheetView topLeftCell="BU1" zoomScale="115" zoomScaleNormal="115" workbookViewId="0">
      <selection activeCell="F22" sqref="F22:F23"/>
    </sheetView>
  </sheetViews>
  <sheetFormatPr defaultRowHeight="14.5"/>
  <cols>
    <col min="1" max="1" width="10.81640625" style="3" customWidth="1"/>
    <col min="2" max="3" width="10.453125" customWidth="1"/>
    <col min="4" max="4" width="10.453125" style="4" customWidth="1"/>
    <col min="5" max="5" width="4.81640625" style="8" customWidth="1"/>
    <col min="6" max="6" width="3.7265625" style="3" customWidth="1"/>
    <col min="7" max="14" width="3" customWidth="1"/>
    <col min="15" max="18" width="4" customWidth="1"/>
    <col min="19" max="19" width="4.453125" customWidth="1"/>
    <col min="20" max="25" width="4.7265625" customWidth="1"/>
    <col min="26" max="31" width="3" customWidth="1"/>
    <col min="32" max="34" width="3.54296875" customWidth="1"/>
    <col min="35" max="66" width="3" customWidth="1"/>
    <col min="67" max="81" width="4" customWidth="1"/>
    <col min="82" max="82" width="4" style="4" customWidth="1"/>
    <col min="83" max="83" width="11.1796875" customWidth="1"/>
    <col min="84" max="93" width="4.26953125" customWidth="1"/>
    <col min="94" max="94" width="3.1796875" customWidth="1"/>
    <col min="95" max="101" width="5" customWidth="1"/>
    <col min="102" max="102" width="4.81640625" customWidth="1"/>
    <col min="103" max="103" width="6.1796875" customWidth="1"/>
    <col min="104" max="107" width="5.1796875" customWidth="1"/>
    <col min="110" max="110" width="9.1796875" style="45"/>
    <col min="112" max="112" width="11.453125" customWidth="1"/>
  </cols>
  <sheetData>
    <row r="1" spans="1:114" s="2" customFormat="1" ht="73">
      <c r="A1" s="6" t="s">
        <v>28</v>
      </c>
      <c r="B1" s="10" t="s">
        <v>93</v>
      </c>
      <c r="C1" s="10" t="s">
        <v>94</v>
      </c>
      <c r="D1" s="10" t="s">
        <v>95</v>
      </c>
      <c r="E1" s="7"/>
      <c r="F1" s="11" t="s">
        <v>63</v>
      </c>
      <c r="G1" s="12" t="s">
        <v>90</v>
      </c>
      <c r="H1" s="12" t="s">
        <v>100</v>
      </c>
      <c r="I1" s="12" t="s">
        <v>91</v>
      </c>
      <c r="J1" s="12" t="s">
        <v>92</v>
      </c>
      <c r="K1" s="12" t="s">
        <v>96</v>
      </c>
      <c r="L1" s="12" t="s">
        <v>97</v>
      </c>
      <c r="M1" s="12" t="s">
        <v>98</v>
      </c>
      <c r="N1" s="12" t="s">
        <v>99</v>
      </c>
      <c r="O1" s="12" t="s">
        <v>64</v>
      </c>
      <c r="P1" s="13" t="s">
        <v>65</v>
      </c>
      <c r="Q1" s="13" t="s">
        <v>66</v>
      </c>
      <c r="R1" s="13" t="s">
        <v>67</v>
      </c>
      <c r="S1" s="13" t="s">
        <v>68</v>
      </c>
      <c r="T1" s="13" t="s">
        <v>69</v>
      </c>
      <c r="U1" s="13" t="s">
        <v>70</v>
      </c>
      <c r="V1" s="13" t="s">
        <v>71</v>
      </c>
      <c r="W1" s="13" t="s">
        <v>72</v>
      </c>
      <c r="X1" s="13" t="s">
        <v>73</v>
      </c>
      <c r="Y1" s="13" t="s">
        <v>74</v>
      </c>
      <c r="Z1" s="13" t="s">
        <v>75</v>
      </c>
      <c r="AA1" s="13" t="s">
        <v>76</v>
      </c>
      <c r="AB1" s="13" t="s">
        <v>77</v>
      </c>
      <c r="AC1" s="13" t="s">
        <v>78</v>
      </c>
      <c r="AD1" s="13" t="s">
        <v>79</v>
      </c>
      <c r="AE1" s="13" t="s">
        <v>80</v>
      </c>
      <c r="AF1" s="13" t="s">
        <v>81</v>
      </c>
      <c r="AG1" s="13" t="s">
        <v>82</v>
      </c>
      <c r="AH1" s="13" t="s">
        <v>83</v>
      </c>
      <c r="AI1" s="13" t="s">
        <v>84</v>
      </c>
      <c r="AJ1" s="13" t="s">
        <v>85</v>
      </c>
      <c r="AK1" s="13" t="s">
        <v>86</v>
      </c>
      <c r="AL1" s="13" t="s">
        <v>87</v>
      </c>
      <c r="AM1" s="13" t="s">
        <v>101</v>
      </c>
      <c r="AN1" s="13" t="s">
        <v>102</v>
      </c>
      <c r="AO1" s="13" t="s">
        <v>103</v>
      </c>
      <c r="AP1" s="13" t="s">
        <v>104</v>
      </c>
      <c r="AQ1" s="13" t="s">
        <v>105</v>
      </c>
      <c r="AR1" s="13" t="s">
        <v>106</v>
      </c>
      <c r="AS1" s="13" t="s">
        <v>107</v>
      </c>
      <c r="AT1" s="13" t="s">
        <v>108</v>
      </c>
      <c r="AU1" s="13" t="s">
        <v>109</v>
      </c>
      <c r="AV1" s="13" t="s">
        <v>110</v>
      </c>
      <c r="AW1" s="13" t="s">
        <v>111</v>
      </c>
      <c r="AX1" s="13" t="s">
        <v>112</v>
      </c>
      <c r="AY1" s="13" t="s">
        <v>113</v>
      </c>
      <c r="AZ1" s="13" t="s">
        <v>114</v>
      </c>
      <c r="BA1" s="13" t="s">
        <v>115</v>
      </c>
      <c r="BB1" s="13" t="s">
        <v>116</v>
      </c>
      <c r="BC1" s="13" t="s">
        <v>117</v>
      </c>
      <c r="BD1" s="13" t="s">
        <v>118</v>
      </c>
      <c r="BE1" s="13" t="s">
        <v>119</v>
      </c>
      <c r="BF1" s="13" t="s">
        <v>120</v>
      </c>
      <c r="BG1" s="13" t="s">
        <v>121</v>
      </c>
      <c r="BH1" s="13" t="s">
        <v>122</v>
      </c>
      <c r="BI1" s="13" t="s">
        <v>123</v>
      </c>
      <c r="BJ1" s="13" t="s">
        <v>124</v>
      </c>
      <c r="BK1" s="13" t="s">
        <v>125</v>
      </c>
      <c r="BL1" s="13" t="s">
        <v>126</v>
      </c>
      <c r="BM1" s="13" t="s">
        <v>127</v>
      </c>
      <c r="BN1" s="13" t="s">
        <v>128</v>
      </c>
      <c r="BO1" s="13" t="s">
        <v>129</v>
      </c>
      <c r="BP1" s="13" t="s">
        <v>130</v>
      </c>
      <c r="BQ1" s="13" t="s">
        <v>131</v>
      </c>
      <c r="BR1" s="13" t="s">
        <v>132</v>
      </c>
      <c r="BS1" s="13" t="s">
        <v>133</v>
      </c>
      <c r="BT1" s="13" t="s">
        <v>134</v>
      </c>
      <c r="BU1" s="13" t="s">
        <v>135</v>
      </c>
      <c r="BV1" s="13" t="s">
        <v>136</v>
      </c>
      <c r="BW1" s="13" t="s">
        <v>137</v>
      </c>
      <c r="BX1" s="13" t="s">
        <v>138</v>
      </c>
      <c r="BY1" s="13" t="s">
        <v>139</v>
      </c>
      <c r="BZ1" s="13" t="s">
        <v>140</v>
      </c>
      <c r="CA1" s="13" t="s">
        <v>141</v>
      </c>
      <c r="CB1" s="13" t="s">
        <v>142</v>
      </c>
      <c r="CC1" s="13" t="s">
        <v>143</v>
      </c>
      <c r="CD1" s="14" t="s">
        <v>144</v>
      </c>
      <c r="CE1" s="22" t="s">
        <v>200</v>
      </c>
      <c r="CF1" s="26" t="s">
        <v>215</v>
      </c>
      <c r="CG1" s="26" t="s">
        <v>147</v>
      </c>
      <c r="CH1" s="26" t="s">
        <v>148</v>
      </c>
      <c r="CI1" s="26" t="s">
        <v>149</v>
      </c>
      <c r="CJ1" s="26" t="s">
        <v>150</v>
      </c>
      <c r="CK1" s="26" t="s">
        <v>151</v>
      </c>
      <c r="CL1" s="26" t="s">
        <v>152</v>
      </c>
      <c r="CM1" s="26" t="s">
        <v>153</v>
      </c>
      <c r="CN1" s="26" t="s">
        <v>154</v>
      </c>
      <c r="CO1" s="26" t="s">
        <v>155</v>
      </c>
      <c r="CQ1" s="217" t="s">
        <v>156</v>
      </c>
      <c r="CR1" s="218"/>
      <c r="CS1" s="218"/>
      <c r="CT1" s="218"/>
      <c r="CU1" s="219"/>
      <c r="CV1" s="215" t="s">
        <v>157</v>
      </c>
      <c r="CW1" s="216"/>
      <c r="CY1" s="220" t="s">
        <v>190</v>
      </c>
      <c r="CZ1" s="213" t="s">
        <v>191</v>
      </c>
      <c r="DA1" s="213"/>
      <c r="DB1" s="213"/>
      <c r="DC1" s="213"/>
      <c r="DF1" s="46" t="s">
        <v>255</v>
      </c>
      <c r="DG1" s="47" t="s">
        <v>256</v>
      </c>
      <c r="DH1" s="48" t="s">
        <v>273</v>
      </c>
      <c r="DI1" s="47"/>
      <c r="DJ1" s="47"/>
    </row>
    <row r="2" spans="1:114" ht="15" customHeight="1">
      <c r="A2" s="6" t="s">
        <v>0</v>
      </c>
      <c r="B2" s="6">
        <v>10</v>
      </c>
      <c r="C2" s="6">
        <v>0.28000000000000003</v>
      </c>
      <c r="D2" s="6">
        <v>4.4000000000000004</v>
      </c>
      <c r="F2" s="222" t="s">
        <v>88</v>
      </c>
      <c r="G2" s="6">
        <v>1</v>
      </c>
      <c r="H2" s="6">
        <v>6</v>
      </c>
      <c r="I2" s="6">
        <v>0.5</v>
      </c>
      <c r="J2" s="6">
        <v>0.5</v>
      </c>
      <c r="K2" s="6">
        <v>0.5</v>
      </c>
      <c r="L2" s="6">
        <v>0.5</v>
      </c>
      <c r="M2" s="6">
        <v>0.5</v>
      </c>
      <c r="N2" s="6">
        <v>0.5</v>
      </c>
      <c r="O2" s="5">
        <v>15</v>
      </c>
      <c r="P2" s="5">
        <v>15</v>
      </c>
      <c r="Q2" s="5">
        <v>15</v>
      </c>
      <c r="R2" s="5">
        <v>15</v>
      </c>
      <c r="S2" s="5">
        <v>100</v>
      </c>
      <c r="T2" s="5">
        <v>100</v>
      </c>
      <c r="U2" s="5">
        <v>100</v>
      </c>
      <c r="V2" s="5">
        <v>320</v>
      </c>
      <c r="W2" s="5">
        <v>320</v>
      </c>
      <c r="X2" s="5">
        <v>400</v>
      </c>
      <c r="Y2" s="5">
        <v>400</v>
      </c>
      <c r="Z2" s="5">
        <v>16</v>
      </c>
      <c r="AA2" s="5">
        <v>16</v>
      </c>
      <c r="AB2" s="5">
        <v>16</v>
      </c>
      <c r="AC2" s="5">
        <v>100</v>
      </c>
      <c r="AD2" s="5">
        <v>100</v>
      </c>
      <c r="AE2" s="5">
        <v>100</v>
      </c>
      <c r="AF2" s="5">
        <v>160</v>
      </c>
      <c r="AG2" s="5">
        <v>160</v>
      </c>
      <c r="AH2" s="5">
        <v>160</v>
      </c>
      <c r="AI2" s="5">
        <v>320</v>
      </c>
      <c r="AJ2" s="5">
        <v>320</v>
      </c>
      <c r="AK2" s="5">
        <v>500</v>
      </c>
      <c r="AL2" s="5">
        <v>500</v>
      </c>
      <c r="AM2" s="5">
        <v>40</v>
      </c>
      <c r="AN2" s="5">
        <v>40</v>
      </c>
      <c r="AO2" s="5">
        <v>40</v>
      </c>
      <c r="AP2" s="5">
        <v>40</v>
      </c>
      <c r="AQ2" s="5">
        <v>40</v>
      </c>
      <c r="AR2" s="5">
        <v>40</v>
      </c>
      <c r="AS2" s="5">
        <v>40</v>
      </c>
      <c r="AT2" s="5">
        <v>40</v>
      </c>
      <c r="AU2" s="5">
        <v>40</v>
      </c>
      <c r="AV2" s="5">
        <v>40</v>
      </c>
      <c r="AW2" s="5">
        <v>40</v>
      </c>
      <c r="AX2" s="5">
        <v>40</v>
      </c>
      <c r="AY2" s="5">
        <v>40</v>
      </c>
      <c r="AZ2" s="5">
        <v>40</v>
      </c>
      <c r="BA2" s="5">
        <v>40</v>
      </c>
      <c r="BB2" s="5">
        <v>40</v>
      </c>
      <c r="BC2" s="5">
        <v>40</v>
      </c>
      <c r="BD2" s="5">
        <v>40</v>
      </c>
      <c r="BE2" s="5">
        <v>400</v>
      </c>
      <c r="BF2" s="5">
        <v>400</v>
      </c>
      <c r="BG2" s="5">
        <v>400</v>
      </c>
      <c r="BH2" s="5">
        <v>400</v>
      </c>
      <c r="BI2" s="5">
        <v>400</v>
      </c>
      <c r="BJ2" s="5">
        <v>400</v>
      </c>
      <c r="BK2" s="5">
        <v>400</v>
      </c>
      <c r="BL2" s="5">
        <v>400</v>
      </c>
      <c r="BM2" s="5">
        <v>400</v>
      </c>
      <c r="BN2" s="5">
        <v>400</v>
      </c>
      <c r="BO2" s="5">
        <v>800</v>
      </c>
      <c r="BP2" s="5">
        <v>800</v>
      </c>
      <c r="BQ2" s="5">
        <v>1000</v>
      </c>
      <c r="BR2" s="5">
        <v>1000</v>
      </c>
      <c r="BS2" s="5">
        <v>1250</v>
      </c>
      <c r="BT2" s="5">
        <v>1250</v>
      </c>
      <c r="BU2" s="5">
        <v>1600</v>
      </c>
      <c r="BV2" s="5">
        <v>1600</v>
      </c>
      <c r="BW2" s="5">
        <v>2000</v>
      </c>
      <c r="BX2" s="5">
        <v>2000</v>
      </c>
      <c r="BY2" s="5">
        <v>2500</v>
      </c>
      <c r="BZ2" s="5">
        <v>2500</v>
      </c>
      <c r="CA2" s="5">
        <v>3200</v>
      </c>
      <c r="CB2" s="5">
        <v>3200</v>
      </c>
      <c r="CC2" s="5">
        <v>4000</v>
      </c>
      <c r="CD2" s="15">
        <v>4000</v>
      </c>
      <c r="CE2" s="23" t="s">
        <v>147</v>
      </c>
      <c r="CF2" s="25">
        <v>1.5</v>
      </c>
      <c r="CG2" s="24">
        <v>19</v>
      </c>
      <c r="CH2" s="24">
        <v>19</v>
      </c>
      <c r="CI2" s="9" t="s">
        <v>145</v>
      </c>
      <c r="CJ2" s="9" t="s">
        <v>145</v>
      </c>
      <c r="CK2" s="24">
        <v>21</v>
      </c>
      <c r="CL2" s="24">
        <v>21</v>
      </c>
      <c r="CM2" s="9" t="s">
        <v>145</v>
      </c>
      <c r="CN2" s="9" t="s">
        <v>145</v>
      </c>
      <c r="CO2" s="24">
        <v>25</v>
      </c>
      <c r="CQ2" s="24"/>
      <c r="CR2" s="24" t="s">
        <v>158</v>
      </c>
      <c r="CS2" s="24" t="s">
        <v>159</v>
      </c>
      <c r="CT2" s="24" t="s">
        <v>157</v>
      </c>
      <c r="CU2" s="24"/>
      <c r="CV2" s="24" t="s">
        <v>160</v>
      </c>
      <c r="CW2" s="24" t="s">
        <v>159</v>
      </c>
      <c r="CY2" s="221"/>
      <c r="CZ2" s="28" t="s">
        <v>192</v>
      </c>
      <c r="DA2" s="28" t="s">
        <v>193</v>
      </c>
      <c r="DB2" s="28" t="s">
        <v>194</v>
      </c>
      <c r="DC2" s="28" t="s">
        <v>195</v>
      </c>
      <c r="DF2" s="73">
        <v>0.5</v>
      </c>
      <c r="DG2" s="5" t="s">
        <v>257</v>
      </c>
      <c r="DH2" s="5" t="s">
        <v>274</v>
      </c>
      <c r="DI2" s="5" t="s">
        <v>275</v>
      </c>
    </row>
    <row r="3" spans="1:114">
      <c r="A3" s="6" t="s">
        <v>1</v>
      </c>
      <c r="B3" s="6">
        <v>16</v>
      </c>
      <c r="C3" s="6">
        <v>0.31</v>
      </c>
      <c r="D3" s="6">
        <v>3.1</v>
      </c>
      <c r="F3" s="223"/>
      <c r="G3" s="6">
        <v>2</v>
      </c>
      <c r="H3" s="6">
        <v>10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5">
        <v>16</v>
      </c>
      <c r="P3" s="5">
        <v>16</v>
      </c>
      <c r="Q3" s="5">
        <v>16</v>
      </c>
      <c r="R3" s="5">
        <v>16</v>
      </c>
      <c r="S3" s="5">
        <v>125</v>
      </c>
      <c r="T3" s="5">
        <v>125</v>
      </c>
      <c r="U3" s="5">
        <v>125</v>
      </c>
      <c r="V3" s="5">
        <v>350</v>
      </c>
      <c r="W3" s="5">
        <v>350</v>
      </c>
      <c r="X3" s="5">
        <v>500</v>
      </c>
      <c r="Y3" s="5">
        <v>500</v>
      </c>
      <c r="Z3" s="5">
        <v>25</v>
      </c>
      <c r="AA3" s="5">
        <v>25</v>
      </c>
      <c r="AB3" s="5">
        <v>25</v>
      </c>
      <c r="AC3" s="5">
        <v>125</v>
      </c>
      <c r="AD3" s="5">
        <v>125</v>
      </c>
      <c r="AE3" s="5">
        <v>125</v>
      </c>
      <c r="AF3" s="5">
        <v>200</v>
      </c>
      <c r="AG3" s="5">
        <v>200</v>
      </c>
      <c r="AH3" s="5">
        <v>200</v>
      </c>
      <c r="AI3" s="5">
        <v>400</v>
      </c>
      <c r="AJ3" s="5">
        <v>400</v>
      </c>
      <c r="AK3" s="5">
        <v>600</v>
      </c>
      <c r="AL3" s="5">
        <v>600</v>
      </c>
      <c r="AM3" s="5">
        <v>100</v>
      </c>
      <c r="AN3" s="5">
        <v>100</v>
      </c>
      <c r="AO3" s="5">
        <v>100</v>
      </c>
      <c r="AP3" s="5">
        <v>100</v>
      </c>
      <c r="AQ3" s="5">
        <v>100</v>
      </c>
      <c r="AR3" s="5">
        <v>100</v>
      </c>
      <c r="AS3" s="5">
        <v>100</v>
      </c>
      <c r="AT3" s="5">
        <v>100</v>
      </c>
      <c r="AU3" s="5">
        <v>100</v>
      </c>
      <c r="AV3" s="5">
        <v>100</v>
      </c>
      <c r="AW3" s="5">
        <v>100</v>
      </c>
      <c r="AX3" s="5">
        <v>100</v>
      </c>
      <c r="AY3" s="5">
        <v>100</v>
      </c>
      <c r="AZ3" s="5">
        <v>100</v>
      </c>
      <c r="BA3" s="5">
        <v>100</v>
      </c>
      <c r="BB3" s="5">
        <v>100</v>
      </c>
      <c r="BC3" s="5">
        <v>100</v>
      </c>
      <c r="BD3" s="5">
        <v>100</v>
      </c>
      <c r="BE3" s="5"/>
      <c r="BF3" s="5"/>
      <c r="BG3" s="5"/>
      <c r="BH3" s="5"/>
      <c r="BI3" s="5"/>
      <c r="BJ3" s="5">
        <v>630</v>
      </c>
      <c r="BK3" s="5">
        <v>630</v>
      </c>
      <c r="BL3" s="5">
        <v>630</v>
      </c>
      <c r="BM3" s="5">
        <v>630</v>
      </c>
      <c r="BN3" s="5">
        <v>630</v>
      </c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16"/>
      <c r="CE3" s="23" t="s">
        <v>148</v>
      </c>
      <c r="CF3" s="25">
        <v>2.5</v>
      </c>
      <c r="CG3" s="24">
        <v>25</v>
      </c>
      <c r="CH3" s="24">
        <v>25</v>
      </c>
      <c r="CI3" s="24">
        <v>21</v>
      </c>
      <c r="CJ3" s="24">
        <v>21</v>
      </c>
      <c r="CK3" s="24">
        <v>27</v>
      </c>
      <c r="CL3" s="24">
        <v>27</v>
      </c>
      <c r="CM3" s="24">
        <v>21</v>
      </c>
      <c r="CN3" s="24">
        <v>21</v>
      </c>
      <c r="CO3" s="24">
        <v>34</v>
      </c>
      <c r="CQ3" s="24" t="s">
        <v>161</v>
      </c>
      <c r="CR3" s="24">
        <v>7</v>
      </c>
      <c r="CS3" s="24">
        <f t="shared" ref="CS3:CS31" si="0">0.785*CR3^2</f>
        <v>38.465000000000003</v>
      </c>
      <c r="CT3" s="24">
        <f t="shared" ref="CT3:CT31" si="1">CS3*1.4</f>
        <v>53.850999999999999</v>
      </c>
      <c r="CU3" s="24">
        <v>16</v>
      </c>
      <c r="CV3" s="24">
        <v>10</v>
      </c>
      <c r="CW3" s="24">
        <f t="shared" ref="CW3:CW14" si="2">0.785*CV3^2</f>
        <v>78.5</v>
      </c>
      <c r="CY3" s="41">
        <v>1.5</v>
      </c>
      <c r="CZ3" s="30">
        <v>3.54</v>
      </c>
      <c r="DA3" s="30">
        <v>0.1</v>
      </c>
      <c r="DB3" s="30">
        <v>4.24</v>
      </c>
      <c r="DC3" s="30">
        <v>1.49</v>
      </c>
      <c r="DF3" s="74">
        <v>1</v>
      </c>
      <c r="DG3" s="5" t="s">
        <v>257</v>
      </c>
    </row>
    <row r="4" spans="1:114">
      <c r="A4" s="6" t="s">
        <v>2</v>
      </c>
      <c r="B4" s="6">
        <v>25</v>
      </c>
      <c r="C4" s="6">
        <v>0.47</v>
      </c>
      <c r="D4" s="6">
        <v>3</v>
      </c>
      <c r="F4" s="223"/>
      <c r="G4" s="6">
        <v>3</v>
      </c>
      <c r="H4" s="6">
        <v>16</v>
      </c>
      <c r="I4" s="6">
        <v>2</v>
      </c>
      <c r="J4" s="6">
        <v>2</v>
      </c>
      <c r="K4" s="6">
        <v>2</v>
      </c>
      <c r="L4" s="6">
        <v>2</v>
      </c>
      <c r="M4" s="6">
        <v>2</v>
      </c>
      <c r="N4" s="6">
        <v>2</v>
      </c>
      <c r="O4" s="5">
        <v>20</v>
      </c>
      <c r="P4" s="5">
        <v>20</v>
      </c>
      <c r="Q4" s="5">
        <v>20</v>
      </c>
      <c r="R4" s="5">
        <v>20</v>
      </c>
      <c r="S4" s="5">
        <v>150</v>
      </c>
      <c r="T4" s="5">
        <v>150</v>
      </c>
      <c r="U4" s="5">
        <v>150</v>
      </c>
      <c r="V4" s="5">
        <v>400</v>
      </c>
      <c r="W4" s="5">
        <v>400</v>
      </c>
      <c r="X4" s="5">
        <v>600</v>
      </c>
      <c r="Y4" s="5">
        <v>600</v>
      </c>
      <c r="Z4" s="5">
        <v>32</v>
      </c>
      <c r="AA4" s="5">
        <v>32</v>
      </c>
      <c r="AB4" s="5">
        <v>32</v>
      </c>
      <c r="AC4" s="5">
        <v>160</v>
      </c>
      <c r="AD4" s="5">
        <v>160</v>
      </c>
      <c r="AE4" s="5">
        <v>160</v>
      </c>
      <c r="AF4" s="5">
        <v>250</v>
      </c>
      <c r="AG4" s="5">
        <v>250</v>
      </c>
      <c r="AH4" s="5">
        <v>250</v>
      </c>
      <c r="AI4" s="5"/>
      <c r="AJ4" s="5"/>
      <c r="AK4" s="5"/>
      <c r="AL4" s="5"/>
      <c r="AM4" s="5"/>
      <c r="AN4" s="5"/>
      <c r="AO4" s="5"/>
      <c r="AP4" s="5"/>
      <c r="AQ4" s="5"/>
      <c r="AR4" s="5"/>
      <c r="AS4" s="5">
        <v>160</v>
      </c>
      <c r="AT4" s="5">
        <v>160</v>
      </c>
      <c r="AU4" s="5">
        <v>160</v>
      </c>
      <c r="AV4" s="5">
        <v>160</v>
      </c>
      <c r="AW4" s="5">
        <v>160</v>
      </c>
      <c r="AX4" s="5">
        <v>160</v>
      </c>
      <c r="AY4" s="5">
        <v>160</v>
      </c>
      <c r="AZ4" s="5">
        <v>160</v>
      </c>
      <c r="BA4" s="5">
        <v>160</v>
      </c>
      <c r="BB4" s="5">
        <v>160</v>
      </c>
      <c r="BC4" s="5">
        <v>160</v>
      </c>
      <c r="BD4" s="5">
        <v>160</v>
      </c>
      <c r="BE4" s="5"/>
      <c r="BF4" s="5"/>
      <c r="BG4" s="5"/>
      <c r="BH4" s="5"/>
      <c r="BI4" s="5"/>
      <c r="BJ4" s="5"/>
      <c r="BK4" s="5"/>
      <c r="BL4" s="5"/>
      <c r="BM4" s="5"/>
      <c r="BN4" s="5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16"/>
      <c r="CE4" s="23" t="s">
        <v>149</v>
      </c>
      <c r="CF4" s="25">
        <v>4</v>
      </c>
      <c r="CG4" s="24">
        <v>35</v>
      </c>
      <c r="CH4" s="24">
        <v>35</v>
      </c>
      <c r="CI4" s="24">
        <v>29</v>
      </c>
      <c r="CJ4" s="24">
        <v>29</v>
      </c>
      <c r="CK4" s="24">
        <v>36</v>
      </c>
      <c r="CL4" s="24">
        <v>36</v>
      </c>
      <c r="CM4" s="24">
        <v>29</v>
      </c>
      <c r="CN4" s="24">
        <v>29</v>
      </c>
      <c r="CO4" s="24">
        <v>45</v>
      </c>
      <c r="CQ4" s="24" t="s">
        <v>162</v>
      </c>
      <c r="CR4" s="24">
        <v>8</v>
      </c>
      <c r="CS4" s="24">
        <f t="shared" si="0"/>
        <v>50.24</v>
      </c>
      <c r="CT4" s="24">
        <f t="shared" si="1"/>
        <v>70.335999999999999</v>
      </c>
      <c r="CU4" s="24">
        <v>16</v>
      </c>
      <c r="CV4" s="24">
        <v>12</v>
      </c>
      <c r="CW4" s="24">
        <f t="shared" si="2"/>
        <v>113.04</v>
      </c>
      <c r="CY4" s="41">
        <v>2.5</v>
      </c>
      <c r="CZ4" s="30">
        <v>3.54</v>
      </c>
      <c r="DA4" s="30">
        <v>0.1</v>
      </c>
      <c r="DB4" s="30">
        <v>4.24</v>
      </c>
      <c r="DC4" s="30">
        <v>1.49</v>
      </c>
      <c r="DF4" s="74">
        <v>2</v>
      </c>
      <c r="DG4" s="5" t="s">
        <v>257</v>
      </c>
    </row>
    <row r="5" spans="1:114">
      <c r="A5" s="6" t="s">
        <v>3</v>
      </c>
      <c r="B5" s="6">
        <v>40</v>
      </c>
      <c r="C5" s="6">
        <v>0.65</v>
      </c>
      <c r="D5" s="6">
        <v>2.8</v>
      </c>
      <c r="F5" s="223"/>
      <c r="G5" s="6">
        <v>4</v>
      </c>
      <c r="H5" s="6">
        <v>20</v>
      </c>
      <c r="I5" s="6">
        <v>3</v>
      </c>
      <c r="J5" s="6">
        <v>3</v>
      </c>
      <c r="K5" s="6">
        <v>3</v>
      </c>
      <c r="L5" s="6">
        <v>3</v>
      </c>
      <c r="M5" s="6">
        <v>3</v>
      </c>
      <c r="N5" s="6">
        <v>3</v>
      </c>
      <c r="O5" s="5">
        <v>25</v>
      </c>
      <c r="P5" s="5">
        <v>25</v>
      </c>
      <c r="Q5" s="5">
        <v>25</v>
      </c>
      <c r="R5" s="5">
        <v>25</v>
      </c>
      <c r="S5" s="5">
        <v>160</v>
      </c>
      <c r="T5" s="5">
        <v>160</v>
      </c>
      <c r="U5" s="5">
        <v>160</v>
      </c>
      <c r="V5" s="5"/>
      <c r="W5" s="5"/>
      <c r="X5" s="5"/>
      <c r="Y5" s="5"/>
      <c r="Z5" s="5">
        <v>40</v>
      </c>
      <c r="AA5" s="5">
        <v>40</v>
      </c>
      <c r="AB5" s="5">
        <v>40</v>
      </c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>
        <v>250</v>
      </c>
      <c r="AZ5" s="5">
        <v>250</v>
      </c>
      <c r="BA5" s="5">
        <v>250</v>
      </c>
      <c r="BB5" s="5">
        <v>250</v>
      </c>
      <c r="BC5" s="5">
        <v>250</v>
      </c>
      <c r="BD5" s="5">
        <v>250</v>
      </c>
      <c r="BE5" s="5"/>
      <c r="BF5" s="5"/>
      <c r="BG5" s="5"/>
      <c r="BH5" s="5"/>
      <c r="BI5" s="5"/>
      <c r="BJ5" s="5"/>
      <c r="BK5" s="5"/>
      <c r="BL5" s="5"/>
      <c r="BM5" s="5"/>
      <c r="BN5" s="5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16"/>
      <c r="CE5" s="23" t="s">
        <v>150</v>
      </c>
      <c r="CF5" s="25">
        <v>6</v>
      </c>
      <c r="CG5" s="24">
        <v>42</v>
      </c>
      <c r="CH5" s="24">
        <v>42</v>
      </c>
      <c r="CI5" s="24">
        <v>37</v>
      </c>
      <c r="CJ5" s="24">
        <v>37</v>
      </c>
      <c r="CK5" s="24">
        <v>46</v>
      </c>
      <c r="CL5" s="24">
        <v>46</v>
      </c>
      <c r="CM5" s="24">
        <v>37</v>
      </c>
      <c r="CN5" s="24">
        <v>37</v>
      </c>
      <c r="CO5" s="24">
        <v>56</v>
      </c>
      <c r="CQ5" s="24" t="s">
        <v>163</v>
      </c>
      <c r="CR5" s="24">
        <v>10</v>
      </c>
      <c r="CS5" s="24">
        <f t="shared" si="0"/>
        <v>78.5</v>
      </c>
      <c r="CT5" s="24">
        <f t="shared" si="1"/>
        <v>109.89999999999999</v>
      </c>
      <c r="CU5" s="24">
        <v>16</v>
      </c>
      <c r="CV5" s="24">
        <v>14</v>
      </c>
      <c r="CW5" s="24">
        <f t="shared" si="2"/>
        <v>153.86000000000001</v>
      </c>
      <c r="CY5" s="29">
        <v>4</v>
      </c>
      <c r="CZ5" s="30">
        <v>3.54</v>
      </c>
      <c r="DA5" s="30">
        <v>0.1</v>
      </c>
      <c r="DB5" s="30">
        <v>4.24</v>
      </c>
      <c r="DC5" s="30">
        <v>1.49</v>
      </c>
      <c r="DF5" s="74">
        <v>3</v>
      </c>
      <c r="DG5" s="5" t="s">
        <v>257</v>
      </c>
      <c r="DJ5">
        <f>IF(DI5&lt;=0.5,0.5,IF(DI5&lt;=1,1,IF(DI5&lt;=2,2,IF(DI5&lt;=3,3,IF(DI5&lt;=4,4,IF(DI5&lt;=6,6,IF(DI5&lt;=10,10,IF(DI5&lt;=13,13,IF(DI5&lt;=14,14,IF(DI5&lt;=15,15,IF(DI5&lt;=16,16,IF(DI5&lt;=20,20,IF(DI5&lt;=25,25,IF(DI5&lt;=30,30,IF(DI5&lt;=32,32,IF(DI5&lt;=40,40,IF(DI5&lt;=45,45,IF(DI5&lt;=50,50,IF(DI5&lt;=60,60,IF(DI5&lt;=63,63,IF(DI5&lt;=75,75,IF(DI5&lt;=80,80,IF(DI5&lt;=100,100,IF(DI5&lt;=125,125,IF(DI5&lt;=150,150,IF(DI5&lt;=160,160,IF(DI5&lt;=175,175,IF(DI5&lt;=200,200,IF(DI5&lt;=225,225,IF(DI5&lt;=250,250,IF(DI5&lt;=320,320,IF(DI5&lt;=350,350,IF(DI5&lt;=400,400,IF(DI5&lt;=500,500,IF(DI5&lt;=600,600,IF(DI5&lt;=630,630))))))))))))))))))))))))))))))))))))</f>
        <v>0.5</v>
      </c>
    </row>
    <row r="6" spans="1:114">
      <c r="A6" s="6" t="s">
        <v>4</v>
      </c>
      <c r="B6" s="6">
        <v>63</v>
      </c>
      <c r="C6" s="6">
        <v>0.82</v>
      </c>
      <c r="D6" s="6">
        <v>2.1</v>
      </c>
      <c r="F6" s="223"/>
      <c r="G6" s="6">
        <v>6</v>
      </c>
      <c r="H6" s="6">
        <v>25</v>
      </c>
      <c r="I6" s="6">
        <v>4</v>
      </c>
      <c r="J6" s="6">
        <v>4</v>
      </c>
      <c r="K6" s="6">
        <v>4</v>
      </c>
      <c r="L6" s="6">
        <v>4</v>
      </c>
      <c r="M6" s="6">
        <v>4</v>
      </c>
      <c r="N6" s="6">
        <v>4</v>
      </c>
      <c r="O6" s="5">
        <v>30</v>
      </c>
      <c r="P6" s="5">
        <v>30</v>
      </c>
      <c r="Q6" s="5">
        <v>30</v>
      </c>
      <c r="R6" s="5">
        <v>30</v>
      </c>
      <c r="S6" s="5">
        <v>175</v>
      </c>
      <c r="T6" s="5">
        <v>175</v>
      </c>
      <c r="U6" s="5">
        <v>175</v>
      </c>
      <c r="V6" s="5"/>
      <c r="W6" s="5"/>
      <c r="X6" s="5"/>
      <c r="Y6" s="5"/>
      <c r="Z6" s="5">
        <v>50</v>
      </c>
      <c r="AA6" s="5">
        <v>50</v>
      </c>
      <c r="AB6" s="5">
        <v>50</v>
      </c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16"/>
      <c r="CE6" s="23" t="s">
        <v>151</v>
      </c>
      <c r="CF6" s="25">
        <v>10</v>
      </c>
      <c r="CG6" s="24">
        <v>55</v>
      </c>
      <c r="CH6" s="24">
        <v>55</v>
      </c>
      <c r="CI6" s="24">
        <v>50</v>
      </c>
      <c r="CJ6" s="24">
        <v>50</v>
      </c>
      <c r="CK6" s="24">
        <v>63</v>
      </c>
      <c r="CL6" s="24">
        <v>63</v>
      </c>
      <c r="CM6" s="24">
        <v>50</v>
      </c>
      <c r="CN6" s="24">
        <v>50</v>
      </c>
      <c r="CO6" s="24">
        <v>78</v>
      </c>
      <c r="CQ6" s="24" t="s">
        <v>164</v>
      </c>
      <c r="CR6" s="24">
        <v>11</v>
      </c>
      <c r="CS6" s="24">
        <f t="shared" si="0"/>
        <v>94.984999999999999</v>
      </c>
      <c r="CT6" s="24">
        <f t="shared" si="1"/>
        <v>132.97899999999998</v>
      </c>
      <c r="CU6" s="24">
        <v>16</v>
      </c>
      <c r="CV6" s="24">
        <v>16</v>
      </c>
      <c r="CW6" s="24">
        <f t="shared" si="2"/>
        <v>200.96</v>
      </c>
      <c r="CY6" s="29">
        <v>6</v>
      </c>
      <c r="CZ6" s="30">
        <v>3.54</v>
      </c>
      <c r="DA6" s="30">
        <v>0.1</v>
      </c>
      <c r="DB6" s="30">
        <v>4.24</v>
      </c>
      <c r="DC6" s="30">
        <v>1.49</v>
      </c>
      <c r="DF6" s="74">
        <v>4</v>
      </c>
      <c r="DG6" s="5" t="s">
        <v>257</v>
      </c>
    </row>
    <row r="7" spans="1:114">
      <c r="A7" s="6" t="s">
        <v>5</v>
      </c>
      <c r="B7" s="6">
        <v>100</v>
      </c>
      <c r="C7" s="6">
        <v>2</v>
      </c>
      <c r="D7" s="6">
        <v>6</v>
      </c>
      <c r="F7" s="223"/>
      <c r="G7" s="6">
        <v>10</v>
      </c>
      <c r="H7" s="6">
        <v>32</v>
      </c>
      <c r="I7" s="6">
        <v>6</v>
      </c>
      <c r="J7" s="6">
        <v>6</v>
      </c>
      <c r="K7" s="6">
        <v>6</v>
      </c>
      <c r="L7" s="6">
        <v>6</v>
      </c>
      <c r="M7" s="6">
        <v>6</v>
      </c>
      <c r="N7" s="6">
        <v>6</v>
      </c>
      <c r="O7" s="5">
        <v>32</v>
      </c>
      <c r="P7" s="5">
        <v>32</v>
      </c>
      <c r="Q7" s="5">
        <v>32</v>
      </c>
      <c r="R7" s="5">
        <v>32</v>
      </c>
      <c r="S7" s="5">
        <v>200</v>
      </c>
      <c r="T7" s="5">
        <v>200</v>
      </c>
      <c r="U7" s="5">
        <v>200</v>
      </c>
      <c r="V7" s="5"/>
      <c r="W7" s="5"/>
      <c r="X7" s="5"/>
      <c r="Y7" s="5"/>
      <c r="Z7" s="5">
        <v>63</v>
      </c>
      <c r="AA7" s="5">
        <v>63</v>
      </c>
      <c r="AB7" s="5">
        <v>63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16"/>
      <c r="CE7" s="23" t="s">
        <v>152</v>
      </c>
      <c r="CF7" s="25">
        <v>16</v>
      </c>
      <c r="CG7" s="24">
        <v>75</v>
      </c>
      <c r="CH7" s="24">
        <v>75</v>
      </c>
      <c r="CI7" s="24">
        <v>67</v>
      </c>
      <c r="CJ7" s="24">
        <v>67</v>
      </c>
      <c r="CK7" s="24">
        <v>84</v>
      </c>
      <c r="CL7" s="24">
        <v>84</v>
      </c>
      <c r="CM7" s="24">
        <v>67</v>
      </c>
      <c r="CN7" s="24">
        <v>67</v>
      </c>
      <c r="CO7" s="24">
        <v>104</v>
      </c>
      <c r="CQ7" s="24" t="s">
        <v>165</v>
      </c>
      <c r="CR7" s="24">
        <v>16</v>
      </c>
      <c r="CS7" s="24">
        <f t="shared" si="0"/>
        <v>200.96</v>
      </c>
      <c r="CT7" s="24">
        <f t="shared" si="1"/>
        <v>281.34399999999999</v>
      </c>
      <c r="CU7" s="24">
        <v>16</v>
      </c>
      <c r="CV7" s="24">
        <v>20</v>
      </c>
      <c r="CW7" s="24">
        <f t="shared" si="2"/>
        <v>314</v>
      </c>
      <c r="CY7" s="29">
        <v>10</v>
      </c>
      <c r="CZ7" s="30">
        <v>2.13</v>
      </c>
      <c r="DA7" s="30">
        <v>9.5000000000000001E-2</v>
      </c>
      <c r="DB7" s="30">
        <v>2.88</v>
      </c>
      <c r="DC7" s="30">
        <v>1.34</v>
      </c>
      <c r="DF7" s="74">
        <v>6</v>
      </c>
      <c r="DG7" s="5" t="s">
        <v>257</v>
      </c>
    </row>
    <row r="8" spans="1:114">
      <c r="A8" s="6" t="s">
        <v>6</v>
      </c>
      <c r="B8" s="6">
        <v>160</v>
      </c>
      <c r="C8" s="6">
        <v>2.5</v>
      </c>
      <c r="D8" s="6">
        <v>6</v>
      </c>
      <c r="F8" s="223"/>
      <c r="G8" s="6">
        <v>13</v>
      </c>
      <c r="H8" s="6"/>
      <c r="I8" s="6">
        <v>10</v>
      </c>
      <c r="J8" s="6">
        <v>10</v>
      </c>
      <c r="K8" s="6">
        <v>10</v>
      </c>
      <c r="L8" s="6">
        <v>10</v>
      </c>
      <c r="M8" s="6">
        <v>10</v>
      </c>
      <c r="N8" s="6">
        <v>10</v>
      </c>
      <c r="O8" s="5">
        <v>40</v>
      </c>
      <c r="P8" s="5">
        <v>40</v>
      </c>
      <c r="Q8" s="5">
        <v>40</v>
      </c>
      <c r="R8" s="5">
        <v>40</v>
      </c>
      <c r="S8" s="5">
        <v>225</v>
      </c>
      <c r="T8" s="5">
        <v>225</v>
      </c>
      <c r="U8" s="5">
        <v>225</v>
      </c>
      <c r="V8" s="5"/>
      <c r="W8" s="5"/>
      <c r="X8" s="5"/>
      <c r="Y8" s="5"/>
      <c r="Z8" s="5">
        <v>80</v>
      </c>
      <c r="AA8" s="5">
        <v>80</v>
      </c>
      <c r="AB8" s="5">
        <v>80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16"/>
      <c r="CE8" s="23" t="s">
        <v>153</v>
      </c>
      <c r="CF8" s="25">
        <v>25</v>
      </c>
      <c r="CG8" s="24">
        <v>95</v>
      </c>
      <c r="CH8" s="24">
        <v>95</v>
      </c>
      <c r="CI8" s="24">
        <v>87</v>
      </c>
      <c r="CJ8" s="24">
        <v>87</v>
      </c>
      <c r="CK8" s="24">
        <v>112</v>
      </c>
      <c r="CL8" s="24">
        <v>112</v>
      </c>
      <c r="CM8" s="24">
        <v>87</v>
      </c>
      <c r="CN8" s="24">
        <v>87</v>
      </c>
      <c r="CO8" s="24">
        <v>141</v>
      </c>
      <c r="CQ8" s="24" t="s">
        <v>166</v>
      </c>
      <c r="CR8" s="24">
        <v>8</v>
      </c>
      <c r="CS8" s="24">
        <f t="shared" si="0"/>
        <v>50.24</v>
      </c>
      <c r="CT8" s="24">
        <f t="shared" si="1"/>
        <v>70.335999999999999</v>
      </c>
      <c r="CU8" s="24">
        <v>16</v>
      </c>
      <c r="CV8" s="24">
        <v>22</v>
      </c>
      <c r="CW8" s="24">
        <f t="shared" si="2"/>
        <v>379.94</v>
      </c>
      <c r="CY8" s="29">
        <v>16</v>
      </c>
      <c r="CZ8" s="30">
        <v>1.33</v>
      </c>
      <c r="DA8" s="30">
        <v>0.09</v>
      </c>
      <c r="DB8" s="30">
        <v>2.12</v>
      </c>
      <c r="DC8" s="30">
        <v>1.1399999999999999</v>
      </c>
      <c r="DF8" s="74">
        <v>10</v>
      </c>
      <c r="DG8" s="5" t="s">
        <v>258</v>
      </c>
    </row>
    <row r="9" spans="1:114">
      <c r="A9" s="6" t="s">
        <v>7</v>
      </c>
      <c r="B9" s="6">
        <v>250</v>
      </c>
      <c r="C9" s="6">
        <v>3.22</v>
      </c>
      <c r="D9" s="6">
        <v>6</v>
      </c>
      <c r="F9" s="223"/>
      <c r="G9" s="6">
        <v>16</v>
      </c>
      <c r="H9" s="6"/>
      <c r="I9" s="6">
        <v>13</v>
      </c>
      <c r="J9" s="6">
        <v>13</v>
      </c>
      <c r="K9" s="6">
        <v>13</v>
      </c>
      <c r="L9" s="6">
        <v>13</v>
      </c>
      <c r="M9" s="6">
        <v>13</v>
      </c>
      <c r="N9" s="6">
        <v>13</v>
      </c>
      <c r="O9" s="5">
        <v>45</v>
      </c>
      <c r="P9" s="5">
        <v>45</v>
      </c>
      <c r="Q9" s="5">
        <v>45</v>
      </c>
      <c r="R9" s="5">
        <v>45</v>
      </c>
      <c r="S9" s="5">
        <v>250</v>
      </c>
      <c r="T9" s="5">
        <v>250</v>
      </c>
      <c r="U9" s="5">
        <v>250</v>
      </c>
      <c r="V9" s="5"/>
      <c r="W9" s="5"/>
      <c r="X9" s="5"/>
      <c r="Y9" s="5"/>
      <c r="Z9" s="5">
        <v>100</v>
      </c>
      <c r="AA9" s="5">
        <v>100</v>
      </c>
      <c r="AB9" s="5">
        <v>100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16"/>
      <c r="CE9" s="23" t="s">
        <v>154</v>
      </c>
      <c r="CF9" s="25">
        <v>35</v>
      </c>
      <c r="CG9" s="24">
        <v>120</v>
      </c>
      <c r="CH9" s="24">
        <v>120</v>
      </c>
      <c r="CI9" s="24">
        <v>106</v>
      </c>
      <c r="CJ9" s="24">
        <v>106</v>
      </c>
      <c r="CK9" s="24">
        <v>137</v>
      </c>
      <c r="CL9" s="24">
        <v>137</v>
      </c>
      <c r="CM9" s="24">
        <v>106</v>
      </c>
      <c r="CN9" s="24">
        <v>106</v>
      </c>
      <c r="CO9" s="24">
        <v>172</v>
      </c>
      <c r="CQ9" s="24" t="s">
        <v>167</v>
      </c>
      <c r="CR9" s="24">
        <v>9</v>
      </c>
      <c r="CS9" s="24">
        <f t="shared" si="0"/>
        <v>63.585000000000001</v>
      </c>
      <c r="CT9" s="24">
        <f t="shared" si="1"/>
        <v>89.018999999999991</v>
      </c>
      <c r="CU9" s="24">
        <v>16</v>
      </c>
      <c r="CV9" s="24">
        <v>25</v>
      </c>
      <c r="CW9" s="24">
        <f t="shared" si="2"/>
        <v>490.625</v>
      </c>
      <c r="CY9" s="29">
        <v>25</v>
      </c>
      <c r="CZ9" s="30">
        <v>0.86</v>
      </c>
      <c r="DA9" s="30">
        <v>8.8999999999999996E-2</v>
      </c>
      <c r="DB9" s="30">
        <v>1.63</v>
      </c>
      <c r="DC9" s="30">
        <v>0.91</v>
      </c>
      <c r="DF9" s="74">
        <v>13</v>
      </c>
      <c r="DG9" s="5" t="s">
        <v>259</v>
      </c>
    </row>
    <row r="10" spans="1:114">
      <c r="A10" s="6" t="s">
        <v>8</v>
      </c>
      <c r="B10" s="6">
        <v>400</v>
      </c>
      <c r="C10" s="6">
        <v>4.7</v>
      </c>
      <c r="D10" s="6">
        <v>6</v>
      </c>
      <c r="F10" s="223"/>
      <c r="G10" s="6">
        <v>20</v>
      </c>
      <c r="H10" s="6"/>
      <c r="I10" s="6">
        <v>16</v>
      </c>
      <c r="J10" s="6">
        <v>16</v>
      </c>
      <c r="K10" s="6">
        <v>16</v>
      </c>
      <c r="L10" s="6">
        <v>16</v>
      </c>
      <c r="M10" s="6">
        <v>16</v>
      </c>
      <c r="N10" s="6">
        <v>16</v>
      </c>
      <c r="O10" s="5">
        <v>50</v>
      </c>
      <c r="P10" s="5">
        <v>50</v>
      </c>
      <c r="Q10" s="5">
        <v>50</v>
      </c>
      <c r="R10" s="5">
        <v>50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16"/>
      <c r="CE10" s="23" t="s">
        <v>155</v>
      </c>
      <c r="CF10" s="25">
        <v>50</v>
      </c>
      <c r="CG10" s="24">
        <v>145</v>
      </c>
      <c r="CH10" s="24">
        <v>145</v>
      </c>
      <c r="CI10" s="24">
        <v>126</v>
      </c>
      <c r="CJ10" s="24">
        <v>126</v>
      </c>
      <c r="CK10" s="24">
        <v>167</v>
      </c>
      <c r="CL10" s="24">
        <v>167</v>
      </c>
      <c r="CM10" s="24">
        <v>126</v>
      </c>
      <c r="CN10" s="24">
        <v>126</v>
      </c>
      <c r="CO10" s="24">
        <v>209</v>
      </c>
      <c r="CQ10" s="24" t="s">
        <v>168</v>
      </c>
      <c r="CR10" s="24">
        <v>10</v>
      </c>
      <c r="CS10" s="24">
        <f t="shared" si="0"/>
        <v>78.5</v>
      </c>
      <c r="CT10" s="24">
        <f t="shared" si="1"/>
        <v>109.89999999999999</v>
      </c>
      <c r="CU10" s="24">
        <v>16</v>
      </c>
      <c r="CV10" s="24">
        <v>28</v>
      </c>
      <c r="CW10" s="24">
        <f t="shared" si="2"/>
        <v>615.44000000000005</v>
      </c>
      <c r="CY10" s="29">
        <v>35</v>
      </c>
      <c r="CZ10" s="30">
        <v>0.61</v>
      </c>
      <c r="DA10" s="30">
        <v>8.5999999999999993E-2</v>
      </c>
      <c r="DB10" s="30">
        <v>1.33</v>
      </c>
      <c r="DC10" s="30">
        <v>0.74</v>
      </c>
      <c r="DF10" s="74">
        <v>14</v>
      </c>
      <c r="DG10" s="5" t="s">
        <v>259</v>
      </c>
    </row>
    <row r="11" spans="1:114">
      <c r="A11" s="6" t="s">
        <v>9</v>
      </c>
      <c r="B11" s="6">
        <v>630</v>
      </c>
      <c r="C11" s="6">
        <v>5.5</v>
      </c>
      <c r="D11" s="6">
        <v>6</v>
      </c>
      <c r="F11" s="223"/>
      <c r="G11" s="6">
        <v>25</v>
      </c>
      <c r="H11" s="6"/>
      <c r="I11" s="6">
        <v>20</v>
      </c>
      <c r="J11" s="6">
        <v>20</v>
      </c>
      <c r="K11" s="6">
        <v>20</v>
      </c>
      <c r="L11" s="6">
        <v>20</v>
      </c>
      <c r="M11" s="6">
        <v>20</v>
      </c>
      <c r="N11" s="6">
        <v>20</v>
      </c>
      <c r="O11" s="5">
        <v>60</v>
      </c>
      <c r="P11" s="5">
        <v>60</v>
      </c>
      <c r="Q11" s="5">
        <v>60</v>
      </c>
      <c r="R11" s="5">
        <v>60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16"/>
      <c r="CF11" s="25">
        <v>70</v>
      </c>
      <c r="CG11" s="24">
        <v>180</v>
      </c>
      <c r="CH11" s="24">
        <v>180</v>
      </c>
      <c r="CI11" s="24">
        <v>161</v>
      </c>
      <c r="CJ11" s="24">
        <v>161</v>
      </c>
      <c r="CK11" s="24">
        <v>211</v>
      </c>
      <c r="CL11" s="24">
        <v>211</v>
      </c>
      <c r="CM11" s="24">
        <v>161</v>
      </c>
      <c r="CN11" s="24">
        <v>161</v>
      </c>
      <c r="CO11" s="24">
        <v>265</v>
      </c>
      <c r="CQ11" s="24" t="s">
        <v>169</v>
      </c>
      <c r="CR11" s="24">
        <v>12</v>
      </c>
      <c r="CS11" s="24">
        <f t="shared" si="0"/>
        <v>113.04</v>
      </c>
      <c r="CT11" s="24">
        <f t="shared" si="1"/>
        <v>158.256</v>
      </c>
      <c r="CU11" s="24">
        <v>16</v>
      </c>
      <c r="CV11" s="24">
        <v>32</v>
      </c>
      <c r="CW11" s="24">
        <f t="shared" si="2"/>
        <v>803.84</v>
      </c>
      <c r="CY11" s="29">
        <v>50</v>
      </c>
      <c r="CZ11" s="30">
        <v>0.43</v>
      </c>
      <c r="DA11" s="30">
        <v>8.5999999999999993E-2</v>
      </c>
      <c r="DB11" s="30">
        <v>1.05</v>
      </c>
      <c r="DC11" s="30">
        <v>0.57999999999999996</v>
      </c>
      <c r="DF11" s="74">
        <v>15</v>
      </c>
      <c r="DG11" s="5" t="s">
        <v>259</v>
      </c>
    </row>
    <row r="12" spans="1:114">
      <c r="A12" s="6" t="s">
        <v>10</v>
      </c>
      <c r="B12" s="6">
        <v>1000</v>
      </c>
      <c r="C12" s="6">
        <v>8.3000000000000007</v>
      </c>
      <c r="D12" s="6">
        <v>6</v>
      </c>
      <c r="F12" s="223"/>
      <c r="G12" s="6">
        <v>32</v>
      </c>
      <c r="H12" s="6"/>
      <c r="I12" s="6">
        <v>25</v>
      </c>
      <c r="J12" s="6">
        <v>25</v>
      </c>
      <c r="K12" s="6">
        <v>25</v>
      </c>
      <c r="L12" s="6">
        <v>25</v>
      </c>
      <c r="M12" s="6">
        <v>25</v>
      </c>
      <c r="N12" s="6">
        <v>25</v>
      </c>
      <c r="O12" s="5">
        <v>63</v>
      </c>
      <c r="P12" s="5">
        <v>63</v>
      </c>
      <c r="Q12" s="5">
        <v>63</v>
      </c>
      <c r="R12" s="5">
        <v>63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16"/>
      <c r="CF12" s="25">
        <v>95</v>
      </c>
      <c r="CG12" s="24">
        <v>220</v>
      </c>
      <c r="CH12" s="24">
        <v>220</v>
      </c>
      <c r="CI12" s="24">
        <v>197</v>
      </c>
      <c r="CJ12" s="24">
        <v>197</v>
      </c>
      <c r="CK12" s="24">
        <v>261</v>
      </c>
      <c r="CL12" s="24">
        <v>261</v>
      </c>
      <c r="CM12" s="24">
        <v>197</v>
      </c>
      <c r="CN12" s="24">
        <v>197</v>
      </c>
      <c r="CO12" s="24">
        <v>327</v>
      </c>
      <c r="CQ12" s="24" t="s">
        <v>170</v>
      </c>
      <c r="CR12" s="24">
        <v>16</v>
      </c>
      <c r="CS12" s="24">
        <f t="shared" si="0"/>
        <v>200.96</v>
      </c>
      <c r="CT12" s="24">
        <f t="shared" si="1"/>
        <v>281.34399999999999</v>
      </c>
      <c r="CU12" s="24">
        <v>16</v>
      </c>
      <c r="CV12" s="24">
        <v>35</v>
      </c>
      <c r="CW12" s="24">
        <f t="shared" si="2"/>
        <v>961.625</v>
      </c>
      <c r="CY12" s="29">
        <v>70</v>
      </c>
      <c r="CZ12" s="30">
        <v>0.3</v>
      </c>
      <c r="DA12" s="30">
        <v>7.2999999999999995E-2</v>
      </c>
      <c r="DB12" s="30">
        <v>0.85</v>
      </c>
      <c r="DC12" s="30">
        <v>0.42</v>
      </c>
      <c r="DF12" s="74">
        <v>16</v>
      </c>
      <c r="DG12" s="5" t="s">
        <v>259</v>
      </c>
    </row>
    <row r="13" spans="1:114">
      <c r="A13" s="6" t="s">
        <v>11</v>
      </c>
      <c r="B13" s="6">
        <v>1250</v>
      </c>
      <c r="C13" s="6">
        <v>10.5</v>
      </c>
      <c r="D13" s="6">
        <v>6</v>
      </c>
      <c r="F13" s="223"/>
      <c r="G13" s="6">
        <v>40</v>
      </c>
      <c r="H13" s="6"/>
      <c r="I13" s="6">
        <v>32</v>
      </c>
      <c r="J13" s="6">
        <v>32</v>
      </c>
      <c r="K13" s="6">
        <v>32</v>
      </c>
      <c r="L13" s="6">
        <v>32</v>
      </c>
      <c r="M13" s="6">
        <v>32</v>
      </c>
      <c r="N13" s="6">
        <v>32</v>
      </c>
      <c r="O13" s="5">
        <v>75</v>
      </c>
      <c r="P13" s="5">
        <v>75</v>
      </c>
      <c r="Q13" s="5">
        <v>75</v>
      </c>
      <c r="R13" s="5">
        <v>75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16"/>
      <c r="CF13" s="25">
        <v>120</v>
      </c>
      <c r="CG13" s="24">
        <v>260</v>
      </c>
      <c r="CH13" s="24">
        <v>260</v>
      </c>
      <c r="CI13" s="24">
        <v>229</v>
      </c>
      <c r="CJ13" s="24">
        <v>229</v>
      </c>
      <c r="CK13" s="24">
        <v>302</v>
      </c>
      <c r="CL13" s="24">
        <v>302</v>
      </c>
      <c r="CM13" s="24">
        <v>229</v>
      </c>
      <c r="CN13" s="24">
        <v>229</v>
      </c>
      <c r="CO13" s="24">
        <v>381</v>
      </c>
      <c r="CQ13" s="24" t="s">
        <v>171</v>
      </c>
      <c r="CR13" s="24">
        <v>18</v>
      </c>
      <c r="CS13" s="24">
        <f t="shared" si="0"/>
        <v>254.34</v>
      </c>
      <c r="CT13" s="24">
        <f t="shared" si="1"/>
        <v>356.07599999999996</v>
      </c>
      <c r="CU13" s="24">
        <v>25</v>
      </c>
      <c r="CV13" s="24">
        <v>40</v>
      </c>
      <c r="CW13" s="24">
        <f t="shared" si="2"/>
        <v>1256</v>
      </c>
      <c r="CY13" s="29">
        <v>95</v>
      </c>
      <c r="CZ13" s="30">
        <v>0.22</v>
      </c>
      <c r="DA13" s="30">
        <v>7.1999999999999995E-2</v>
      </c>
      <c r="DB13" s="30">
        <v>0.66</v>
      </c>
      <c r="DC13" s="30">
        <v>0.35</v>
      </c>
      <c r="DF13" s="74">
        <v>20</v>
      </c>
      <c r="DG13" s="5" t="s">
        <v>260</v>
      </c>
    </row>
    <row r="14" spans="1:114">
      <c r="A14" s="6" t="s">
        <v>12</v>
      </c>
      <c r="B14" s="6">
        <v>1600</v>
      </c>
      <c r="C14" s="6">
        <v>14</v>
      </c>
      <c r="D14" s="6">
        <v>6</v>
      </c>
      <c r="F14" s="223"/>
      <c r="G14" s="6">
        <v>50</v>
      </c>
      <c r="H14" s="6"/>
      <c r="I14" s="6">
        <v>40</v>
      </c>
      <c r="J14" s="6">
        <v>40</v>
      </c>
      <c r="K14" s="6">
        <v>40</v>
      </c>
      <c r="L14" s="6">
        <v>40</v>
      </c>
      <c r="M14" s="6">
        <v>40</v>
      </c>
      <c r="N14" s="6">
        <v>40</v>
      </c>
      <c r="O14" s="5">
        <v>80</v>
      </c>
      <c r="P14" s="5">
        <v>80</v>
      </c>
      <c r="Q14" s="5">
        <v>80</v>
      </c>
      <c r="R14" s="5">
        <v>80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16"/>
      <c r="CF14" s="25">
        <v>150</v>
      </c>
      <c r="CG14" s="24">
        <v>305</v>
      </c>
      <c r="CH14" s="24">
        <v>305</v>
      </c>
      <c r="CI14" s="24">
        <v>261</v>
      </c>
      <c r="CJ14" s="24">
        <v>261</v>
      </c>
      <c r="CK14" s="24">
        <v>346</v>
      </c>
      <c r="CL14" s="24">
        <v>346</v>
      </c>
      <c r="CM14" s="24">
        <v>261</v>
      </c>
      <c r="CN14" s="24">
        <v>261</v>
      </c>
      <c r="CO14" s="24">
        <v>437</v>
      </c>
      <c r="CQ14" s="24" t="s">
        <v>172</v>
      </c>
      <c r="CR14" s="24">
        <v>24</v>
      </c>
      <c r="CS14" s="24">
        <f t="shared" si="0"/>
        <v>452.16</v>
      </c>
      <c r="CT14" s="24">
        <f t="shared" si="1"/>
        <v>633.024</v>
      </c>
      <c r="CU14" s="24">
        <v>32</v>
      </c>
      <c r="CV14" s="24">
        <v>50</v>
      </c>
      <c r="CW14" s="24">
        <f t="shared" si="2"/>
        <v>1962.5</v>
      </c>
      <c r="CY14" s="29">
        <v>120</v>
      </c>
      <c r="CZ14" s="30">
        <v>0.18</v>
      </c>
      <c r="DA14" s="30">
        <v>7.0000000000000007E-2</v>
      </c>
      <c r="DB14" s="30">
        <v>0.54</v>
      </c>
      <c r="DC14" s="30">
        <v>0.31</v>
      </c>
      <c r="DF14" s="74">
        <v>25</v>
      </c>
      <c r="DG14" s="5" t="s">
        <v>260</v>
      </c>
    </row>
    <row r="15" spans="1:114">
      <c r="A15" s="6" t="s">
        <v>13</v>
      </c>
      <c r="B15" s="6">
        <v>2500</v>
      </c>
      <c r="C15" s="6">
        <v>17</v>
      </c>
      <c r="D15" s="6">
        <v>6</v>
      </c>
      <c r="F15" s="223"/>
      <c r="G15" s="6">
        <v>63</v>
      </c>
      <c r="H15" s="6"/>
      <c r="I15" s="6">
        <v>50</v>
      </c>
      <c r="J15" s="6">
        <v>50</v>
      </c>
      <c r="K15" s="6">
        <v>50</v>
      </c>
      <c r="L15" s="6">
        <v>50</v>
      </c>
      <c r="M15" s="6">
        <v>50</v>
      </c>
      <c r="N15" s="6">
        <v>50</v>
      </c>
      <c r="O15" s="5">
        <v>100</v>
      </c>
      <c r="P15" s="5">
        <v>100</v>
      </c>
      <c r="Q15" s="5">
        <v>100</v>
      </c>
      <c r="R15" s="5">
        <v>100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16"/>
      <c r="CF15" s="25">
        <v>185</v>
      </c>
      <c r="CG15" s="24">
        <v>350</v>
      </c>
      <c r="CH15" s="24">
        <v>350</v>
      </c>
      <c r="CI15" s="24">
        <v>302</v>
      </c>
      <c r="CJ15" s="24">
        <v>302</v>
      </c>
      <c r="CK15" s="24">
        <v>397</v>
      </c>
      <c r="CL15" s="24">
        <v>397</v>
      </c>
      <c r="CM15" s="24">
        <v>302</v>
      </c>
      <c r="CN15" s="24">
        <v>302</v>
      </c>
      <c r="CO15" s="24">
        <v>504</v>
      </c>
      <c r="CQ15" s="24" t="s">
        <v>173</v>
      </c>
      <c r="CR15" s="24">
        <v>26</v>
      </c>
      <c r="CS15" s="24">
        <f t="shared" si="0"/>
        <v>530.66</v>
      </c>
      <c r="CT15" s="24">
        <f t="shared" si="1"/>
        <v>742.92399999999986</v>
      </c>
      <c r="CU15" s="24">
        <v>32</v>
      </c>
      <c r="CV15" s="24"/>
      <c r="CW15" s="24"/>
      <c r="CY15" s="29">
        <v>150</v>
      </c>
      <c r="CZ15" s="30">
        <v>0.14000000000000001</v>
      </c>
      <c r="DA15" s="30">
        <v>7.0000000000000007E-2</v>
      </c>
      <c r="DB15" s="30">
        <v>0.45</v>
      </c>
      <c r="DC15" s="30">
        <v>0.28000000000000003</v>
      </c>
      <c r="DF15" s="74">
        <v>30</v>
      </c>
      <c r="DG15" s="5" t="s">
        <v>261</v>
      </c>
    </row>
    <row r="16" spans="1:114">
      <c r="A16" s="6" t="s">
        <v>14</v>
      </c>
      <c r="B16" s="6">
        <v>10</v>
      </c>
      <c r="C16" s="6">
        <v>0.28000000000000003</v>
      </c>
      <c r="D16" s="6">
        <v>4.4000000000000004</v>
      </c>
      <c r="F16" s="223"/>
      <c r="G16" s="6"/>
      <c r="H16" s="6"/>
      <c r="I16" s="6">
        <v>63</v>
      </c>
      <c r="J16" s="6">
        <v>63</v>
      </c>
      <c r="K16" s="6">
        <v>63</v>
      </c>
      <c r="L16" s="6">
        <v>63</v>
      </c>
      <c r="M16" s="6">
        <v>63</v>
      </c>
      <c r="N16" s="6">
        <v>63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16"/>
      <c r="CF16" s="25">
        <v>240</v>
      </c>
      <c r="CG16" s="24">
        <v>472</v>
      </c>
      <c r="CH16" s="24">
        <v>472</v>
      </c>
      <c r="CI16" s="24">
        <v>359</v>
      </c>
      <c r="CJ16" s="24">
        <v>359</v>
      </c>
      <c r="CK16" s="24">
        <v>472</v>
      </c>
      <c r="CL16" s="24">
        <v>472</v>
      </c>
      <c r="CM16" s="24">
        <v>359</v>
      </c>
      <c r="CN16" s="24">
        <v>359</v>
      </c>
      <c r="CO16" s="24">
        <v>598</v>
      </c>
      <c r="CQ16" s="24" t="s">
        <v>174</v>
      </c>
      <c r="CR16" s="24">
        <v>8</v>
      </c>
      <c r="CS16" s="24">
        <f t="shared" si="0"/>
        <v>50.24</v>
      </c>
      <c r="CT16" s="24">
        <f t="shared" si="1"/>
        <v>70.335999999999999</v>
      </c>
      <c r="CU16" s="24">
        <v>16</v>
      </c>
      <c r="CV16" s="24"/>
      <c r="CW16" s="24"/>
      <c r="CY16" s="29">
        <v>185</v>
      </c>
      <c r="CZ16" s="30">
        <v>0.115</v>
      </c>
      <c r="DA16" s="30">
        <v>6.9000000000000006E-2</v>
      </c>
      <c r="DB16" s="30">
        <v>0.37</v>
      </c>
      <c r="DC16" s="30">
        <v>0.27</v>
      </c>
      <c r="DF16" s="74">
        <v>32</v>
      </c>
      <c r="DG16" s="5" t="s">
        <v>261</v>
      </c>
    </row>
    <row r="17" spans="1:111">
      <c r="A17" s="6" t="s">
        <v>15</v>
      </c>
      <c r="B17" s="6">
        <v>16</v>
      </c>
      <c r="C17" s="6">
        <v>0.31</v>
      </c>
      <c r="D17" s="6">
        <v>3.1</v>
      </c>
      <c r="F17" s="223"/>
      <c r="G17" s="6"/>
      <c r="H17" s="6"/>
      <c r="I17" s="6"/>
      <c r="J17" s="6"/>
      <c r="K17" s="6"/>
      <c r="L17" s="6"/>
      <c r="M17" s="6"/>
      <c r="N17" s="6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16"/>
      <c r="CF17" s="25">
        <v>300</v>
      </c>
      <c r="CG17" s="24">
        <v>542</v>
      </c>
      <c r="CH17" s="24">
        <v>542</v>
      </c>
      <c r="CI17" s="24">
        <v>424</v>
      </c>
      <c r="CJ17" s="24">
        <v>424</v>
      </c>
      <c r="CK17" s="24">
        <v>542</v>
      </c>
      <c r="CL17" s="24">
        <v>542</v>
      </c>
      <c r="CM17" s="24">
        <v>424</v>
      </c>
      <c r="CN17" s="24">
        <v>424</v>
      </c>
      <c r="CO17" s="24">
        <v>688</v>
      </c>
      <c r="CQ17" s="24" t="s">
        <v>175</v>
      </c>
      <c r="CR17" s="24">
        <v>10</v>
      </c>
      <c r="CS17" s="24">
        <f t="shared" si="0"/>
        <v>78.5</v>
      </c>
      <c r="CT17" s="24">
        <f t="shared" si="1"/>
        <v>109.89999999999999</v>
      </c>
      <c r="CU17" s="24">
        <v>16</v>
      </c>
      <c r="CV17" s="24"/>
      <c r="CW17" s="24"/>
      <c r="CY17" s="29">
        <v>240</v>
      </c>
      <c r="CZ17" s="30">
        <v>8.8999999999999996E-2</v>
      </c>
      <c r="DA17" s="30">
        <v>0.06</v>
      </c>
      <c r="DB17" s="30">
        <v>0.62</v>
      </c>
      <c r="DC17" s="30">
        <v>1.36</v>
      </c>
      <c r="DF17" s="74">
        <v>40</v>
      </c>
      <c r="DG17" s="5" t="s">
        <v>262</v>
      </c>
    </row>
    <row r="18" spans="1:111">
      <c r="A18" s="6" t="s">
        <v>16</v>
      </c>
      <c r="B18" s="6">
        <v>25</v>
      </c>
      <c r="C18" s="6">
        <v>0.47</v>
      </c>
      <c r="D18" s="6">
        <v>3</v>
      </c>
      <c r="F18" s="224"/>
      <c r="G18" s="6"/>
      <c r="H18" s="6"/>
      <c r="I18" s="6"/>
      <c r="J18" s="6"/>
      <c r="K18" s="6"/>
      <c r="L18" s="6"/>
      <c r="M18" s="6"/>
      <c r="N18" s="6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16"/>
      <c r="CF18" s="25">
        <v>400</v>
      </c>
      <c r="CG18" s="24">
        <v>633</v>
      </c>
      <c r="CH18" s="24">
        <v>633</v>
      </c>
      <c r="CI18" s="24">
        <v>501</v>
      </c>
      <c r="CJ18" s="24">
        <v>501</v>
      </c>
      <c r="CK18" s="24">
        <v>633</v>
      </c>
      <c r="CL18" s="24">
        <v>633</v>
      </c>
      <c r="CM18" s="24">
        <v>501</v>
      </c>
      <c r="CN18" s="24">
        <v>501</v>
      </c>
      <c r="CO18" s="24">
        <v>807</v>
      </c>
      <c r="CQ18" s="24" t="s">
        <v>176</v>
      </c>
      <c r="CR18" s="24">
        <v>12</v>
      </c>
      <c r="CS18" s="24">
        <f t="shared" si="0"/>
        <v>113.04</v>
      </c>
      <c r="CT18" s="24">
        <f t="shared" si="1"/>
        <v>158.256</v>
      </c>
      <c r="CU18" s="24">
        <v>16</v>
      </c>
      <c r="CV18" s="24"/>
      <c r="CW18" s="24"/>
      <c r="DF18" s="74">
        <v>45</v>
      </c>
      <c r="DG18" s="5" t="s">
        <v>263</v>
      </c>
    </row>
    <row r="19" spans="1:111">
      <c r="A19" s="6" t="s">
        <v>17</v>
      </c>
      <c r="B19" s="6">
        <v>40</v>
      </c>
      <c r="C19" s="6">
        <v>0.65</v>
      </c>
      <c r="D19" s="6">
        <v>2.8</v>
      </c>
      <c r="F19" s="17" t="s">
        <v>89</v>
      </c>
      <c r="G19" s="6">
        <v>6</v>
      </c>
      <c r="H19" s="6">
        <v>6</v>
      </c>
      <c r="I19" s="6">
        <v>6</v>
      </c>
      <c r="J19" s="6">
        <v>10</v>
      </c>
      <c r="K19" s="6">
        <v>6</v>
      </c>
      <c r="L19" s="6">
        <v>10</v>
      </c>
      <c r="M19" s="6">
        <v>6</v>
      </c>
      <c r="N19" s="6">
        <v>10</v>
      </c>
      <c r="O19" s="6">
        <v>7.5</v>
      </c>
      <c r="P19" s="5">
        <v>10</v>
      </c>
      <c r="Q19" s="5">
        <v>18</v>
      </c>
      <c r="R19" s="5">
        <v>30</v>
      </c>
      <c r="S19" s="5">
        <v>18</v>
      </c>
      <c r="T19" s="5">
        <v>25</v>
      </c>
      <c r="U19" s="5">
        <v>36</v>
      </c>
      <c r="V19" s="5">
        <v>36</v>
      </c>
      <c r="W19" s="5">
        <v>50</v>
      </c>
      <c r="X19" s="5">
        <v>36</v>
      </c>
      <c r="Y19" s="5">
        <v>50</v>
      </c>
      <c r="Z19" s="6">
        <v>25</v>
      </c>
      <c r="AA19" s="5">
        <v>36</v>
      </c>
      <c r="AB19" s="5">
        <v>50</v>
      </c>
      <c r="AC19" s="5">
        <v>25</v>
      </c>
      <c r="AD19" s="5">
        <v>36</v>
      </c>
      <c r="AE19" s="5">
        <v>50</v>
      </c>
      <c r="AF19" s="5">
        <v>25</v>
      </c>
      <c r="AG19" s="5">
        <v>36</v>
      </c>
      <c r="AH19" s="5">
        <v>50</v>
      </c>
      <c r="AI19" s="5">
        <v>36</v>
      </c>
      <c r="AJ19" s="5">
        <v>50</v>
      </c>
      <c r="AK19" s="5">
        <v>36</v>
      </c>
      <c r="AL19" s="5">
        <v>50</v>
      </c>
      <c r="AM19" s="5">
        <v>25</v>
      </c>
      <c r="AN19" s="5">
        <v>36</v>
      </c>
      <c r="AO19" s="5">
        <v>50</v>
      </c>
      <c r="AP19" s="5">
        <v>70</v>
      </c>
      <c r="AQ19" s="5">
        <v>100</v>
      </c>
      <c r="AR19" s="5">
        <v>150</v>
      </c>
      <c r="AS19" s="5">
        <v>25</v>
      </c>
      <c r="AT19" s="5">
        <v>36</v>
      </c>
      <c r="AU19" s="5">
        <v>50</v>
      </c>
      <c r="AV19" s="5">
        <v>70</v>
      </c>
      <c r="AW19" s="5">
        <v>100</v>
      </c>
      <c r="AX19" s="5">
        <v>150</v>
      </c>
      <c r="AY19" s="5">
        <v>25</v>
      </c>
      <c r="AZ19" s="5">
        <v>36</v>
      </c>
      <c r="BA19" s="5">
        <v>50</v>
      </c>
      <c r="BB19" s="5">
        <v>70</v>
      </c>
      <c r="BC19" s="5">
        <v>100</v>
      </c>
      <c r="BD19" s="5">
        <v>150</v>
      </c>
      <c r="BE19" s="5">
        <v>36</v>
      </c>
      <c r="BF19" s="5">
        <v>50</v>
      </c>
      <c r="BG19" s="5">
        <v>70</v>
      </c>
      <c r="BH19" s="5">
        <v>100</v>
      </c>
      <c r="BI19" s="5">
        <v>150</v>
      </c>
      <c r="BJ19" s="5">
        <v>36</v>
      </c>
      <c r="BK19" s="5">
        <v>50</v>
      </c>
      <c r="BL19" s="5">
        <v>70</v>
      </c>
      <c r="BM19" s="5">
        <v>100</v>
      </c>
      <c r="BN19" s="5">
        <v>150</v>
      </c>
      <c r="BO19" s="5">
        <v>50</v>
      </c>
      <c r="BP19" s="5">
        <v>65</v>
      </c>
      <c r="BQ19" s="5">
        <v>50</v>
      </c>
      <c r="BR19" s="5">
        <v>65</v>
      </c>
      <c r="BS19" s="5">
        <v>50</v>
      </c>
      <c r="BT19" s="5">
        <v>65</v>
      </c>
      <c r="BU19" s="5">
        <v>50</v>
      </c>
      <c r="BV19" s="5">
        <v>65</v>
      </c>
      <c r="BW19" s="5">
        <v>50</v>
      </c>
      <c r="BX19" s="5">
        <v>65</v>
      </c>
      <c r="BY19" s="5">
        <v>50</v>
      </c>
      <c r="BZ19" s="5">
        <v>65</v>
      </c>
      <c r="CA19" s="5">
        <v>50</v>
      </c>
      <c r="CB19" s="5">
        <v>65</v>
      </c>
      <c r="CC19" s="5">
        <v>55</v>
      </c>
      <c r="CD19" s="15">
        <v>65</v>
      </c>
      <c r="CF19" s="25">
        <v>500</v>
      </c>
      <c r="CG19" s="9"/>
      <c r="CH19" s="9"/>
      <c r="CI19" s="9"/>
      <c r="CJ19" s="9"/>
      <c r="CK19" s="9"/>
      <c r="CL19" s="9"/>
      <c r="CM19" s="9"/>
      <c r="CN19" s="9"/>
      <c r="CO19" s="9"/>
      <c r="CQ19" s="24" t="s">
        <v>177</v>
      </c>
      <c r="CR19" s="24">
        <v>13</v>
      </c>
      <c r="CS19" s="24">
        <f t="shared" si="0"/>
        <v>132.66499999999999</v>
      </c>
      <c r="CT19" s="24">
        <f t="shared" si="1"/>
        <v>185.73099999999997</v>
      </c>
      <c r="CU19" s="24">
        <v>16</v>
      </c>
      <c r="CV19" s="24"/>
      <c r="CW19" s="24"/>
      <c r="DF19" s="74">
        <v>50</v>
      </c>
      <c r="DG19" s="5" t="s">
        <v>263</v>
      </c>
    </row>
    <row r="20" spans="1:111">
      <c r="A20" s="6" t="s">
        <v>18</v>
      </c>
      <c r="B20" s="6">
        <v>63</v>
      </c>
      <c r="C20" s="6">
        <v>0.82</v>
      </c>
      <c r="D20" s="6">
        <v>2.1</v>
      </c>
      <c r="CF20" s="25">
        <v>630</v>
      </c>
      <c r="CG20" s="9"/>
      <c r="CH20" s="9"/>
      <c r="CI20" s="9"/>
      <c r="CJ20" s="9"/>
      <c r="CK20" s="9"/>
      <c r="CL20" s="9"/>
      <c r="CM20" s="9"/>
      <c r="CN20" s="9"/>
      <c r="CO20" s="9"/>
      <c r="CQ20" s="24" t="s">
        <v>178</v>
      </c>
      <c r="CR20" s="24">
        <v>17</v>
      </c>
      <c r="CS20" s="24">
        <f t="shared" si="0"/>
        <v>226.86500000000001</v>
      </c>
      <c r="CT20" s="24">
        <f t="shared" si="1"/>
        <v>317.61099999999999</v>
      </c>
      <c r="CU20" s="24">
        <v>25</v>
      </c>
      <c r="CV20" s="24"/>
      <c r="CW20" s="24"/>
      <c r="DF20" s="74">
        <v>60</v>
      </c>
      <c r="DG20" s="5" t="s">
        <v>264</v>
      </c>
    </row>
    <row r="21" spans="1:111">
      <c r="A21" s="6" t="s">
        <v>19</v>
      </c>
      <c r="B21" s="6">
        <v>100</v>
      </c>
      <c r="C21" s="6">
        <v>2</v>
      </c>
      <c r="D21" s="6">
        <v>6</v>
      </c>
      <c r="CF21" s="25">
        <v>800</v>
      </c>
      <c r="CG21" s="9"/>
      <c r="CH21" s="9"/>
      <c r="CI21" s="9"/>
      <c r="CJ21" s="9"/>
      <c r="CK21" s="9"/>
      <c r="CL21" s="9"/>
      <c r="CM21" s="9"/>
      <c r="CN21" s="9"/>
      <c r="CO21" s="9"/>
      <c r="CQ21" s="24" t="s">
        <v>179</v>
      </c>
      <c r="CR21" s="24">
        <v>19</v>
      </c>
      <c r="CS21" s="24">
        <f t="shared" si="0"/>
        <v>283.38499999999999</v>
      </c>
      <c r="CT21" s="24">
        <f t="shared" si="1"/>
        <v>396.73899999999998</v>
      </c>
      <c r="CU21" s="24">
        <v>25</v>
      </c>
      <c r="CV21" s="24"/>
      <c r="CW21" s="24"/>
      <c r="DF21" s="74">
        <v>63</v>
      </c>
      <c r="DG21" s="5" t="s">
        <v>264</v>
      </c>
    </row>
    <row r="22" spans="1:111">
      <c r="A22" s="6" t="s">
        <v>20</v>
      </c>
      <c r="B22" s="6">
        <v>160</v>
      </c>
      <c r="C22" s="6">
        <v>2.5</v>
      </c>
      <c r="D22" s="6">
        <v>6</v>
      </c>
      <c r="F22" s="213" t="s">
        <v>196</v>
      </c>
      <c r="G22" s="213" t="s">
        <v>197</v>
      </c>
      <c r="H22" s="213"/>
      <c r="I22" s="31"/>
      <c r="J22" s="31"/>
      <c r="K22" s="31"/>
      <c r="L22" s="31"/>
      <c r="M22" s="31"/>
      <c r="N22" s="31"/>
      <c r="O22" s="31"/>
      <c r="P22" s="31"/>
      <c r="Q22" s="31"/>
      <c r="CF22" s="25">
        <v>1000</v>
      </c>
      <c r="CG22" s="9"/>
      <c r="CH22" s="9"/>
      <c r="CI22" s="9"/>
      <c r="CJ22" s="9"/>
      <c r="CK22" s="9"/>
      <c r="CL22" s="9"/>
      <c r="CM22" s="9"/>
      <c r="CN22" s="9"/>
      <c r="CO22" s="9"/>
      <c r="CQ22" s="24" t="s">
        <v>180</v>
      </c>
      <c r="CR22" s="24">
        <v>26</v>
      </c>
      <c r="CS22" s="24">
        <f t="shared" si="0"/>
        <v>530.66</v>
      </c>
      <c r="CT22" s="24">
        <f t="shared" si="1"/>
        <v>742.92399999999986</v>
      </c>
      <c r="CU22" s="24">
        <v>32</v>
      </c>
      <c r="CV22" s="24"/>
      <c r="CW22" s="24"/>
      <c r="DF22" s="74">
        <v>75</v>
      </c>
      <c r="DG22" s="5" t="s">
        <v>265</v>
      </c>
    </row>
    <row r="23" spans="1:111">
      <c r="A23" s="6" t="s">
        <v>21</v>
      </c>
      <c r="B23" s="6">
        <v>250</v>
      </c>
      <c r="C23" s="6">
        <v>3.22</v>
      </c>
      <c r="D23" s="6">
        <v>6</v>
      </c>
      <c r="F23" s="213"/>
      <c r="G23" s="28" t="s">
        <v>198</v>
      </c>
      <c r="H23" s="28" t="s">
        <v>199</v>
      </c>
      <c r="I23" s="22"/>
      <c r="J23" s="22"/>
      <c r="K23" s="22"/>
      <c r="L23" s="22"/>
      <c r="M23" s="22"/>
      <c r="N23" s="22"/>
      <c r="O23" s="22"/>
      <c r="P23" s="22"/>
      <c r="Q23" s="22"/>
      <c r="CQ23" s="24" t="s">
        <v>181</v>
      </c>
      <c r="CR23" s="24">
        <v>29</v>
      </c>
      <c r="CS23" s="24">
        <f t="shared" si="0"/>
        <v>660.18500000000006</v>
      </c>
      <c r="CT23" s="24">
        <f t="shared" si="1"/>
        <v>924.25900000000001</v>
      </c>
      <c r="CU23" s="24">
        <v>50</v>
      </c>
      <c r="CV23" s="24"/>
      <c r="CW23" s="24"/>
      <c r="DF23" s="74">
        <v>80</v>
      </c>
      <c r="DG23" s="5" t="s">
        <v>265</v>
      </c>
    </row>
    <row r="24" spans="1:111">
      <c r="A24" s="6" t="s">
        <v>22</v>
      </c>
      <c r="B24" s="6">
        <v>400</v>
      </c>
      <c r="C24" s="6">
        <v>4.7</v>
      </c>
      <c r="D24" s="6">
        <v>6</v>
      </c>
      <c r="F24" s="30">
        <v>50</v>
      </c>
      <c r="G24" s="30">
        <v>7</v>
      </c>
      <c r="H24" s="30">
        <v>4.5</v>
      </c>
      <c r="I24" s="22"/>
      <c r="J24" s="22"/>
      <c r="K24" s="22"/>
      <c r="L24" s="22"/>
      <c r="M24" s="22"/>
      <c r="N24" s="22"/>
      <c r="O24" s="22"/>
      <c r="P24" s="22"/>
      <c r="Q24" s="22"/>
      <c r="CQ24" s="24" t="s">
        <v>182</v>
      </c>
      <c r="CR24" s="24">
        <v>10</v>
      </c>
      <c r="CS24" s="24">
        <f t="shared" si="0"/>
        <v>78.5</v>
      </c>
      <c r="CT24" s="24">
        <f t="shared" si="1"/>
        <v>109.89999999999999</v>
      </c>
      <c r="CU24" s="24">
        <v>16</v>
      </c>
      <c r="CV24" s="24"/>
      <c r="CW24" s="24"/>
      <c r="DF24" s="74">
        <v>100</v>
      </c>
      <c r="DG24" s="5" t="s">
        <v>266</v>
      </c>
    </row>
    <row r="25" spans="1:111">
      <c r="A25" s="6" t="s">
        <v>23</v>
      </c>
      <c r="B25" s="6">
        <v>630</v>
      </c>
      <c r="C25" s="6">
        <v>5.5</v>
      </c>
      <c r="D25" s="6">
        <v>6</v>
      </c>
      <c r="F25" s="30">
        <v>70</v>
      </c>
      <c r="G25" s="30">
        <v>3.5</v>
      </c>
      <c r="H25" s="30">
        <v>2</v>
      </c>
      <c r="I25" s="22"/>
      <c r="J25" s="22"/>
      <c r="K25" s="22"/>
      <c r="L25" s="22"/>
      <c r="M25" s="22"/>
      <c r="N25" s="22"/>
      <c r="O25" s="22"/>
      <c r="P25" s="22"/>
      <c r="Q25" s="22"/>
      <c r="CQ25" s="24" t="s">
        <v>183</v>
      </c>
      <c r="CR25" s="24">
        <v>11</v>
      </c>
      <c r="CS25" s="24">
        <f t="shared" si="0"/>
        <v>94.984999999999999</v>
      </c>
      <c r="CT25" s="24">
        <f t="shared" si="1"/>
        <v>132.97899999999998</v>
      </c>
      <c r="CU25" s="24">
        <v>16</v>
      </c>
      <c r="CV25" s="24"/>
      <c r="CW25" s="24"/>
      <c r="DF25" s="74">
        <v>125</v>
      </c>
      <c r="DG25" s="5" t="s">
        <v>267</v>
      </c>
    </row>
    <row r="26" spans="1:111">
      <c r="A26" s="6" t="s">
        <v>24</v>
      </c>
      <c r="B26" s="6">
        <v>1000</v>
      </c>
      <c r="C26" s="6">
        <v>8.3000000000000007</v>
      </c>
      <c r="D26" s="6">
        <v>6</v>
      </c>
      <c r="F26" s="30">
        <v>100</v>
      </c>
      <c r="G26" s="30">
        <v>2.15</v>
      </c>
      <c r="H26" s="30">
        <v>1.2</v>
      </c>
      <c r="I26" s="22"/>
      <c r="J26" s="22"/>
      <c r="K26" s="22"/>
      <c r="L26" s="22"/>
      <c r="M26" s="22"/>
      <c r="N26" s="22"/>
      <c r="O26" s="22"/>
      <c r="P26" s="22"/>
      <c r="Q26" s="22"/>
      <c r="CQ26" s="24" t="s">
        <v>184</v>
      </c>
      <c r="CR26" s="24">
        <v>13</v>
      </c>
      <c r="CS26" s="24">
        <f t="shared" si="0"/>
        <v>132.66499999999999</v>
      </c>
      <c r="CT26" s="24">
        <f t="shared" si="1"/>
        <v>185.73099999999997</v>
      </c>
      <c r="CU26" s="24">
        <v>16</v>
      </c>
      <c r="CV26" s="24"/>
      <c r="CW26" s="24"/>
      <c r="DF26" s="74">
        <v>150</v>
      </c>
      <c r="DG26" s="5" t="s">
        <v>267</v>
      </c>
    </row>
    <row r="27" spans="1:111">
      <c r="A27" s="6" t="s">
        <v>25</v>
      </c>
      <c r="B27" s="6">
        <v>1250</v>
      </c>
      <c r="C27" s="6">
        <v>10.5</v>
      </c>
      <c r="D27" s="6">
        <v>6</v>
      </c>
      <c r="F27" s="30">
        <v>140</v>
      </c>
      <c r="G27" s="30">
        <v>1.3</v>
      </c>
      <c r="H27" s="30">
        <v>0.7</v>
      </c>
      <c r="I27" s="22"/>
      <c r="J27" s="22"/>
      <c r="K27" s="22"/>
      <c r="L27" s="22"/>
      <c r="M27" s="22"/>
      <c r="N27" s="22"/>
      <c r="O27" s="22"/>
      <c r="P27" s="22"/>
      <c r="Q27" s="22"/>
      <c r="CQ27" s="24" t="s">
        <v>185</v>
      </c>
      <c r="CR27" s="24">
        <v>14</v>
      </c>
      <c r="CS27" s="24">
        <f t="shared" si="0"/>
        <v>153.86000000000001</v>
      </c>
      <c r="CT27" s="24">
        <f t="shared" si="1"/>
        <v>215.404</v>
      </c>
      <c r="CU27" s="24">
        <v>25</v>
      </c>
      <c r="CV27" s="24"/>
      <c r="CW27" s="24"/>
      <c r="DF27" s="74">
        <v>160</v>
      </c>
      <c r="DG27" s="5" t="s">
        <v>267</v>
      </c>
    </row>
    <row r="28" spans="1:111">
      <c r="A28" s="6" t="s">
        <v>26</v>
      </c>
      <c r="B28" s="6">
        <v>1600</v>
      </c>
      <c r="C28" s="6">
        <v>14</v>
      </c>
      <c r="D28" s="6">
        <v>6</v>
      </c>
      <c r="F28" s="30">
        <v>200</v>
      </c>
      <c r="G28" s="30">
        <v>1.1000000000000001</v>
      </c>
      <c r="H28" s="30">
        <v>0.5</v>
      </c>
      <c r="I28" s="22"/>
      <c r="J28" s="22"/>
      <c r="K28" s="22"/>
      <c r="L28" s="22"/>
      <c r="M28" s="22"/>
      <c r="N28" s="22"/>
      <c r="O28" s="22"/>
      <c r="P28" s="22"/>
      <c r="Q28" s="22"/>
      <c r="CQ28" s="24" t="s">
        <v>186</v>
      </c>
      <c r="CR28" s="24">
        <v>19</v>
      </c>
      <c r="CS28" s="24">
        <f t="shared" si="0"/>
        <v>283.38499999999999</v>
      </c>
      <c r="CT28" s="24">
        <f t="shared" si="1"/>
        <v>396.73899999999998</v>
      </c>
      <c r="CU28" s="24">
        <v>25</v>
      </c>
      <c r="CV28" s="24"/>
      <c r="CW28" s="24"/>
      <c r="DF28" s="74">
        <v>175</v>
      </c>
      <c r="DG28" s="5" t="s">
        <v>268</v>
      </c>
    </row>
    <row r="29" spans="1:111">
      <c r="A29" s="6" t="s">
        <v>27</v>
      </c>
      <c r="B29" s="6">
        <v>2500</v>
      </c>
      <c r="C29" s="6">
        <v>17</v>
      </c>
      <c r="D29" s="6">
        <v>6</v>
      </c>
      <c r="F29" s="30">
        <v>400</v>
      </c>
      <c r="G29" s="30">
        <v>0.65</v>
      </c>
      <c r="H29" s="30">
        <v>0.17</v>
      </c>
      <c r="I29" s="22"/>
      <c r="J29" s="22"/>
      <c r="K29" s="22"/>
      <c r="L29" s="22"/>
      <c r="M29" s="22"/>
      <c r="N29" s="22"/>
      <c r="O29" s="22"/>
      <c r="P29" s="22"/>
      <c r="Q29" s="22"/>
      <c r="CQ29" s="24" t="s">
        <v>187</v>
      </c>
      <c r="CR29" s="24">
        <v>21</v>
      </c>
      <c r="CS29" s="24">
        <f t="shared" si="0"/>
        <v>346.185</v>
      </c>
      <c r="CT29" s="24">
        <f t="shared" si="1"/>
        <v>484.65899999999999</v>
      </c>
      <c r="CU29" s="24">
        <v>25</v>
      </c>
      <c r="CV29" s="24"/>
      <c r="CW29" s="24"/>
      <c r="DF29" s="74">
        <v>200</v>
      </c>
      <c r="DG29" s="5" t="s">
        <v>268</v>
      </c>
    </row>
    <row r="30" spans="1:111">
      <c r="A30" s="6" t="s">
        <v>51</v>
      </c>
      <c r="B30" s="6">
        <v>100</v>
      </c>
      <c r="C30" s="6">
        <v>2</v>
      </c>
      <c r="D30" s="6">
        <v>4.5</v>
      </c>
      <c r="F30" s="30">
        <v>600</v>
      </c>
      <c r="G30" s="30">
        <v>0.41</v>
      </c>
      <c r="H30" s="30">
        <v>0.13</v>
      </c>
      <c r="I30" s="22"/>
      <c r="J30" s="22"/>
      <c r="K30" s="22"/>
      <c r="L30" s="22"/>
      <c r="M30" s="22"/>
      <c r="N30" s="22"/>
      <c r="O30" s="22"/>
      <c r="P30" s="22"/>
      <c r="Q30" s="22"/>
      <c r="CQ30" s="24" t="s">
        <v>188</v>
      </c>
      <c r="CR30" s="24">
        <v>29</v>
      </c>
      <c r="CS30" s="24">
        <f t="shared" si="0"/>
        <v>660.18500000000006</v>
      </c>
      <c r="CT30" s="24">
        <f t="shared" si="1"/>
        <v>924.25900000000001</v>
      </c>
      <c r="CU30" s="24">
        <v>50</v>
      </c>
      <c r="CV30" s="24"/>
      <c r="CW30" s="24"/>
      <c r="DF30" s="74">
        <v>225</v>
      </c>
      <c r="DG30" s="5" t="s">
        <v>269</v>
      </c>
    </row>
    <row r="31" spans="1:111">
      <c r="A31" s="6" t="s">
        <v>52</v>
      </c>
      <c r="B31" s="6">
        <v>160</v>
      </c>
      <c r="C31" s="6">
        <v>2.8</v>
      </c>
      <c r="D31" s="6">
        <v>4.5</v>
      </c>
      <c r="F31" s="30">
        <v>1000</v>
      </c>
      <c r="G31" s="30">
        <v>0.25</v>
      </c>
      <c r="H31" s="30">
        <v>0.1</v>
      </c>
      <c r="I31" s="22"/>
      <c r="J31" s="22"/>
      <c r="K31" s="22"/>
      <c r="L31" s="22"/>
      <c r="M31" s="22"/>
      <c r="N31" s="22"/>
      <c r="O31" s="22"/>
      <c r="P31" s="22"/>
      <c r="Q31" s="22"/>
      <c r="CQ31" s="24" t="s">
        <v>189</v>
      </c>
      <c r="CR31" s="24">
        <v>31</v>
      </c>
      <c r="CS31" s="24">
        <f t="shared" si="0"/>
        <v>754.38499999999999</v>
      </c>
      <c r="CT31" s="24">
        <f t="shared" si="1"/>
        <v>1056.1389999999999</v>
      </c>
      <c r="CU31" s="24">
        <v>50</v>
      </c>
      <c r="CV31" s="24"/>
      <c r="CW31" s="24"/>
      <c r="DF31" s="74">
        <v>250</v>
      </c>
      <c r="DG31" s="5" t="s">
        <v>269</v>
      </c>
    </row>
    <row r="32" spans="1:111">
      <c r="A32" s="6" t="s">
        <v>53</v>
      </c>
      <c r="B32" s="6">
        <v>250</v>
      </c>
      <c r="C32" s="6">
        <v>3.5</v>
      </c>
      <c r="D32" s="6">
        <v>4.5</v>
      </c>
      <c r="F32" s="30">
        <v>1600</v>
      </c>
      <c r="G32" s="30">
        <v>0.14000000000000001</v>
      </c>
      <c r="H32" s="30">
        <v>0.08</v>
      </c>
      <c r="I32" s="22"/>
      <c r="J32" s="22"/>
      <c r="K32" s="22"/>
      <c r="L32" s="22"/>
      <c r="M32" s="22"/>
      <c r="N32" s="22"/>
      <c r="O32" s="22"/>
      <c r="P32" s="22"/>
      <c r="Q32" s="22"/>
      <c r="DF32" s="74">
        <v>320</v>
      </c>
      <c r="DG32" s="5" t="s">
        <v>270</v>
      </c>
    </row>
    <row r="33" spans="1:111">
      <c r="A33" s="6" t="s">
        <v>54</v>
      </c>
      <c r="B33" s="6">
        <v>400</v>
      </c>
      <c r="C33" s="6">
        <v>6</v>
      </c>
      <c r="D33" s="6">
        <v>4.5</v>
      </c>
      <c r="F33" s="30">
        <v>2500</v>
      </c>
      <c r="G33" s="30">
        <v>0.13</v>
      </c>
      <c r="H33" s="30">
        <v>7.0000000000000007E-2</v>
      </c>
      <c r="I33" s="22"/>
      <c r="J33" s="22"/>
      <c r="K33" s="22"/>
      <c r="L33" s="22"/>
      <c r="M33" s="22"/>
      <c r="N33" s="22"/>
      <c r="O33" s="22"/>
      <c r="P33" s="22"/>
      <c r="Q33" s="22"/>
      <c r="DF33" s="74">
        <v>350</v>
      </c>
      <c r="DG33" s="5" t="s">
        <v>270</v>
      </c>
    </row>
    <row r="34" spans="1:111">
      <c r="A34" s="6" t="s">
        <v>55</v>
      </c>
      <c r="B34" s="6">
        <v>630</v>
      </c>
      <c r="C34" s="6">
        <v>8.1999999999999993</v>
      </c>
      <c r="D34" s="6">
        <v>5.5</v>
      </c>
      <c r="F34" s="30">
        <v>4000</v>
      </c>
      <c r="G34" s="30">
        <v>0.1</v>
      </c>
      <c r="H34" s="30">
        <v>0.05</v>
      </c>
      <c r="I34" s="22"/>
      <c r="J34" s="22"/>
      <c r="K34" s="22"/>
      <c r="L34" s="22"/>
      <c r="M34" s="22"/>
      <c r="N34" s="22"/>
      <c r="O34" s="22"/>
      <c r="P34" s="22"/>
      <c r="Q34" s="22"/>
      <c r="DF34" s="74">
        <v>400</v>
      </c>
      <c r="DG34" s="5" t="s">
        <v>270</v>
      </c>
    </row>
    <row r="35" spans="1:111">
      <c r="A35" s="6" t="s">
        <v>56</v>
      </c>
      <c r="B35" s="6">
        <v>1000</v>
      </c>
      <c r="C35" s="6">
        <v>10.5</v>
      </c>
      <c r="D35" s="6">
        <v>5.5</v>
      </c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DF35" s="74">
        <v>500</v>
      </c>
      <c r="DG35" s="5" t="s">
        <v>271</v>
      </c>
    </row>
    <row r="36" spans="1:111">
      <c r="A36" s="6" t="s">
        <v>57</v>
      </c>
      <c r="B36" s="6">
        <v>100</v>
      </c>
      <c r="C36" s="6">
        <v>2</v>
      </c>
      <c r="D36" s="6">
        <v>4.5</v>
      </c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DF36" s="74">
        <v>600</v>
      </c>
      <c r="DG36" s="5" t="s">
        <v>272</v>
      </c>
    </row>
    <row r="37" spans="1:111">
      <c r="A37" s="6" t="s">
        <v>58</v>
      </c>
      <c r="B37" s="6">
        <v>160</v>
      </c>
      <c r="C37" s="6">
        <v>2.8</v>
      </c>
      <c r="D37" s="6">
        <v>4.5</v>
      </c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DF37" s="74">
        <v>630</v>
      </c>
      <c r="DG37" s="5" t="s">
        <v>272</v>
      </c>
    </row>
    <row r="38" spans="1:111">
      <c r="A38" s="6" t="s">
        <v>59</v>
      </c>
      <c r="B38" s="6">
        <v>250</v>
      </c>
      <c r="C38" s="6">
        <v>3.5</v>
      </c>
      <c r="D38" s="6">
        <v>4.5</v>
      </c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DF38" s="74">
        <v>800</v>
      </c>
    </row>
    <row r="39" spans="1:111">
      <c r="A39" s="6" t="s">
        <v>60</v>
      </c>
      <c r="B39" s="6">
        <v>400</v>
      </c>
      <c r="C39" s="6">
        <v>6</v>
      </c>
      <c r="D39" s="6">
        <v>4.5</v>
      </c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DF39" s="74">
        <v>1000</v>
      </c>
    </row>
    <row r="40" spans="1:111">
      <c r="A40" s="6" t="s">
        <v>61</v>
      </c>
      <c r="B40" s="6">
        <v>630</v>
      </c>
      <c r="C40" s="6">
        <v>8.1999999999999993</v>
      </c>
      <c r="D40" s="6">
        <v>5.5</v>
      </c>
      <c r="DF40" s="74">
        <v>1250</v>
      </c>
    </row>
    <row r="41" spans="1:111" ht="15" thickBot="1">
      <c r="A41" s="6" t="s">
        <v>62</v>
      </c>
      <c r="B41" s="6">
        <v>1000</v>
      </c>
      <c r="C41" s="6">
        <v>10.5</v>
      </c>
      <c r="D41" s="6">
        <v>5.5</v>
      </c>
      <c r="CF41" s="214" t="s">
        <v>245</v>
      </c>
      <c r="CG41" s="214"/>
      <c r="CH41" s="214"/>
      <c r="CI41" s="214"/>
      <c r="CJ41" s="214"/>
      <c r="CK41" s="214"/>
      <c r="CL41" s="214"/>
      <c r="CM41" s="214"/>
      <c r="CN41" s="214"/>
      <c r="CO41" s="214"/>
      <c r="CR41" s="214" t="s">
        <v>246</v>
      </c>
      <c r="CS41" s="214"/>
      <c r="CT41" s="214"/>
      <c r="CU41" s="214"/>
      <c r="CV41" s="214"/>
      <c r="CW41" s="214"/>
      <c r="CX41" s="214"/>
      <c r="CY41" s="214"/>
      <c r="CZ41" s="214"/>
      <c r="DA41" s="214"/>
      <c r="DF41" s="74">
        <v>1600</v>
      </c>
    </row>
    <row r="42" spans="1:111" ht="72.5">
      <c r="F42" s="11"/>
      <c r="G42" s="12" t="s">
        <v>90</v>
      </c>
      <c r="H42" s="12" t="s">
        <v>100</v>
      </c>
      <c r="I42" s="12" t="s">
        <v>91</v>
      </c>
      <c r="J42" s="12" t="s">
        <v>92</v>
      </c>
      <c r="K42" s="12" t="s">
        <v>96</v>
      </c>
      <c r="L42" s="12" t="s">
        <v>97</v>
      </c>
      <c r="M42" s="12" t="s">
        <v>98</v>
      </c>
      <c r="N42" s="12" t="s">
        <v>99</v>
      </c>
      <c r="O42" s="12" t="s">
        <v>64</v>
      </c>
      <c r="P42" s="13" t="s">
        <v>65</v>
      </c>
      <c r="Q42" s="13" t="s">
        <v>66</v>
      </c>
      <c r="R42" s="13" t="s">
        <v>67</v>
      </c>
      <c r="S42" s="13" t="s">
        <v>68</v>
      </c>
      <c r="T42" s="13" t="s">
        <v>69</v>
      </c>
      <c r="U42" s="13" t="s">
        <v>70</v>
      </c>
      <c r="V42" s="13" t="s">
        <v>71</v>
      </c>
      <c r="W42" s="13" t="s">
        <v>72</v>
      </c>
      <c r="X42" s="13" t="s">
        <v>73</v>
      </c>
      <c r="Y42" s="13" t="s">
        <v>74</v>
      </c>
      <c r="Z42" s="13" t="s">
        <v>75</v>
      </c>
      <c r="AA42" s="13" t="s">
        <v>76</v>
      </c>
      <c r="AB42" s="13" t="s">
        <v>77</v>
      </c>
      <c r="AC42" s="13" t="s">
        <v>78</v>
      </c>
      <c r="AD42" s="13" t="s">
        <v>79</v>
      </c>
      <c r="AE42" s="13" t="s">
        <v>80</v>
      </c>
      <c r="AF42" s="13" t="s">
        <v>81</v>
      </c>
      <c r="AG42" s="13" t="s">
        <v>82</v>
      </c>
      <c r="AH42" s="13" t="s">
        <v>83</v>
      </c>
      <c r="AI42" s="13" t="s">
        <v>84</v>
      </c>
      <c r="AJ42" s="13" t="s">
        <v>85</v>
      </c>
      <c r="AK42" s="13" t="s">
        <v>86</v>
      </c>
      <c r="AL42" s="13" t="s">
        <v>87</v>
      </c>
      <c r="AM42" s="13" t="s">
        <v>101</v>
      </c>
      <c r="AN42" s="13" t="s">
        <v>102</v>
      </c>
      <c r="AO42" s="13" t="s">
        <v>103</v>
      </c>
      <c r="AP42" s="13" t="s">
        <v>104</v>
      </c>
      <c r="AQ42" s="13" t="s">
        <v>105</v>
      </c>
      <c r="AR42" s="13" t="s">
        <v>106</v>
      </c>
      <c r="AS42" s="13" t="s">
        <v>107</v>
      </c>
      <c r="AT42" s="13" t="s">
        <v>108</v>
      </c>
      <c r="AU42" s="13" t="s">
        <v>109</v>
      </c>
      <c r="AV42" s="13" t="s">
        <v>110</v>
      </c>
      <c r="AW42" s="13" t="s">
        <v>111</v>
      </c>
      <c r="AX42" s="13" t="s">
        <v>112</v>
      </c>
      <c r="AY42" s="13" t="s">
        <v>113</v>
      </c>
      <c r="AZ42" s="13" t="s">
        <v>114</v>
      </c>
      <c r="BA42" s="13" t="s">
        <v>115</v>
      </c>
      <c r="BB42" s="13" t="s">
        <v>116</v>
      </c>
      <c r="BC42" s="13" t="s">
        <v>117</v>
      </c>
      <c r="BD42" s="13" t="s">
        <v>118</v>
      </c>
      <c r="BE42" s="13" t="s">
        <v>119</v>
      </c>
      <c r="BF42" s="13" t="s">
        <v>120</v>
      </c>
      <c r="BG42" s="13" t="s">
        <v>121</v>
      </c>
      <c r="BH42" s="13" t="s">
        <v>122</v>
      </c>
      <c r="BI42" s="13" t="s">
        <v>123</v>
      </c>
      <c r="BJ42" s="13" t="s">
        <v>124</v>
      </c>
      <c r="BK42" s="13" t="s">
        <v>125</v>
      </c>
      <c r="BL42" s="13" t="s">
        <v>126</v>
      </c>
      <c r="BM42" s="13" t="s">
        <v>127</v>
      </c>
      <c r="BN42" s="13" t="s">
        <v>128</v>
      </c>
      <c r="BO42" s="13" t="s">
        <v>129</v>
      </c>
      <c r="BP42" s="13" t="s">
        <v>130</v>
      </c>
      <c r="BQ42" s="13" t="s">
        <v>131</v>
      </c>
      <c r="BR42" s="13" t="s">
        <v>132</v>
      </c>
      <c r="BS42" s="13" t="s">
        <v>133</v>
      </c>
      <c r="BT42" s="13" t="s">
        <v>134</v>
      </c>
      <c r="BU42" s="13" t="s">
        <v>135</v>
      </c>
      <c r="BV42" s="13" t="s">
        <v>136</v>
      </c>
      <c r="BW42" s="13" t="s">
        <v>137</v>
      </c>
      <c r="BX42" s="13" t="s">
        <v>138</v>
      </c>
      <c r="BY42" s="13" t="s">
        <v>139</v>
      </c>
      <c r="BZ42" s="13" t="s">
        <v>140</v>
      </c>
      <c r="CA42" s="13" t="s">
        <v>141</v>
      </c>
      <c r="CB42" s="13" t="s">
        <v>142</v>
      </c>
      <c r="CC42" s="13" t="s">
        <v>143</v>
      </c>
      <c r="CD42" s="14" t="s">
        <v>144</v>
      </c>
      <c r="CF42" s="27"/>
      <c r="CG42" s="32" t="s">
        <v>147</v>
      </c>
      <c r="CH42" s="32" t="s">
        <v>148</v>
      </c>
      <c r="CI42" s="32" t="s">
        <v>149</v>
      </c>
      <c r="CJ42" s="32" t="s">
        <v>150</v>
      </c>
      <c r="CK42" s="32" t="s">
        <v>151</v>
      </c>
      <c r="CL42" s="32" t="s">
        <v>152</v>
      </c>
      <c r="CM42" s="32" t="s">
        <v>153</v>
      </c>
      <c r="CN42" s="32" t="s">
        <v>154</v>
      </c>
      <c r="CO42" s="32" t="s">
        <v>155</v>
      </c>
      <c r="CP42" s="2"/>
      <c r="CQ42" s="2"/>
      <c r="CR42" s="27"/>
      <c r="CS42" s="32" t="s">
        <v>147</v>
      </c>
      <c r="CT42" s="32" t="s">
        <v>148</v>
      </c>
      <c r="CU42" s="32" t="s">
        <v>149</v>
      </c>
      <c r="CV42" s="32" t="s">
        <v>150</v>
      </c>
      <c r="CW42" s="32" t="s">
        <v>151</v>
      </c>
      <c r="CX42" s="32" t="s">
        <v>152</v>
      </c>
      <c r="CY42" s="32" t="s">
        <v>153</v>
      </c>
      <c r="CZ42" s="32" t="s">
        <v>154</v>
      </c>
      <c r="DA42" s="32" t="s">
        <v>155</v>
      </c>
      <c r="DF42" s="74">
        <v>2000</v>
      </c>
    </row>
    <row r="43" spans="1:111">
      <c r="F43" s="17">
        <v>0.5</v>
      </c>
      <c r="G43" s="9" t="s">
        <v>145</v>
      </c>
      <c r="H43" s="9" t="s">
        <v>145</v>
      </c>
      <c r="I43" s="5">
        <v>2</v>
      </c>
      <c r="J43" s="5">
        <v>2</v>
      </c>
      <c r="K43" s="5">
        <f>F43*8</f>
        <v>4</v>
      </c>
      <c r="L43" s="5">
        <v>4</v>
      </c>
      <c r="M43" s="5">
        <v>6</v>
      </c>
      <c r="N43" s="5">
        <v>6</v>
      </c>
      <c r="O43" s="9" t="s">
        <v>145</v>
      </c>
      <c r="P43" s="9" t="s">
        <v>145</v>
      </c>
      <c r="Q43" s="9" t="s">
        <v>145</v>
      </c>
      <c r="R43" s="9" t="s">
        <v>145</v>
      </c>
      <c r="S43" s="9" t="s">
        <v>145</v>
      </c>
      <c r="T43" s="9" t="s">
        <v>145</v>
      </c>
      <c r="U43" s="9" t="s">
        <v>145</v>
      </c>
      <c r="V43" s="9" t="s">
        <v>145</v>
      </c>
      <c r="W43" s="9" t="s">
        <v>145</v>
      </c>
      <c r="X43" s="9" t="s">
        <v>145</v>
      </c>
      <c r="Y43" s="9" t="s">
        <v>145</v>
      </c>
      <c r="Z43" s="9" t="s">
        <v>145</v>
      </c>
      <c r="AA43" s="9" t="s">
        <v>145</v>
      </c>
      <c r="AB43" s="9" t="s">
        <v>145</v>
      </c>
      <c r="AC43" s="9" t="s">
        <v>145</v>
      </c>
      <c r="AD43" s="9" t="s">
        <v>145</v>
      </c>
      <c r="AE43" s="9" t="s">
        <v>145</v>
      </c>
      <c r="AF43" s="9" t="s">
        <v>145</v>
      </c>
      <c r="AG43" s="9" t="s">
        <v>145</v>
      </c>
      <c r="AH43" s="9" t="s">
        <v>145</v>
      </c>
      <c r="AI43" s="9" t="s">
        <v>145</v>
      </c>
      <c r="AJ43" s="9" t="s">
        <v>145</v>
      </c>
      <c r="AK43" s="9" t="s">
        <v>145</v>
      </c>
      <c r="AL43" s="9" t="s">
        <v>145</v>
      </c>
      <c r="AM43" s="9" t="s">
        <v>145</v>
      </c>
      <c r="AN43" s="9" t="s">
        <v>145</v>
      </c>
      <c r="AO43" s="9" t="s">
        <v>145</v>
      </c>
      <c r="AP43" s="9" t="s">
        <v>145</v>
      </c>
      <c r="AQ43" s="9" t="s">
        <v>145</v>
      </c>
      <c r="AR43" s="9" t="s">
        <v>145</v>
      </c>
      <c r="AS43" s="9" t="s">
        <v>145</v>
      </c>
      <c r="AT43" s="9" t="s">
        <v>145</v>
      </c>
      <c r="AU43" s="9" t="s">
        <v>145</v>
      </c>
      <c r="AV43" s="9" t="s">
        <v>145</v>
      </c>
      <c r="AW43" s="9" t="s">
        <v>145</v>
      </c>
      <c r="AX43" s="9" t="s">
        <v>145</v>
      </c>
      <c r="AY43" s="9" t="s">
        <v>145</v>
      </c>
      <c r="AZ43" s="9" t="s">
        <v>145</v>
      </c>
      <c r="BA43" s="9" t="s">
        <v>145</v>
      </c>
      <c r="BB43" s="9" t="s">
        <v>145</v>
      </c>
      <c r="BC43" s="9" t="s">
        <v>145</v>
      </c>
      <c r="BD43" s="9" t="s">
        <v>145</v>
      </c>
      <c r="BE43" s="9" t="s">
        <v>145</v>
      </c>
      <c r="BF43" s="9" t="s">
        <v>145</v>
      </c>
      <c r="BG43" s="9" t="s">
        <v>145</v>
      </c>
      <c r="BH43" s="9" t="s">
        <v>145</v>
      </c>
      <c r="BI43" s="9" t="s">
        <v>145</v>
      </c>
      <c r="BJ43" s="9" t="s">
        <v>145</v>
      </c>
      <c r="BK43" s="9" t="s">
        <v>145</v>
      </c>
      <c r="BL43" s="9" t="s">
        <v>145</v>
      </c>
      <c r="BM43" s="9" t="s">
        <v>145</v>
      </c>
      <c r="BN43" s="9" t="s">
        <v>145</v>
      </c>
      <c r="BO43" s="9" t="s">
        <v>145</v>
      </c>
      <c r="BP43" s="9" t="s">
        <v>145</v>
      </c>
      <c r="BQ43" s="9" t="s">
        <v>145</v>
      </c>
      <c r="BR43" s="9" t="s">
        <v>145</v>
      </c>
      <c r="BS43" s="9" t="s">
        <v>145</v>
      </c>
      <c r="BT43" s="9" t="s">
        <v>145</v>
      </c>
      <c r="BU43" s="9" t="s">
        <v>145</v>
      </c>
      <c r="BV43" s="9" t="s">
        <v>145</v>
      </c>
      <c r="BW43" s="9" t="s">
        <v>145</v>
      </c>
      <c r="BX43" s="9" t="s">
        <v>145</v>
      </c>
      <c r="BY43" s="9" t="s">
        <v>145</v>
      </c>
      <c r="BZ43" s="9" t="s">
        <v>145</v>
      </c>
      <c r="CA43" s="9" t="s">
        <v>145</v>
      </c>
      <c r="CB43" s="9" t="s">
        <v>145</v>
      </c>
      <c r="CC43" s="9" t="s">
        <v>145</v>
      </c>
      <c r="CD43" s="16" t="s">
        <v>145</v>
      </c>
      <c r="CF43" s="33">
        <v>1</v>
      </c>
      <c r="CG43" s="34">
        <v>18.899999999999999</v>
      </c>
      <c r="CH43" s="34">
        <v>18.899999999999999</v>
      </c>
      <c r="CI43" s="34" t="s">
        <v>201</v>
      </c>
      <c r="CJ43" s="34" t="s">
        <v>201</v>
      </c>
      <c r="CK43" s="34">
        <v>18.899999999999999</v>
      </c>
      <c r="CL43" s="34">
        <v>18.899999999999999</v>
      </c>
      <c r="CM43" s="34" t="s">
        <v>201</v>
      </c>
      <c r="CN43" s="34" t="s">
        <v>201</v>
      </c>
      <c r="CO43" s="34">
        <v>18.899999999999999</v>
      </c>
      <c r="CR43" s="33">
        <v>1.5</v>
      </c>
      <c r="CS43" s="34">
        <v>0</v>
      </c>
      <c r="CT43" s="34">
        <v>0</v>
      </c>
      <c r="CW43" s="34">
        <v>0</v>
      </c>
      <c r="CX43" s="34">
        <v>0</v>
      </c>
      <c r="DA43" s="34">
        <v>0</v>
      </c>
      <c r="DF43" s="74">
        <v>2500</v>
      </c>
    </row>
    <row r="44" spans="1:111">
      <c r="F44" s="20">
        <v>1</v>
      </c>
      <c r="G44" s="5">
        <f>F44*10</f>
        <v>10</v>
      </c>
      <c r="H44" s="9" t="s">
        <v>145</v>
      </c>
      <c r="I44" s="5">
        <v>4</v>
      </c>
      <c r="J44" s="5">
        <v>4</v>
      </c>
      <c r="K44" s="5">
        <f t="shared" ref="K44:K54" si="3">F44*8</f>
        <v>8</v>
      </c>
      <c r="L44" s="5">
        <v>8</v>
      </c>
      <c r="M44" s="5">
        <v>12</v>
      </c>
      <c r="N44" s="5">
        <v>12</v>
      </c>
      <c r="O44" s="9" t="s">
        <v>145</v>
      </c>
      <c r="P44" s="9" t="s">
        <v>145</v>
      </c>
      <c r="Q44" s="9" t="s">
        <v>145</v>
      </c>
      <c r="R44" s="9" t="s">
        <v>145</v>
      </c>
      <c r="S44" s="9" t="s">
        <v>145</v>
      </c>
      <c r="T44" s="9" t="s">
        <v>145</v>
      </c>
      <c r="U44" s="9" t="s">
        <v>145</v>
      </c>
      <c r="V44" s="9" t="s">
        <v>145</v>
      </c>
      <c r="W44" s="9" t="s">
        <v>145</v>
      </c>
      <c r="X44" s="9" t="s">
        <v>145</v>
      </c>
      <c r="Y44" s="9" t="s">
        <v>145</v>
      </c>
      <c r="Z44" s="9" t="s">
        <v>145</v>
      </c>
      <c r="AA44" s="9" t="s">
        <v>145</v>
      </c>
      <c r="AB44" s="9" t="s">
        <v>145</v>
      </c>
      <c r="AC44" s="9" t="s">
        <v>145</v>
      </c>
      <c r="AD44" s="9" t="s">
        <v>145</v>
      </c>
      <c r="AE44" s="9" t="s">
        <v>145</v>
      </c>
      <c r="AF44" s="9" t="s">
        <v>145</v>
      </c>
      <c r="AG44" s="9" t="s">
        <v>145</v>
      </c>
      <c r="AH44" s="9" t="s">
        <v>145</v>
      </c>
      <c r="AI44" s="9" t="s">
        <v>145</v>
      </c>
      <c r="AJ44" s="9" t="s">
        <v>145</v>
      </c>
      <c r="AK44" s="9" t="s">
        <v>145</v>
      </c>
      <c r="AL44" s="9" t="s">
        <v>145</v>
      </c>
      <c r="AM44" s="9" t="s">
        <v>145</v>
      </c>
      <c r="AN44" s="9" t="s">
        <v>145</v>
      </c>
      <c r="AO44" s="9" t="s">
        <v>145</v>
      </c>
      <c r="AP44" s="9" t="s">
        <v>145</v>
      </c>
      <c r="AQ44" s="9" t="s">
        <v>145</v>
      </c>
      <c r="AR44" s="9" t="s">
        <v>145</v>
      </c>
      <c r="AS44" s="9" t="s">
        <v>145</v>
      </c>
      <c r="AT44" s="9" t="s">
        <v>145</v>
      </c>
      <c r="AU44" s="9" t="s">
        <v>145</v>
      </c>
      <c r="AV44" s="9" t="s">
        <v>145</v>
      </c>
      <c r="AW44" s="9" t="s">
        <v>145</v>
      </c>
      <c r="AX44" s="9" t="s">
        <v>145</v>
      </c>
      <c r="AY44" s="9" t="s">
        <v>145</v>
      </c>
      <c r="AZ44" s="9" t="s">
        <v>145</v>
      </c>
      <c r="BA44" s="9" t="s">
        <v>145</v>
      </c>
      <c r="BB44" s="9" t="s">
        <v>145</v>
      </c>
      <c r="BC44" s="9" t="s">
        <v>145</v>
      </c>
      <c r="BD44" s="9" t="s">
        <v>145</v>
      </c>
      <c r="BE44" s="9" t="s">
        <v>145</v>
      </c>
      <c r="BF44" s="9" t="s">
        <v>145</v>
      </c>
      <c r="BG44" s="9" t="s">
        <v>145</v>
      </c>
      <c r="BH44" s="9" t="s">
        <v>145</v>
      </c>
      <c r="BI44" s="9" t="s">
        <v>145</v>
      </c>
      <c r="BJ44" s="9" t="s">
        <v>145</v>
      </c>
      <c r="BK44" s="9" t="s">
        <v>145</v>
      </c>
      <c r="BL44" s="9" t="s">
        <v>145</v>
      </c>
      <c r="BM44" s="9" t="s">
        <v>145</v>
      </c>
      <c r="BN44" s="9" t="s">
        <v>145</v>
      </c>
      <c r="BO44" s="9" t="s">
        <v>145</v>
      </c>
      <c r="BP44" s="9" t="s">
        <v>145</v>
      </c>
      <c r="BQ44" s="9" t="s">
        <v>145</v>
      </c>
      <c r="BR44" s="9" t="s">
        <v>145</v>
      </c>
      <c r="BS44" s="9" t="s">
        <v>145</v>
      </c>
      <c r="BT44" s="9" t="s">
        <v>145</v>
      </c>
      <c r="BU44" s="9" t="s">
        <v>145</v>
      </c>
      <c r="BV44" s="9" t="s">
        <v>145</v>
      </c>
      <c r="BW44" s="9" t="s">
        <v>145</v>
      </c>
      <c r="BX44" s="9" t="s">
        <v>145</v>
      </c>
      <c r="BY44" s="9" t="s">
        <v>145</v>
      </c>
      <c r="BZ44" s="9" t="s">
        <v>145</v>
      </c>
      <c r="CA44" s="9" t="s">
        <v>145</v>
      </c>
      <c r="CB44" s="9" t="s">
        <v>145</v>
      </c>
      <c r="CC44" s="9" t="s">
        <v>145</v>
      </c>
      <c r="CD44" s="16" t="s">
        <v>145</v>
      </c>
      <c r="CF44" s="33">
        <v>1.5</v>
      </c>
      <c r="CG44" s="34">
        <v>12.6</v>
      </c>
      <c r="CH44" s="34">
        <v>12.6</v>
      </c>
      <c r="CI44" s="34" t="s">
        <v>201</v>
      </c>
      <c r="CJ44" s="34" t="s">
        <v>201</v>
      </c>
      <c r="CK44" s="34">
        <v>12.6</v>
      </c>
      <c r="CL44" s="34">
        <v>12.6</v>
      </c>
      <c r="CM44" s="34" t="s">
        <v>201</v>
      </c>
      <c r="CN44" s="34" t="s">
        <v>201</v>
      </c>
      <c r="CO44" s="34">
        <v>12.6</v>
      </c>
      <c r="CR44" s="33">
        <v>2.5</v>
      </c>
      <c r="CS44" s="34">
        <v>0</v>
      </c>
      <c r="CT44" s="34">
        <v>0</v>
      </c>
      <c r="CW44" s="34">
        <v>0</v>
      </c>
      <c r="CX44" s="34">
        <v>0</v>
      </c>
      <c r="DA44" s="34">
        <v>0</v>
      </c>
      <c r="DF44" s="74">
        <v>3200</v>
      </c>
    </row>
    <row r="45" spans="1:111">
      <c r="F45" s="17">
        <v>2</v>
      </c>
      <c r="G45" s="5">
        <f t="shared" ref="G45:G54" si="4">F45*10</f>
        <v>20</v>
      </c>
      <c r="H45" s="9" t="s">
        <v>145</v>
      </c>
      <c r="I45" s="5">
        <v>8</v>
      </c>
      <c r="J45" s="5">
        <v>8</v>
      </c>
      <c r="K45" s="5">
        <f t="shared" si="3"/>
        <v>16</v>
      </c>
      <c r="L45" s="5">
        <v>16</v>
      </c>
      <c r="M45" s="5">
        <v>24</v>
      </c>
      <c r="N45" s="5">
        <v>24</v>
      </c>
      <c r="O45" s="9" t="s">
        <v>145</v>
      </c>
      <c r="P45" s="9" t="s">
        <v>145</v>
      </c>
      <c r="Q45" s="9" t="s">
        <v>145</v>
      </c>
      <c r="R45" s="9" t="s">
        <v>145</v>
      </c>
      <c r="S45" s="9" t="s">
        <v>145</v>
      </c>
      <c r="T45" s="9" t="s">
        <v>145</v>
      </c>
      <c r="U45" s="9" t="s">
        <v>145</v>
      </c>
      <c r="V45" s="9" t="s">
        <v>145</v>
      </c>
      <c r="W45" s="9" t="s">
        <v>145</v>
      </c>
      <c r="X45" s="9" t="s">
        <v>145</v>
      </c>
      <c r="Y45" s="9" t="s">
        <v>145</v>
      </c>
      <c r="Z45" s="9" t="s">
        <v>145</v>
      </c>
      <c r="AA45" s="9" t="s">
        <v>145</v>
      </c>
      <c r="AB45" s="9" t="s">
        <v>145</v>
      </c>
      <c r="AC45" s="9" t="s">
        <v>145</v>
      </c>
      <c r="AD45" s="9" t="s">
        <v>145</v>
      </c>
      <c r="AE45" s="9" t="s">
        <v>145</v>
      </c>
      <c r="AF45" s="9" t="s">
        <v>145</v>
      </c>
      <c r="AG45" s="9" t="s">
        <v>145</v>
      </c>
      <c r="AH45" s="9" t="s">
        <v>145</v>
      </c>
      <c r="AI45" s="9" t="s">
        <v>145</v>
      </c>
      <c r="AJ45" s="9" t="s">
        <v>145</v>
      </c>
      <c r="AK45" s="9" t="s">
        <v>145</v>
      </c>
      <c r="AL45" s="9" t="s">
        <v>145</v>
      </c>
      <c r="AM45" s="9" t="s">
        <v>145</v>
      </c>
      <c r="AN45" s="9" t="s">
        <v>145</v>
      </c>
      <c r="AO45" s="9" t="s">
        <v>145</v>
      </c>
      <c r="AP45" s="9" t="s">
        <v>145</v>
      </c>
      <c r="AQ45" s="9" t="s">
        <v>145</v>
      </c>
      <c r="AR45" s="9" t="s">
        <v>145</v>
      </c>
      <c r="AS45" s="9" t="s">
        <v>145</v>
      </c>
      <c r="AT45" s="9" t="s">
        <v>145</v>
      </c>
      <c r="AU45" s="9" t="s">
        <v>145</v>
      </c>
      <c r="AV45" s="9" t="s">
        <v>145</v>
      </c>
      <c r="AW45" s="9" t="s">
        <v>145</v>
      </c>
      <c r="AX45" s="9" t="s">
        <v>145</v>
      </c>
      <c r="AY45" s="9" t="s">
        <v>145</v>
      </c>
      <c r="AZ45" s="9" t="s">
        <v>145</v>
      </c>
      <c r="BA45" s="9" t="s">
        <v>145</v>
      </c>
      <c r="BB45" s="9" t="s">
        <v>145</v>
      </c>
      <c r="BC45" s="9" t="s">
        <v>145</v>
      </c>
      <c r="BD45" s="9" t="s">
        <v>145</v>
      </c>
      <c r="BE45" s="9" t="s">
        <v>145</v>
      </c>
      <c r="BF45" s="9" t="s">
        <v>145</v>
      </c>
      <c r="BG45" s="9" t="s">
        <v>145</v>
      </c>
      <c r="BH45" s="9" t="s">
        <v>145</v>
      </c>
      <c r="BI45" s="9" t="s">
        <v>145</v>
      </c>
      <c r="BJ45" s="9" t="s">
        <v>145</v>
      </c>
      <c r="BK45" s="9" t="s">
        <v>145</v>
      </c>
      <c r="BL45" s="9" t="s">
        <v>145</v>
      </c>
      <c r="BM45" s="9" t="s">
        <v>145</v>
      </c>
      <c r="BN45" s="9" t="s">
        <v>145</v>
      </c>
      <c r="BO45" s="9" t="s">
        <v>145</v>
      </c>
      <c r="BP45" s="9" t="s">
        <v>145</v>
      </c>
      <c r="BQ45" s="9" t="s">
        <v>145</v>
      </c>
      <c r="BR45" s="9" t="s">
        <v>145</v>
      </c>
      <c r="BS45" s="9" t="s">
        <v>145</v>
      </c>
      <c r="BT45" s="9" t="s">
        <v>145</v>
      </c>
      <c r="BU45" s="9" t="s">
        <v>145</v>
      </c>
      <c r="BV45" s="9" t="s">
        <v>145</v>
      </c>
      <c r="BW45" s="9" t="s">
        <v>145</v>
      </c>
      <c r="BX45" s="9" t="s">
        <v>145</v>
      </c>
      <c r="BY45" s="9" t="s">
        <v>145</v>
      </c>
      <c r="BZ45" s="9" t="s">
        <v>145</v>
      </c>
      <c r="CA45" s="9" t="s">
        <v>145</v>
      </c>
      <c r="CB45" s="9" t="s">
        <v>145</v>
      </c>
      <c r="CC45" s="9" t="s">
        <v>145</v>
      </c>
      <c r="CD45" s="16" t="s">
        <v>145</v>
      </c>
      <c r="CF45" s="33">
        <v>2.5</v>
      </c>
      <c r="CG45" s="34">
        <v>7.55</v>
      </c>
      <c r="CH45" s="34">
        <v>7.55</v>
      </c>
      <c r="CI45" s="34" t="s">
        <v>202</v>
      </c>
      <c r="CJ45" s="34" t="s">
        <v>202</v>
      </c>
      <c r="CK45" s="34">
        <v>7.55</v>
      </c>
      <c r="CL45" s="34">
        <v>7.55</v>
      </c>
      <c r="CM45" s="34" t="s">
        <v>202</v>
      </c>
      <c r="CN45" s="34" t="s">
        <v>202</v>
      </c>
      <c r="CO45" s="34">
        <v>7.55</v>
      </c>
      <c r="CR45" s="33">
        <v>4</v>
      </c>
      <c r="CS45" s="34">
        <v>9.5000000000000001E-2</v>
      </c>
      <c r="CT45" s="34">
        <v>9.5000000000000001E-2</v>
      </c>
      <c r="CW45" s="34">
        <v>9.5000000000000001E-2</v>
      </c>
      <c r="CX45" s="34">
        <v>9.5000000000000001E-2</v>
      </c>
      <c r="DA45" s="34">
        <v>9.5000000000000001E-2</v>
      </c>
      <c r="DF45" s="74">
        <v>4000</v>
      </c>
    </row>
    <row r="46" spans="1:111">
      <c r="F46" s="17">
        <v>3</v>
      </c>
      <c r="G46" s="5">
        <f t="shared" si="4"/>
        <v>30</v>
      </c>
      <c r="H46" s="9" t="s">
        <v>145</v>
      </c>
      <c r="I46" s="5">
        <v>12</v>
      </c>
      <c r="J46" s="5">
        <v>12</v>
      </c>
      <c r="K46" s="5">
        <f t="shared" si="3"/>
        <v>24</v>
      </c>
      <c r="L46" s="5">
        <v>24</v>
      </c>
      <c r="M46" s="5">
        <v>36</v>
      </c>
      <c r="N46" s="5">
        <v>36</v>
      </c>
      <c r="O46" s="9" t="s">
        <v>145</v>
      </c>
      <c r="P46" s="9" t="s">
        <v>145</v>
      </c>
      <c r="Q46" s="9" t="s">
        <v>145</v>
      </c>
      <c r="R46" s="9" t="s">
        <v>145</v>
      </c>
      <c r="S46" s="9" t="s">
        <v>145</v>
      </c>
      <c r="T46" s="9" t="s">
        <v>145</v>
      </c>
      <c r="U46" s="9" t="s">
        <v>145</v>
      </c>
      <c r="V46" s="9" t="s">
        <v>145</v>
      </c>
      <c r="W46" s="9" t="s">
        <v>145</v>
      </c>
      <c r="X46" s="9" t="s">
        <v>145</v>
      </c>
      <c r="Y46" s="9" t="s">
        <v>145</v>
      </c>
      <c r="Z46" s="9" t="s">
        <v>145</v>
      </c>
      <c r="AA46" s="9" t="s">
        <v>145</v>
      </c>
      <c r="AB46" s="9" t="s">
        <v>145</v>
      </c>
      <c r="AC46" s="9" t="s">
        <v>145</v>
      </c>
      <c r="AD46" s="9" t="s">
        <v>145</v>
      </c>
      <c r="AE46" s="9" t="s">
        <v>145</v>
      </c>
      <c r="AF46" s="9" t="s">
        <v>145</v>
      </c>
      <c r="AG46" s="9" t="s">
        <v>145</v>
      </c>
      <c r="AH46" s="9" t="s">
        <v>145</v>
      </c>
      <c r="AI46" s="9" t="s">
        <v>145</v>
      </c>
      <c r="AJ46" s="9" t="s">
        <v>145</v>
      </c>
      <c r="AK46" s="9" t="s">
        <v>145</v>
      </c>
      <c r="AL46" s="9" t="s">
        <v>145</v>
      </c>
      <c r="AM46" s="9" t="s">
        <v>145</v>
      </c>
      <c r="AN46" s="9" t="s">
        <v>145</v>
      </c>
      <c r="AO46" s="9" t="s">
        <v>145</v>
      </c>
      <c r="AP46" s="9" t="s">
        <v>145</v>
      </c>
      <c r="AQ46" s="9" t="s">
        <v>145</v>
      </c>
      <c r="AR46" s="9" t="s">
        <v>145</v>
      </c>
      <c r="AS46" s="9" t="s">
        <v>145</v>
      </c>
      <c r="AT46" s="9" t="s">
        <v>145</v>
      </c>
      <c r="AU46" s="9" t="s">
        <v>145</v>
      </c>
      <c r="AV46" s="9" t="s">
        <v>145</v>
      </c>
      <c r="AW46" s="9" t="s">
        <v>145</v>
      </c>
      <c r="AX46" s="9" t="s">
        <v>145</v>
      </c>
      <c r="AY46" s="9" t="s">
        <v>145</v>
      </c>
      <c r="AZ46" s="9" t="s">
        <v>145</v>
      </c>
      <c r="BA46" s="9" t="s">
        <v>145</v>
      </c>
      <c r="BB46" s="9" t="s">
        <v>145</v>
      </c>
      <c r="BC46" s="9" t="s">
        <v>145</v>
      </c>
      <c r="BD46" s="9" t="s">
        <v>145</v>
      </c>
      <c r="BE46" s="9" t="s">
        <v>145</v>
      </c>
      <c r="BF46" s="9" t="s">
        <v>145</v>
      </c>
      <c r="BG46" s="9" t="s">
        <v>145</v>
      </c>
      <c r="BH46" s="9" t="s">
        <v>145</v>
      </c>
      <c r="BI46" s="9" t="s">
        <v>145</v>
      </c>
      <c r="BJ46" s="9" t="s">
        <v>145</v>
      </c>
      <c r="BK46" s="9" t="s">
        <v>145</v>
      </c>
      <c r="BL46" s="9" t="s">
        <v>145</v>
      </c>
      <c r="BM46" s="9" t="s">
        <v>145</v>
      </c>
      <c r="BN46" s="9" t="s">
        <v>145</v>
      </c>
      <c r="BO46" s="9" t="s">
        <v>145</v>
      </c>
      <c r="BP46" s="9" t="s">
        <v>145</v>
      </c>
      <c r="BQ46" s="9" t="s">
        <v>145</v>
      </c>
      <c r="BR46" s="9" t="s">
        <v>145</v>
      </c>
      <c r="BS46" s="9" t="s">
        <v>145</v>
      </c>
      <c r="BT46" s="9" t="s">
        <v>145</v>
      </c>
      <c r="BU46" s="9" t="s">
        <v>145</v>
      </c>
      <c r="BV46" s="9" t="s">
        <v>145</v>
      </c>
      <c r="BW46" s="9" t="s">
        <v>145</v>
      </c>
      <c r="BX46" s="9" t="s">
        <v>145</v>
      </c>
      <c r="BY46" s="9" t="s">
        <v>145</v>
      </c>
      <c r="BZ46" s="9" t="s">
        <v>145</v>
      </c>
      <c r="CA46" s="9" t="s">
        <v>145</v>
      </c>
      <c r="CB46" s="9" t="s">
        <v>145</v>
      </c>
      <c r="CC46" s="9" t="s">
        <v>145</v>
      </c>
      <c r="CD46" s="16" t="s">
        <v>145</v>
      </c>
      <c r="CF46" s="33">
        <v>4</v>
      </c>
      <c r="CG46" s="34">
        <v>4.6900000000000004</v>
      </c>
      <c r="CH46" s="34">
        <v>4.6900000000000004</v>
      </c>
      <c r="CI46" s="34" t="s">
        <v>203</v>
      </c>
      <c r="CJ46" s="34" t="s">
        <v>203</v>
      </c>
      <c r="CK46" s="34">
        <v>4.6900000000000004</v>
      </c>
      <c r="CL46" s="34">
        <v>4.6900000000000004</v>
      </c>
      <c r="CM46" s="34" t="s">
        <v>203</v>
      </c>
      <c r="CN46" s="34" t="s">
        <v>203</v>
      </c>
      <c r="CO46" s="34">
        <v>4.6900000000000004</v>
      </c>
      <c r="CR46" s="33">
        <v>6</v>
      </c>
      <c r="CS46" s="34">
        <v>0.09</v>
      </c>
      <c r="CT46" s="34">
        <v>0.09</v>
      </c>
      <c r="CW46" s="34">
        <v>0.09</v>
      </c>
      <c r="CX46" s="34">
        <v>0.09</v>
      </c>
      <c r="DA46" s="34">
        <v>0.09</v>
      </c>
    </row>
    <row r="47" spans="1:111">
      <c r="F47" s="17">
        <v>4</v>
      </c>
      <c r="G47" s="5">
        <f t="shared" si="4"/>
        <v>40</v>
      </c>
      <c r="H47" s="9" t="s">
        <v>145</v>
      </c>
      <c r="I47" s="5">
        <v>16</v>
      </c>
      <c r="J47" s="5">
        <v>16</v>
      </c>
      <c r="K47" s="5">
        <f t="shared" si="3"/>
        <v>32</v>
      </c>
      <c r="L47" s="5">
        <v>32</v>
      </c>
      <c r="M47" s="5">
        <v>48</v>
      </c>
      <c r="N47" s="5">
        <v>48</v>
      </c>
      <c r="O47" s="9" t="s">
        <v>145</v>
      </c>
      <c r="P47" s="9" t="s">
        <v>145</v>
      </c>
      <c r="Q47" s="9" t="s">
        <v>145</v>
      </c>
      <c r="R47" s="9" t="s">
        <v>145</v>
      </c>
      <c r="S47" s="9" t="s">
        <v>145</v>
      </c>
      <c r="T47" s="9" t="s">
        <v>145</v>
      </c>
      <c r="U47" s="9" t="s">
        <v>145</v>
      </c>
      <c r="V47" s="9" t="s">
        <v>145</v>
      </c>
      <c r="W47" s="9" t="s">
        <v>145</v>
      </c>
      <c r="X47" s="9" t="s">
        <v>145</v>
      </c>
      <c r="Y47" s="9" t="s">
        <v>145</v>
      </c>
      <c r="Z47" s="9" t="s">
        <v>145</v>
      </c>
      <c r="AA47" s="9" t="s">
        <v>145</v>
      </c>
      <c r="AB47" s="9" t="s">
        <v>145</v>
      </c>
      <c r="AC47" s="9" t="s">
        <v>145</v>
      </c>
      <c r="AD47" s="9" t="s">
        <v>145</v>
      </c>
      <c r="AE47" s="9" t="s">
        <v>145</v>
      </c>
      <c r="AF47" s="9" t="s">
        <v>145</v>
      </c>
      <c r="AG47" s="9" t="s">
        <v>145</v>
      </c>
      <c r="AH47" s="9" t="s">
        <v>145</v>
      </c>
      <c r="AI47" s="9" t="s">
        <v>145</v>
      </c>
      <c r="AJ47" s="9" t="s">
        <v>145</v>
      </c>
      <c r="AK47" s="9" t="s">
        <v>145</v>
      </c>
      <c r="AL47" s="9" t="s">
        <v>145</v>
      </c>
      <c r="AM47" s="9" t="s">
        <v>145</v>
      </c>
      <c r="AN47" s="9" t="s">
        <v>145</v>
      </c>
      <c r="AO47" s="9" t="s">
        <v>145</v>
      </c>
      <c r="AP47" s="9" t="s">
        <v>145</v>
      </c>
      <c r="AQ47" s="9" t="s">
        <v>145</v>
      </c>
      <c r="AR47" s="9" t="s">
        <v>145</v>
      </c>
      <c r="AS47" s="9" t="s">
        <v>145</v>
      </c>
      <c r="AT47" s="9" t="s">
        <v>145</v>
      </c>
      <c r="AU47" s="9" t="s">
        <v>145</v>
      </c>
      <c r="AV47" s="9" t="s">
        <v>145</v>
      </c>
      <c r="AW47" s="9" t="s">
        <v>145</v>
      </c>
      <c r="AX47" s="9" t="s">
        <v>145</v>
      </c>
      <c r="AY47" s="9" t="s">
        <v>145</v>
      </c>
      <c r="AZ47" s="9" t="s">
        <v>145</v>
      </c>
      <c r="BA47" s="9" t="s">
        <v>145</v>
      </c>
      <c r="BB47" s="9" t="s">
        <v>145</v>
      </c>
      <c r="BC47" s="9" t="s">
        <v>145</v>
      </c>
      <c r="BD47" s="9" t="s">
        <v>145</v>
      </c>
      <c r="BE47" s="9" t="s">
        <v>145</v>
      </c>
      <c r="BF47" s="9" t="s">
        <v>145</v>
      </c>
      <c r="BG47" s="9" t="s">
        <v>145</v>
      </c>
      <c r="BH47" s="9" t="s">
        <v>145</v>
      </c>
      <c r="BI47" s="9" t="s">
        <v>145</v>
      </c>
      <c r="BJ47" s="9" t="s">
        <v>145</v>
      </c>
      <c r="BK47" s="9" t="s">
        <v>145</v>
      </c>
      <c r="BL47" s="9" t="s">
        <v>145</v>
      </c>
      <c r="BM47" s="9" t="s">
        <v>145</v>
      </c>
      <c r="BN47" s="9" t="s">
        <v>145</v>
      </c>
      <c r="BO47" s="9" t="s">
        <v>145</v>
      </c>
      <c r="BP47" s="9" t="s">
        <v>145</v>
      </c>
      <c r="BQ47" s="9" t="s">
        <v>145</v>
      </c>
      <c r="BR47" s="9" t="s">
        <v>145</v>
      </c>
      <c r="BS47" s="9" t="s">
        <v>145</v>
      </c>
      <c r="BT47" s="9" t="s">
        <v>145</v>
      </c>
      <c r="BU47" s="9" t="s">
        <v>145</v>
      </c>
      <c r="BV47" s="9" t="s">
        <v>145</v>
      </c>
      <c r="BW47" s="9" t="s">
        <v>145</v>
      </c>
      <c r="BX47" s="9" t="s">
        <v>145</v>
      </c>
      <c r="BY47" s="9" t="s">
        <v>145</v>
      </c>
      <c r="BZ47" s="9" t="s">
        <v>145</v>
      </c>
      <c r="CA47" s="9" t="s">
        <v>145</v>
      </c>
      <c r="CB47" s="9" t="s">
        <v>145</v>
      </c>
      <c r="CC47" s="9" t="s">
        <v>145</v>
      </c>
      <c r="CD47" s="16" t="s">
        <v>145</v>
      </c>
      <c r="CF47" s="33">
        <v>6</v>
      </c>
      <c r="CG47" s="34">
        <v>3.06</v>
      </c>
      <c r="CH47" s="34">
        <v>3.06</v>
      </c>
      <c r="CI47" s="34" t="s">
        <v>204</v>
      </c>
      <c r="CJ47" s="34" t="s">
        <v>204</v>
      </c>
      <c r="CK47" s="34">
        <v>3.06</v>
      </c>
      <c r="CL47" s="34">
        <v>3.06</v>
      </c>
      <c r="CM47" s="34" t="s">
        <v>204</v>
      </c>
      <c r="CN47" s="34" t="s">
        <v>204</v>
      </c>
      <c r="CO47" s="34">
        <v>3.06</v>
      </c>
      <c r="CR47" s="33">
        <v>10</v>
      </c>
      <c r="CS47" s="34">
        <v>7.2999999999999995E-2</v>
      </c>
      <c r="CT47" s="34">
        <v>7.2999999999999995E-2</v>
      </c>
      <c r="CW47" s="34">
        <v>7.2999999999999995E-2</v>
      </c>
      <c r="CX47" s="34">
        <v>7.2999999999999995E-2</v>
      </c>
      <c r="DA47" s="34">
        <v>7.2999999999999995E-2</v>
      </c>
    </row>
    <row r="48" spans="1:111">
      <c r="F48" s="17">
        <v>6</v>
      </c>
      <c r="G48" s="5">
        <f t="shared" si="4"/>
        <v>60</v>
      </c>
      <c r="H48" s="5">
        <f>F48*10</f>
        <v>60</v>
      </c>
      <c r="I48" s="5">
        <v>24</v>
      </c>
      <c r="J48" s="5">
        <v>24</v>
      </c>
      <c r="K48" s="5">
        <f t="shared" si="3"/>
        <v>48</v>
      </c>
      <c r="L48" s="5">
        <v>48</v>
      </c>
      <c r="M48" s="5">
        <v>72</v>
      </c>
      <c r="N48" s="5">
        <v>72</v>
      </c>
      <c r="O48" s="9" t="s">
        <v>145</v>
      </c>
      <c r="P48" s="9" t="s">
        <v>145</v>
      </c>
      <c r="Q48" s="9" t="s">
        <v>145</v>
      </c>
      <c r="R48" s="9" t="s">
        <v>145</v>
      </c>
      <c r="S48" s="9" t="s">
        <v>145</v>
      </c>
      <c r="T48" s="9" t="s">
        <v>145</v>
      </c>
      <c r="U48" s="9" t="s">
        <v>145</v>
      </c>
      <c r="V48" s="9" t="s">
        <v>145</v>
      </c>
      <c r="W48" s="9" t="s">
        <v>145</v>
      </c>
      <c r="X48" s="9" t="s">
        <v>145</v>
      </c>
      <c r="Y48" s="9" t="s">
        <v>145</v>
      </c>
      <c r="Z48" s="9" t="s">
        <v>145</v>
      </c>
      <c r="AA48" s="9" t="s">
        <v>145</v>
      </c>
      <c r="AB48" s="9" t="s">
        <v>145</v>
      </c>
      <c r="AC48" s="9" t="s">
        <v>145</v>
      </c>
      <c r="AD48" s="9" t="s">
        <v>145</v>
      </c>
      <c r="AE48" s="9" t="s">
        <v>145</v>
      </c>
      <c r="AF48" s="9" t="s">
        <v>145</v>
      </c>
      <c r="AG48" s="9" t="s">
        <v>145</v>
      </c>
      <c r="AH48" s="9" t="s">
        <v>145</v>
      </c>
      <c r="AI48" s="9" t="s">
        <v>145</v>
      </c>
      <c r="AJ48" s="9" t="s">
        <v>145</v>
      </c>
      <c r="AK48" s="9" t="s">
        <v>145</v>
      </c>
      <c r="AL48" s="9" t="s">
        <v>145</v>
      </c>
      <c r="AM48" s="9" t="s">
        <v>145</v>
      </c>
      <c r="AN48" s="9" t="s">
        <v>145</v>
      </c>
      <c r="AO48" s="9" t="s">
        <v>145</v>
      </c>
      <c r="AP48" s="9" t="s">
        <v>145</v>
      </c>
      <c r="AQ48" s="9" t="s">
        <v>145</v>
      </c>
      <c r="AR48" s="9" t="s">
        <v>145</v>
      </c>
      <c r="AS48" s="9" t="s">
        <v>145</v>
      </c>
      <c r="AT48" s="9" t="s">
        <v>145</v>
      </c>
      <c r="AU48" s="9" t="s">
        <v>145</v>
      </c>
      <c r="AV48" s="9" t="s">
        <v>145</v>
      </c>
      <c r="AW48" s="9" t="s">
        <v>145</v>
      </c>
      <c r="AX48" s="9" t="s">
        <v>145</v>
      </c>
      <c r="AY48" s="9" t="s">
        <v>145</v>
      </c>
      <c r="AZ48" s="9" t="s">
        <v>145</v>
      </c>
      <c r="BA48" s="9" t="s">
        <v>145</v>
      </c>
      <c r="BB48" s="9" t="s">
        <v>145</v>
      </c>
      <c r="BC48" s="9" t="s">
        <v>145</v>
      </c>
      <c r="BD48" s="9" t="s">
        <v>145</v>
      </c>
      <c r="BE48" s="9" t="s">
        <v>145</v>
      </c>
      <c r="BF48" s="9" t="s">
        <v>145</v>
      </c>
      <c r="BG48" s="9" t="s">
        <v>145</v>
      </c>
      <c r="BH48" s="9" t="s">
        <v>145</v>
      </c>
      <c r="BI48" s="9" t="s">
        <v>145</v>
      </c>
      <c r="BJ48" s="9" t="s">
        <v>145</v>
      </c>
      <c r="BK48" s="9" t="s">
        <v>145</v>
      </c>
      <c r="BL48" s="9" t="s">
        <v>145</v>
      </c>
      <c r="BM48" s="9" t="s">
        <v>145</v>
      </c>
      <c r="BN48" s="9" t="s">
        <v>145</v>
      </c>
      <c r="BO48" s="9" t="s">
        <v>145</v>
      </c>
      <c r="BP48" s="9" t="s">
        <v>145</v>
      </c>
      <c r="BQ48" s="9" t="s">
        <v>145</v>
      </c>
      <c r="BR48" s="9" t="s">
        <v>145</v>
      </c>
      <c r="BS48" s="9" t="s">
        <v>145</v>
      </c>
      <c r="BT48" s="9" t="s">
        <v>145</v>
      </c>
      <c r="BU48" s="9" t="s">
        <v>145</v>
      </c>
      <c r="BV48" s="9" t="s">
        <v>145</v>
      </c>
      <c r="BW48" s="9" t="s">
        <v>145</v>
      </c>
      <c r="BX48" s="9" t="s">
        <v>145</v>
      </c>
      <c r="BY48" s="9" t="s">
        <v>145</v>
      </c>
      <c r="BZ48" s="9" t="s">
        <v>145</v>
      </c>
      <c r="CA48" s="9" t="s">
        <v>145</v>
      </c>
      <c r="CB48" s="9" t="s">
        <v>145</v>
      </c>
      <c r="CC48" s="9" t="s">
        <v>145</v>
      </c>
      <c r="CD48" s="16" t="s">
        <v>145</v>
      </c>
      <c r="CF48" s="33">
        <v>10</v>
      </c>
      <c r="CG48" s="34">
        <v>1.84</v>
      </c>
      <c r="CH48" s="34">
        <v>1.84</v>
      </c>
      <c r="CI48" s="34" t="s">
        <v>205</v>
      </c>
      <c r="CJ48" s="34" t="s">
        <v>205</v>
      </c>
      <c r="CK48" s="34">
        <v>1.84</v>
      </c>
      <c r="CL48" s="34">
        <v>1.84</v>
      </c>
      <c r="CM48" s="34" t="s">
        <v>205</v>
      </c>
      <c r="CN48" s="34" t="s">
        <v>205</v>
      </c>
      <c r="CO48" s="34">
        <v>1.84</v>
      </c>
      <c r="CR48" s="33">
        <v>16</v>
      </c>
      <c r="CS48" s="34">
        <v>6.7500000000000004E-2</v>
      </c>
      <c r="CT48" s="34">
        <v>6.7500000000000004E-2</v>
      </c>
      <c r="CW48" s="34">
        <v>6.7500000000000004E-2</v>
      </c>
      <c r="CX48" s="34">
        <v>6.7500000000000004E-2</v>
      </c>
      <c r="DA48" s="34">
        <v>6.7500000000000004E-2</v>
      </c>
    </row>
    <row r="49" spans="6:105">
      <c r="F49" s="17">
        <v>10</v>
      </c>
      <c r="G49" s="5">
        <f t="shared" si="4"/>
        <v>100</v>
      </c>
      <c r="H49" s="5">
        <f>F49*10</f>
        <v>100</v>
      </c>
      <c r="I49" s="5">
        <v>40</v>
      </c>
      <c r="J49" s="5">
        <v>40</v>
      </c>
      <c r="K49" s="5">
        <f t="shared" si="3"/>
        <v>80</v>
      </c>
      <c r="L49" s="5">
        <v>80</v>
      </c>
      <c r="M49" s="5">
        <v>120</v>
      </c>
      <c r="N49" s="5">
        <v>120</v>
      </c>
      <c r="O49" s="9" t="s">
        <v>145</v>
      </c>
      <c r="P49" s="9" t="s">
        <v>145</v>
      </c>
      <c r="Q49" s="9" t="s">
        <v>145</v>
      </c>
      <c r="R49" s="9" t="s">
        <v>145</v>
      </c>
      <c r="S49" s="9" t="s">
        <v>145</v>
      </c>
      <c r="T49" s="9" t="s">
        <v>145</v>
      </c>
      <c r="U49" s="9" t="s">
        <v>145</v>
      </c>
      <c r="V49" s="9" t="s">
        <v>145</v>
      </c>
      <c r="W49" s="9" t="s">
        <v>145</v>
      </c>
      <c r="X49" s="9" t="s">
        <v>145</v>
      </c>
      <c r="Y49" s="9" t="s">
        <v>145</v>
      </c>
      <c r="Z49" s="9" t="s">
        <v>145</v>
      </c>
      <c r="AA49" s="9" t="s">
        <v>145</v>
      </c>
      <c r="AB49" s="9" t="s">
        <v>145</v>
      </c>
      <c r="AC49" s="9" t="s">
        <v>145</v>
      </c>
      <c r="AD49" s="9" t="s">
        <v>145</v>
      </c>
      <c r="AE49" s="9" t="s">
        <v>145</v>
      </c>
      <c r="AF49" s="9" t="s">
        <v>145</v>
      </c>
      <c r="AG49" s="9" t="s">
        <v>145</v>
      </c>
      <c r="AH49" s="9" t="s">
        <v>145</v>
      </c>
      <c r="AI49" s="9" t="s">
        <v>145</v>
      </c>
      <c r="AJ49" s="9" t="s">
        <v>145</v>
      </c>
      <c r="AK49" s="9" t="s">
        <v>145</v>
      </c>
      <c r="AL49" s="9" t="s">
        <v>145</v>
      </c>
      <c r="AM49" s="9" t="s">
        <v>145</v>
      </c>
      <c r="AN49" s="9" t="s">
        <v>145</v>
      </c>
      <c r="AO49" s="9" t="s">
        <v>145</v>
      </c>
      <c r="AP49" s="9" t="s">
        <v>145</v>
      </c>
      <c r="AQ49" s="9" t="s">
        <v>145</v>
      </c>
      <c r="AR49" s="9" t="s">
        <v>145</v>
      </c>
      <c r="AS49" s="9" t="s">
        <v>145</v>
      </c>
      <c r="AT49" s="9" t="s">
        <v>145</v>
      </c>
      <c r="AU49" s="9" t="s">
        <v>145</v>
      </c>
      <c r="AV49" s="9" t="s">
        <v>145</v>
      </c>
      <c r="AW49" s="9" t="s">
        <v>145</v>
      </c>
      <c r="AX49" s="9" t="s">
        <v>145</v>
      </c>
      <c r="AY49" s="9" t="s">
        <v>145</v>
      </c>
      <c r="AZ49" s="9" t="s">
        <v>145</v>
      </c>
      <c r="BA49" s="9" t="s">
        <v>145</v>
      </c>
      <c r="BB49" s="9" t="s">
        <v>145</v>
      </c>
      <c r="BC49" s="9" t="s">
        <v>145</v>
      </c>
      <c r="BD49" s="9" t="s">
        <v>145</v>
      </c>
      <c r="BE49" s="9" t="s">
        <v>145</v>
      </c>
      <c r="BF49" s="9" t="s">
        <v>145</v>
      </c>
      <c r="BG49" s="9" t="s">
        <v>145</v>
      </c>
      <c r="BH49" s="9" t="s">
        <v>145</v>
      </c>
      <c r="BI49" s="9" t="s">
        <v>145</v>
      </c>
      <c r="BJ49" s="9" t="s">
        <v>145</v>
      </c>
      <c r="BK49" s="9" t="s">
        <v>145</v>
      </c>
      <c r="BL49" s="9" t="s">
        <v>145</v>
      </c>
      <c r="BM49" s="9" t="s">
        <v>145</v>
      </c>
      <c r="BN49" s="9" t="s">
        <v>145</v>
      </c>
      <c r="BO49" s="9" t="s">
        <v>145</v>
      </c>
      <c r="BP49" s="9" t="s">
        <v>145</v>
      </c>
      <c r="BQ49" s="9" t="s">
        <v>145</v>
      </c>
      <c r="BR49" s="9" t="s">
        <v>145</v>
      </c>
      <c r="BS49" s="9" t="s">
        <v>145</v>
      </c>
      <c r="BT49" s="9" t="s">
        <v>145</v>
      </c>
      <c r="BU49" s="9" t="s">
        <v>145</v>
      </c>
      <c r="BV49" s="9" t="s">
        <v>145</v>
      </c>
      <c r="BW49" s="9" t="s">
        <v>145</v>
      </c>
      <c r="BX49" s="9" t="s">
        <v>145</v>
      </c>
      <c r="BY49" s="9" t="s">
        <v>145</v>
      </c>
      <c r="BZ49" s="9" t="s">
        <v>145</v>
      </c>
      <c r="CA49" s="9" t="s">
        <v>145</v>
      </c>
      <c r="CB49" s="9" t="s">
        <v>145</v>
      </c>
      <c r="CC49" s="9" t="s">
        <v>145</v>
      </c>
      <c r="CD49" s="16" t="s">
        <v>145</v>
      </c>
      <c r="CF49" s="33">
        <v>16</v>
      </c>
      <c r="CG49" s="34">
        <v>1.2</v>
      </c>
      <c r="CH49" s="34">
        <v>1.2</v>
      </c>
      <c r="CI49" s="34" t="s">
        <v>206</v>
      </c>
      <c r="CJ49" s="34" t="s">
        <v>206</v>
      </c>
      <c r="CK49" s="34">
        <v>1.2</v>
      </c>
      <c r="CL49" s="34">
        <v>1.2</v>
      </c>
      <c r="CM49" s="34" t="s">
        <v>206</v>
      </c>
      <c r="CN49" s="34" t="s">
        <v>206</v>
      </c>
      <c r="CO49" s="34">
        <v>1.2</v>
      </c>
      <c r="CR49" s="33">
        <v>25</v>
      </c>
      <c r="CS49" s="34">
        <v>6.6199999999999995E-2</v>
      </c>
      <c r="CT49" s="34">
        <v>6.6199999999999995E-2</v>
      </c>
      <c r="CW49" s="34">
        <v>6.6199999999999995E-2</v>
      </c>
      <c r="CX49" s="34">
        <v>6.6199999999999995E-2</v>
      </c>
      <c r="DA49" s="34">
        <v>6.6199999999999995E-2</v>
      </c>
    </row>
    <row r="50" spans="6:105">
      <c r="F50" s="17">
        <v>13</v>
      </c>
      <c r="G50" s="5">
        <f t="shared" si="4"/>
        <v>130</v>
      </c>
      <c r="H50" s="9" t="s">
        <v>145</v>
      </c>
      <c r="I50" s="5">
        <v>52</v>
      </c>
      <c r="J50" s="5">
        <v>52</v>
      </c>
      <c r="K50" s="5">
        <f t="shared" si="3"/>
        <v>104</v>
      </c>
      <c r="L50" s="5">
        <v>104</v>
      </c>
      <c r="M50" s="5">
        <v>156</v>
      </c>
      <c r="N50" s="5">
        <v>156</v>
      </c>
      <c r="O50" s="9" t="s">
        <v>145</v>
      </c>
      <c r="P50" s="9" t="s">
        <v>145</v>
      </c>
      <c r="Q50" s="9" t="s">
        <v>145</v>
      </c>
      <c r="R50" s="9" t="s">
        <v>145</v>
      </c>
      <c r="S50" s="9" t="s">
        <v>145</v>
      </c>
      <c r="T50" s="9" t="s">
        <v>145</v>
      </c>
      <c r="U50" s="9" t="s">
        <v>145</v>
      </c>
      <c r="V50" s="9" t="s">
        <v>145</v>
      </c>
      <c r="W50" s="9" t="s">
        <v>145</v>
      </c>
      <c r="X50" s="9" t="s">
        <v>145</v>
      </c>
      <c r="Y50" s="9" t="s">
        <v>145</v>
      </c>
      <c r="Z50" s="9" t="s">
        <v>145</v>
      </c>
      <c r="AA50" s="9" t="s">
        <v>145</v>
      </c>
      <c r="AB50" s="9" t="s">
        <v>145</v>
      </c>
      <c r="AC50" s="9" t="s">
        <v>145</v>
      </c>
      <c r="AD50" s="9" t="s">
        <v>145</v>
      </c>
      <c r="AE50" s="9" t="s">
        <v>145</v>
      </c>
      <c r="AF50" s="9" t="s">
        <v>145</v>
      </c>
      <c r="AG50" s="9" t="s">
        <v>145</v>
      </c>
      <c r="AH50" s="9" t="s">
        <v>145</v>
      </c>
      <c r="AI50" s="9" t="s">
        <v>145</v>
      </c>
      <c r="AJ50" s="9" t="s">
        <v>145</v>
      </c>
      <c r="AK50" s="9" t="s">
        <v>145</v>
      </c>
      <c r="AL50" s="9" t="s">
        <v>145</v>
      </c>
      <c r="AM50" s="9" t="s">
        <v>145</v>
      </c>
      <c r="AN50" s="9" t="s">
        <v>145</v>
      </c>
      <c r="AO50" s="9" t="s">
        <v>145</v>
      </c>
      <c r="AP50" s="9" t="s">
        <v>145</v>
      </c>
      <c r="AQ50" s="9" t="s">
        <v>145</v>
      </c>
      <c r="AR50" s="9" t="s">
        <v>145</v>
      </c>
      <c r="AS50" s="9" t="s">
        <v>145</v>
      </c>
      <c r="AT50" s="9" t="s">
        <v>145</v>
      </c>
      <c r="AU50" s="9" t="s">
        <v>145</v>
      </c>
      <c r="AV50" s="9" t="s">
        <v>145</v>
      </c>
      <c r="AW50" s="9" t="s">
        <v>145</v>
      </c>
      <c r="AX50" s="9" t="s">
        <v>145</v>
      </c>
      <c r="AY50" s="9" t="s">
        <v>145</v>
      </c>
      <c r="AZ50" s="9" t="s">
        <v>145</v>
      </c>
      <c r="BA50" s="9" t="s">
        <v>145</v>
      </c>
      <c r="BB50" s="9" t="s">
        <v>145</v>
      </c>
      <c r="BC50" s="9" t="s">
        <v>145</v>
      </c>
      <c r="BD50" s="9" t="s">
        <v>145</v>
      </c>
      <c r="BE50" s="9" t="s">
        <v>145</v>
      </c>
      <c r="BF50" s="9" t="s">
        <v>145</v>
      </c>
      <c r="BG50" s="9" t="s">
        <v>145</v>
      </c>
      <c r="BH50" s="9" t="s">
        <v>145</v>
      </c>
      <c r="BI50" s="9" t="s">
        <v>145</v>
      </c>
      <c r="BJ50" s="9" t="s">
        <v>145</v>
      </c>
      <c r="BK50" s="9" t="s">
        <v>145</v>
      </c>
      <c r="BL50" s="9" t="s">
        <v>145</v>
      </c>
      <c r="BM50" s="9" t="s">
        <v>145</v>
      </c>
      <c r="BN50" s="9" t="s">
        <v>145</v>
      </c>
      <c r="BO50" s="9" t="s">
        <v>145</v>
      </c>
      <c r="BP50" s="9" t="s">
        <v>145</v>
      </c>
      <c r="BQ50" s="9" t="s">
        <v>145</v>
      </c>
      <c r="BR50" s="9" t="s">
        <v>145</v>
      </c>
      <c r="BS50" s="9" t="s">
        <v>145</v>
      </c>
      <c r="BT50" s="9" t="s">
        <v>145</v>
      </c>
      <c r="BU50" s="9" t="s">
        <v>145</v>
      </c>
      <c r="BV50" s="9" t="s">
        <v>145</v>
      </c>
      <c r="BW50" s="9" t="s">
        <v>145</v>
      </c>
      <c r="BX50" s="9" t="s">
        <v>145</v>
      </c>
      <c r="BY50" s="9" t="s">
        <v>145</v>
      </c>
      <c r="BZ50" s="9" t="s">
        <v>145</v>
      </c>
      <c r="CA50" s="9" t="s">
        <v>145</v>
      </c>
      <c r="CB50" s="9" t="s">
        <v>145</v>
      </c>
      <c r="CC50" s="9" t="s">
        <v>145</v>
      </c>
      <c r="CD50" s="16" t="s">
        <v>145</v>
      </c>
      <c r="CF50" s="33">
        <v>25</v>
      </c>
      <c r="CG50" s="34">
        <v>0.74</v>
      </c>
      <c r="CH50" s="34">
        <v>0.74</v>
      </c>
      <c r="CI50" s="34" t="s">
        <v>207</v>
      </c>
      <c r="CJ50" s="34" t="s">
        <v>207</v>
      </c>
      <c r="CK50" s="34">
        <v>0.74</v>
      </c>
      <c r="CL50" s="34">
        <v>0.74</v>
      </c>
      <c r="CM50" s="34" t="s">
        <v>207</v>
      </c>
      <c r="CN50" s="34" t="s">
        <v>207</v>
      </c>
      <c r="CO50" s="34">
        <v>0.74</v>
      </c>
      <c r="CR50" s="33">
        <v>35</v>
      </c>
      <c r="CS50" s="34">
        <v>6.3700000000000007E-2</v>
      </c>
      <c r="CT50" s="34">
        <v>6.3700000000000007E-2</v>
      </c>
      <c r="CW50" s="34">
        <v>6.3700000000000007E-2</v>
      </c>
      <c r="CX50" s="34">
        <v>6.3700000000000007E-2</v>
      </c>
      <c r="DA50" s="34">
        <v>6.3700000000000007E-2</v>
      </c>
    </row>
    <row r="51" spans="6:105">
      <c r="F51" s="17">
        <v>15</v>
      </c>
      <c r="G51" s="9" t="s">
        <v>145</v>
      </c>
      <c r="H51" s="9" t="s">
        <v>145</v>
      </c>
      <c r="I51" s="9" t="s">
        <v>145</v>
      </c>
      <c r="J51" s="9" t="s">
        <v>145</v>
      </c>
      <c r="K51" s="9" t="s">
        <v>145</v>
      </c>
      <c r="L51" s="9" t="s">
        <v>145</v>
      </c>
      <c r="M51" s="9" t="s">
        <v>145</v>
      </c>
      <c r="N51" s="9" t="s">
        <v>145</v>
      </c>
      <c r="O51" s="5">
        <f>$F51*10</f>
        <v>150</v>
      </c>
      <c r="P51" s="5">
        <f t="shared" ref="P51:U66" si="5">$F51*10</f>
        <v>150</v>
      </c>
      <c r="Q51" s="5">
        <f t="shared" si="5"/>
        <v>150</v>
      </c>
      <c r="R51" s="5">
        <f t="shared" si="5"/>
        <v>150</v>
      </c>
      <c r="S51" s="9" t="s">
        <v>145</v>
      </c>
      <c r="T51" s="9" t="s">
        <v>145</v>
      </c>
      <c r="U51" s="9" t="s">
        <v>145</v>
      </c>
      <c r="V51" s="9" t="s">
        <v>145</v>
      </c>
      <c r="W51" s="9" t="s">
        <v>145</v>
      </c>
      <c r="X51" s="9" t="s">
        <v>145</v>
      </c>
      <c r="Y51" s="9" t="s">
        <v>145</v>
      </c>
      <c r="Z51" s="9" t="s">
        <v>145</v>
      </c>
      <c r="AA51" s="9" t="s">
        <v>145</v>
      </c>
      <c r="AB51" s="9" t="s">
        <v>145</v>
      </c>
      <c r="AC51" s="9" t="s">
        <v>145</v>
      </c>
      <c r="AD51" s="9" t="s">
        <v>145</v>
      </c>
      <c r="AE51" s="9" t="s">
        <v>145</v>
      </c>
      <c r="AF51" s="9" t="s">
        <v>145</v>
      </c>
      <c r="AG51" s="9" t="s">
        <v>145</v>
      </c>
      <c r="AH51" s="9" t="s">
        <v>145</v>
      </c>
      <c r="AI51" s="9" t="s">
        <v>145</v>
      </c>
      <c r="AJ51" s="9" t="s">
        <v>145</v>
      </c>
      <c r="AK51" s="9" t="s">
        <v>145</v>
      </c>
      <c r="AL51" s="9" t="s">
        <v>145</v>
      </c>
      <c r="AM51" s="9" t="s">
        <v>145</v>
      </c>
      <c r="AN51" s="9" t="s">
        <v>145</v>
      </c>
      <c r="AO51" s="9" t="s">
        <v>145</v>
      </c>
      <c r="AP51" s="9" t="s">
        <v>145</v>
      </c>
      <c r="AQ51" s="9" t="s">
        <v>145</v>
      </c>
      <c r="AR51" s="9" t="s">
        <v>145</v>
      </c>
      <c r="AS51" s="9" t="s">
        <v>145</v>
      </c>
      <c r="AT51" s="9" t="s">
        <v>145</v>
      </c>
      <c r="AU51" s="9" t="s">
        <v>145</v>
      </c>
      <c r="AV51" s="9" t="s">
        <v>145</v>
      </c>
      <c r="AW51" s="9" t="s">
        <v>145</v>
      </c>
      <c r="AX51" s="9" t="s">
        <v>145</v>
      </c>
      <c r="AY51" s="9" t="s">
        <v>145</v>
      </c>
      <c r="AZ51" s="9" t="s">
        <v>145</v>
      </c>
      <c r="BA51" s="9" t="s">
        <v>145</v>
      </c>
      <c r="BB51" s="9" t="s">
        <v>145</v>
      </c>
      <c r="BC51" s="9" t="s">
        <v>145</v>
      </c>
      <c r="BD51" s="9" t="s">
        <v>145</v>
      </c>
      <c r="BE51" s="9" t="s">
        <v>145</v>
      </c>
      <c r="BF51" s="9" t="s">
        <v>145</v>
      </c>
      <c r="BG51" s="9" t="s">
        <v>145</v>
      </c>
      <c r="BH51" s="9" t="s">
        <v>145</v>
      </c>
      <c r="BI51" s="9" t="s">
        <v>145</v>
      </c>
      <c r="BJ51" s="9" t="s">
        <v>145</v>
      </c>
      <c r="BK51" s="9" t="s">
        <v>145</v>
      </c>
      <c r="BL51" s="9" t="s">
        <v>145</v>
      </c>
      <c r="BM51" s="9" t="s">
        <v>145</v>
      </c>
      <c r="BN51" s="9" t="s">
        <v>145</v>
      </c>
      <c r="BO51" s="9" t="s">
        <v>145</v>
      </c>
      <c r="BP51" s="9" t="s">
        <v>145</v>
      </c>
      <c r="BQ51" s="9" t="s">
        <v>145</v>
      </c>
      <c r="BR51" s="9" t="s">
        <v>145</v>
      </c>
      <c r="BS51" s="9" t="s">
        <v>145</v>
      </c>
      <c r="BT51" s="9" t="s">
        <v>145</v>
      </c>
      <c r="BU51" s="9" t="s">
        <v>145</v>
      </c>
      <c r="BV51" s="9" t="s">
        <v>145</v>
      </c>
      <c r="BW51" s="9" t="s">
        <v>145</v>
      </c>
      <c r="BX51" s="9" t="s">
        <v>145</v>
      </c>
      <c r="BY51" s="9" t="s">
        <v>145</v>
      </c>
      <c r="BZ51" s="9" t="s">
        <v>145</v>
      </c>
      <c r="CA51" s="9" t="s">
        <v>145</v>
      </c>
      <c r="CB51" s="9" t="s">
        <v>145</v>
      </c>
      <c r="CC51" s="9" t="s">
        <v>145</v>
      </c>
      <c r="CD51" s="16" t="s">
        <v>145</v>
      </c>
      <c r="CF51" s="33">
        <v>35</v>
      </c>
      <c r="CG51" s="34">
        <v>0.54</v>
      </c>
      <c r="CH51" s="34">
        <v>0.54</v>
      </c>
      <c r="CI51" s="34" t="s">
        <v>208</v>
      </c>
      <c r="CJ51" s="34" t="s">
        <v>208</v>
      </c>
      <c r="CK51" s="34">
        <v>0.54</v>
      </c>
      <c r="CL51" s="34">
        <v>0.54</v>
      </c>
      <c r="CM51" s="34" t="s">
        <v>208</v>
      </c>
      <c r="CN51" s="34" t="s">
        <v>208</v>
      </c>
      <c r="CO51" s="34">
        <v>0.54</v>
      </c>
      <c r="CR51" s="33">
        <v>50</v>
      </c>
      <c r="CS51" s="34">
        <v>6.25E-2</v>
      </c>
      <c r="CT51" s="34">
        <v>6.25E-2</v>
      </c>
      <c r="CW51" s="34">
        <v>6.25E-2</v>
      </c>
      <c r="CX51" s="34">
        <v>6.25E-2</v>
      </c>
      <c r="DA51" s="34">
        <v>6.25E-2</v>
      </c>
    </row>
    <row r="52" spans="6:105">
      <c r="F52" s="17">
        <v>16</v>
      </c>
      <c r="G52" s="5">
        <f t="shared" si="4"/>
        <v>160</v>
      </c>
      <c r="H52" s="5">
        <f>F52*10</f>
        <v>160</v>
      </c>
      <c r="I52" s="5">
        <v>64</v>
      </c>
      <c r="J52" s="5">
        <v>64</v>
      </c>
      <c r="K52" s="5">
        <f t="shared" si="3"/>
        <v>128</v>
      </c>
      <c r="L52" s="5">
        <v>128</v>
      </c>
      <c r="M52" s="5">
        <v>192</v>
      </c>
      <c r="N52" s="5">
        <v>192</v>
      </c>
      <c r="O52" s="5">
        <f t="shared" ref="O52:O64" si="6">$F52*10</f>
        <v>160</v>
      </c>
      <c r="P52" s="5">
        <f t="shared" si="5"/>
        <v>160</v>
      </c>
      <c r="Q52" s="5">
        <f t="shared" si="5"/>
        <v>160</v>
      </c>
      <c r="R52" s="5">
        <f t="shared" si="5"/>
        <v>160</v>
      </c>
      <c r="S52" s="9" t="s">
        <v>145</v>
      </c>
      <c r="T52" s="9" t="s">
        <v>145</v>
      </c>
      <c r="U52" s="9" t="s">
        <v>145</v>
      </c>
      <c r="V52" s="9" t="s">
        <v>145</v>
      </c>
      <c r="W52" s="9" t="s">
        <v>145</v>
      </c>
      <c r="X52" s="9" t="s">
        <v>145</v>
      </c>
      <c r="Y52" s="9" t="s">
        <v>145</v>
      </c>
      <c r="Z52" s="43">
        <v>190</v>
      </c>
      <c r="AA52" s="43">
        <v>190</v>
      </c>
      <c r="AB52" s="43">
        <v>190</v>
      </c>
      <c r="AC52" s="9" t="s">
        <v>145</v>
      </c>
      <c r="AD52" s="9" t="s">
        <v>145</v>
      </c>
      <c r="AE52" s="9" t="s">
        <v>145</v>
      </c>
      <c r="AF52" s="9" t="s">
        <v>145</v>
      </c>
      <c r="AG52" s="9" t="s">
        <v>145</v>
      </c>
      <c r="AH52" s="9" t="s">
        <v>145</v>
      </c>
      <c r="AI52" s="9" t="s">
        <v>145</v>
      </c>
      <c r="AJ52" s="9" t="s">
        <v>145</v>
      </c>
      <c r="AK52" s="9" t="s">
        <v>145</v>
      </c>
      <c r="AL52" s="9" t="s">
        <v>145</v>
      </c>
      <c r="AM52" s="9" t="s">
        <v>145</v>
      </c>
      <c r="AN52" s="9" t="s">
        <v>145</v>
      </c>
      <c r="AO52" s="9" t="s">
        <v>145</v>
      </c>
      <c r="AP52" s="9" t="s">
        <v>145</v>
      </c>
      <c r="AQ52" s="9" t="s">
        <v>145</v>
      </c>
      <c r="AR52" s="9" t="s">
        <v>145</v>
      </c>
      <c r="AS52" s="9" t="s">
        <v>145</v>
      </c>
      <c r="AT52" s="9" t="s">
        <v>145</v>
      </c>
      <c r="AU52" s="9" t="s">
        <v>145</v>
      </c>
      <c r="AV52" s="9" t="s">
        <v>145</v>
      </c>
      <c r="AW52" s="9" t="s">
        <v>145</v>
      </c>
      <c r="AX52" s="9" t="s">
        <v>145</v>
      </c>
      <c r="AY52" s="9" t="s">
        <v>145</v>
      </c>
      <c r="AZ52" s="9" t="s">
        <v>145</v>
      </c>
      <c r="BA52" s="9" t="s">
        <v>145</v>
      </c>
      <c r="BB52" s="9" t="s">
        <v>145</v>
      </c>
      <c r="BC52" s="9" t="s">
        <v>145</v>
      </c>
      <c r="BD52" s="9" t="s">
        <v>145</v>
      </c>
      <c r="BE52" s="9" t="s">
        <v>145</v>
      </c>
      <c r="BF52" s="9" t="s">
        <v>145</v>
      </c>
      <c r="BG52" s="9" t="s">
        <v>145</v>
      </c>
      <c r="BH52" s="9" t="s">
        <v>145</v>
      </c>
      <c r="BI52" s="9" t="s">
        <v>145</v>
      </c>
      <c r="BJ52" s="9" t="s">
        <v>145</v>
      </c>
      <c r="BK52" s="9" t="s">
        <v>145</v>
      </c>
      <c r="BL52" s="9" t="s">
        <v>145</v>
      </c>
      <c r="BM52" s="9" t="s">
        <v>145</v>
      </c>
      <c r="BN52" s="9" t="s">
        <v>145</v>
      </c>
      <c r="BO52" s="9" t="s">
        <v>145</v>
      </c>
      <c r="BP52" s="9" t="s">
        <v>145</v>
      </c>
      <c r="BQ52" s="9" t="s">
        <v>145</v>
      </c>
      <c r="BR52" s="9" t="s">
        <v>145</v>
      </c>
      <c r="BS52" s="9" t="s">
        <v>145</v>
      </c>
      <c r="BT52" s="9" t="s">
        <v>145</v>
      </c>
      <c r="BU52" s="9" t="s">
        <v>145</v>
      </c>
      <c r="BV52" s="9" t="s">
        <v>145</v>
      </c>
      <c r="BW52" s="9" t="s">
        <v>145</v>
      </c>
      <c r="BX52" s="9" t="s">
        <v>145</v>
      </c>
      <c r="BY52" s="9" t="s">
        <v>145</v>
      </c>
      <c r="BZ52" s="9" t="s">
        <v>145</v>
      </c>
      <c r="CA52" s="9" t="s">
        <v>145</v>
      </c>
      <c r="CB52" s="9" t="s">
        <v>145</v>
      </c>
      <c r="CC52" s="9" t="s">
        <v>145</v>
      </c>
      <c r="CD52" s="16" t="s">
        <v>145</v>
      </c>
      <c r="CF52" s="33">
        <v>50</v>
      </c>
      <c r="CG52" s="34">
        <v>0.39</v>
      </c>
      <c r="CH52" s="34">
        <v>0.39</v>
      </c>
      <c r="CI52" s="34" t="s">
        <v>209</v>
      </c>
      <c r="CJ52" s="34" t="s">
        <v>209</v>
      </c>
      <c r="CK52" s="34">
        <v>0.39</v>
      </c>
      <c r="CL52" s="34">
        <v>0.39</v>
      </c>
      <c r="CM52" s="34" t="s">
        <v>209</v>
      </c>
      <c r="CN52" s="34" t="s">
        <v>209</v>
      </c>
      <c r="CO52" s="34">
        <v>0.39</v>
      </c>
      <c r="CR52" s="33">
        <v>70</v>
      </c>
      <c r="CS52" s="34">
        <v>6.1199999999999997E-2</v>
      </c>
      <c r="CT52" s="34">
        <v>6.1199999999999997E-2</v>
      </c>
      <c r="CW52" s="34">
        <v>6.1199999999999997E-2</v>
      </c>
      <c r="CX52" s="34">
        <v>6.1199999999999997E-2</v>
      </c>
      <c r="DA52" s="34">
        <v>6.1199999999999997E-2</v>
      </c>
    </row>
    <row r="53" spans="6:105">
      <c r="F53" s="17">
        <v>20</v>
      </c>
      <c r="G53" s="5">
        <f t="shared" si="4"/>
        <v>200</v>
      </c>
      <c r="H53" s="5">
        <f>F53*10</f>
        <v>200</v>
      </c>
      <c r="I53" s="5">
        <v>80</v>
      </c>
      <c r="J53" s="5">
        <v>80</v>
      </c>
      <c r="K53" s="5">
        <f t="shared" si="3"/>
        <v>160</v>
      </c>
      <c r="L53" s="5">
        <v>160</v>
      </c>
      <c r="M53" s="5">
        <v>240</v>
      </c>
      <c r="N53" s="5">
        <v>240</v>
      </c>
      <c r="O53" s="5">
        <f t="shared" si="6"/>
        <v>200</v>
      </c>
      <c r="P53" s="5">
        <f t="shared" si="5"/>
        <v>200</v>
      </c>
      <c r="Q53" s="5">
        <f t="shared" si="5"/>
        <v>200</v>
      </c>
      <c r="R53" s="5">
        <f t="shared" si="5"/>
        <v>200</v>
      </c>
      <c r="S53" s="9" t="s">
        <v>145</v>
      </c>
      <c r="T53" s="9" t="s">
        <v>145</v>
      </c>
      <c r="U53" s="9" t="s">
        <v>145</v>
      </c>
      <c r="V53" s="9" t="s">
        <v>145</v>
      </c>
      <c r="W53" s="9" t="s">
        <v>145</v>
      </c>
      <c r="X53" s="9" t="s">
        <v>145</v>
      </c>
      <c r="Y53" s="9" t="s">
        <v>145</v>
      </c>
      <c r="Z53" s="9" t="s">
        <v>145</v>
      </c>
      <c r="AA53" s="9" t="s">
        <v>145</v>
      </c>
      <c r="AB53" s="9" t="s">
        <v>145</v>
      </c>
      <c r="AC53" s="9" t="s">
        <v>145</v>
      </c>
      <c r="AD53" s="9" t="s">
        <v>145</v>
      </c>
      <c r="AE53" s="9" t="s">
        <v>145</v>
      </c>
      <c r="AF53" s="9" t="s">
        <v>145</v>
      </c>
      <c r="AG53" s="9" t="s">
        <v>145</v>
      </c>
      <c r="AH53" s="9" t="s">
        <v>145</v>
      </c>
      <c r="AI53" s="9" t="s">
        <v>145</v>
      </c>
      <c r="AJ53" s="9" t="s">
        <v>145</v>
      </c>
      <c r="AK53" s="9" t="s">
        <v>145</v>
      </c>
      <c r="AL53" s="9" t="s">
        <v>145</v>
      </c>
      <c r="AM53" s="9" t="s">
        <v>145</v>
      </c>
      <c r="AN53" s="9" t="s">
        <v>145</v>
      </c>
      <c r="AO53" s="9" t="s">
        <v>145</v>
      </c>
      <c r="AP53" s="9" t="s">
        <v>145</v>
      </c>
      <c r="AQ53" s="9" t="s">
        <v>145</v>
      </c>
      <c r="AR53" s="9" t="s">
        <v>145</v>
      </c>
      <c r="AS53" s="9" t="s">
        <v>145</v>
      </c>
      <c r="AT53" s="9" t="s">
        <v>145</v>
      </c>
      <c r="AU53" s="9" t="s">
        <v>145</v>
      </c>
      <c r="AV53" s="9" t="s">
        <v>145</v>
      </c>
      <c r="AW53" s="9" t="s">
        <v>145</v>
      </c>
      <c r="AX53" s="9" t="s">
        <v>145</v>
      </c>
      <c r="AY53" s="9" t="s">
        <v>145</v>
      </c>
      <c r="AZ53" s="9" t="s">
        <v>145</v>
      </c>
      <c r="BA53" s="9" t="s">
        <v>145</v>
      </c>
      <c r="BB53" s="9" t="s">
        <v>145</v>
      </c>
      <c r="BC53" s="9" t="s">
        <v>145</v>
      </c>
      <c r="BD53" s="9" t="s">
        <v>145</v>
      </c>
      <c r="BE53" s="9" t="s">
        <v>145</v>
      </c>
      <c r="BF53" s="9" t="s">
        <v>145</v>
      </c>
      <c r="BG53" s="9" t="s">
        <v>145</v>
      </c>
      <c r="BH53" s="9" t="s">
        <v>145</v>
      </c>
      <c r="BI53" s="9" t="s">
        <v>145</v>
      </c>
      <c r="BJ53" s="9" t="s">
        <v>145</v>
      </c>
      <c r="BK53" s="9" t="s">
        <v>145</v>
      </c>
      <c r="BL53" s="9" t="s">
        <v>145</v>
      </c>
      <c r="BM53" s="9" t="s">
        <v>145</v>
      </c>
      <c r="BN53" s="9" t="s">
        <v>145</v>
      </c>
      <c r="BO53" s="9" t="s">
        <v>145</v>
      </c>
      <c r="BP53" s="9" t="s">
        <v>145</v>
      </c>
      <c r="BQ53" s="9" t="s">
        <v>145</v>
      </c>
      <c r="BR53" s="9" t="s">
        <v>145</v>
      </c>
      <c r="BS53" s="9" t="s">
        <v>145</v>
      </c>
      <c r="BT53" s="9" t="s">
        <v>145</v>
      </c>
      <c r="BU53" s="9" t="s">
        <v>145</v>
      </c>
      <c r="BV53" s="9" t="s">
        <v>145</v>
      </c>
      <c r="BW53" s="9" t="s">
        <v>145</v>
      </c>
      <c r="BX53" s="9" t="s">
        <v>145</v>
      </c>
      <c r="BY53" s="9" t="s">
        <v>145</v>
      </c>
      <c r="BZ53" s="9" t="s">
        <v>145</v>
      </c>
      <c r="CA53" s="9" t="s">
        <v>145</v>
      </c>
      <c r="CB53" s="9" t="s">
        <v>145</v>
      </c>
      <c r="CC53" s="9" t="s">
        <v>145</v>
      </c>
      <c r="CD53" s="16" t="s">
        <v>145</v>
      </c>
      <c r="CF53" s="33">
        <v>70</v>
      </c>
      <c r="CG53" s="34">
        <v>0.28000000000000003</v>
      </c>
      <c r="CH53" s="34">
        <v>0.28000000000000003</v>
      </c>
      <c r="CI53" s="34">
        <v>0.46</v>
      </c>
      <c r="CJ53" s="34">
        <v>0.46</v>
      </c>
      <c r="CK53" s="34">
        <v>0.28000000000000003</v>
      </c>
      <c r="CL53" s="34">
        <v>0.28000000000000003</v>
      </c>
      <c r="CM53" s="34">
        <v>0.46</v>
      </c>
      <c r="CN53" s="34">
        <v>0.46</v>
      </c>
      <c r="CO53" s="34">
        <v>0.28000000000000003</v>
      </c>
      <c r="CR53" s="33">
        <v>95</v>
      </c>
      <c r="CS53" s="34">
        <v>6.0199999999999997E-2</v>
      </c>
      <c r="CT53" s="34">
        <v>6.0199999999999997E-2</v>
      </c>
      <c r="CW53" s="34">
        <v>6.0199999999999997E-2</v>
      </c>
      <c r="CX53" s="34">
        <v>6.0199999999999997E-2</v>
      </c>
      <c r="DA53" s="34">
        <v>6.0199999999999997E-2</v>
      </c>
    </row>
    <row r="54" spans="6:105">
      <c r="F54" s="17">
        <v>25</v>
      </c>
      <c r="G54" s="5">
        <f t="shared" si="4"/>
        <v>250</v>
      </c>
      <c r="H54" s="5">
        <f>F54*10</f>
        <v>250</v>
      </c>
      <c r="I54" s="5">
        <v>100</v>
      </c>
      <c r="J54" s="5">
        <v>100</v>
      </c>
      <c r="K54" s="5">
        <f t="shared" si="3"/>
        <v>200</v>
      </c>
      <c r="L54" s="5">
        <v>200</v>
      </c>
      <c r="M54" s="5">
        <v>300</v>
      </c>
      <c r="N54" s="5">
        <v>300</v>
      </c>
      <c r="O54" s="5">
        <f t="shared" si="6"/>
        <v>250</v>
      </c>
      <c r="P54" s="5">
        <f t="shared" si="5"/>
        <v>250</v>
      </c>
      <c r="Q54" s="5">
        <f t="shared" si="5"/>
        <v>250</v>
      </c>
      <c r="R54" s="5">
        <f t="shared" si="5"/>
        <v>250</v>
      </c>
      <c r="S54" s="9" t="s">
        <v>145</v>
      </c>
      <c r="T54" s="9" t="s">
        <v>145</v>
      </c>
      <c r="U54" s="9" t="s">
        <v>145</v>
      </c>
      <c r="V54" s="9" t="s">
        <v>145</v>
      </c>
      <c r="W54" s="9" t="s">
        <v>145</v>
      </c>
      <c r="X54" s="9" t="s">
        <v>145</v>
      </c>
      <c r="Y54" s="9" t="s">
        <v>145</v>
      </c>
      <c r="Z54" s="43">
        <v>300</v>
      </c>
      <c r="AA54" s="43">
        <v>300</v>
      </c>
      <c r="AB54" s="43">
        <v>300</v>
      </c>
      <c r="AC54" s="9" t="s">
        <v>145</v>
      </c>
      <c r="AD54" s="9" t="s">
        <v>145</v>
      </c>
      <c r="AE54" s="9" t="s">
        <v>145</v>
      </c>
      <c r="AF54" s="9" t="s">
        <v>145</v>
      </c>
      <c r="AG54" s="9" t="s">
        <v>145</v>
      </c>
      <c r="AH54" s="9" t="s">
        <v>145</v>
      </c>
      <c r="AI54" s="9" t="s">
        <v>145</v>
      </c>
      <c r="AJ54" s="9" t="s">
        <v>145</v>
      </c>
      <c r="AK54" s="9" t="s">
        <v>145</v>
      </c>
      <c r="AL54" s="9" t="s">
        <v>145</v>
      </c>
      <c r="AM54" s="9" t="s">
        <v>145</v>
      </c>
      <c r="AN54" s="9" t="s">
        <v>145</v>
      </c>
      <c r="AO54" s="9" t="s">
        <v>145</v>
      </c>
      <c r="AP54" s="9" t="s">
        <v>145</v>
      </c>
      <c r="AQ54" s="9" t="s">
        <v>145</v>
      </c>
      <c r="AR54" s="9" t="s">
        <v>145</v>
      </c>
      <c r="AS54" s="9" t="s">
        <v>145</v>
      </c>
      <c r="AT54" s="9" t="s">
        <v>145</v>
      </c>
      <c r="AU54" s="9" t="s">
        <v>145</v>
      </c>
      <c r="AV54" s="9" t="s">
        <v>145</v>
      </c>
      <c r="AW54" s="9" t="s">
        <v>145</v>
      </c>
      <c r="AX54" s="9" t="s">
        <v>145</v>
      </c>
      <c r="AY54" s="9" t="s">
        <v>145</v>
      </c>
      <c r="AZ54" s="9" t="s">
        <v>145</v>
      </c>
      <c r="BA54" s="9" t="s">
        <v>145</v>
      </c>
      <c r="BB54" s="9" t="s">
        <v>145</v>
      </c>
      <c r="BC54" s="9" t="s">
        <v>145</v>
      </c>
      <c r="BD54" s="9" t="s">
        <v>145</v>
      </c>
      <c r="BE54" s="9" t="s">
        <v>145</v>
      </c>
      <c r="BF54" s="9" t="s">
        <v>145</v>
      </c>
      <c r="BG54" s="9" t="s">
        <v>145</v>
      </c>
      <c r="BH54" s="9" t="s">
        <v>145</v>
      </c>
      <c r="BI54" s="9" t="s">
        <v>145</v>
      </c>
      <c r="BJ54" s="9" t="s">
        <v>145</v>
      </c>
      <c r="BK54" s="9" t="s">
        <v>145</v>
      </c>
      <c r="BL54" s="9" t="s">
        <v>145</v>
      </c>
      <c r="BM54" s="9" t="s">
        <v>145</v>
      </c>
      <c r="BN54" s="9" t="s">
        <v>145</v>
      </c>
      <c r="BO54" s="9" t="s">
        <v>145</v>
      </c>
      <c r="BP54" s="9" t="s">
        <v>145</v>
      </c>
      <c r="BQ54" s="9" t="s">
        <v>145</v>
      </c>
      <c r="BR54" s="9" t="s">
        <v>145</v>
      </c>
      <c r="BS54" s="9" t="s">
        <v>145</v>
      </c>
      <c r="BT54" s="9" t="s">
        <v>145</v>
      </c>
      <c r="BU54" s="9" t="s">
        <v>145</v>
      </c>
      <c r="BV54" s="9" t="s">
        <v>145</v>
      </c>
      <c r="BW54" s="9" t="s">
        <v>145</v>
      </c>
      <c r="BX54" s="9" t="s">
        <v>145</v>
      </c>
      <c r="BY54" s="9" t="s">
        <v>145</v>
      </c>
      <c r="BZ54" s="9" t="s">
        <v>145</v>
      </c>
      <c r="CA54" s="9" t="s">
        <v>145</v>
      </c>
      <c r="CB54" s="9" t="s">
        <v>145</v>
      </c>
      <c r="CC54" s="9" t="s">
        <v>145</v>
      </c>
      <c r="CD54" s="16" t="s">
        <v>145</v>
      </c>
      <c r="CF54" s="33">
        <v>95</v>
      </c>
      <c r="CG54" s="34">
        <v>0.2</v>
      </c>
      <c r="CH54" s="34">
        <v>0.2</v>
      </c>
      <c r="CI54" s="34" t="s">
        <v>210</v>
      </c>
      <c r="CJ54" s="34" t="s">
        <v>210</v>
      </c>
      <c r="CK54" s="34">
        <v>0.2</v>
      </c>
      <c r="CL54" s="34">
        <v>0.2</v>
      </c>
      <c r="CM54" s="34" t="s">
        <v>210</v>
      </c>
      <c r="CN54" s="34" t="s">
        <v>210</v>
      </c>
      <c r="CO54" s="34">
        <v>0.2</v>
      </c>
      <c r="CR54" s="33">
        <v>120</v>
      </c>
      <c r="CS54" s="34">
        <v>6.0199999999999997E-2</v>
      </c>
      <c r="CT54" s="34">
        <v>6.0199999999999997E-2</v>
      </c>
      <c r="CW54" s="34">
        <v>6.0199999999999997E-2</v>
      </c>
      <c r="CX54" s="34">
        <v>6.0199999999999997E-2</v>
      </c>
      <c r="DA54" s="34">
        <v>6.0199999999999997E-2</v>
      </c>
    </row>
    <row r="55" spans="6:105">
      <c r="F55" s="17">
        <v>30</v>
      </c>
      <c r="G55" s="9" t="s">
        <v>145</v>
      </c>
      <c r="H55" s="9" t="s">
        <v>145</v>
      </c>
      <c r="I55" s="9" t="s">
        <v>145</v>
      </c>
      <c r="J55" s="9" t="s">
        <v>145</v>
      </c>
      <c r="K55" s="9" t="s">
        <v>145</v>
      </c>
      <c r="L55" s="9" t="s">
        <v>145</v>
      </c>
      <c r="M55" s="9" t="s">
        <v>145</v>
      </c>
      <c r="N55" s="9" t="s">
        <v>145</v>
      </c>
      <c r="O55" s="5">
        <f t="shared" si="6"/>
        <v>300</v>
      </c>
      <c r="P55" s="5">
        <f t="shared" si="5"/>
        <v>300</v>
      </c>
      <c r="Q55" s="5">
        <f t="shared" si="5"/>
        <v>300</v>
      </c>
      <c r="R55" s="5">
        <f t="shared" si="5"/>
        <v>300</v>
      </c>
      <c r="S55" s="9" t="s">
        <v>145</v>
      </c>
      <c r="T55" s="9" t="s">
        <v>145</v>
      </c>
      <c r="U55" s="9" t="s">
        <v>145</v>
      </c>
      <c r="V55" s="9" t="s">
        <v>145</v>
      </c>
      <c r="W55" s="9" t="s">
        <v>145</v>
      </c>
      <c r="X55" s="9" t="s">
        <v>145</v>
      </c>
      <c r="Y55" s="9" t="s">
        <v>145</v>
      </c>
      <c r="Z55" s="9" t="s">
        <v>145</v>
      </c>
      <c r="AA55" s="9" t="s">
        <v>145</v>
      </c>
      <c r="AB55" s="9" t="s">
        <v>145</v>
      </c>
      <c r="AC55" s="9" t="s">
        <v>145</v>
      </c>
      <c r="AD55" s="9" t="s">
        <v>145</v>
      </c>
      <c r="AE55" s="9" t="s">
        <v>145</v>
      </c>
      <c r="AF55" s="9" t="s">
        <v>145</v>
      </c>
      <c r="AG55" s="9" t="s">
        <v>145</v>
      </c>
      <c r="AH55" s="9" t="s">
        <v>145</v>
      </c>
      <c r="AI55" s="9" t="s">
        <v>145</v>
      </c>
      <c r="AJ55" s="9" t="s">
        <v>145</v>
      </c>
      <c r="AK55" s="9" t="s">
        <v>145</v>
      </c>
      <c r="AL55" s="9" t="s">
        <v>145</v>
      </c>
      <c r="AM55" s="9" t="s">
        <v>145</v>
      </c>
      <c r="AN55" s="9" t="s">
        <v>145</v>
      </c>
      <c r="AO55" s="9" t="s">
        <v>145</v>
      </c>
      <c r="AP55" s="9" t="s">
        <v>145</v>
      </c>
      <c r="AQ55" s="9" t="s">
        <v>145</v>
      </c>
      <c r="AR55" s="9" t="s">
        <v>145</v>
      </c>
      <c r="AS55" s="9" t="s">
        <v>145</v>
      </c>
      <c r="AT55" s="9" t="s">
        <v>145</v>
      </c>
      <c r="AU55" s="9" t="s">
        <v>145</v>
      </c>
      <c r="AV55" s="9" t="s">
        <v>145</v>
      </c>
      <c r="AW55" s="9" t="s">
        <v>145</v>
      </c>
      <c r="AX55" s="9" t="s">
        <v>145</v>
      </c>
      <c r="AY55" s="9" t="s">
        <v>145</v>
      </c>
      <c r="AZ55" s="9" t="s">
        <v>145</v>
      </c>
      <c r="BA55" s="9" t="s">
        <v>145</v>
      </c>
      <c r="BB55" s="9" t="s">
        <v>145</v>
      </c>
      <c r="BC55" s="9" t="s">
        <v>145</v>
      </c>
      <c r="BD55" s="9" t="s">
        <v>145</v>
      </c>
      <c r="BE55" s="9" t="s">
        <v>145</v>
      </c>
      <c r="BF55" s="9" t="s">
        <v>145</v>
      </c>
      <c r="BG55" s="9" t="s">
        <v>145</v>
      </c>
      <c r="BH55" s="9" t="s">
        <v>145</v>
      </c>
      <c r="BI55" s="9" t="s">
        <v>145</v>
      </c>
      <c r="BJ55" s="9" t="s">
        <v>145</v>
      </c>
      <c r="BK55" s="9" t="s">
        <v>145</v>
      </c>
      <c r="BL55" s="9" t="s">
        <v>145</v>
      </c>
      <c r="BM55" s="9" t="s">
        <v>145</v>
      </c>
      <c r="BN55" s="9" t="s">
        <v>145</v>
      </c>
      <c r="BO55" s="9" t="s">
        <v>145</v>
      </c>
      <c r="BP55" s="9" t="s">
        <v>145</v>
      </c>
      <c r="BQ55" s="9" t="s">
        <v>145</v>
      </c>
      <c r="BR55" s="9" t="s">
        <v>145</v>
      </c>
      <c r="BS55" s="9" t="s">
        <v>145</v>
      </c>
      <c r="BT55" s="9" t="s">
        <v>145</v>
      </c>
      <c r="BU55" s="9" t="s">
        <v>145</v>
      </c>
      <c r="BV55" s="9" t="s">
        <v>145</v>
      </c>
      <c r="BW55" s="9" t="s">
        <v>145</v>
      </c>
      <c r="BX55" s="9" t="s">
        <v>145</v>
      </c>
      <c r="BY55" s="9" t="s">
        <v>145</v>
      </c>
      <c r="BZ55" s="9" t="s">
        <v>145</v>
      </c>
      <c r="CA55" s="9" t="s">
        <v>145</v>
      </c>
      <c r="CB55" s="9" t="s">
        <v>145</v>
      </c>
      <c r="CC55" s="9" t="s">
        <v>145</v>
      </c>
      <c r="CD55" s="16" t="s">
        <v>145</v>
      </c>
      <c r="CF55" s="33">
        <v>120</v>
      </c>
      <c r="CG55" s="34">
        <v>0.158</v>
      </c>
      <c r="CH55" s="34">
        <v>0.158</v>
      </c>
      <c r="CI55" s="34" t="s">
        <v>211</v>
      </c>
      <c r="CJ55" s="34" t="s">
        <v>211</v>
      </c>
      <c r="CK55" s="34">
        <v>0.158</v>
      </c>
      <c r="CL55" s="34">
        <v>0.158</v>
      </c>
      <c r="CM55" s="34" t="s">
        <v>211</v>
      </c>
      <c r="CN55" s="34" t="s">
        <v>211</v>
      </c>
      <c r="CO55" s="34">
        <v>0.158</v>
      </c>
      <c r="CR55" s="33">
        <v>150</v>
      </c>
      <c r="CS55" s="34">
        <v>5.96E-2</v>
      </c>
      <c r="CT55" s="34">
        <v>5.96E-2</v>
      </c>
      <c r="CW55" s="34">
        <v>5.96E-2</v>
      </c>
      <c r="CX55" s="34">
        <v>5.96E-2</v>
      </c>
      <c r="DA55" s="34">
        <v>5.96E-2</v>
      </c>
    </row>
    <row r="56" spans="6:105">
      <c r="F56" s="17">
        <v>32</v>
      </c>
      <c r="G56" s="5">
        <f t="shared" ref="G56:G57" si="7">F56*10</f>
        <v>320</v>
      </c>
      <c r="H56" s="5">
        <f>F56*10</f>
        <v>320</v>
      </c>
      <c r="I56" s="5">
        <v>128</v>
      </c>
      <c r="J56" s="5">
        <v>128</v>
      </c>
      <c r="K56" s="5">
        <f t="shared" ref="K56:K57" si="8">F56*8</f>
        <v>256</v>
      </c>
      <c r="L56" s="5">
        <v>256</v>
      </c>
      <c r="M56" s="5">
        <v>384</v>
      </c>
      <c r="N56" s="5">
        <v>384</v>
      </c>
      <c r="O56" s="5">
        <f t="shared" si="6"/>
        <v>320</v>
      </c>
      <c r="P56" s="5">
        <f t="shared" si="5"/>
        <v>320</v>
      </c>
      <c r="Q56" s="5">
        <f t="shared" si="5"/>
        <v>320</v>
      </c>
      <c r="R56" s="5">
        <f t="shared" si="5"/>
        <v>320</v>
      </c>
      <c r="S56" s="9" t="s">
        <v>145</v>
      </c>
      <c r="T56" s="9" t="s">
        <v>145</v>
      </c>
      <c r="U56" s="9" t="s">
        <v>145</v>
      </c>
      <c r="V56" s="9" t="s">
        <v>145</v>
      </c>
      <c r="W56" s="9" t="s">
        <v>145</v>
      </c>
      <c r="X56" s="9" t="s">
        <v>145</v>
      </c>
      <c r="Y56" s="9" t="s">
        <v>145</v>
      </c>
      <c r="Z56" s="43">
        <v>400</v>
      </c>
      <c r="AA56" s="43">
        <v>400</v>
      </c>
      <c r="AB56" s="43">
        <v>400</v>
      </c>
      <c r="AC56" s="9" t="s">
        <v>145</v>
      </c>
      <c r="AD56" s="9" t="s">
        <v>145</v>
      </c>
      <c r="AE56" s="9" t="s">
        <v>145</v>
      </c>
      <c r="AF56" s="9" t="s">
        <v>145</v>
      </c>
      <c r="AG56" s="9" t="s">
        <v>145</v>
      </c>
      <c r="AH56" s="9" t="s">
        <v>145</v>
      </c>
      <c r="AI56" s="9" t="s">
        <v>145</v>
      </c>
      <c r="AJ56" s="9" t="s">
        <v>145</v>
      </c>
      <c r="AK56" s="9" t="s">
        <v>145</v>
      </c>
      <c r="AL56" s="9" t="s">
        <v>145</v>
      </c>
      <c r="AM56" s="9" t="s">
        <v>145</v>
      </c>
      <c r="AN56" s="9" t="s">
        <v>145</v>
      </c>
      <c r="AO56" s="9" t="s">
        <v>145</v>
      </c>
      <c r="AP56" s="9" t="s">
        <v>145</v>
      </c>
      <c r="AQ56" s="9" t="s">
        <v>145</v>
      </c>
      <c r="AR56" s="9" t="s">
        <v>145</v>
      </c>
      <c r="AS56" s="9" t="s">
        <v>145</v>
      </c>
      <c r="AT56" s="9" t="s">
        <v>145</v>
      </c>
      <c r="AU56" s="9" t="s">
        <v>145</v>
      </c>
      <c r="AV56" s="9" t="s">
        <v>145</v>
      </c>
      <c r="AW56" s="9" t="s">
        <v>145</v>
      </c>
      <c r="AX56" s="9" t="s">
        <v>145</v>
      </c>
      <c r="AY56" s="9" t="s">
        <v>145</v>
      </c>
      <c r="AZ56" s="9" t="s">
        <v>145</v>
      </c>
      <c r="BA56" s="9" t="s">
        <v>145</v>
      </c>
      <c r="BB56" s="9" t="s">
        <v>145</v>
      </c>
      <c r="BC56" s="9" t="s">
        <v>145</v>
      </c>
      <c r="BD56" s="9" t="s">
        <v>145</v>
      </c>
      <c r="BE56" s="9" t="s">
        <v>145</v>
      </c>
      <c r="BF56" s="9" t="s">
        <v>145</v>
      </c>
      <c r="BG56" s="9" t="s">
        <v>145</v>
      </c>
      <c r="BH56" s="9" t="s">
        <v>145</v>
      </c>
      <c r="BI56" s="9" t="s">
        <v>145</v>
      </c>
      <c r="BJ56" s="9" t="s">
        <v>145</v>
      </c>
      <c r="BK56" s="9" t="s">
        <v>145</v>
      </c>
      <c r="BL56" s="9" t="s">
        <v>145</v>
      </c>
      <c r="BM56" s="9" t="s">
        <v>145</v>
      </c>
      <c r="BN56" s="9" t="s">
        <v>145</v>
      </c>
      <c r="BO56" s="9" t="s">
        <v>145</v>
      </c>
      <c r="BP56" s="9" t="s">
        <v>145</v>
      </c>
      <c r="BQ56" s="9" t="s">
        <v>145</v>
      </c>
      <c r="BR56" s="9" t="s">
        <v>145</v>
      </c>
      <c r="BS56" s="9" t="s">
        <v>145</v>
      </c>
      <c r="BT56" s="9" t="s">
        <v>145</v>
      </c>
      <c r="BU56" s="9" t="s">
        <v>145</v>
      </c>
      <c r="BV56" s="9" t="s">
        <v>145</v>
      </c>
      <c r="BW56" s="9" t="s">
        <v>145</v>
      </c>
      <c r="BX56" s="9" t="s">
        <v>145</v>
      </c>
      <c r="BY56" s="9" t="s">
        <v>145</v>
      </c>
      <c r="BZ56" s="9" t="s">
        <v>145</v>
      </c>
      <c r="CA56" s="9" t="s">
        <v>145</v>
      </c>
      <c r="CB56" s="9" t="s">
        <v>145</v>
      </c>
      <c r="CC56" s="9" t="s">
        <v>145</v>
      </c>
      <c r="CD56" s="16" t="s">
        <v>145</v>
      </c>
      <c r="CF56" s="33">
        <v>150</v>
      </c>
      <c r="CG56" s="34">
        <v>0.123</v>
      </c>
      <c r="CH56" s="34">
        <v>0.123</v>
      </c>
      <c r="CI56" s="34" t="s">
        <v>212</v>
      </c>
      <c r="CJ56" s="34" t="s">
        <v>212</v>
      </c>
      <c r="CK56" s="34">
        <v>0.123</v>
      </c>
      <c r="CL56" s="34">
        <v>0.123</v>
      </c>
      <c r="CM56" s="34" t="s">
        <v>212</v>
      </c>
      <c r="CN56" s="34" t="s">
        <v>212</v>
      </c>
      <c r="CO56" s="34">
        <v>0.123</v>
      </c>
      <c r="CR56" s="33">
        <v>185</v>
      </c>
      <c r="CS56" s="34">
        <v>5.96E-2</v>
      </c>
      <c r="CT56" s="34">
        <v>5.96E-2</v>
      </c>
      <c r="CW56" s="34">
        <v>5.96E-2</v>
      </c>
      <c r="CX56" s="34">
        <v>5.96E-2</v>
      </c>
      <c r="DA56" s="34">
        <v>5.96E-2</v>
      </c>
    </row>
    <row r="57" spans="6:105">
      <c r="F57" s="17">
        <v>40</v>
      </c>
      <c r="G57" s="5">
        <f t="shared" si="7"/>
        <v>400</v>
      </c>
      <c r="H57" s="9" t="s">
        <v>145</v>
      </c>
      <c r="I57" s="5">
        <v>160</v>
      </c>
      <c r="J57" s="5">
        <v>160</v>
      </c>
      <c r="K57" s="5">
        <f t="shared" si="8"/>
        <v>320</v>
      </c>
      <c r="L57" s="5">
        <v>320</v>
      </c>
      <c r="M57" s="5">
        <v>480</v>
      </c>
      <c r="N57" s="5">
        <v>480</v>
      </c>
      <c r="O57" s="5">
        <f t="shared" si="6"/>
        <v>400</v>
      </c>
      <c r="P57" s="5">
        <f t="shared" si="5"/>
        <v>400</v>
      </c>
      <c r="Q57" s="5">
        <f t="shared" si="5"/>
        <v>400</v>
      </c>
      <c r="R57" s="5">
        <f t="shared" si="5"/>
        <v>400</v>
      </c>
      <c r="S57" s="9" t="s">
        <v>145</v>
      </c>
      <c r="T57" s="9" t="s">
        <v>145</v>
      </c>
      <c r="U57" s="9" t="s">
        <v>145</v>
      </c>
      <c r="V57" s="9" t="s">
        <v>145</v>
      </c>
      <c r="W57" s="9" t="s">
        <v>145</v>
      </c>
      <c r="X57" s="9" t="s">
        <v>145</v>
      </c>
      <c r="Y57" s="9" t="s">
        <v>145</v>
      </c>
      <c r="Z57" s="43">
        <v>500</v>
      </c>
      <c r="AA57" s="43">
        <v>500</v>
      </c>
      <c r="AB57" s="43">
        <v>500</v>
      </c>
      <c r="AC57" s="9" t="s">
        <v>145</v>
      </c>
      <c r="AD57" s="9" t="s">
        <v>145</v>
      </c>
      <c r="AE57" s="9" t="s">
        <v>145</v>
      </c>
      <c r="AF57" s="9" t="s">
        <v>145</v>
      </c>
      <c r="AG57" s="9" t="s">
        <v>145</v>
      </c>
      <c r="AH57" s="9" t="s">
        <v>145</v>
      </c>
      <c r="AI57" s="9" t="s">
        <v>145</v>
      </c>
      <c r="AJ57" s="9" t="s">
        <v>145</v>
      </c>
      <c r="AK57" s="9" t="s">
        <v>145</v>
      </c>
      <c r="AL57" s="9" t="s">
        <v>145</v>
      </c>
      <c r="AM57" s="5" t="s">
        <v>146</v>
      </c>
      <c r="AN57" s="5" t="s">
        <v>146</v>
      </c>
      <c r="AO57" s="5" t="s">
        <v>146</v>
      </c>
      <c r="AP57" s="5" t="s">
        <v>146</v>
      </c>
      <c r="AQ57" s="5" t="s">
        <v>146</v>
      </c>
      <c r="AR57" s="5" t="s">
        <v>146</v>
      </c>
      <c r="AS57" s="5" t="s">
        <v>146</v>
      </c>
      <c r="AT57" s="5" t="s">
        <v>146</v>
      </c>
      <c r="AU57" s="5" t="s">
        <v>146</v>
      </c>
      <c r="AV57" s="5" t="s">
        <v>146</v>
      </c>
      <c r="AW57" s="5" t="s">
        <v>146</v>
      </c>
      <c r="AX57" s="5" t="s">
        <v>146</v>
      </c>
      <c r="AY57" s="5" t="s">
        <v>146</v>
      </c>
      <c r="AZ57" s="5" t="s">
        <v>146</v>
      </c>
      <c r="BA57" s="5" t="s">
        <v>146</v>
      </c>
      <c r="BB57" s="5" t="s">
        <v>146</v>
      </c>
      <c r="BC57" s="5" t="s">
        <v>146</v>
      </c>
      <c r="BD57" s="5" t="s">
        <v>146</v>
      </c>
      <c r="BE57" s="9" t="s">
        <v>145</v>
      </c>
      <c r="BF57" s="9" t="s">
        <v>145</v>
      </c>
      <c r="BG57" s="9" t="s">
        <v>145</v>
      </c>
      <c r="BH57" s="9" t="s">
        <v>145</v>
      </c>
      <c r="BI57" s="9" t="s">
        <v>145</v>
      </c>
      <c r="BJ57" s="9" t="s">
        <v>145</v>
      </c>
      <c r="BK57" s="9" t="s">
        <v>145</v>
      </c>
      <c r="BL57" s="9" t="s">
        <v>145</v>
      </c>
      <c r="BM57" s="9" t="s">
        <v>145</v>
      </c>
      <c r="BN57" s="9" t="s">
        <v>145</v>
      </c>
      <c r="BO57" s="9" t="s">
        <v>145</v>
      </c>
      <c r="BP57" s="9" t="s">
        <v>145</v>
      </c>
      <c r="BQ57" s="9" t="s">
        <v>145</v>
      </c>
      <c r="BR57" s="9" t="s">
        <v>145</v>
      </c>
      <c r="BS57" s="9" t="s">
        <v>145</v>
      </c>
      <c r="BT57" s="9" t="s">
        <v>145</v>
      </c>
      <c r="BU57" s="9" t="s">
        <v>145</v>
      </c>
      <c r="BV57" s="9" t="s">
        <v>145</v>
      </c>
      <c r="BW57" s="9" t="s">
        <v>145</v>
      </c>
      <c r="BX57" s="9" t="s">
        <v>145</v>
      </c>
      <c r="BY57" s="9" t="s">
        <v>145</v>
      </c>
      <c r="BZ57" s="9" t="s">
        <v>145</v>
      </c>
      <c r="CA57" s="9" t="s">
        <v>145</v>
      </c>
      <c r="CB57" s="9" t="s">
        <v>145</v>
      </c>
      <c r="CC57" s="9" t="s">
        <v>145</v>
      </c>
      <c r="CD57" s="16" t="s">
        <v>145</v>
      </c>
      <c r="CF57" s="33">
        <v>185</v>
      </c>
      <c r="CG57" s="34">
        <v>0.10299999999999999</v>
      </c>
      <c r="CH57" s="34">
        <v>0.10299999999999999</v>
      </c>
      <c r="CI57" s="34">
        <v>0.17</v>
      </c>
      <c r="CJ57" s="34">
        <v>0.17</v>
      </c>
      <c r="CK57" s="34">
        <v>0.10299999999999999</v>
      </c>
      <c r="CL57" s="34">
        <v>0.10299999999999999</v>
      </c>
      <c r="CM57" s="34">
        <v>0.17</v>
      </c>
      <c r="CN57" s="34">
        <v>0.17</v>
      </c>
      <c r="CO57" s="34">
        <v>0.10299999999999999</v>
      </c>
      <c r="CR57" s="33">
        <v>240</v>
      </c>
      <c r="CS57" s="34">
        <v>5.8700000000000002E-2</v>
      </c>
      <c r="CT57" s="34">
        <v>5.8700000000000002E-2</v>
      </c>
      <c r="CW57" s="34">
        <v>5.8700000000000002E-2</v>
      </c>
      <c r="CX57" s="34">
        <v>5.8700000000000002E-2</v>
      </c>
      <c r="DA57" s="34">
        <v>5.8700000000000002E-2</v>
      </c>
    </row>
    <row r="58" spans="6:105" ht="20">
      <c r="F58" s="17">
        <v>45</v>
      </c>
      <c r="G58" s="9" t="s">
        <v>145</v>
      </c>
      <c r="H58" s="9" t="s">
        <v>145</v>
      </c>
      <c r="I58" s="9" t="s">
        <v>145</v>
      </c>
      <c r="J58" s="9" t="s">
        <v>145</v>
      </c>
      <c r="K58" s="9" t="s">
        <v>145</v>
      </c>
      <c r="L58" s="9" t="s">
        <v>145</v>
      </c>
      <c r="M58" s="9" t="s">
        <v>145</v>
      </c>
      <c r="N58" s="9" t="s">
        <v>145</v>
      </c>
      <c r="O58" s="5">
        <f t="shared" si="6"/>
        <v>450</v>
      </c>
      <c r="P58" s="5">
        <f t="shared" si="5"/>
        <v>450</v>
      </c>
      <c r="Q58" s="5">
        <f t="shared" si="5"/>
        <v>450</v>
      </c>
      <c r="R58" s="5">
        <f t="shared" si="5"/>
        <v>450</v>
      </c>
      <c r="S58" s="9" t="s">
        <v>145</v>
      </c>
      <c r="T58" s="9" t="s">
        <v>145</v>
      </c>
      <c r="U58" s="9" t="s">
        <v>145</v>
      </c>
      <c r="V58" s="9" t="s">
        <v>145</v>
      </c>
      <c r="W58" s="9" t="s">
        <v>145</v>
      </c>
      <c r="X58" s="9" t="s">
        <v>145</v>
      </c>
      <c r="Y58" s="9" t="s">
        <v>145</v>
      </c>
      <c r="Z58" s="9" t="s">
        <v>145</v>
      </c>
      <c r="AA58" s="9" t="s">
        <v>145</v>
      </c>
      <c r="AB58" s="9" t="s">
        <v>145</v>
      </c>
      <c r="AC58" s="9" t="s">
        <v>145</v>
      </c>
      <c r="AD58" s="9" t="s">
        <v>145</v>
      </c>
      <c r="AE58" s="9" t="s">
        <v>145</v>
      </c>
      <c r="AF58" s="9" t="s">
        <v>145</v>
      </c>
      <c r="AG58" s="9" t="s">
        <v>145</v>
      </c>
      <c r="AH58" s="9" t="s">
        <v>145</v>
      </c>
      <c r="AI58" s="9" t="s">
        <v>145</v>
      </c>
      <c r="AJ58" s="9" t="s">
        <v>145</v>
      </c>
      <c r="AK58" s="9" t="s">
        <v>145</v>
      </c>
      <c r="AL58" s="9" t="s">
        <v>145</v>
      </c>
      <c r="AM58" s="9" t="s">
        <v>145</v>
      </c>
      <c r="AN58" s="9" t="s">
        <v>145</v>
      </c>
      <c r="AO58" s="9" t="s">
        <v>145</v>
      </c>
      <c r="AP58" s="9" t="s">
        <v>145</v>
      </c>
      <c r="AQ58" s="9" t="s">
        <v>145</v>
      </c>
      <c r="AR58" s="9" t="s">
        <v>145</v>
      </c>
      <c r="AS58" s="9" t="s">
        <v>145</v>
      </c>
      <c r="AT58" s="9" t="s">
        <v>145</v>
      </c>
      <c r="AU58" s="9" t="s">
        <v>145</v>
      </c>
      <c r="AV58" s="9" t="s">
        <v>145</v>
      </c>
      <c r="AW58" s="9" t="s">
        <v>145</v>
      </c>
      <c r="AX58" s="9" t="s">
        <v>145</v>
      </c>
      <c r="AY58" s="9" t="s">
        <v>145</v>
      </c>
      <c r="AZ58" s="9" t="s">
        <v>145</v>
      </c>
      <c r="BA58" s="9" t="s">
        <v>145</v>
      </c>
      <c r="BB58" s="9" t="s">
        <v>145</v>
      </c>
      <c r="BC58" s="9" t="s">
        <v>145</v>
      </c>
      <c r="BD58" s="9" t="s">
        <v>145</v>
      </c>
      <c r="BE58" s="9" t="s">
        <v>145</v>
      </c>
      <c r="BF58" s="9" t="s">
        <v>145</v>
      </c>
      <c r="BG58" s="9" t="s">
        <v>145</v>
      </c>
      <c r="BH58" s="9" t="s">
        <v>145</v>
      </c>
      <c r="BI58" s="9" t="s">
        <v>145</v>
      </c>
      <c r="BJ58" s="9" t="s">
        <v>145</v>
      </c>
      <c r="BK58" s="9" t="s">
        <v>145</v>
      </c>
      <c r="BL58" s="9" t="s">
        <v>145</v>
      </c>
      <c r="BM58" s="9" t="s">
        <v>145</v>
      </c>
      <c r="BN58" s="9" t="s">
        <v>145</v>
      </c>
      <c r="BO58" s="9" t="s">
        <v>145</v>
      </c>
      <c r="BP58" s="9" t="s">
        <v>145</v>
      </c>
      <c r="BQ58" s="9" t="s">
        <v>145</v>
      </c>
      <c r="BR58" s="9" t="s">
        <v>145</v>
      </c>
      <c r="BS58" s="9" t="s">
        <v>145</v>
      </c>
      <c r="BT58" s="9" t="s">
        <v>145</v>
      </c>
      <c r="BU58" s="9" t="s">
        <v>145</v>
      </c>
      <c r="BV58" s="9" t="s">
        <v>145</v>
      </c>
      <c r="BW58" s="9" t="s">
        <v>145</v>
      </c>
      <c r="BX58" s="9" t="s">
        <v>145</v>
      </c>
      <c r="BY58" s="9" t="s">
        <v>145</v>
      </c>
      <c r="BZ58" s="9" t="s">
        <v>145</v>
      </c>
      <c r="CA58" s="9" t="s">
        <v>145</v>
      </c>
      <c r="CB58" s="9" t="s">
        <v>145</v>
      </c>
      <c r="CC58" s="9" t="s">
        <v>145</v>
      </c>
      <c r="CD58" s="16" t="s">
        <v>145</v>
      </c>
      <c r="CF58" s="33">
        <v>240</v>
      </c>
      <c r="CG58" s="34">
        <v>7.8E-2</v>
      </c>
      <c r="CH58" s="34">
        <v>7.8E-2</v>
      </c>
      <c r="CI58" s="34" t="s">
        <v>213</v>
      </c>
      <c r="CJ58" s="34" t="s">
        <v>213</v>
      </c>
      <c r="CK58" s="34">
        <v>7.8E-2</v>
      </c>
      <c r="CL58" s="34">
        <v>7.8E-2</v>
      </c>
      <c r="CM58" s="34" t="s">
        <v>213</v>
      </c>
      <c r="CN58" s="34" t="s">
        <v>213</v>
      </c>
      <c r="CO58" s="34">
        <v>7.8E-2</v>
      </c>
    </row>
    <row r="59" spans="6:105" ht="20">
      <c r="F59" s="17">
        <v>50</v>
      </c>
      <c r="G59" s="5">
        <f t="shared" ref="G59" si="9">F59*10</f>
        <v>500</v>
      </c>
      <c r="H59" s="9" t="s">
        <v>145</v>
      </c>
      <c r="I59" s="5">
        <v>200</v>
      </c>
      <c r="J59" s="5">
        <v>200</v>
      </c>
      <c r="K59" s="5">
        <f t="shared" ref="K59" si="10">F59*8</f>
        <v>400</v>
      </c>
      <c r="L59" s="5">
        <v>400</v>
      </c>
      <c r="M59" s="5">
        <v>600</v>
      </c>
      <c r="N59" s="5">
        <v>600</v>
      </c>
      <c r="O59" s="5">
        <f t="shared" si="6"/>
        <v>500</v>
      </c>
      <c r="P59" s="5">
        <f t="shared" si="5"/>
        <v>500</v>
      </c>
      <c r="Q59" s="5">
        <f t="shared" si="5"/>
        <v>500</v>
      </c>
      <c r="R59" s="5">
        <f t="shared" si="5"/>
        <v>500</v>
      </c>
      <c r="S59" s="9" t="s">
        <v>145</v>
      </c>
      <c r="T59" s="9" t="s">
        <v>145</v>
      </c>
      <c r="U59" s="9" t="s">
        <v>145</v>
      </c>
      <c r="V59" s="9" t="s">
        <v>145</v>
      </c>
      <c r="W59" s="9" t="s">
        <v>145</v>
      </c>
      <c r="X59" s="9" t="s">
        <v>145</v>
      </c>
      <c r="Y59" s="9" t="s">
        <v>145</v>
      </c>
      <c r="Z59" s="43">
        <v>500</v>
      </c>
      <c r="AA59" s="43">
        <v>500</v>
      </c>
      <c r="AB59" s="43">
        <v>500</v>
      </c>
      <c r="AC59" s="9" t="s">
        <v>145</v>
      </c>
      <c r="AD59" s="9" t="s">
        <v>145</v>
      </c>
      <c r="AE59" s="9" t="s">
        <v>145</v>
      </c>
      <c r="AF59" s="9" t="s">
        <v>145</v>
      </c>
      <c r="AG59" s="9" t="s">
        <v>145</v>
      </c>
      <c r="AH59" s="9" t="s">
        <v>145</v>
      </c>
      <c r="AI59" s="9" t="s">
        <v>145</v>
      </c>
      <c r="AJ59" s="9" t="s">
        <v>145</v>
      </c>
      <c r="AK59" s="9" t="s">
        <v>145</v>
      </c>
      <c r="AL59" s="9" t="s">
        <v>145</v>
      </c>
      <c r="AM59" s="9" t="s">
        <v>145</v>
      </c>
      <c r="AN59" s="9" t="s">
        <v>145</v>
      </c>
      <c r="AO59" s="9" t="s">
        <v>145</v>
      </c>
      <c r="AP59" s="9" t="s">
        <v>145</v>
      </c>
      <c r="AQ59" s="9" t="s">
        <v>145</v>
      </c>
      <c r="AR59" s="9" t="s">
        <v>145</v>
      </c>
      <c r="AS59" s="9" t="s">
        <v>145</v>
      </c>
      <c r="AT59" s="9" t="s">
        <v>145</v>
      </c>
      <c r="AU59" s="9" t="s">
        <v>145</v>
      </c>
      <c r="AV59" s="9" t="s">
        <v>145</v>
      </c>
      <c r="AW59" s="9" t="s">
        <v>145</v>
      </c>
      <c r="AX59" s="9" t="s">
        <v>145</v>
      </c>
      <c r="AY59" s="9" t="s">
        <v>145</v>
      </c>
      <c r="AZ59" s="9" t="s">
        <v>145</v>
      </c>
      <c r="BA59" s="9" t="s">
        <v>145</v>
      </c>
      <c r="BB59" s="9" t="s">
        <v>145</v>
      </c>
      <c r="BC59" s="9" t="s">
        <v>145</v>
      </c>
      <c r="BD59" s="9" t="s">
        <v>145</v>
      </c>
      <c r="BE59" s="9" t="s">
        <v>145</v>
      </c>
      <c r="BF59" s="9" t="s">
        <v>145</v>
      </c>
      <c r="BG59" s="9" t="s">
        <v>145</v>
      </c>
      <c r="BH59" s="9" t="s">
        <v>145</v>
      </c>
      <c r="BI59" s="9" t="s">
        <v>145</v>
      </c>
      <c r="BJ59" s="9" t="s">
        <v>145</v>
      </c>
      <c r="BK59" s="9" t="s">
        <v>145</v>
      </c>
      <c r="BL59" s="9" t="s">
        <v>145</v>
      </c>
      <c r="BM59" s="9" t="s">
        <v>145</v>
      </c>
      <c r="BN59" s="9" t="s">
        <v>145</v>
      </c>
      <c r="BO59" s="9" t="s">
        <v>145</v>
      </c>
      <c r="BP59" s="9" t="s">
        <v>145</v>
      </c>
      <c r="BQ59" s="9" t="s">
        <v>145</v>
      </c>
      <c r="BR59" s="9" t="s">
        <v>145</v>
      </c>
      <c r="BS59" s="9" t="s">
        <v>145</v>
      </c>
      <c r="BT59" s="9" t="s">
        <v>145</v>
      </c>
      <c r="BU59" s="9" t="s">
        <v>145</v>
      </c>
      <c r="BV59" s="9" t="s">
        <v>145</v>
      </c>
      <c r="BW59" s="9" t="s">
        <v>145</v>
      </c>
      <c r="BX59" s="9" t="s">
        <v>145</v>
      </c>
      <c r="BY59" s="9" t="s">
        <v>145</v>
      </c>
      <c r="BZ59" s="9" t="s">
        <v>145</v>
      </c>
      <c r="CA59" s="9" t="s">
        <v>145</v>
      </c>
      <c r="CB59" s="9" t="s">
        <v>145</v>
      </c>
      <c r="CC59" s="9" t="s">
        <v>145</v>
      </c>
      <c r="CD59" s="16" t="s">
        <v>145</v>
      </c>
      <c r="CF59" s="33">
        <v>300</v>
      </c>
      <c r="CG59" s="34">
        <v>6.2E-2</v>
      </c>
      <c r="CH59" s="34">
        <v>6.2E-2</v>
      </c>
      <c r="CI59" s="34" t="s">
        <v>214</v>
      </c>
      <c r="CJ59" s="34" t="s">
        <v>214</v>
      </c>
      <c r="CK59" s="34">
        <v>6.2E-2</v>
      </c>
      <c r="CL59" s="34">
        <v>6.2E-2</v>
      </c>
      <c r="CM59" s="34" t="s">
        <v>214</v>
      </c>
      <c r="CN59" s="34" t="s">
        <v>214</v>
      </c>
      <c r="CO59" s="34">
        <v>6.2E-2</v>
      </c>
    </row>
    <row r="60" spans="6:105">
      <c r="F60" s="17">
        <v>60</v>
      </c>
      <c r="G60" s="9" t="s">
        <v>145</v>
      </c>
      <c r="H60" s="9" t="s">
        <v>145</v>
      </c>
      <c r="I60" s="9" t="s">
        <v>145</v>
      </c>
      <c r="J60" s="9" t="s">
        <v>145</v>
      </c>
      <c r="K60" s="9" t="s">
        <v>145</v>
      </c>
      <c r="L60" s="9" t="s">
        <v>145</v>
      </c>
      <c r="M60" s="9" t="s">
        <v>145</v>
      </c>
      <c r="N60" s="9" t="s">
        <v>145</v>
      </c>
      <c r="O60" s="5">
        <f t="shared" si="6"/>
        <v>600</v>
      </c>
      <c r="P60" s="5">
        <f t="shared" si="5"/>
        <v>600</v>
      </c>
      <c r="Q60" s="5">
        <f t="shared" si="5"/>
        <v>600</v>
      </c>
      <c r="R60" s="5">
        <f t="shared" si="5"/>
        <v>600</v>
      </c>
      <c r="S60" s="9" t="s">
        <v>145</v>
      </c>
      <c r="T60" s="9" t="s">
        <v>145</v>
      </c>
      <c r="U60" s="9" t="s">
        <v>145</v>
      </c>
      <c r="V60" s="9" t="s">
        <v>145</v>
      </c>
      <c r="W60" s="9" t="s">
        <v>145</v>
      </c>
      <c r="X60" s="9" t="s">
        <v>145</v>
      </c>
      <c r="Y60" s="9" t="s">
        <v>145</v>
      </c>
      <c r="Z60" s="9" t="s">
        <v>145</v>
      </c>
      <c r="AA60" s="9" t="s">
        <v>145</v>
      </c>
      <c r="AB60" s="9" t="s">
        <v>145</v>
      </c>
      <c r="AC60" s="9" t="s">
        <v>145</v>
      </c>
      <c r="AD60" s="9" t="s">
        <v>145</v>
      </c>
      <c r="AE60" s="9" t="s">
        <v>145</v>
      </c>
      <c r="AF60" s="9" t="s">
        <v>145</v>
      </c>
      <c r="AG60" s="9" t="s">
        <v>145</v>
      </c>
      <c r="AH60" s="9" t="s">
        <v>145</v>
      </c>
      <c r="AI60" s="9" t="s">
        <v>145</v>
      </c>
      <c r="AJ60" s="9" t="s">
        <v>145</v>
      </c>
      <c r="AK60" s="9" t="s">
        <v>145</v>
      </c>
      <c r="AL60" s="9" t="s">
        <v>145</v>
      </c>
      <c r="AM60" s="9" t="s">
        <v>145</v>
      </c>
      <c r="AN60" s="9" t="s">
        <v>145</v>
      </c>
      <c r="AO60" s="9" t="s">
        <v>145</v>
      </c>
      <c r="AP60" s="9" t="s">
        <v>145</v>
      </c>
      <c r="AQ60" s="9" t="s">
        <v>145</v>
      </c>
      <c r="AR60" s="9" t="s">
        <v>145</v>
      </c>
      <c r="AS60" s="9" t="s">
        <v>145</v>
      </c>
      <c r="AT60" s="9" t="s">
        <v>145</v>
      </c>
      <c r="AU60" s="9" t="s">
        <v>145</v>
      </c>
      <c r="AV60" s="9" t="s">
        <v>145</v>
      </c>
      <c r="AW60" s="9" t="s">
        <v>145</v>
      </c>
      <c r="AX60" s="9" t="s">
        <v>145</v>
      </c>
      <c r="AY60" s="9" t="s">
        <v>145</v>
      </c>
      <c r="AZ60" s="9" t="s">
        <v>145</v>
      </c>
      <c r="BA60" s="9" t="s">
        <v>145</v>
      </c>
      <c r="BB60" s="9" t="s">
        <v>145</v>
      </c>
      <c r="BC60" s="9" t="s">
        <v>145</v>
      </c>
      <c r="BD60" s="9" t="s">
        <v>145</v>
      </c>
      <c r="BE60" s="9" t="s">
        <v>145</v>
      </c>
      <c r="BF60" s="9" t="s">
        <v>145</v>
      </c>
      <c r="BG60" s="9" t="s">
        <v>145</v>
      </c>
      <c r="BH60" s="9" t="s">
        <v>145</v>
      </c>
      <c r="BI60" s="9" t="s">
        <v>145</v>
      </c>
      <c r="BJ60" s="9" t="s">
        <v>145</v>
      </c>
      <c r="BK60" s="9" t="s">
        <v>145</v>
      </c>
      <c r="BL60" s="9" t="s">
        <v>145</v>
      </c>
      <c r="BM60" s="9" t="s">
        <v>145</v>
      </c>
      <c r="BN60" s="9" t="s">
        <v>145</v>
      </c>
      <c r="BO60" s="9" t="s">
        <v>145</v>
      </c>
      <c r="BP60" s="9" t="s">
        <v>145</v>
      </c>
      <c r="BQ60" s="9" t="s">
        <v>145</v>
      </c>
      <c r="BR60" s="9" t="s">
        <v>145</v>
      </c>
      <c r="BS60" s="9" t="s">
        <v>145</v>
      </c>
      <c r="BT60" s="9" t="s">
        <v>145</v>
      </c>
      <c r="BU60" s="9" t="s">
        <v>145</v>
      </c>
      <c r="BV60" s="9" t="s">
        <v>145</v>
      </c>
      <c r="BW60" s="9" t="s">
        <v>145</v>
      </c>
      <c r="BX60" s="9" t="s">
        <v>145</v>
      </c>
      <c r="BY60" s="9" t="s">
        <v>145</v>
      </c>
      <c r="BZ60" s="9" t="s">
        <v>145</v>
      </c>
      <c r="CA60" s="9" t="s">
        <v>145</v>
      </c>
      <c r="CB60" s="9" t="s">
        <v>145</v>
      </c>
      <c r="CC60" s="9" t="s">
        <v>145</v>
      </c>
      <c r="CD60" s="16" t="s">
        <v>145</v>
      </c>
      <c r="CF60" s="33">
        <v>400</v>
      </c>
      <c r="CG60" s="34">
        <v>4.7E-2</v>
      </c>
      <c r="CH60" s="34">
        <v>4.7E-2</v>
      </c>
      <c r="CI60" s="34">
        <v>0.08</v>
      </c>
      <c r="CJ60" s="34">
        <v>0.08</v>
      </c>
      <c r="CK60" s="34">
        <v>4.7E-2</v>
      </c>
      <c r="CL60" s="34">
        <v>4.7E-2</v>
      </c>
      <c r="CM60" s="34">
        <v>0.08</v>
      </c>
      <c r="CN60" s="34">
        <v>0.08</v>
      </c>
      <c r="CO60" s="34">
        <v>4.7E-2</v>
      </c>
    </row>
    <row r="61" spans="6:105">
      <c r="F61" s="17">
        <v>63</v>
      </c>
      <c r="G61" s="5">
        <f t="shared" ref="G61" si="11">F61*10</f>
        <v>630</v>
      </c>
      <c r="H61" s="9" t="s">
        <v>145</v>
      </c>
      <c r="I61" s="5">
        <v>252</v>
      </c>
      <c r="J61" s="5">
        <v>252</v>
      </c>
      <c r="K61" s="5">
        <f t="shared" ref="K61" si="12">F61*8</f>
        <v>504</v>
      </c>
      <c r="L61" s="5">
        <v>504</v>
      </c>
      <c r="M61" s="5">
        <v>756</v>
      </c>
      <c r="N61" s="5">
        <v>756</v>
      </c>
      <c r="O61" s="5">
        <f t="shared" si="6"/>
        <v>630</v>
      </c>
      <c r="P61" s="5">
        <f t="shared" si="5"/>
        <v>630</v>
      </c>
      <c r="Q61" s="5">
        <f t="shared" si="5"/>
        <v>630</v>
      </c>
      <c r="R61" s="5">
        <f t="shared" si="5"/>
        <v>630</v>
      </c>
      <c r="S61" s="9" t="s">
        <v>145</v>
      </c>
      <c r="T61" s="9" t="s">
        <v>145</v>
      </c>
      <c r="U61" s="9" t="s">
        <v>145</v>
      </c>
      <c r="V61" s="9" t="s">
        <v>145</v>
      </c>
      <c r="W61" s="9" t="s">
        <v>145</v>
      </c>
      <c r="X61" s="9" t="s">
        <v>145</v>
      </c>
      <c r="Y61" s="9" t="s">
        <v>145</v>
      </c>
      <c r="Z61" s="43">
        <v>500</v>
      </c>
      <c r="AA61" s="43">
        <v>500</v>
      </c>
      <c r="AB61" s="43">
        <v>500</v>
      </c>
      <c r="AC61" s="9" t="s">
        <v>145</v>
      </c>
      <c r="AD61" s="9" t="s">
        <v>145</v>
      </c>
      <c r="AE61" s="9" t="s">
        <v>145</v>
      </c>
      <c r="AF61" s="9" t="s">
        <v>145</v>
      </c>
      <c r="AG61" s="9" t="s">
        <v>145</v>
      </c>
      <c r="AH61" s="9" t="s">
        <v>145</v>
      </c>
      <c r="AI61" s="9" t="s">
        <v>145</v>
      </c>
      <c r="AJ61" s="9" t="s">
        <v>145</v>
      </c>
      <c r="AK61" s="9" t="s">
        <v>145</v>
      </c>
      <c r="AL61" s="9" t="s">
        <v>145</v>
      </c>
      <c r="AM61" s="9" t="s">
        <v>145</v>
      </c>
      <c r="AN61" s="9" t="s">
        <v>145</v>
      </c>
      <c r="AO61" s="9" t="s">
        <v>145</v>
      </c>
      <c r="AP61" s="9" t="s">
        <v>145</v>
      </c>
      <c r="AQ61" s="9" t="s">
        <v>145</v>
      </c>
      <c r="AR61" s="9" t="s">
        <v>145</v>
      </c>
      <c r="AS61" s="9" t="s">
        <v>145</v>
      </c>
      <c r="AT61" s="9" t="s">
        <v>145</v>
      </c>
      <c r="AU61" s="9" t="s">
        <v>145</v>
      </c>
      <c r="AV61" s="9" t="s">
        <v>145</v>
      </c>
      <c r="AW61" s="9" t="s">
        <v>145</v>
      </c>
      <c r="AX61" s="9" t="s">
        <v>145</v>
      </c>
      <c r="AY61" s="9" t="s">
        <v>145</v>
      </c>
      <c r="AZ61" s="9" t="s">
        <v>145</v>
      </c>
      <c r="BA61" s="9" t="s">
        <v>145</v>
      </c>
      <c r="BB61" s="9" t="s">
        <v>145</v>
      </c>
      <c r="BC61" s="9" t="s">
        <v>145</v>
      </c>
      <c r="BD61" s="9" t="s">
        <v>145</v>
      </c>
      <c r="BE61" s="9" t="s">
        <v>145</v>
      </c>
      <c r="BF61" s="9" t="s">
        <v>145</v>
      </c>
      <c r="BG61" s="9" t="s">
        <v>145</v>
      </c>
      <c r="BH61" s="9" t="s">
        <v>145</v>
      </c>
      <c r="BI61" s="9" t="s">
        <v>145</v>
      </c>
      <c r="BJ61" s="9" t="s">
        <v>145</v>
      </c>
      <c r="BK61" s="9" t="s">
        <v>145</v>
      </c>
      <c r="BL61" s="9" t="s">
        <v>145</v>
      </c>
      <c r="BM61" s="9" t="s">
        <v>145</v>
      </c>
      <c r="BN61" s="9" t="s">
        <v>145</v>
      </c>
      <c r="BO61" s="9" t="s">
        <v>145</v>
      </c>
      <c r="BP61" s="9" t="s">
        <v>145</v>
      </c>
      <c r="BQ61" s="9" t="s">
        <v>145</v>
      </c>
      <c r="BR61" s="9" t="s">
        <v>145</v>
      </c>
      <c r="BS61" s="9" t="s">
        <v>145</v>
      </c>
      <c r="BT61" s="9" t="s">
        <v>145</v>
      </c>
      <c r="BU61" s="9" t="s">
        <v>145</v>
      </c>
      <c r="BV61" s="9" t="s">
        <v>145</v>
      </c>
      <c r="BW61" s="9" t="s">
        <v>145</v>
      </c>
      <c r="BX61" s="9" t="s">
        <v>145</v>
      </c>
      <c r="BY61" s="9" t="s">
        <v>145</v>
      </c>
      <c r="BZ61" s="9" t="s">
        <v>145</v>
      </c>
      <c r="CA61" s="9" t="s">
        <v>145</v>
      </c>
      <c r="CB61" s="9" t="s">
        <v>145</v>
      </c>
      <c r="CC61" s="9" t="s">
        <v>145</v>
      </c>
      <c r="CD61" s="16" t="s">
        <v>145</v>
      </c>
    </row>
    <row r="62" spans="6:105">
      <c r="F62" s="17">
        <v>75</v>
      </c>
      <c r="G62" s="9" t="s">
        <v>145</v>
      </c>
      <c r="H62" s="9" t="s">
        <v>145</v>
      </c>
      <c r="I62" s="9" t="s">
        <v>145</v>
      </c>
      <c r="J62" s="9" t="s">
        <v>145</v>
      </c>
      <c r="K62" s="9" t="s">
        <v>145</v>
      </c>
      <c r="L62" s="9" t="s">
        <v>145</v>
      </c>
      <c r="M62" s="9" t="s">
        <v>145</v>
      </c>
      <c r="N62" s="9" t="s">
        <v>145</v>
      </c>
      <c r="O62" s="5">
        <f t="shared" si="6"/>
        <v>750</v>
      </c>
      <c r="P62" s="5">
        <f t="shared" si="5"/>
        <v>750</v>
      </c>
      <c r="Q62" s="5">
        <f t="shared" si="5"/>
        <v>750</v>
      </c>
      <c r="R62" s="5">
        <f t="shared" si="5"/>
        <v>750</v>
      </c>
      <c r="S62" s="9" t="s">
        <v>145</v>
      </c>
      <c r="T62" s="9" t="s">
        <v>145</v>
      </c>
      <c r="U62" s="9" t="s">
        <v>145</v>
      </c>
      <c r="V62" s="9" t="s">
        <v>145</v>
      </c>
      <c r="W62" s="9" t="s">
        <v>145</v>
      </c>
      <c r="X62" s="9" t="s">
        <v>145</v>
      </c>
      <c r="Y62" s="9" t="s">
        <v>145</v>
      </c>
      <c r="Z62" s="9" t="s">
        <v>145</v>
      </c>
      <c r="AA62" s="9" t="s">
        <v>145</v>
      </c>
      <c r="AB62" s="9" t="s">
        <v>145</v>
      </c>
      <c r="AC62" s="9" t="s">
        <v>145</v>
      </c>
      <c r="AD62" s="9" t="s">
        <v>145</v>
      </c>
      <c r="AE62" s="9" t="s">
        <v>145</v>
      </c>
      <c r="AF62" s="9" t="s">
        <v>145</v>
      </c>
      <c r="AG62" s="9" t="s">
        <v>145</v>
      </c>
      <c r="AH62" s="9" t="s">
        <v>145</v>
      </c>
      <c r="AI62" s="9" t="s">
        <v>145</v>
      </c>
      <c r="AJ62" s="9" t="s">
        <v>145</v>
      </c>
      <c r="AK62" s="9" t="s">
        <v>145</v>
      </c>
      <c r="AL62" s="9" t="s">
        <v>145</v>
      </c>
      <c r="AM62" s="9" t="s">
        <v>145</v>
      </c>
      <c r="AN62" s="9" t="s">
        <v>145</v>
      </c>
      <c r="AO62" s="9" t="s">
        <v>145</v>
      </c>
      <c r="AP62" s="9" t="s">
        <v>145</v>
      </c>
      <c r="AQ62" s="9" t="s">
        <v>145</v>
      </c>
      <c r="AR62" s="9" t="s">
        <v>145</v>
      </c>
      <c r="AS62" s="9" t="s">
        <v>145</v>
      </c>
      <c r="AT62" s="9" t="s">
        <v>145</v>
      </c>
      <c r="AU62" s="9" t="s">
        <v>145</v>
      </c>
      <c r="AV62" s="9" t="s">
        <v>145</v>
      </c>
      <c r="AW62" s="9" t="s">
        <v>145</v>
      </c>
      <c r="AX62" s="9" t="s">
        <v>145</v>
      </c>
      <c r="AY62" s="9" t="s">
        <v>145</v>
      </c>
      <c r="AZ62" s="9" t="s">
        <v>145</v>
      </c>
      <c r="BA62" s="9" t="s">
        <v>145</v>
      </c>
      <c r="BB62" s="9" t="s">
        <v>145</v>
      </c>
      <c r="BC62" s="9" t="s">
        <v>145</v>
      </c>
      <c r="BD62" s="9" t="s">
        <v>145</v>
      </c>
      <c r="BE62" s="9" t="s">
        <v>145</v>
      </c>
      <c r="BF62" s="9" t="s">
        <v>145</v>
      </c>
      <c r="BG62" s="9" t="s">
        <v>145</v>
      </c>
      <c r="BH62" s="9" t="s">
        <v>145</v>
      </c>
      <c r="BI62" s="9" t="s">
        <v>145</v>
      </c>
      <c r="BJ62" s="9" t="s">
        <v>145</v>
      </c>
      <c r="BK62" s="9" t="s">
        <v>145</v>
      </c>
      <c r="BL62" s="9" t="s">
        <v>145</v>
      </c>
      <c r="BM62" s="9" t="s">
        <v>145</v>
      </c>
      <c r="BN62" s="9" t="s">
        <v>145</v>
      </c>
      <c r="BO62" s="9" t="s">
        <v>145</v>
      </c>
      <c r="BP62" s="9" t="s">
        <v>145</v>
      </c>
      <c r="BQ62" s="9" t="s">
        <v>145</v>
      </c>
      <c r="BR62" s="9" t="s">
        <v>145</v>
      </c>
      <c r="BS62" s="9" t="s">
        <v>145</v>
      </c>
      <c r="BT62" s="9" t="s">
        <v>145</v>
      </c>
      <c r="BU62" s="9" t="s">
        <v>145</v>
      </c>
      <c r="BV62" s="9" t="s">
        <v>145</v>
      </c>
      <c r="BW62" s="9" t="s">
        <v>145</v>
      </c>
      <c r="BX62" s="9" t="s">
        <v>145</v>
      </c>
      <c r="BY62" s="9" t="s">
        <v>145</v>
      </c>
      <c r="BZ62" s="9" t="s">
        <v>145</v>
      </c>
      <c r="CA62" s="9" t="s">
        <v>145</v>
      </c>
      <c r="CB62" s="9" t="s">
        <v>145</v>
      </c>
      <c r="CC62" s="9" t="s">
        <v>145</v>
      </c>
      <c r="CD62" s="16" t="s">
        <v>145</v>
      </c>
    </row>
    <row r="63" spans="6:105">
      <c r="F63" s="17">
        <v>80</v>
      </c>
      <c r="G63" s="9" t="s">
        <v>145</v>
      </c>
      <c r="H63" s="9" t="s">
        <v>145</v>
      </c>
      <c r="I63" s="9" t="s">
        <v>145</v>
      </c>
      <c r="J63" s="9" t="s">
        <v>145</v>
      </c>
      <c r="K63" s="9" t="s">
        <v>145</v>
      </c>
      <c r="L63" s="9" t="s">
        <v>145</v>
      </c>
      <c r="M63" s="9" t="s">
        <v>145</v>
      </c>
      <c r="N63" s="9" t="s">
        <v>145</v>
      </c>
      <c r="O63" s="5">
        <f t="shared" si="6"/>
        <v>800</v>
      </c>
      <c r="P63" s="5">
        <f t="shared" si="5"/>
        <v>800</v>
      </c>
      <c r="Q63" s="5">
        <f t="shared" si="5"/>
        <v>800</v>
      </c>
      <c r="R63" s="5">
        <f t="shared" si="5"/>
        <v>800</v>
      </c>
      <c r="S63" s="9" t="s">
        <v>145</v>
      </c>
      <c r="T63" s="9" t="s">
        <v>145</v>
      </c>
      <c r="U63" s="9" t="s">
        <v>145</v>
      </c>
      <c r="V63" s="9" t="s">
        <v>145</v>
      </c>
      <c r="W63" s="9" t="s">
        <v>145</v>
      </c>
      <c r="X63" s="9" t="s">
        <v>145</v>
      </c>
      <c r="Y63" s="9" t="s">
        <v>145</v>
      </c>
      <c r="Z63" s="43">
        <v>640</v>
      </c>
      <c r="AA63" s="43">
        <v>640</v>
      </c>
      <c r="AB63" s="43">
        <v>640</v>
      </c>
      <c r="AC63" s="9" t="s">
        <v>145</v>
      </c>
      <c r="AD63" s="9" t="s">
        <v>145</v>
      </c>
      <c r="AE63" s="9" t="s">
        <v>145</v>
      </c>
      <c r="AF63" s="9" t="s">
        <v>145</v>
      </c>
      <c r="AG63" s="9" t="s">
        <v>145</v>
      </c>
      <c r="AH63" s="9" t="s">
        <v>145</v>
      </c>
      <c r="AI63" s="9" t="s">
        <v>145</v>
      </c>
      <c r="AJ63" s="9" t="s">
        <v>145</v>
      </c>
      <c r="AK63" s="9" t="s">
        <v>145</v>
      </c>
      <c r="AL63" s="9" t="s">
        <v>145</v>
      </c>
      <c r="AM63" s="9" t="s">
        <v>145</v>
      </c>
      <c r="AN63" s="9" t="s">
        <v>145</v>
      </c>
      <c r="AO63" s="9" t="s">
        <v>145</v>
      </c>
      <c r="AP63" s="9" t="s">
        <v>145</v>
      </c>
      <c r="AQ63" s="9" t="s">
        <v>145</v>
      </c>
      <c r="AR63" s="9" t="s">
        <v>145</v>
      </c>
      <c r="AS63" s="9" t="s">
        <v>145</v>
      </c>
      <c r="AT63" s="9" t="s">
        <v>145</v>
      </c>
      <c r="AU63" s="9" t="s">
        <v>145</v>
      </c>
      <c r="AV63" s="9" t="s">
        <v>145</v>
      </c>
      <c r="AW63" s="9" t="s">
        <v>145</v>
      </c>
      <c r="AX63" s="9" t="s">
        <v>145</v>
      </c>
      <c r="AY63" s="9" t="s">
        <v>145</v>
      </c>
      <c r="AZ63" s="9" t="s">
        <v>145</v>
      </c>
      <c r="BA63" s="9" t="s">
        <v>145</v>
      </c>
      <c r="BB63" s="9" t="s">
        <v>145</v>
      </c>
      <c r="BC63" s="9" t="s">
        <v>145</v>
      </c>
      <c r="BD63" s="9" t="s">
        <v>145</v>
      </c>
      <c r="BE63" s="9" t="s">
        <v>145</v>
      </c>
      <c r="BF63" s="9" t="s">
        <v>145</v>
      </c>
      <c r="BG63" s="9" t="s">
        <v>145</v>
      </c>
      <c r="BH63" s="9" t="s">
        <v>145</v>
      </c>
      <c r="BI63" s="9" t="s">
        <v>145</v>
      </c>
      <c r="BJ63" s="9" t="s">
        <v>145</v>
      </c>
      <c r="BK63" s="9" t="s">
        <v>145</v>
      </c>
      <c r="BL63" s="9" t="s">
        <v>145</v>
      </c>
      <c r="BM63" s="9" t="s">
        <v>145</v>
      </c>
      <c r="BN63" s="9" t="s">
        <v>145</v>
      </c>
      <c r="BO63" s="9" t="s">
        <v>145</v>
      </c>
      <c r="BP63" s="9" t="s">
        <v>145</v>
      </c>
      <c r="BQ63" s="9" t="s">
        <v>145</v>
      </c>
      <c r="BR63" s="9" t="s">
        <v>145</v>
      </c>
      <c r="BS63" s="9" t="s">
        <v>145</v>
      </c>
      <c r="BT63" s="9" t="s">
        <v>145</v>
      </c>
      <c r="BU63" s="9" t="s">
        <v>145</v>
      </c>
      <c r="BV63" s="9" t="s">
        <v>145</v>
      </c>
      <c r="BW63" s="9" t="s">
        <v>145</v>
      </c>
      <c r="BX63" s="9" t="s">
        <v>145</v>
      </c>
      <c r="BY63" s="9" t="s">
        <v>145</v>
      </c>
      <c r="BZ63" s="9" t="s">
        <v>145</v>
      </c>
      <c r="CA63" s="9" t="s">
        <v>145</v>
      </c>
      <c r="CB63" s="9" t="s">
        <v>145</v>
      </c>
      <c r="CC63" s="9" t="s">
        <v>145</v>
      </c>
      <c r="CD63" s="16" t="s">
        <v>145</v>
      </c>
    </row>
    <row r="64" spans="6:105">
      <c r="F64" s="17">
        <v>100</v>
      </c>
      <c r="G64" s="9" t="s">
        <v>145</v>
      </c>
      <c r="H64" s="9" t="s">
        <v>145</v>
      </c>
      <c r="I64" s="9" t="s">
        <v>145</v>
      </c>
      <c r="J64" s="9" t="s">
        <v>145</v>
      </c>
      <c r="K64" s="9" t="s">
        <v>145</v>
      </c>
      <c r="L64" s="9" t="s">
        <v>145</v>
      </c>
      <c r="M64" s="9" t="s">
        <v>145</v>
      </c>
      <c r="N64" s="9" t="s">
        <v>145</v>
      </c>
      <c r="O64" s="5">
        <f t="shared" si="6"/>
        <v>1000</v>
      </c>
      <c r="P64" s="5">
        <f t="shared" si="5"/>
        <v>1000</v>
      </c>
      <c r="Q64" s="5">
        <f t="shared" si="5"/>
        <v>1000</v>
      </c>
      <c r="R64" s="5">
        <f t="shared" si="5"/>
        <v>1000</v>
      </c>
      <c r="S64" s="5">
        <f t="shared" si="5"/>
        <v>1000</v>
      </c>
      <c r="T64" s="5">
        <f t="shared" si="5"/>
        <v>1000</v>
      </c>
      <c r="U64" s="5">
        <f t="shared" si="5"/>
        <v>1000</v>
      </c>
      <c r="V64" s="9" t="s">
        <v>145</v>
      </c>
      <c r="W64" s="9" t="s">
        <v>145</v>
      </c>
      <c r="X64" s="9" t="s">
        <v>145</v>
      </c>
      <c r="Y64" s="9" t="s">
        <v>145</v>
      </c>
      <c r="Z64" s="43">
        <v>800</v>
      </c>
      <c r="AA64" s="43">
        <v>800</v>
      </c>
      <c r="AB64" s="43">
        <v>800</v>
      </c>
      <c r="AC64" s="43">
        <v>800</v>
      </c>
      <c r="AD64" s="43">
        <v>800</v>
      </c>
      <c r="AE64" s="43">
        <v>800</v>
      </c>
      <c r="AF64" s="9" t="s">
        <v>145</v>
      </c>
      <c r="AG64" s="9" t="s">
        <v>145</v>
      </c>
      <c r="AH64" s="9" t="s">
        <v>145</v>
      </c>
      <c r="AI64" s="9" t="s">
        <v>145</v>
      </c>
      <c r="AJ64" s="9" t="s">
        <v>145</v>
      </c>
      <c r="AK64" s="9" t="s">
        <v>145</v>
      </c>
      <c r="AL64" s="9" t="s">
        <v>145</v>
      </c>
      <c r="AM64" s="5" t="s">
        <v>146</v>
      </c>
      <c r="AN64" s="5" t="s">
        <v>146</v>
      </c>
      <c r="AO64" s="5" t="s">
        <v>146</v>
      </c>
      <c r="AP64" s="5" t="s">
        <v>146</v>
      </c>
      <c r="AQ64" s="5" t="s">
        <v>146</v>
      </c>
      <c r="AR64" s="5" t="s">
        <v>146</v>
      </c>
      <c r="AS64" s="5" t="s">
        <v>146</v>
      </c>
      <c r="AT64" s="5" t="s">
        <v>146</v>
      </c>
      <c r="AU64" s="5" t="s">
        <v>146</v>
      </c>
      <c r="AV64" s="5" t="s">
        <v>146</v>
      </c>
      <c r="AW64" s="5" t="s">
        <v>146</v>
      </c>
      <c r="AX64" s="5" t="s">
        <v>146</v>
      </c>
      <c r="AY64" s="5" t="s">
        <v>146</v>
      </c>
      <c r="AZ64" s="5" t="s">
        <v>146</v>
      </c>
      <c r="BA64" s="5" t="s">
        <v>146</v>
      </c>
      <c r="BB64" s="5" t="s">
        <v>146</v>
      </c>
      <c r="BC64" s="5" t="s">
        <v>146</v>
      </c>
      <c r="BD64" s="5" t="s">
        <v>146</v>
      </c>
      <c r="BE64" s="9" t="s">
        <v>145</v>
      </c>
      <c r="BF64" s="9" t="s">
        <v>145</v>
      </c>
      <c r="BG64" s="9" t="s">
        <v>145</v>
      </c>
      <c r="BH64" s="9" t="s">
        <v>145</v>
      </c>
      <c r="BI64" s="9" t="s">
        <v>145</v>
      </c>
      <c r="BJ64" s="9" t="s">
        <v>145</v>
      </c>
      <c r="BK64" s="9" t="s">
        <v>145</v>
      </c>
      <c r="BL64" s="9" t="s">
        <v>145</v>
      </c>
      <c r="BM64" s="9" t="s">
        <v>145</v>
      </c>
      <c r="BN64" s="9" t="s">
        <v>145</v>
      </c>
      <c r="BO64" s="9" t="s">
        <v>145</v>
      </c>
      <c r="BP64" s="9" t="s">
        <v>145</v>
      </c>
      <c r="BQ64" s="9" t="s">
        <v>145</v>
      </c>
      <c r="BR64" s="9" t="s">
        <v>145</v>
      </c>
      <c r="BS64" s="9" t="s">
        <v>145</v>
      </c>
      <c r="BT64" s="9" t="s">
        <v>145</v>
      </c>
      <c r="BU64" s="9" t="s">
        <v>145</v>
      </c>
      <c r="BV64" s="9" t="s">
        <v>145</v>
      </c>
      <c r="BW64" s="9" t="s">
        <v>145</v>
      </c>
      <c r="BX64" s="9" t="s">
        <v>145</v>
      </c>
      <c r="BY64" s="9" t="s">
        <v>145</v>
      </c>
      <c r="BZ64" s="9" t="s">
        <v>145</v>
      </c>
      <c r="CA64" s="9" t="s">
        <v>145</v>
      </c>
      <c r="CB64" s="9" t="s">
        <v>145</v>
      </c>
      <c r="CC64" s="9" t="s">
        <v>145</v>
      </c>
      <c r="CD64" s="16" t="s">
        <v>145</v>
      </c>
    </row>
    <row r="65" spans="6:82">
      <c r="F65" s="17">
        <v>125</v>
      </c>
      <c r="G65" s="9" t="s">
        <v>145</v>
      </c>
      <c r="H65" s="9" t="s">
        <v>145</v>
      </c>
      <c r="I65" s="9" t="s">
        <v>145</v>
      </c>
      <c r="J65" s="9" t="s">
        <v>145</v>
      </c>
      <c r="K65" s="9" t="s">
        <v>145</v>
      </c>
      <c r="L65" s="9" t="s">
        <v>145</v>
      </c>
      <c r="M65" s="9" t="s">
        <v>145</v>
      </c>
      <c r="N65" s="9" t="s">
        <v>145</v>
      </c>
      <c r="O65" s="9" t="s">
        <v>145</v>
      </c>
      <c r="P65" s="9" t="s">
        <v>145</v>
      </c>
      <c r="Q65" s="9" t="s">
        <v>145</v>
      </c>
      <c r="R65" s="9" t="s">
        <v>145</v>
      </c>
      <c r="S65" s="5">
        <f t="shared" si="5"/>
        <v>1250</v>
      </c>
      <c r="T65" s="5">
        <f t="shared" si="5"/>
        <v>1250</v>
      </c>
      <c r="U65" s="5">
        <f t="shared" si="5"/>
        <v>1250</v>
      </c>
      <c r="V65" s="9" t="s">
        <v>145</v>
      </c>
      <c r="W65" s="9" t="s">
        <v>145</v>
      </c>
      <c r="X65" s="9" t="s">
        <v>145</v>
      </c>
      <c r="Y65" s="9" t="s">
        <v>145</v>
      </c>
      <c r="Z65" s="9" t="s">
        <v>145</v>
      </c>
      <c r="AA65" s="9" t="s">
        <v>145</v>
      </c>
      <c r="AB65" s="9" t="s">
        <v>145</v>
      </c>
      <c r="AC65" s="43">
        <v>1250</v>
      </c>
      <c r="AD65" s="43">
        <v>1250</v>
      </c>
      <c r="AE65" s="43">
        <v>1250</v>
      </c>
      <c r="AF65" s="9" t="s">
        <v>145</v>
      </c>
      <c r="AG65" s="9" t="s">
        <v>145</v>
      </c>
      <c r="AH65" s="9" t="s">
        <v>145</v>
      </c>
      <c r="AI65" s="9" t="s">
        <v>145</v>
      </c>
      <c r="AJ65" s="9" t="s">
        <v>145</v>
      </c>
      <c r="AK65" s="9" t="s">
        <v>145</v>
      </c>
      <c r="AL65" s="9" t="s">
        <v>145</v>
      </c>
      <c r="AM65" s="9" t="s">
        <v>145</v>
      </c>
      <c r="AN65" s="9" t="s">
        <v>145</v>
      </c>
      <c r="AO65" s="9" t="s">
        <v>145</v>
      </c>
      <c r="AP65" s="9" t="s">
        <v>145</v>
      </c>
      <c r="AQ65" s="9" t="s">
        <v>145</v>
      </c>
      <c r="AR65" s="9" t="s">
        <v>145</v>
      </c>
      <c r="AS65" s="9" t="s">
        <v>145</v>
      </c>
      <c r="AT65" s="9" t="s">
        <v>145</v>
      </c>
      <c r="AU65" s="9" t="s">
        <v>145</v>
      </c>
      <c r="AV65" s="9" t="s">
        <v>145</v>
      </c>
      <c r="AW65" s="9" t="s">
        <v>145</v>
      </c>
      <c r="AX65" s="9" t="s">
        <v>145</v>
      </c>
      <c r="AY65" s="9" t="s">
        <v>145</v>
      </c>
      <c r="AZ65" s="9" t="s">
        <v>145</v>
      </c>
      <c r="BA65" s="9" t="s">
        <v>145</v>
      </c>
      <c r="BB65" s="9" t="s">
        <v>145</v>
      </c>
      <c r="BC65" s="9" t="s">
        <v>145</v>
      </c>
      <c r="BD65" s="9" t="s">
        <v>145</v>
      </c>
      <c r="BE65" s="9" t="s">
        <v>145</v>
      </c>
      <c r="BF65" s="9" t="s">
        <v>145</v>
      </c>
      <c r="BG65" s="9" t="s">
        <v>145</v>
      </c>
      <c r="BH65" s="9" t="s">
        <v>145</v>
      </c>
      <c r="BI65" s="9" t="s">
        <v>145</v>
      </c>
      <c r="BJ65" s="9" t="s">
        <v>145</v>
      </c>
      <c r="BK65" s="9" t="s">
        <v>145</v>
      </c>
      <c r="BL65" s="9" t="s">
        <v>145</v>
      </c>
      <c r="BM65" s="9" t="s">
        <v>145</v>
      </c>
      <c r="BN65" s="9" t="s">
        <v>145</v>
      </c>
      <c r="BO65" s="9" t="s">
        <v>145</v>
      </c>
      <c r="BP65" s="9" t="s">
        <v>145</v>
      </c>
      <c r="BQ65" s="9" t="s">
        <v>145</v>
      </c>
      <c r="BR65" s="9" t="s">
        <v>145</v>
      </c>
      <c r="BS65" s="9" t="s">
        <v>145</v>
      </c>
      <c r="BT65" s="9" t="s">
        <v>145</v>
      </c>
      <c r="BU65" s="9" t="s">
        <v>145</v>
      </c>
      <c r="BV65" s="9" t="s">
        <v>145</v>
      </c>
      <c r="BW65" s="9" t="s">
        <v>145</v>
      </c>
      <c r="BX65" s="9" t="s">
        <v>145</v>
      </c>
      <c r="BY65" s="9" t="s">
        <v>145</v>
      </c>
      <c r="BZ65" s="9" t="s">
        <v>145</v>
      </c>
      <c r="CA65" s="9" t="s">
        <v>145</v>
      </c>
      <c r="CB65" s="9" t="s">
        <v>145</v>
      </c>
      <c r="CC65" s="9" t="s">
        <v>145</v>
      </c>
      <c r="CD65" s="16" t="s">
        <v>145</v>
      </c>
    </row>
    <row r="66" spans="6:82">
      <c r="F66" s="17">
        <v>150</v>
      </c>
      <c r="G66" s="9" t="s">
        <v>145</v>
      </c>
      <c r="H66" s="9" t="s">
        <v>145</v>
      </c>
      <c r="I66" s="9" t="s">
        <v>145</v>
      </c>
      <c r="J66" s="9" t="s">
        <v>145</v>
      </c>
      <c r="K66" s="9" t="s">
        <v>145</v>
      </c>
      <c r="L66" s="9" t="s">
        <v>145</v>
      </c>
      <c r="M66" s="9" t="s">
        <v>145</v>
      </c>
      <c r="N66" s="9" t="s">
        <v>145</v>
      </c>
      <c r="O66" s="9" t="s">
        <v>145</v>
      </c>
      <c r="P66" s="9" t="s">
        <v>145</v>
      </c>
      <c r="Q66" s="9" t="s">
        <v>145</v>
      </c>
      <c r="R66" s="9" t="s">
        <v>145</v>
      </c>
      <c r="S66" s="5">
        <f t="shared" si="5"/>
        <v>1500</v>
      </c>
      <c r="T66" s="5">
        <f t="shared" si="5"/>
        <v>1500</v>
      </c>
      <c r="U66" s="5">
        <f t="shared" si="5"/>
        <v>1500</v>
      </c>
      <c r="V66" s="9" t="s">
        <v>145</v>
      </c>
      <c r="W66" s="9" t="s">
        <v>145</v>
      </c>
      <c r="X66" s="9" t="s">
        <v>145</v>
      </c>
      <c r="Y66" s="9" t="s">
        <v>145</v>
      </c>
      <c r="Z66" s="9" t="s">
        <v>145</v>
      </c>
      <c r="AA66" s="9" t="s">
        <v>145</v>
      </c>
      <c r="AB66" s="9" t="s">
        <v>145</v>
      </c>
      <c r="AC66" s="9" t="s">
        <v>145</v>
      </c>
      <c r="AD66" s="9" t="s">
        <v>145</v>
      </c>
      <c r="AE66" s="9" t="s">
        <v>145</v>
      </c>
      <c r="AF66" s="9" t="s">
        <v>145</v>
      </c>
      <c r="AG66" s="9" t="s">
        <v>145</v>
      </c>
      <c r="AH66" s="9" t="s">
        <v>145</v>
      </c>
      <c r="AI66" s="9" t="s">
        <v>145</v>
      </c>
      <c r="AJ66" s="9" t="s">
        <v>145</v>
      </c>
      <c r="AK66" s="9" t="s">
        <v>145</v>
      </c>
      <c r="AL66" s="9" t="s">
        <v>145</v>
      </c>
      <c r="AM66" s="9" t="s">
        <v>145</v>
      </c>
      <c r="AN66" s="9" t="s">
        <v>145</v>
      </c>
      <c r="AO66" s="9" t="s">
        <v>145</v>
      </c>
      <c r="AP66" s="9" t="s">
        <v>145</v>
      </c>
      <c r="AQ66" s="9" t="s">
        <v>145</v>
      </c>
      <c r="AR66" s="9" t="s">
        <v>145</v>
      </c>
      <c r="AS66" s="9" t="s">
        <v>145</v>
      </c>
      <c r="AT66" s="9" t="s">
        <v>145</v>
      </c>
      <c r="AU66" s="9" t="s">
        <v>145</v>
      </c>
      <c r="AV66" s="9" t="s">
        <v>145</v>
      </c>
      <c r="AW66" s="9" t="s">
        <v>145</v>
      </c>
      <c r="AX66" s="9" t="s">
        <v>145</v>
      </c>
      <c r="AY66" s="9" t="s">
        <v>145</v>
      </c>
      <c r="AZ66" s="9" t="s">
        <v>145</v>
      </c>
      <c r="BA66" s="9" t="s">
        <v>145</v>
      </c>
      <c r="BB66" s="9" t="s">
        <v>145</v>
      </c>
      <c r="BC66" s="9" t="s">
        <v>145</v>
      </c>
      <c r="BD66" s="9" t="s">
        <v>145</v>
      </c>
      <c r="BE66" s="9" t="s">
        <v>145</v>
      </c>
      <c r="BF66" s="9" t="s">
        <v>145</v>
      </c>
      <c r="BG66" s="9" t="s">
        <v>145</v>
      </c>
      <c r="BH66" s="9" t="s">
        <v>145</v>
      </c>
      <c r="BI66" s="9" t="s">
        <v>145</v>
      </c>
      <c r="BJ66" s="9" t="s">
        <v>145</v>
      </c>
      <c r="BK66" s="9" t="s">
        <v>145</v>
      </c>
      <c r="BL66" s="9" t="s">
        <v>145</v>
      </c>
      <c r="BM66" s="9" t="s">
        <v>145</v>
      </c>
      <c r="BN66" s="9" t="s">
        <v>145</v>
      </c>
      <c r="BO66" s="9" t="s">
        <v>145</v>
      </c>
      <c r="BP66" s="9" t="s">
        <v>145</v>
      </c>
      <c r="BQ66" s="9" t="s">
        <v>145</v>
      </c>
      <c r="BR66" s="9" t="s">
        <v>145</v>
      </c>
      <c r="BS66" s="9" t="s">
        <v>145</v>
      </c>
      <c r="BT66" s="9" t="s">
        <v>145</v>
      </c>
      <c r="BU66" s="9" t="s">
        <v>145</v>
      </c>
      <c r="BV66" s="9" t="s">
        <v>145</v>
      </c>
      <c r="BW66" s="9" t="s">
        <v>145</v>
      </c>
      <c r="BX66" s="9" t="s">
        <v>145</v>
      </c>
      <c r="BY66" s="9" t="s">
        <v>145</v>
      </c>
      <c r="BZ66" s="9" t="s">
        <v>145</v>
      </c>
      <c r="CA66" s="9" t="s">
        <v>145</v>
      </c>
      <c r="CB66" s="9" t="s">
        <v>145</v>
      </c>
      <c r="CC66" s="9" t="s">
        <v>145</v>
      </c>
      <c r="CD66" s="16" t="s">
        <v>145</v>
      </c>
    </row>
    <row r="67" spans="6:82">
      <c r="F67" s="17">
        <v>160</v>
      </c>
      <c r="G67" s="9" t="s">
        <v>145</v>
      </c>
      <c r="H67" s="9" t="s">
        <v>145</v>
      </c>
      <c r="I67" s="9" t="s">
        <v>145</v>
      </c>
      <c r="J67" s="9" t="s">
        <v>145</v>
      </c>
      <c r="K67" s="9" t="s">
        <v>145</v>
      </c>
      <c r="L67" s="9" t="s">
        <v>145</v>
      </c>
      <c r="M67" s="9" t="s">
        <v>145</v>
      </c>
      <c r="N67" s="9" t="s">
        <v>145</v>
      </c>
      <c r="O67" s="9" t="s">
        <v>145</v>
      </c>
      <c r="P67" s="9" t="s">
        <v>145</v>
      </c>
      <c r="Q67" s="9" t="s">
        <v>145</v>
      </c>
      <c r="R67" s="9" t="s">
        <v>145</v>
      </c>
      <c r="S67" s="5">
        <f t="shared" ref="S67:Y76" si="13">$F67*10</f>
        <v>1600</v>
      </c>
      <c r="T67" s="5">
        <f t="shared" si="13"/>
        <v>1600</v>
      </c>
      <c r="U67" s="5">
        <f t="shared" si="13"/>
        <v>1600</v>
      </c>
      <c r="V67" s="9" t="s">
        <v>145</v>
      </c>
      <c r="W67" s="9" t="s">
        <v>145</v>
      </c>
      <c r="X67" s="9" t="s">
        <v>145</v>
      </c>
      <c r="Y67" s="9" t="s">
        <v>145</v>
      </c>
      <c r="Z67" s="9" t="s">
        <v>145</v>
      </c>
      <c r="AA67" s="9" t="s">
        <v>145</v>
      </c>
      <c r="AB67" s="9" t="s">
        <v>145</v>
      </c>
      <c r="AC67" s="43">
        <v>1250</v>
      </c>
      <c r="AD67" s="43">
        <v>1250</v>
      </c>
      <c r="AE67" s="43">
        <v>1250</v>
      </c>
      <c r="AF67" s="43">
        <v>1250</v>
      </c>
      <c r="AG67" s="43">
        <v>1250</v>
      </c>
      <c r="AH67" s="43">
        <v>1250</v>
      </c>
      <c r="AI67" s="9" t="s">
        <v>145</v>
      </c>
      <c r="AJ67" s="9" t="s">
        <v>145</v>
      </c>
      <c r="AK67" s="9" t="s">
        <v>145</v>
      </c>
      <c r="AL67" s="9" t="s">
        <v>145</v>
      </c>
      <c r="AM67" s="9" t="s">
        <v>145</v>
      </c>
      <c r="AN67" s="9" t="s">
        <v>145</v>
      </c>
      <c r="AO67" s="9" t="s">
        <v>145</v>
      </c>
      <c r="AP67" s="9" t="s">
        <v>145</v>
      </c>
      <c r="AQ67" s="9" t="s">
        <v>145</v>
      </c>
      <c r="AR67" s="9" t="s">
        <v>145</v>
      </c>
      <c r="AS67" s="5" t="s">
        <v>146</v>
      </c>
      <c r="AT67" s="5" t="s">
        <v>146</v>
      </c>
      <c r="AU67" s="5" t="s">
        <v>146</v>
      </c>
      <c r="AV67" s="5" t="s">
        <v>146</v>
      </c>
      <c r="AW67" s="5" t="s">
        <v>146</v>
      </c>
      <c r="AX67" s="5" t="s">
        <v>146</v>
      </c>
      <c r="AY67" s="5" t="s">
        <v>146</v>
      </c>
      <c r="AZ67" s="5" t="s">
        <v>146</v>
      </c>
      <c r="BA67" s="5" t="s">
        <v>146</v>
      </c>
      <c r="BB67" s="5" t="s">
        <v>146</v>
      </c>
      <c r="BC67" s="5" t="s">
        <v>146</v>
      </c>
      <c r="BD67" s="5" t="s">
        <v>146</v>
      </c>
      <c r="BE67" s="9" t="s">
        <v>145</v>
      </c>
      <c r="BF67" s="9" t="s">
        <v>145</v>
      </c>
      <c r="BG67" s="9" t="s">
        <v>145</v>
      </c>
      <c r="BH67" s="9" t="s">
        <v>145</v>
      </c>
      <c r="BI67" s="9" t="s">
        <v>145</v>
      </c>
      <c r="BJ67" s="9" t="s">
        <v>145</v>
      </c>
      <c r="BK67" s="9" t="s">
        <v>145</v>
      </c>
      <c r="BL67" s="9" t="s">
        <v>145</v>
      </c>
      <c r="BM67" s="9" t="s">
        <v>145</v>
      </c>
      <c r="BN67" s="9" t="s">
        <v>145</v>
      </c>
      <c r="BO67" s="9" t="s">
        <v>145</v>
      </c>
      <c r="BP67" s="9" t="s">
        <v>145</v>
      </c>
      <c r="BQ67" s="9" t="s">
        <v>145</v>
      </c>
      <c r="BR67" s="9" t="s">
        <v>145</v>
      </c>
      <c r="BS67" s="9" t="s">
        <v>145</v>
      </c>
      <c r="BT67" s="9" t="s">
        <v>145</v>
      </c>
      <c r="BU67" s="9" t="s">
        <v>145</v>
      </c>
      <c r="BV67" s="9" t="s">
        <v>145</v>
      </c>
      <c r="BW67" s="9" t="s">
        <v>145</v>
      </c>
      <c r="BX67" s="9" t="s">
        <v>145</v>
      </c>
      <c r="BY67" s="9" t="s">
        <v>145</v>
      </c>
      <c r="BZ67" s="9" t="s">
        <v>145</v>
      </c>
      <c r="CA67" s="9" t="s">
        <v>145</v>
      </c>
      <c r="CB67" s="9" t="s">
        <v>145</v>
      </c>
      <c r="CC67" s="9" t="s">
        <v>145</v>
      </c>
      <c r="CD67" s="16" t="s">
        <v>145</v>
      </c>
    </row>
    <row r="68" spans="6:82">
      <c r="F68" s="17">
        <v>175</v>
      </c>
      <c r="G68" s="9" t="s">
        <v>145</v>
      </c>
      <c r="H68" s="9" t="s">
        <v>145</v>
      </c>
      <c r="I68" s="9" t="s">
        <v>145</v>
      </c>
      <c r="J68" s="9" t="s">
        <v>145</v>
      </c>
      <c r="K68" s="9" t="s">
        <v>145</v>
      </c>
      <c r="L68" s="9" t="s">
        <v>145</v>
      </c>
      <c r="M68" s="9" t="s">
        <v>145</v>
      </c>
      <c r="N68" s="9" t="s">
        <v>145</v>
      </c>
      <c r="O68" s="9" t="s">
        <v>145</v>
      </c>
      <c r="P68" s="9" t="s">
        <v>145</v>
      </c>
      <c r="Q68" s="9" t="s">
        <v>145</v>
      </c>
      <c r="R68" s="9" t="s">
        <v>145</v>
      </c>
      <c r="S68" s="5">
        <f t="shared" si="13"/>
        <v>1750</v>
      </c>
      <c r="T68" s="5">
        <f t="shared" si="13"/>
        <v>1750</v>
      </c>
      <c r="U68" s="5">
        <f t="shared" si="13"/>
        <v>1750</v>
      </c>
      <c r="V68" s="9" t="s">
        <v>145</v>
      </c>
      <c r="W68" s="9" t="s">
        <v>145</v>
      </c>
      <c r="X68" s="9" t="s">
        <v>145</v>
      </c>
      <c r="Y68" s="9" t="s">
        <v>145</v>
      </c>
      <c r="Z68" s="9" t="s">
        <v>145</v>
      </c>
      <c r="AA68" s="9" t="s">
        <v>145</v>
      </c>
      <c r="AB68" s="9" t="s">
        <v>145</v>
      </c>
      <c r="AC68" s="9" t="s">
        <v>145</v>
      </c>
      <c r="AD68" s="9" t="s">
        <v>145</v>
      </c>
      <c r="AE68" s="9" t="s">
        <v>145</v>
      </c>
      <c r="AF68" s="9" t="s">
        <v>145</v>
      </c>
      <c r="AG68" s="9" t="s">
        <v>145</v>
      </c>
      <c r="AH68" s="9" t="s">
        <v>145</v>
      </c>
      <c r="AI68" s="9" t="s">
        <v>145</v>
      </c>
      <c r="AJ68" s="9" t="s">
        <v>145</v>
      </c>
      <c r="AK68" s="9" t="s">
        <v>145</v>
      </c>
      <c r="AL68" s="9" t="s">
        <v>145</v>
      </c>
      <c r="AM68" s="9" t="s">
        <v>145</v>
      </c>
      <c r="AN68" s="9" t="s">
        <v>145</v>
      </c>
      <c r="AO68" s="9" t="s">
        <v>145</v>
      </c>
      <c r="AP68" s="9" t="s">
        <v>145</v>
      </c>
      <c r="AQ68" s="9" t="s">
        <v>145</v>
      </c>
      <c r="AR68" s="9" t="s">
        <v>145</v>
      </c>
      <c r="AS68" s="9" t="s">
        <v>145</v>
      </c>
      <c r="AT68" s="9" t="s">
        <v>145</v>
      </c>
      <c r="AU68" s="9" t="s">
        <v>145</v>
      </c>
      <c r="AV68" s="9" t="s">
        <v>145</v>
      </c>
      <c r="AW68" s="9" t="s">
        <v>145</v>
      </c>
      <c r="AX68" s="9" t="s">
        <v>145</v>
      </c>
      <c r="AY68" s="9" t="s">
        <v>145</v>
      </c>
      <c r="AZ68" s="9" t="s">
        <v>145</v>
      </c>
      <c r="BA68" s="9" t="s">
        <v>145</v>
      </c>
      <c r="BB68" s="9" t="s">
        <v>145</v>
      </c>
      <c r="BC68" s="9" t="s">
        <v>145</v>
      </c>
      <c r="BD68" s="9" t="s">
        <v>145</v>
      </c>
      <c r="BE68" s="9" t="s">
        <v>145</v>
      </c>
      <c r="BF68" s="9" t="s">
        <v>145</v>
      </c>
      <c r="BG68" s="9" t="s">
        <v>145</v>
      </c>
      <c r="BH68" s="9" t="s">
        <v>145</v>
      </c>
      <c r="BI68" s="9" t="s">
        <v>145</v>
      </c>
      <c r="BJ68" s="9" t="s">
        <v>145</v>
      </c>
      <c r="BK68" s="9" t="s">
        <v>145</v>
      </c>
      <c r="BL68" s="9" t="s">
        <v>145</v>
      </c>
      <c r="BM68" s="9" t="s">
        <v>145</v>
      </c>
      <c r="BN68" s="9" t="s">
        <v>145</v>
      </c>
      <c r="BO68" s="9" t="s">
        <v>145</v>
      </c>
      <c r="BP68" s="9" t="s">
        <v>145</v>
      </c>
      <c r="BQ68" s="9" t="s">
        <v>145</v>
      </c>
      <c r="BR68" s="9" t="s">
        <v>145</v>
      </c>
      <c r="BS68" s="9" t="s">
        <v>145</v>
      </c>
      <c r="BT68" s="9" t="s">
        <v>145</v>
      </c>
      <c r="BU68" s="9" t="s">
        <v>145</v>
      </c>
      <c r="BV68" s="9" t="s">
        <v>145</v>
      </c>
      <c r="BW68" s="9" t="s">
        <v>145</v>
      </c>
      <c r="BX68" s="9" t="s">
        <v>145</v>
      </c>
      <c r="BY68" s="9" t="s">
        <v>145</v>
      </c>
      <c r="BZ68" s="9" t="s">
        <v>145</v>
      </c>
      <c r="CA68" s="9" t="s">
        <v>145</v>
      </c>
      <c r="CB68" s="9" t="s">
        <v>145</v>
      </c>
      <c r="CC68" s="9" t="s">
        <v>145</v>
      </c>
      <c r="CD68" s="16" t="s">
        <v>145</v>
      </c>
    </row>
    <row r="69" spans="6:82">
      <c r="F69" s="17">
        <v>200</v>
      </c>
      <c r="G69" s="9" t="s">
        <v>145</v>
      </c>
      <c r="H69" s="9" t="s">
        <v>145</v>
      </c>
      <c r="I69" s="9" t="s">
        <v>145</v>
      </c>
      <c r="J69" s="9" t="s">
        <v>145</v>
      </c>
      <c r="K69" s="9" t="s">
        <v>145</v>
      </c>
      <c r="L69" s="9" t="s">
        <v>145</v>
      </c>
      <c r="M69" s="9" t="s">
        <v>145</v>
      </c>
      <c r="N69" s="9" t="s">
        <v>145</v>
      </c>
      <c r="O69" s="9" t="s">
        <v>145</v>
      </c>
      <c r="P69" s="9" t="s">
        <v>145</v>
      </c>
      <c r="Q69" s="9" t="s">
        <v>145</v>
      </c>
      <c r="R69" s="9" t="s">
        <v>145</v>
      </c>
      <c r="S69" s="5">
        <f t="shared" si="13"/>
        <v>2000</v>
      </c>
      <c r="T69" s="5">
        <f t="shared" si="13"/>
        <v>2000</v>
      </c>
      <c r="U69" s="5">
        <f t="shared" si="13"/>
        <v>2000</v>
      </c>
      <c r="V69" s="9" t="s">
        <v>145</v>
      </c>
      <c r="W69" s="9" t="s">
        <v>145</v>
      </c>
      <c r="X69" s="9" t="s">
        <v>145</v>
      </c>
      <c r="Y69" s="9" t="s">
        <v>145</v>
      </c>
      <c r="Z69" s="9" t="s">
        <v>145</v>
      </c>
      <c r="AA69" s="9" t="s">
        <v>145</v>
      </c>
      <c r="AB69" s="9" t="s">
        <v>145</v>
      </c>
      <c r="AC69" s="9" t="s">
        <v>145</v>
      </c>
      <c r="AD69" s="9" t="s">
        <v>145</v>
      </c>
      <c r="AE69" s="9" t="s">
        <v>145</v>
      </c>
      <c r="AF69" s="43">
        <v>2000</v>
      </c>
      <c r="AG69" s="43">
        <v>2000</v>
      </c>
      <c r="AH69" s="43">
        <v>2000</v>
      </c>
      <c r="AI69" s="9" t="s">
        <v>145</v>
      </c>
      <c r="AJ69" s="9" t="s">
        <v>145</v>
      </c>
      <c r="AK69" s="9" t="s">
        <v>145</v>
      </c>
      <c r="AL69" s="9" t="s">
        <v>145</v>
      </c>
      <c r="AM69" s="9" t="s">
        <v>145</v>
      </c>
      <c r="AN69" s="9" t="s">
        <v>145</v>
      </c>
      <c r="AO69" s="9" t="s">
        <v>145</v>
      </c>
      <c r="AP69" s="9" t="s">
        <v>145</v>
      </c>
      <c r="AQ69" s="9" t="s">
        <v>145</v>
      </c>
      <c r="AR69" s="9" t="s">
        <v>145</v>
      </c>
      <c r="AS69" s="9" t="s">
        <v>145</v>
      </c>
      <c r="AT69" s="9" t="s">
        <v>145</v>
      </c>
      <c r="AU69" s="9" t="s">
        <v>145</v>
      </c>
      <c r="AV69" s="9" t="s">
        <v>145</v>
      </c>
      <c r="AW69" s="9" t="s">
        <v>145</v>
      </c>
      <c r="AX69" s="9" t="s">
        <v>145</v>
      </c>
      <c r="AY69" s="9" t="s">
        <v>145</v>
      </c>
      <c r="AZ69" s="9" t="s">
        <v>145</v>
      </c>
      <c r="BA69" s="9" t="s">
        <v>145</v>
      </c>
      <c r="BB69" s="9" t="s">
        <v>145</v>
      </c>
      <c r="BC69" s="9" t="s">
        <v>145</v>
      </c>
      <c r="BD69" s="9" t="s">
        <v>145</v>
      </c>
      <c r="BE69" s="9" t="s">
        <v>145</v>
      </c>
      <c r="BF69" s="9" t="s">
        <v>145</v>
      </c>
      <c r="BG69" s="9" t="s">
        <v>145</v>
      </c>
      <c r="BH69" s="9" t="s">
        <v>145</v>
      </c>
      <c r="BI69" s="9" t="s">
        <v>145</v>
      </c>
      <c r="BJ69" s="9" t="s">
        <v>145</v>
      </c>
      <c r="BK69" s="9" t="s">
        <v>145</v>
      </c>
      <c r="BL69" s="9" t="s">
        <v>145</v>
      </c>
      <c r="BM69" s="9" t="s">
        <v>145</v>
      </c>
      <c r="BN69" s="9" t="s">
        <v>145</v>
      </c>
      <c r="BO69" s="9" t="s">
        <v>145</v>
      </c>
      <c r="BP69" s="9" t="s">
        <v>145</v>
      </c>
      <c r="BQ69" s="9" t="s">
        <v>145</v>
      </c>
      <c r="BR69" s="9" t="s">
        <v>145</v>
      </c>
      <c r="BS69" s="9" t="s">
        <v>145</v>
      </c>
      <c r="BT69" s="9" t="s">
        <v>145</v>
      </c>
      <c r="BU69" s="9" t="s">
        <v>145</v>
      </c>
      <c r="BV69" s="9" t="s">
        <v>145</v>
      </c>
      <c r="BW69" s="9" t="s">
        <v>145</v>
      </c>
      <c r="BX69" s="9" t="s">
        <v>145</v>
      </c>
      <c r="BY69" s="9" t="s">
        <v>145</v>
      </c>
      <c r="BZ69" s="9" t="s">
        <v>145</v>
      </c>
      <c r="CA69" s="9" t="s">
        <v>145</v>
      </c>
      <c r="CB69" s="9" t="s">
        <v>145</v>
      </c>
      <c r="CC69" s="9" t="s">
        <v>145</v>
      </c>
      <c r="CD69" s="16" t="s">
        <v>145</v>
      </c>
    </row>
    <row r="70" spans="6:82">
      <c r="F70" s="17">
        <v>225</v>
      </c>
      <c r="G70" s="9" t="s">
        <v>145</v>
      </c>
      <c r="H70" s="9" t="s">
        <v>145</v>
      </c>
      <c r="I70" s="9" t="s">
        <v>145</v>
      </c>
      <c r="J70" s="9" t="s">
        <v>145</v>
      </c>
      <c r="K70" s="9" t="s">
        <v>145</v>
      </c>
      <c r="L70" s="9" t="s">
        <v>145</v>
      </c>
      <c r="M70" s="9" t="s">
        <v>145</v>
      </c>
      <c r="N70" s="9" t="s">
        <v>145</v>
      </c>
      <c r="O70" s="9" t="s">
        <v>145</v>
      </c>
      <c r="P70" s="9" t="s">
        <v>145</v>
      </c>
      <c r="Q70" s="9" t="s">
        <v>145</v>
      </c>
      <c r="R70" s="9" t="s">
        <v>145</v>
      </c>
      <c r="S70" s="5">
        <f t="shared" si="13"/>
        <v>2250</v>
      </c>
      <c r="T70" s="5">
        <f t="shared" si="13"/>
        <v>2250</v>
      </c>
      <c r="U70" s="5">
        <f t="shared" si="13"/>
        <v>2250</v>
      </c>
      <c r="V70" s="9" t="s">
        <v>145</v>
      </c>
      <c r="W70" s="9" t="s">
        <v>145</v>
      </c>
      <c r="X70" s="9" t="s">
        <v>145</v>
      </c>
      <c r="Y70" s="9" t="s">
        <v>145</v>
      </c>
      <c r="Z70" s="9" t="s">
        <v>145</v>
      </c>
      <c r="AA70" s="9" t="s">
        <v>145</v>
      </c>
      <c r="AB70" s="9" t="s">
        <v>145</v>
      </c>
      <c r="AC70" s="9" t="s">
        <v>145</v>
      </c>
      <c r="AD70" s="9" t="s">
        <v>145</v>
      </c>
      <c r="AE70" s="9" t="s">
        <v>145</v>
      </c>
      <c r="AF70" s="9" t="s">
        <v>145</v>
      </c>
      <c r="AG70" s="9" t="s">
        <v>145</v>
      </c>
      <c r="AH70" s="9" t="s">
        <v>145</v>
      </c>
      <c r="AI70" s="9" t="s">
        <v>145</v>
      </c>
      <c r="AJ70" s="9" t="s">
        <v>145</v>
      </c>
      <c r="AK70" s="9" t="s">
        <v>145</v>
      </c>
      <c r="AL70" s="9" t="s">
        <v>145</v>
      </c>
      <c r="AM70" s="9" t="s">
        <v>145</v>
      </c>
      <c r="AN70" s="9" t="s">
        <v>145</v>
      </c>
      <c r="AO70" s="9" t="s">
        <v>145</v>
      </c>
      <c r="AP70" s="9" t="s">
        <v>145</v>
      </c>
      <c r="AQ70" s="9" t="s">
        <v>145</v>
      </c>
      <c r="AR70" s="9" t="s">
        <v>145</v>
      </c>
      <c r="AS70" s="9" t="s">
        <v>145</v>
      </c>
      <c r="AT70" s="9" t="s">
        <v>145</v>
      </c>
      <c r="AU70" s="9" t="s">
        <v>145</v>
      </c>
      <c r="AV70" s="9" t="s">
        <v>145</v>
      </c>
      <c r="AW70" s="9" t="s">
        <v>145</v>
      </c>
      <c r="AX70" s="9" t="s">
        <v>145</v>
      </c>
      <c r="AY70" s="9" t="s">
        <v>145</v>
      </c>
      <c r="AZ70" s="9" t="s">
        <v>145</v>
      </c>
      <c r="BA70" s="9" t="s">
        <v>145</v>
      </c>
      <c r="BB70" s="9" t="s">
        <v>145</v>
      </c>
      <c r="BC70" s="9" t="s">
        <v>145</v>
      </c>
      <c r="BD70" s="9" t="s">
        <v>145</v>
      </c>
      <c r="BE70" s="9" t="s">
        <v>145</v>
      </c>
      <c r="BF70" s="9" t="s">
        <v>145</v>
      </c>
      <c r="BG70" s="9" t="s">
        <v>145</v>
      </c>
      <c r="BH70" s="9" t="s">
        <v>145</v>
      </c>
      <c r="BI70" s="9" t="s">
        <v>145</v>
      </c>
      <c r="BJ70" s="9" t="s">
        <v>145</v>
      </c>
      <c r="BK70" s="9" t="s">
        <v>145</v>
      </c>
      <c r="BL70" s="9" t="s">
        <v>145</v>
      </c>
      <c r="BM70" s="9" t="s">
        <v>145</v>
      </c>
      <c r="BN70" s="9" t="s">
        <v>145</v>
      </c>
      <c r="BO70" s="9" t="s">
        <v>145</v>
      </c>
      <c r="BP70" s="9" t="s">
        <v>145</v>
      </c>
      <c r="BQ70" s="9" t="s">
        <v>145</v>
      </c>
      <c r="BR70" s="9" t="s">
        <v>145</v>
      </c>
      <c r="BS70" s="9" t="s">
        <v>145</v>
      </c>
      <c r="BT70" s="9" t="s">
        <v>145</v>
      </c>
      <c r="BU70" s="9" t="s">
        <v>145</v>
      </c>
      <c r="BV70" s="9" t="s">
        <v>145</v>
      </c>
      <c r="BW70" s="9" t="s">
        <v>145</v>
      </c>
      <c r="BX70" s="9" t="s">
        <v>145</v>
      </c>
      <c r="BY70" s="9" t="s">
        <v>145</v>
      </c>
      <c r="BZ70" s="9" t="s">
        <v>145</v>
      </c>
      <c r="CA70" s="9" t="s">
        <v>145</v>
      </c>
      <c r="CB70" s="9" t="s">
        <v>145</v>
      </c>
      <c r="CC70" s="9" t="s">
        <v>145</v>
      </c>
      <c r="CD70" s="16" t="s">
        <v>145</v>
      </c>
    </row>
    <row r="71" spans="6:82">
      <c r="F71" s="17">
        <v>250</v>
      </c>
      <c r="G71" s="9" t="s">
        <v>145</v>
      </c>
      <c r="H71" s="9" t="s">
        <v>145</v>
      </c>
      <c r="I71" s="9" t="s">
        <v>145</v>
      </c>
      <c r="J71" s="9" t="s">
        <v>145</v>
      </c>
      <c r="K71" s="9" t="s">
        <v>145</v>
      </c>
      <c r="L71" s="9" t="s">
        <v>145</v>
      </c>
      <c r="M71" s="9" t="s">
        <v>145</v>
      </c>
      <c r="N71" s="9" t="s">
        <v>145</v>
      </c>
      <c r="O71" s="9" t="s">
        <v>145</v>
      </c>
      <c r="P71" s="9" t="s">
        <v>145</v>
      </c>
      <c r="Q71" s="9" t="s">
        <v>145</v>
      </c>
      <c r="R71" s="9" t="s">
        <v>145</v>
      </c>
      <c r="S71" s="5">
        <f t="shared" si="13"/>
        <v>2500</v>
      </c>
      <c r="T71" s="5">
        <f t="shared" si="13"/>
        <v>2500</v>
      </c>
      <c r="U71" s="5">
        <f t="shared" si="13"/>
        <v>2500</v>
      </c>
      <c r="V71" s="9" t="s">
        <v>145</v>
      </c>
      <c r="W71" s="9" t="s">
        <v>145</v>
      </c>
      <c r="X71" s="9" t="s">
        <v>145</v>
      </c>
      <c r="Y71" s="9" t="s">
        <v>145</v>
      </c>
      <c r="Z71" s="9" t="s">
        <v>145</v>
      </c>
      <c r="AA71" s="9" t="s">
        <v>145</v>
      </c>
      <c r="AB71" s="9" t="s">
        <v>145</v>
      </c>
      <c r="AC71" s="9" t="s">
        <v>145</v>
      </c>
      <c r="AD71" s="9" t="s">
        <v>145</v>
      </c>
      <c r="AE71" s="9" t="s">
        <v>145</v>
      </c>
      <c r="AF71" s="43">
        <v>2500</v>
      </c>
      <c r="AG71" s="43">
        <v>2500</v>
      </c>
      <c r="AH71" s="43">
        <v>2500</v>
      </c>
      <c r="AI71" s="9" t="s">
        <v>145</v>
      </c>
      <c r="AJ71" s="9" t="s">
        <v>145</v>
      </c>
      <c r="AK71" s="9" t="s">
        <v>145</v>
      </c>
      <c r="AL71" s="9" t="s">
        <v>145</v>
      </c>
      <c r="AM71" s="9" t="s">
        <v>145</v>
      </c>
      <c r="AN71" s="9" t="s">
        <v>145</v>
      </c>
      <c r="AO71" s="9" t="s">
        <v>145</v>
      </c>
      <c r="AP71" s="9" t="s">
        <v>145</v>
      </c>
      <c r="AQ71" s="9" t="s">
        <v>145</v>
      </c>
      <c r="AR71" s="9" t="s">
        <v>145</v>
      </c>
      <c r="AS71" s="9" t="s">
        <v>145</v>
      </c>
      <c r="AT71" s="9" t="s">
        <v>145</v>
      </c>
      <c r="AU71" s="9" t="s">
        <v>145</v>
      </c>
      <c r="AV71" s="9" t="s">
        <v>145</v>
      </c>
      <c r="AW71" s="9" t="s">
        <v>145</v>
      </c>
      <c r="AX71" s="9" t="s">
        <v>145</v>
      </c>
      <c r="AY71" s="5" t="s">
        <v>146</v>
      </c>
      <c r="AZ71" s="5" t="s">
        <v>146</v>
      </c>
      <c r="BA71" s="5" t="s">
        <v>146</v>
      </c>
      <c r="BB71" s="5" t="s">
        <v>146</v>
      </c>
      <c r="BC71" s="5" t="s">
        <v>146</v>
      </c>
      <c r="BD71" s="5" t="s">
        <v>146</v>
      </c>
      <c r="BE71" s="9" t="s">
        <v>145</v>
      </c>
      <c r="BF71" s="9" t="s">
        <v>145</v>
      </c>
      <c r="BG71" s="9" t="s">
        <v>145</v>
      </c>
      <c r="BH71" s="9" t="s">
        <v>145</v>
      </c>
      <c r="BI71" s="9" t="s">
        <v>145</v>
      </c>
      <c r="BJ71" s="9" t="s">
        <v>145</v>
      </c>
      <c r="BK71" s="9" t="s">
        <v>145</v>
      </c>
      <c r="BL71" s="9" t="s">
        <v>145</v>
      </c>
      <c r="BM71" s="9" t="s">
        <v>145</v>
      </c>
      <c r="BN71" s="9" t="s">
        <v>145</v>
      </c>
      <c r="BO71" s="9" t="s">
        <v>145</v>
      </c>
      <c r="BP71" s="9" t="s">
        <v>145</v>
      </c>
      <c r="BQ71" s="9" t="s">
        <v>145</v>
      </c>
      <c r="BR71" s="9" t="s">
        <v>145</v>
      </c>
      <c r="BS71" s="9" t="s">
        <v>145</v>
      </c>
      <c r="BT71" s="9" t="s">
        <v>145</v>
      </c>
      <c r="BU71" s="9" t="s">
        <v>145</v>
      </c>
      <c r="BV71" s="9" t="s">
        <v>145</v>
      </c>
      <c r="BW71" s="9" t="s">
        <v>145</v>
      </c>
      <c r="BX71" s="9" t="s">
        <v>145</v>
      </c>
      <c r="BY71" s="9" t="s">
        <v>145</v>
      </c>
      <c r="BZ71" s="9" t="s">
        <v>145</v>
      </c>
      <c r="CA71" s="9" t="s">
        <v>145</v>
      </c>
      <c r="CB71" s="9" t="s">
        <v>145</v>
      </c>
      <c r="CC71" s="9" t="s">
        <v>145</v>
      </c>
      <c r="CD71" s="16" t="s">
        <v>145</v>
      </c>
    </row>
    <row r="72" spans="6:82">
      <c r="F72" s="17">
        <v>320</v>
      </c>
      <c r="G72" s="9" t="s">
        <v>145</v>
      </c>
      <c r="H72" s="9" t="s">
        <v>145</v>
      </c>
      <c r="I72" s="9" t="s">
        <v>145</v>
      </c>
      <c r="J72" s="9" t="s">
        <v>145</v>
      </c>
      <c r="K72" s="9" t="s">
        <v>145</v>
      </c>
      <c r="L72" s="9" t="s">
        <v>145</v>
      </c>
      <c r="M72" s="9" t="s">
        <v>145</v>
      </c>
      <c r="N72" s="9" t="s">
        <v>145</v>
      </c>
      <c r="O72" s="9" t="s">
        <v>145</v>
      </c>
      <c r="P72" s="9" t="s">
        <v>145</v>
      </c>
      <c r="Q72" s="9" t="s">
        <v>145</v>
      </c>
      <c r="R72" s="9" t="s">
        <v>145</v>
      </c>
      <c r="S72" s="9" t="s">
        <v>145</v>
      </c>
      <c r="T72" s="9" t="s">
        <v>145</v>
      </c>
      <c r="U72" s="9" t="s">
        <v>145</v>
      </c>
      <c r="V72" s="5">
        <f t="shared" si="13"/>
        <v>3200</v>
      </c>
      <c r="W72" s="5">
        <f t="shared" si="13"/>
        <v>3200</v>
      </c>
      <c r="X72" s="9" t="s">
        <v>145</v>
      </c>
      <c r="Y72" s="9" t="s">
        <v>145</v>
      </c>
      <c r="Z72" s="9" t="s">
        <v>145</v>
      </c>
      <c r="AA72" s="9" t="s">
        <v>145</v>
      </c>
      <c r="AB72" s="9" t="s">
        <v>145</v>
      </c>
      <c r="AC72" s="9" t="s">
        <v>145</v>
      </c>
      <c r="AD72" s="9" t="s">
        <v>145</v>
      </c>
      <c r="AE72" s="9" t="s">
        <v>145</v>
      </c>
      <c r="AF72" s="9" t="s">
        <v>145</v>
      </c>
      <c r="AG72" s="9" t="s">
        <v>145</v>
      </c>
      <c r="AH72" s="9" t="s">
        <v>145</v>
      </c>
      <c r="AI72" s="5" t="s">
        <v>146</v>
      </c>
      <c r="AJ72" s="5" t="s">
        <v>146</v>
      </c>
      <c r="AK72" s="9" t="s">
        <v>145</v>
      </c>
      <c r="AL72" s="9" t="s">
        <v>145</v>
      </c>
      <c r="AM72" s="9" t="s">
        <v>145</v>
      </c>
      <c r="AN72" s="9" t="s">
        <v>145</v>
      </c>
      <c r="AO72" s="9" t="s">
        <v>145</v>
      </c>
      <c r="AP72" s="9" t="s">
        <v>145</v>
      </c>
      <c r="AQ72" s="9" t="s">
        <v>145</v>
      </c>
      <c r="AR72" s="9" t="s">
        <v>145</v>
      </c>
      <c r="AS72" s="9" t="s">
        <v>145</v>
      </c>
      <c r="AT72" s="9" t="s">
        <v>145</v>
      </c>
      <c r="AU72" s="9" t="s">
        <v>145</v>
      </c>
      <c r="AV72" s="9" t="s">
        <v>145</v>
      </c>
      <c r="AW72" s="9" t="s">
        <v>145</v>
      </c>
      <c r="AX72" s="9" t="s">
        <v>145</v>
      </c>
      <c r="AY72" s="9" t="s">
        <v>145</v>
      </c>
      <c r="AZ72" s="9" t="s">
        <v>145</v>
      </c>
      <c r="BA72" s="9" t="s">
        <v>145</v>
      </c>
      <c r="BB72" s="9" t="s">
        <v>145</v>
      </c>
      <c r="BC72" s="9" t="s">
        <v>145</v>
      </c>
      <c r="BD72" s="9" t="s">
        <v>145</v>
      </c>
      <c r="BE72" s="9" t="s">
        <v>145</v>
      </c>
      <c r="BF72" s="9" t="s">
        <v>145</v>
      </c>
      <c r="BG72" s="9" t="s">
        <v>145</v>
      </c>
      <c r="BH72" s="9" t="s">
        <v>145</v>
      </c>
      <c r="BI72" s="9" t="s">
        <v>145</v>
      </c>
      <c r="BJ72" s="9" t="s">
        <v>145</v>
      </c>
      <c r="BK72" s="9" t="s">
        <v>145</v>
      </c>
      <c r="BL72" s="9" t="s">
        <v>145</v>
      </c>
      <c r="BM72" s="9" t="s">
        <v>145</v>
      </c>
      <c r="BN72" s="9" t="s">
        <v>145</v>
      </c>
      <c r="BO72" s="9" t="s">
        <v>145</v>
      </c>
      <c r="BP72" s="9" t="s">
        <v>145</v>
      </c>
      <c r="BQ72" s="9" t="s">
        <v>145</v>
      </c>
      <c r="BR72" s="9" t="s">
        <v>145</v>
      </c>
      <c r="BS72" s="9" t="s">
        <v>145</v>
      </c>
      <c r="BT72" s="9" t="s">
        <v>145</v>
      </c>
      <c r="BU72" s="9" t="s">
        <v>145</v>
      </c>
      <c r="BV72" s="9" t="s">
        <v>145</v>
      </c>
      <c r="BW72" s="9" t="s">
        <v>145</v>
      </c>
      <c r="BX72" s="9" t="s">
        <v>145</v>
      </c>
      <c r="BY72" s="9" t="s">
        <v>145</v>
      </c>
      <c r="BZ72" s="9" t="s">
        <v>145</v>
      </c>
      <c r="CA72" s="9" t="s">
        <v>145</v>
      </c>
      <c r="CB72" s="9" t="s">
        <v>145</v>
      </c>
      <c r="CC72" s="9" t="s">
        <v>145</v>
      </c>
      <c r="CD72" s="16" t="s">
        <v>145</v>
      </c>
    </row>
    <row r="73" spans="6:82">
      <c r="F73" s="17">
        <v>350</v>
      </c>
      <c r="G73" s="9" t="s">
        <v>145</v>
      </c>
      <c r="H73" s="9" t="s">
        <v>145</v>
      </c>
      <c r="I73" s="9" t="s">
        <v>145</v>
      </c>
      <c r="J73" s="9" t="s">
        <v>145</v>
      </c>
      <c r="K73" s="9" t="s">
        <v>145</v>
      </c>
      <c r="L73" s="9" t="s">
        <v>145</v>
      </c>
      <c r="M73" s="9" t="s">
        <v>145</v>
      </c>
      <c r="N73" s="9" t="s">
        <v>145</v>
      </c>
      <c r="O73" s="9" t="s">
        <v>145</v>
      </c>
      <c r="P73" s="9" t="s">
        <v>145</v>
      </c>
      <c r="Q73" s="9" t="s">
        <v>145</v>
      </c>
      <c r="R73" s="9" t="s">
        <v>145</v>
      </c>
      <c r="S73" s="9" t="s">
        <v>145</v>
      </c>
      <c r="T73" s="9" t="s">
        <v>145</v>
      </c>
      <c r="U73" s="9" t="s">
        <v>145</v>
      </c>
      <c r="V73" s="5">
        <f t="shared" si="13"/>
        <v>3500</v>
      </c>
      <c r="W73" s="5">
        <f t="shared" si="13"/>
        <v>3500</v>
      </c>
      <c r="X73" s="9" t="s">
        <v>145</v>
      </c>
      <c r="Y73" s="9" t="s">
        <v>145</v>
      </c>
      <c r="Z73" s="9" t="s">
        <v>145</v>
      </c>
      <c r="AA73" s="9" t="s">
        <v>145</v>
      </c>
      <c r="AB73" s="9" t="s">
        <v>145</v>
      </c>
      <c r="AC73" s="9" t="s">
        <v>145</v>
      </c>
      <c r="AD73" s="9" t="s">
        <v>145</v>
      </c>
      <c r="AE73" s="9" t="s">
        <v>145</v>
      </c>
      <c r="AF73" s="9" t="s">
        <v>145</v>
      </c>
      <c r="AG73" s="9" t="s">
        <v>145</v>
      </c>
      <c r="AH73" s="9" t="s">
        <v>145</v>
      </c>
      <c r="AI73" s="9" t="s">
        <v>145</v>
      </c>
      <c r="AJ73" s="9" t="s">
        <v>145</v>
      </c>
      <c r="AK73" s="9" t="s">
        <v>145</v>
      </c>
      <c r="AL73" s="9" t="s">
        <v>145</v>
      </c>
      <c r="AM73" s="9" t="s">
        <v>145</v>
      </c>
      <c r="AN73" s="9" t="s">
        <v>145</v>
      </c>
      <c r="AO73" s="9" t="s">
        <v>145</v>
      </c>
      <c r="AP73" s="9" t="s">
        <v>145</v>
      </c>
      <c r="AQ73" s="9" t="s">
        <v>145</v>
      </c>
      <c r="AR73" s="9" t="s">
        <v>145</v>
      </c>
      <c r="AS73" s="9" t="s">
        <v>145</v>
      </c>
      <c r="AT73" s="9" t="s">
        <v>145</v>
      </c>
      <c r="AU73" s="9" t="s">
        <v>145</v>
      </c>
      <c r="AV73" s="9" t="s">
        <v>145</v>
      </c>
      <c r="AW73" s="9" t="s">
        <v>145</v>
      </c>
      <c r="AX73" s="9" t="s">
        <v>145</v>
      </c>
      <c r="AY73" s="9" t="s">
        <v>145</v>
      </c>
      <c r="AZ73" s="9" t="s">
        <v>145</v>
      </c>
      <c r="BA73" s="9" t="s">
        <v>145</v>
      </c>
      <c r="BB73" s="9" t="s">
        <v>145</v>
      </c>
      <c r="BC73" s="9" t="s">
        <v>145</v>
      </c>
      <c r="BD73" s="9" t="s">
        <v>145</v>
      </c>
      <c r="BE73" s="9" t="s">
        <v>145</v>
      </c>
      <c r="BF73" s="9" t="s">
        <v>145</v>
      </c>
      <c r="BG73" s="9" t="s">
        <v>145</v>
      </c>
      <c r="BH73" s="9" t="s">
        <v>145</v>
      </c>
      <c r="BI73" s="9" t="s">
        <v>145</v>
      </c>
      <c r="BJ73" s="9" t="s">
        <v>145</v>
      </c>
      <c r="BK73" s="9" t="s">
        <v>145</v>
      </c>
      <c r="BL73" s="9" t="s">
        <v>145</v>
      </c>
      <c r="BM73" s="9" t="s">
        <v>145</v>
      </c>
      <c r="BN73" s="9" t="s">
        <v>145</v>
      </c>
      <c r="BO73" s="9" t="s">
        <v>145</v>
      </c>
      <c r="BP73" s="9" t="s">
        <v>145</v>
      </c>
      <c r="BQ73" s="9" t="s">
        <v>145</v>
      </c>
      <c r="BR73" s="9" t="s">
        <v>145</v>
      </c>
      <c r="BS73" s="9" t="s">
        <v>145</v>
      </c>
      <c r="BT73" s="9" t="s">
        <v>145</v>
      </c>
      <c r="BU73" s="9" t="s">
        <v>145</v>
      </c>
      <c r="BV73" s="9" t="s">
        <v>145</v>
      </c>
      <c r="BW73" s="9" t="s">
        <v>145</v>
      </c>
      <c r="BX73" s="9" t="s">
        <v>145</v>
      </c>
      <c r="BY73" s="9" t="s">
        <v>145</v>
      </c>
      <c r="BZ73" s="9" t="s">
        <v>145</v>
      </c>
      <c r="CA73" s="9" t="s">
        <v>145</v>
      </c>
      <c r="CB73" s="9" t="s">
        <v>145</v>
      </c>
      <c r="CC73" s="9" t="s">
        <v>145</v>
      </c>
      <c r="CD73" s="16" t="s">
        <v>145</v>
      </c>
    </row>
    <row r="74" spans="6:82">
      <c r="F74" s="17">
        <v>400</v>
      </c>
      <c r="G74" s="9" t="s">
        <v>145</v>
      </c>
      <c r="H74" s="9" t="s">
        <v>145</v>
      </c>
      <c r="I74" s="9" t="s">
        <v>145</v>
      </c>
      <c r="J74" s="9" t="s">
        <v>145</v>
      </c>
      <c r="K74" s="9" t="s">
        <v>145</v>
      </c>
      <c r="L74" s="9" t="s">
        <v>145</v>
      </c>
      <c r="M74" s="9" t="s">
        <v>145</v>
      </c>
      <c r="N74" s="9" t="s">
        <v>145</v>
      </c>
      <c r="O74" s="9" t="s">
        <v>145</v>
      </c>
      <c r="P74" s="9" t="s">
        <v>145</v>
      </c>
      <c r="Q74" s="9" t="s">
        <v>145</v>
      </c>
      <c r="R74" s="9" t="s">
        <v>145</v>
      </c>
      <c r="S74" s="9" t="s">
        <v>145</v>
      </c>
      <c r="T74" s="9" t="s">
        <v>145</v>
      </c>
      <c r="U74" s="9" t="s">
        <v>145</v>
      </c>
      <c r="V74" s="5">
        <f t="shared" si="13"/>
        <v>4000</v>
      </c>
      <c r="W74" s="5">
        <f t="shared" si="13"/>
        <v>4000</v>
      </c>
      <c r="X74" s="5">
        <f t="shared" si="13"/>
        <v>4000</v>
      </c>
      <c r="Y74" s="5">
        <f t="shared" si="13"/>
        <v>4000</v>
      </c>
      <c r="Z74" s="9" t="s">
        <v>145</v>
      </c>
      <c r="AA74" s="9" t="s">
        <v>145</v>
      </c>
      <c r="AB74" s="9" t="s">
        <v>145</v>
      </c>
      <c r="AC74" s="9" t="s">
        <v>145</v>
      </c>
      <c r="AD74" s="9" t="s">
        <v>145</v>
      </c>
      <c r="AE74" s="9" t="s">
        <v>145</v>
      </c>
      <c r="AF74" s="9" t="s">
        <v>145</v>
      </c>
      <c r="AG74" s="9" t="s">
        <v>145</v>
      </c>
      <c r="AH74" s="9" t="s">
        <v>145</v>
      </c>
      <c r="AI74" s="5" t="s">
        <v>146</v>
      </c>
      <c r="AJ74" s="5" t="s">
        <v>146</v>
      </c>
      <c r="AK74" s="9" t="s">
        <v>145</v>
      </c>
      <c r="AL74" s="9" t="s">
        <v>145</v>
      </c>
      <c r="AM74" s="9" t="s">
        <v>145</v>
      </c>
      <c r="AN74" s="9" t="s">
        <v>145</v>
      </c>
      <c r="AO74" s="9" t="s">
        <v>145</v>
      </c>
      <c r="AP74" s="9" t="s">
        <v>145</v>
      </c>
      <c r="AQ74" s="9" t="s">
        <v>145</v>
      </c>
      <c r="AR74" s="9" t="s">
        <v>145</v>
      </c>
      <c r="AS74" s="9" t="s">
        <v>145</v>
      </c>
      <c r="AT74" s="9" t="s">
        <v>145</v>
      </c>
      <c r="AU74" s="9" t="s">
        <v>145</v>
      </c>
      <c r="AV74" s="9" t="s">
        <v>145</v>
      </c>
      <c r="AW74" s="9" t="s">
        <v>145</v>
      </c>
      <c r="AX74" s="9" t="s">
        <v>145</v>
      </c>
      <c r="AY74" s="9" t="s">
        <v>145</v>
      </c>
      <c r="AZ74" s="9" t="s">
        <v>145</v>
      </c>
      <c r="BA74" s="9" t="s">
        <v>145</v>
      </c>
      <c r="BB74" s="9" t="s">
        <v>145</v>
      </c>
      <c r="BC74" s="9" t="s">
        <v>145</v>
      </c>
      <c r="BD74" s="9" t="s">
        <v>145</v>
      </c>
      <c r="BE74" s="5" t="s">
        <v>146</v>
      </c>
      <c r="BF74" s="5" t="s">
        <v>146</v>
      </c>
      <c r="BG74" s="5" t="s">
        <v>146</v>
      </c>
      <c r="BH74" s="5" t="s">
        <v>146</v>
      </c>
      <c r="BI74" s="5" t="s">
        <v>146</v>
      </c>
      <c r="BJ74" s="5" t="s">
        <v>146</v>
      </c>
      <c r="BK74" s="5" t="s">
        <v>146</v>
      </c>
      <c r="BL74" s="5" t="s">
        <v>146</v>
      </c>
      <c r="BM74" s="5" t="s">
        <v>146</v>
      </c>
      <c r="BN74" s="5" t="s">
        <v>146</v>
      </c>
      <c r="BO74" s="9" t="s">
        <v>145</v>
      </c>
      <c r="BP74" s="9" t="s">
        <v>145</v>
      </c>
      <c r="BQ74" s="9" t="s">
        <v>145</v>
      </c>
      <c r="BR74" s="9" t="s">
        <v>145</v>
      </c>
      <c r="BS74" s="9" t="s">
        <v>145</v>
      </c>
      <c r="BT74" s="9" t="s">
        <v>145</v>
      </c>
      <c r="BU74" s="9" t="s">
        <v>145</v>
      </c>
      <c r="BV74" s="9" t="s">
        <v>145</v>
      </c>
      <c r="BW74" s="9" t="s">
        <v>145</v>
      </c>
      <c r="BX74" s="9" t="s">
        <v>145</v>
      </c>
      <c r="BY74" s="9" t="s">
        <v>145</v>
      </c>
      <c r="BZ74" s="9" t="s">
        <v>145</v>
      </c>
      <c r="CA74" s="9" t="s">
        <v>145</v>
      </c>
      <c r="CB74" s="9" t="s">
        <v>145</v>
      </c>
      <c r="CC74" s="9" t="s">
        <v>145</v>
      </c>
      <c r="CD74" s="16" t="s">
        <v>145</v>
      </c>
    </row>
    <row r="75" spans="6:82">
      <c r="F75" s="17">
        <v>500</v>
      </c>
      <c r="G75" s="9" t="s">
        <v>145</v>
      </c>
      <c r="H75" s="9" t="s">
        <v>145</v>
      </c>
      <c r="I75" s="9" t="s">
        <v>145</v>
      </c>
      <c r="J75" s="9" t="s">
        <v>145</v>
      </c>
      <c r="K75" s="9" t="s">
        <v>145</v>
      </c>
      <c r="L75" s="9" t="s">
        <v>145</v>
      </c>
      <c r="M75" s="9" t="s">
        <v>145</v>
      </c>
      <c r="N75" s="9" t="s">
        <v>145</v>
      </c>
      <c r="O75" s="9" t="s">
        <v>145</v>
      </c>
      <c r="P75" s="9" t="s">
        <v>145</v>
      </c>
      <c r="Q75" s="9" t="s">
        <v>145</v>
      </c>
      <c r="R75" s="9" t="s">
        <v>145</v>
      </c>
      <c r="S75" s="9" t="s">
        <v>145</v>
      </c>
      <c r="T75" s="9" t="s">
        <v>145</v>
      </c>
      <c r="U75" s="9" t="s">
        <v>145</v>
      </c>
      <c r="V75" s="9" t="s">
        <v>145</v>
      </c>
      <c r="W75" s="9" t="s">
        <v>145</v>
      </c>
      <c r="X75" s="5">
        <f t="shared" si="13"/>
        <v>5000</v>
      </c>
      <c r="Y75" s="5">
        <f t="shared" si="13"/>
        <v>5000</v>
      </c>
      <c r="Z75" s="9" t="s">
        <v>145</v>
      </c>
      <c r="AA75" s="9" t="s">
        <v>145</v>
      </c>
      <c r="AB75" s="9" t="s">
        <v>145</v>
      </c>
      <c r="AC75" s="9" t="s">
        <v>145</v>
      </c>
      <c r="AD75" s="9" t="s">
        <v>145</v>
      </c>
      <c r="AE75" s="9" t="s">
        <v>145</v>
      </c>
      <c r="AF75" s="9" t="s">
        <v>145</v>
      </c>
      <c r="AG75" s="9" t="s">
        <v>145</v>
      </c>
      <c r="AH75" s="9" t="s">
        <v>145</v>
      </c>
      <c r="AI75" s="9" t="s">
        <v>145</v>
      </c>
      <c r="AJ75" s="9" t="s">
        <v>145</v>
      </c>
      <c r="AK75" s="5" t="s">
        <v>146</v>
      </c>
      <c r="AL75" s="5" t="s">
        <v>146</v>
      </c>
      <c r="AM75" s="9" t="s">
        <v>145</v>
      </c>
      <c r="AN75" s="9" t="s">
        <v>145</v>
      </c>
      <c r="AO75" s="9" t="s">
        <v>145</v>
      </c>
      <c r="AP75" s="9" t="s">
        <v>145</v>
      </c>
      <c r="AQ75" s="9" t="s">
        <v>145</v>
      </c>
      <c r="AR75" s="9" t="s">
        <v>145</v>
      </c>
      <c r="AS75" s="9" t="s">
        <v>145</v>
      </c>
      <c r="AT75" s="9" t="s">
        <v>145</v>
      </c>
      <c r="AU75" s="9" t="s">
        <v>145</v>
      </c>
      <c r="AV75" s="9" t="s">
        <v>145</v>
      </c>
      <c r="AW75" s="9" t="s">
        <v>145</v>
      </c>
      <c r="AX75" s="9" t="s">
        <v>145</v>
      </c>
      <c r="AY75" s="9" t="s">
        <v>145</v>
      </c>
      <c r="AZ75" s="9" t="s">
        <v>145</v>
      </c>
      <c r="BA75" s="9" t="s">
        <v>145</v>
      </c>
      <c r="BB75" s="9" t="s">
        <v>145</v>
      </c>
      <c r="BC75" s="9" t="s">
        <v>145</v>
      </c>
      <c r="BD75" s="9" t="s">
        <v>145</v>
      </c>
      <c r="BE75" s="9" t="s">
        <v>145</v>
      </c>
      <c r="BF75" s="9" t="s">
        <v>145</v>
      </c>
      <c r="BG75" s="9" t="s">
        <v>145</v>
      </c>
      <c r="BH75" s="9" t="s">
        <v>145</v>
      </c>
      <c r="BI75" s="9" t="s">
        <v>145</v>
      </c>
      <c r="BJ75" s="9" t="s">
        <v>145</v>
      </c>
      <c r="BK75" s="9" t="s">
        <v>145</v>
      </c>
      <c r="BL75" s="9" t="s">
        <v>145</v>
      </c>
      <c r="BM75" s="9" t="s">
        <v>145</v>
      </c>
      <c r="BN75" s="9" t="s">
        <v>145</v>
      </c>
      <c r="BO75" s="9" t="s">
        <v>145</v>
      </c>
      <c r="BP75" s="9" t="s">
        <v>145</v>
      </c>
      <c r="BQ75" s="9" t="s">
        <v>145</v>
      </c>
      <c r="BR75" s="9" t="s">
        <v>145</v>
      </c>
      <c r="BS75" s="9" t="s">
        <v>145</v>
      </c>
      <c r="BT75" s="9" t="s">
        <v>145</v>
      </c>
      <c r="BU75" s="9" t="s">
        <v>145</v>
      </c>
      <c r="BV75" s="9" t="s">
        <v>145</v>
      </c>
      <c r="BW75" s="9" t="s">
        <v>145</v>
      </c>
      <c r="BX75" s="9" t="s">
        <v>145</v>
      </c>
      <c r="BY75" s="9" t="s">
        <v>145</v>
      </c>
      <c r="BZ75" s="9" t="s">
        <v>145</v>
      </c>
      <c r="CA75" s="9" t="s">
        <v>145</v>
      </c>
      <c r="CB75" s="9" t="s">
        <v>145</v>
      </c>
      <c r="CC75" s="9" t="s">
        <v>145</v>
      </c>
      <c r="CD75" s="16" t="s">
        <v>145</v>
      </c>
    </row>
    <row r="76" spans="6:82">
      <c r="F76" s="17">
        <v>600</v>
      </c>
      <c r="G76" s="9" t="s">
        <v>145</v>
      </c>
      <c r="H76" s="9" t="s">
        <v>145</v>
      </c>
      <c r="I76" s="9" t="s">
        <v>145</v>
      </c>
      <c r="J76" s="9" t="s">
        <v>145</v>
      </c>
      <c r="K76" s="9" t="s">
        <v>145</v>
      </c>
      <c r="L76" s="9" t="s">
        <v>145</v>
      </c>
      <c r="M76" s="9" t="s">
        <v>145</v>
      </c>
      <c r="N76" s="9" t="s">
        <v>145</v>
      </c>
      <c r="O76" s="9" t="s">
        <v>145</v>
      </c>
      <c r="P76" s="9" t="s">
        <v>145</v>
      </c>
      <c r="Q76" s="9" t="s">
        <v>145</v>
      </c>
      <c r="R76" s="9" t="s">
        <v>145</v>
      </c>
      <c r="S76" s="9" t="s">
        <v>145</v>
      </c>
      <c r="T76" s="9" t="s">
        <v>145</v>
      </c>
      <c r="U76" s="9" t="s">
        <v>145</v>
      </c>
      <c r="V76" s="9" t="s">
        <v>145</v>
      </c>
      <c r="W76" s="9" t="s">
        <v>145</v>
      </c>
      <c r="X76" s="5">
        <f t="shared" si="13"/>
        <v>6000</v>
      </c>
      <c r="Y76" s="5">
        <f t="shared" si="13"/>
        <v>6000</v>
      </c>
      <c r="Z76" s="9" t="s">
        <v>145</v>
      </c>
      <c r="AA76" s="9" t="s">
        <v>145</v>
      </c>
      <c r="AB76" s="9" t="s">
        <v>145</v>
      </c>
      <c r="AC76" s="9" t="s">
        <v>145</v>
      </c>
      <c r="AD76" s="9" t="s">
        <v>145</v>
      </c>
      <c r="AE76" s="9" t="s">
        <v>145</v>
      </c>
      <c r="AF76" s="9" t="s">
        <v>145</v>
      </c>
      <c r="AG76" s="9" t="s">
        <v>145</v>
      </c>
      <c r="AH76" s="9" t="s">
        <v>145</v>
      </c>
      <c r="AI76" s="9" t="s">
        <v>145</v>
      </c>
      <c r="AJ76" s="9" t="s">
        <v>145</v>
      </c>
      <c r="AK76" s="5" t="s">
        <v>146</v>
      </c>
      <c r="AL76" s="5" t="s">
        <v>146</v>
      </c>
      <c r="AM76" s="9" t="s">
        <v>145</v>
      </c>
      <c r="AN76" s="9" t="s">
        <v>145</v>
      </c>
      <c r="AO76" s="9" t="s">
        <v>145</v>
      </c>
      <c r="AP76" s="9" t="s">
        <v>145</v>
      </c>
      <c r="AQ76" s="9" t="s">
        <v>145</v>
      </c>
      <c r="AR76" s="9" t="s">
        <v>145</v>
      </c>
      <c r="AS76" s="9" t="s">
        <v>145</v>
      </c>
      <c r="AT76" s="9" t="s">
        <v>145</v>
      </c>
      <c r="AU76" s="9" t="s">
        <v>145</v>
      </c>
      <c r="AV76" s="9" t="s">
        <v>145</v>
      </c>
      <c r="AW76" s="9" t="s">
        <v>145</v>
      </c>
      <c r="AX76" s="9" t="s">
        <v>145</v>
      </c>
      <c r="AY76" s="9" t="s">
        <v>145</v>
      </c>
      <c r="AZ76" s="9" t="s">
        <v>145</v>
      </c>
      <c r="BA76" s="9" t="s">
        <v>145</v>
      </c>
      <c r="BB76" s="9" t="s">
        <v>145</v>
      </c>
      <c r="BC76" s="9" t="s">
        <v>145</v>
      </c>
      <c r="BD76" s="9" t="s">
        <v>145</v>
      </c>
      <c r="BE76" s="9" t="s">
        <v>145</v>
      </c>
      <c r="BF76" s="9" t="s">
        <v>145</v>
      </c>
      <c r="BG76" s="9" t="s">
        <v>145</v>
      </c>
      <c r="BH76" s="9" t="s">
        <v>145</v>
      </c>
      <c r="BI76" s="9" t="s">
        <v>145</v>
      </c>
      <c r="BJ76" s="9" t="s">
        <v>145</v>
      </c>
      <c r="BK76" s="9" t="s">
        <v>145</v>
      </c>
      <c r="BL76" s="9" t="s">
        <v>145</v>
      </c>
      <c r="BM76" s="9" t="s">
        <v>145</v>
      </c>
      <c r="BN76" s="9" t="s">
        <v>145</v>
      </c>
      <c r="BO76" s="9" t="s">
        <v>145</v>
      </c>
      <c r="BP76" s="9" t="s">
        <v>145</v>
      </c>
      <c r="BQ76" s="9" t="s">
        <v>145</v>
      </c>
      <c r="BR76" s="9" t="s">
        <v>145</v>
      </c>
      <c r="BS76" s="9" t="s">
        <v>145</v>
      </c>
      <c r="BT76" s="9" t="s">
        <v>145</v>
      </c>
      <c r="BU76" s="9" t="s">
        <v>145</v>
      </c>
      <c r="BV76" s="9" t="s">
        <v>145</v>
      </c>
      <c r="BW76" s="9" t="s">
        <v>145</v>
      </c>
      <c r="BX76" s="9" t="s">
        <v>145</v>
      </c>
      <c r="BY76" s="9" t="s">
        <v>145</v>
      </c>
      <c r="BZ76" s="9" t="s">
        <v>145</v>
      </c>
      <c r="CA76" s="9" t="s">
        <v>145</v>
      </c>
      <c r="CB76" s="9" t="s">
        <v>145</v>
      </c>
      <c r="CC76" s="9" t="s">
        <v>145</v>
      </c>
      <c r="CD76" s="16" t="s">
        <v>145</v>
      </c>
    </row>
    <row r="77" spans="6:82">
      <c r="F77" s="17">
        <v>630</v>
      </c>
      <c r="G77" s="9" t="s">
        <v>145</v>
      </c>
      <c r="H77" s="9" t="s">
        <v>145</v>
      </c>
      <c r="I77" s="9" t="s">
        <v>145</v>
      </c>
      <c r="J77" s="9" t="s">
        <v>145</v>
      </c>
      <c r="K77" s="9" t="s">
        <v>145</v>
      </c>
      <c r="L77" s="9" t="s">
        <v>145</v>
      </c>
      <c r="M77" s="9" t="s">
        <v>145</v>
      </c>
      <c r="N77" s="9" t="s">
        <v>145</v>
      </c>
      <c r="O77" s="9" t="s">
        <v>145</v>
      </c>
      <c r="P77" s="9" t="s">
        <v>145</v>
      </c>
      <c r="Q77" s="9" t="s">
        <v>145</v>
      </c>
      <c r="R77" s="9" t="s">
        <v>145</v>
      </c>
      <c r="S77" s="9" t="s">
        <v>145</v>
      </c>
      <c r="T77" s="9" t="s">
        <v>145</v>
      </c>
      <c r="U77" s="9" t="s">
        <v>145</v>
      </c>
      <c r="V77" s="9" t="s">
        <v>145</v>
      </c>
      <c r="W77" s="9" t="s">
        <v>145</v>
      </c>
      <c r="X77" s="9" t="s">
        <v>145</v>
      </c>
      <c r="Y77" s="9" t="s">
        <v>145</v>
      </c>
      <c r="Z77" s="9" t="s">
        <v>145</v>
      </c>
      <c r="AA77" s="9" t="s">
        <v>145</v>
      </c>
      <c r="AB77" s="9" t="s">
        <v>145</v>
      </c>
      <c r="AC77" s="9" t="s">
        <v>145</v>
      </c>
      <c r="AD77" s="9" t="s">
        <v>145</v>
      </c>
      <c r="AE77" s="9" t="s">
        <v>145</v>
      </c>
      <c r="AF77" s="9" t="s">
        <v>145</v>
      </c>
      <c r="AG77" s="9" t="s">
        <v>145</v>
      </c>
      <c r="AH77" s="9" t="s">
        <v>145</v>
      </c>
      <c r="AI77" s="9" t="s">
        <v>145</v>
      </c>
      <c r="AJ77" s="9" t="s">
        <v>145</v>
      </c>
      <c r="AK77" s="9" t="s">
        <v>145</v>
      </c>
      <c r="AL77" s="9" t="s">
        <v>145</v>
      </c>
      <c r="AM77" s="9" t="s">
        <v>145</v>
      </c>
      <c r="AN77" s="9" t="s">
        <v>145</v>
      </c>
      <c r="AO77" s="9" t="s">
        <v>145</v>
      </c>
      <c r="AP77" s="9" t="s">
        <v>145</v>
      </c>
      <c r="AQ77" s="9" t="s">
        <v>145</v>
      </c>
      <c r="AR77" s="9" t="s">
        <v>145</v>
      </c>
      <c r="AS77" s="9" t="s">
        <v>145</v>
      </c>
      <c r="AT77" s="9" t="s">
        <v>145</v>
      </c>
      <c r="AU77" s="9" t="s">
        <v>145</v>
      </c>
      <c r="AV77" s="9" t="s">
        <v>145</v>
      </c>
      <c r="AW77" s="9" t="s">
        <v>145</v>
      </c>
      <c r="AX77" s="9" t="s">
        <v>145</v>
      </c>
      <c r="AY77" s="9" t="s">
        <v>145</v>
      </c>
      <c r="AZ77" s="9" t="s">
        <v>145</v>
      </c>
      <c r="BA77" s="9" t="s">
        <v>145</v>
      </c>
      <c r="BB77" s="9" t="s">
        <v>145</v>
      </c>
      <c r="BC77" s="9" t="s">
        <v>145</v>
      </c>
      <c r="BD77" s="9" t="s">
        <v>145</v>
      </c>
      <c r="BE77" s="9" t="s">
        <v>145</v>
      </c>
      <c r="BF77" s="9" t="s">
        <v>145</v>
      </c>
      <c r="BG77" s="9" t="s">
        <v>145</v>
      </c>
      <c r="BH77" s="9" t="s">
        <v>145</v>
      </c>
      <c r="BI77" s="9" t="s">
        <v>145</v>
      </c>
      <c r="BJ77" s="5" t="s">
        <v>146</v>
      </c>
      <c r="BK77" s="5" t="s">
        <v>146</v>
      </c>
      <c r="BL77" s="5" t="s">
        <v>146</v>
      </c>
      <c r="BM77" s="5" t="s">
        <v>146</v>
      </c>
      <c r="BN77" s="5" t="s">
        <v>146</v>
      </c>
      <c r="BO77" s="9" t="s">
        <v>145</v>
      </c>
      <c r="BP77" s="9" t="s">
        <v>145</v>
      </c>
      <c r="BQ77" s="9" t="s">
        <v>145</v>
      </c>
      <c r="BR77" s="9" t="s">
        <v>145</v>
      </c>
      <c r="BS77" s="9" t="s">
        <v>145</v>
      </c>
      <c r="BT77" s="9" t="s">
        <v>145</v>
      </c>
      <c r="BU77" s="9" t="s">
        <v>145</v>
      </c>
      <c r="BV77" s="9" t="s">
        <v>145</v>
      </c>
      <c r="BW77" s="9" t="s">
        <v>145</v>
      </c>
      <c r="BX77" s="9" t="s">
        <v>145</v>
      </c>
      <c r="BY77" s="9" t="s">
        <v>145</v>
      </c>
      <c r="BZ77" s="9" t="s">
        <v>145</v>
      </c>
      <c r="CA77" s="9" t="s">
        <v>145</v>
      </c>
      <c r="CB77" s="9" t="s">
        <v>145</v>
      </c>
      <c r="CC77" s="9" t="s">
        <v>145</v>
      </c>
      <c r="CD77" s="16" t="s">
        <v>145</v>
      </c>
    </row>
    <row r="78" spans="6:82">
      <c r="F78" s="17">
        <v>800</v>
      </c>
      <c r="G78" s="9" t="s">
        <v>145</v>
      </c>
      <c r="H78" s="9" t="s">
        <v>145</v>
      </c>
      <c r="I78" s="9" t="s">
        <v>145</v>
      </c>
      <c r="J78" s="9" t="s">
        <v>145</v>
      </c>
      <c r="K78" s="9" t="s">
        <v>145</v>
      </c>
      <c r="L78" s="9" t="s">
        <v>145</v>
      </c>
      <c r="M78" s="9" t="s">
        <v>145</v>
      </c>
      <c r="N78" s="9" t="s">
        <v>145</v>
      </c>
      <c r="O78" s="9" t="s">
        <v>145</v>
      </c>
      <c r="P78" s="9" t="s">
        <v>145</v>
      </c>
      <c r="Q78" s="9" t="s">
        <v>145</v>
      </c>
      <c r="R78" s="9" t="s">
        <v>145</v>
      </c>
      <c r="S78" s="9" t="s">
        <v>145</v>
      </c>
      <c r="T78" s="9" t="s">
        <v>145</v>
      </c>
      <c r="U78" s="9" t="s">
        <v>145</v>
      </c>
      <c r="V78" s="9" t="s">
        <v>145</v>
      </c>
      <c r="W78" s="9" t="s">
        <v>145</v>
      </c>
      <c r="X78" s="9" t="s">
        <v>145</v>
      </c>
      <c r="Y78" s="9" t="s">
        <v>145</v>
      </c>
      <c r="Z78" s="9" t="s">
        <v>145</v>
      </c>
      <c r="AA78" s="9" t="s">
        <v>145</v>
      </c>
      <c r="AB78" s="9" t="s">
        <v>145</v>
      </c>
      <c r="AC78" s="9" t="s">
        <v>145</v>
      </c>
      <c r="AD78" s="9" t="s">
        <v>145</v>
      </c>
      <c r="AE78" s="9" t="s">
        <v>145</v>
      </c>
      <c r="AF78" s="9" t="s">
        <v>145</v>
      </c>
      <c r="AG78" s="9" t="s">
        <v>145</v>
      </c>
      <c r="AH78" s="9" t="s">
        <v>145</v>
      </c>
      <c r="AI78" s="9" t="s">
        <v>145</v>
      </c>
      <c r="AJ78" s="9" t="s">
        <v>145</v>
      </c>
      <c r="AK78" s="9" t="s">
        <v>145</v>
      </c>
      <c r="AL78" s="9" t="s">
        <v>145</v>
      </c>
      <c r="AM78" s="9" t="s">
        <v>145</v>
      </c>
      <c r="AN78" s="9" t="s">
        <v>145</v>
      </c>
      <c r="AO78" s="9" t="s">
        <v>145</v>
      </c>
      <c r="AP78" s="9" t="s">
        <v>145</v>
      </c>
      <c r="AQ78" s="9" t="s">
        <v>145</v>
      </c>
      <c r="AR78" s="9" t="s">
        <v>145</v>
      </c>
      <c r="AS78" s="9" t="s">
        <v>145</v>
      </c>
      <c r="AT78" s="9" t="s">
        <v>145</v>
      </c>
      <c r="AU78" s="9" t="s">
        <v>145</v>
      </c>
      <c r="AV78" s="9" t="s">
        <v>145</v>
      </c>
      <c r="AW78" s="9" t="s">
        <v>145</v>
      </c>
      <c r="AX78" s="9" t="s">
        <v>145</v>
      </c>
      <c r="AY78" s="9" t="s">
        <v>145</v>
      </c>
      <c r="AZ78" s="9" t="s">
        <v>145</v>
      </c>
      <c r="BA78" s="9" t="s">
        <v>145</v>
      </c>
      <c r="BB78" s="9" t="s">
        <v>145</v>
      </c>
      <c r="BC78" s="9" t="s">
        <v>145</v>
      </c>
      <c r="BD78" s="9" t="s">
        <v>145</v>
      </c>
      <c r="BE78" s="9" t="s">
        <v>145</v>
      </c>
      <c r="BF78" s="9" t="s">
        <v>145</v>
      </c>
      <c r="BG78" s="9" t="s">
        <v>145</v>
      </c>
      <c r="BH78" s="9" t="s">
        <v>145</v>
      </c>
      <c r="BI78" s="9" t="s">
        <v>145</v>
      </c>
      <c r="BJ78" s="9" t="s">
        <v>145</v>
      </c>
      <c r="BK78" s="9" t="s">
        <v>145</v>
      </c>
      <c r="BL78" s="9" t="s">
        <v>145</v>
      </c>
      <c r="BM78" s="9" t="s">
        <v>145</v>
      </c>
      <c r="BN78" s="9" t="s">
        <v>145</v>
      </c>
      <c r="BO78" s="5" t="s">
        <v>146</v>
      </c>
      <c r="BP78" s="5" t="s">
        <v>146</v>
      </c>
      <c r="BQ78" s="9" t="s">
        <v>145</v>
      </c>
      <c r="BR78" s="9" t="s">
        <v>145</v>
      </c>
      <c r="BS78" s="9" t="s">
        <v>145</v>
      </c>
      <c r="BT78" s="9" t="s">
        <v>145</v>
      </c>
      <c r="BU78" s="9" t="s">
        <v>145</v>
      </c>
      <c r="BV78" s="9" t="s">
        <v>145</v>
      </c>
      <c r="BW78" s="9" t="s">
        <v>145</v>
      </c>
      <c r="BX78" s="9" t="s">
        <v>145</v>
      </c>
      <c r="BY78" s="9" t="s">
        <v>145</v>
      </c>
      <c r="BZ78" s="9" t="s">
        <v>145</v>
      </c>
      <c r="CA78" s="9" t="s">
        <v>145</v>
      </c>
      <c r="CB78" s="9" t="s">
        <v>145</v>
      </c>
      <c r="CC78" s="9" t="s">
        <v>145</v>
      </c>
      <c r="CD78" s="16" t="s">
        <v>145</v>
      </c>
    </row>
    <row r="79" spans="6:82">
      <c r="F79" s="17">
        <v>1000</v>
      </c>
      <c r="G79" s="9" t="s">
        <v>145</v>
      </c>
      <c r="H79" s="9" t="s">
        <v>145</v>
      </c>
      <c r="I79" s="9" t="s">
        <v>145</v>
      </c>
      <c r="J79" s="9" t="s">
        <v>145</v>
      </c>
      <c r="K79" s="9" t="s">
        <v>145</v>
      </c>
      <c r="L79" s="9" t="s">
        <v>145</v>
      </c>
      <c r="M79" s="9" t="s">
        <v>145</v>
      </c>
      <c r="N79" s="9" t="s">
        <v>145</v>
      </c>
      <c r="O79" s="9" t="s">
        <v>145</v>
      </c>
      <c r="P79" s="9" t="s">
        <v>145</v>
      </c>
      <c r="Q79" s="9" t="s">
        <v>145</v>
      </c>
      <c r="R79" s="9" t="s">
        <v>145</v>
      </c>
      <c r="S79" s="9" t="s">
        <v>145</v>
      </c>
      <c r="T79" s="9" t="s">
        <v>145</v>
      </c>
      <c r="U79" s="9" t="s">
        <v>145</v>
      </c>
      <c r="V79" s="9" t="s">
        <v>145</v>
      </c>
      <c r="W79" s="9" t="s">
        <v>145</v>
      </c>
      <c r="X79" s="9" t="s">
        <v>145</v>
      </c>
      <c r="Y79" s="9" t="s">
        <v>145</v>
      </c>
      <c r="Z79" s="9" t="s">
        <v>145</v>
      </c>
      <c r="AA79" s="9" t="s">
        <v>145</v>
      </c>
      <c r="AB79" s="9" t="s">
        <v>145</v>
      </c>
      <c r="AC79" s="9" t="s">
        <v>145</v>
      </c>
      <c r="AD79" s="9" t="s">
        <v>145</v>
      </c>
      <c r="AE79" s="9" t="s">
        <v>145</v>
      </c>
      <c r="AF79" s="9" t="s">
        <v>145</v>
      </c>
      <c r="AG79" s="9" t="s">
        <v>145</v>
      </c>
      <c r="AH79" s="9" t="s">
        <v>145</v>
      </c>
      <c r="AI79" s="9" t="s">
        <v>145</v>
      </c>
      <c r="AJ79" s="9" t="s">
        <v>145</v>
      </c>
      <c r="AK79" s="9" t="s">
        <v>145</v>
      </c>
      <c r="AL79" s="9" t="s">
        <v>145</v>
      </c>
      <c r="AM79" s="9" t="s">
        <v>145</v>
      </c>
      <c r="AN79" s="9" t="s">
        <v>145</v>
      </c>
      <c r="AO79" s="9" t="s">
        <v>145</v>
      </c>
      <c r="AP79" s="9" t="s">
        <v>145</v>
      </c>
      <c r="AQ79" s="9" t="s">
        <v>145</v>
      </c>
      <c r="AR79" s="9" t="s">
        <v>145</v>
      </c>
      <c r="AS79" s="9" t="s">
        <v>145</v>
      </c>
      <c r="AT79" s="9" t="s">
        <v>145</v>
      </c>
      <c r="AU79" s="9" t="s">
        <v>145</v>
      </c>
      <c r="AV79" s="9" t="s">
        <v>145</v>
      </c>
      <c r="AW79" s="9" t="s">
        <v>145</v>
      </c>
      <c r="AX79" s="9" t="s">
        <v>145</v>
      </c>
      <c r="AY79" s="9" t="s">
        <v>145</v>
      </c>
      <c r="AZ79" s="9" t="s">
        <v>145</v>
      </c>
      <c r="BA79" s="9" t="s">
        <v>145</v>
      </c>
      <c r="BB79" s="9" t="s">
        <v>145</v>
      </c>
      <c r="BC79" s="9" t="s">
        <v>145</v>
      </c>
      <c r="BD79" s="9" t="s">
        <v>145</v>
      </c>
      <c r="BE79" s="9" t="s">
        <v>145</v>
      </c>
      <c r="BF79" s="9" t="s">
        <v>145</v>
      </c>
      <c r="BG79" s="9" t="s">
        <v>145</v>
      </c>
      <c r="BH79" s="9" t="s">
        <v>145</v>
      </c>
      <c r="BI79" s="9" t="s">
        <v>145</v>
      </c>
      <c r="BJ79" s="9" t="s">
        <v>145</v>
      </c>
      <c r="BK79" s="9" t="s">
        <v>145</v>
      </c>
      <c r="BL79" s="9" t="s">
        <v>145</v>
      </c>
      <c r="BM79" s="9" t="s">
        <v>145</v>
      </c>
      <c r="BN79" s="9" t="s">
        <v>145</v>
      </c>
      <c r="BO79" s="9" t="s">
        <v>145</v>
      </c>
      <c r="BP79" s="9" t="s">
        <v>145</v>
      </c>
      <c r="BQ79" s="5" t="s">
        <v>146</v>
      </c>
      <c r="BR79" s="5" t="s">
        <v>146</v>
      </c>
      <c r="BS79" s="9" t="s">
        <v>145</v>
      </c>
      <c r="BT79" s="9" t="s">
        <v>145</v>
      </c>
      <c r="BU79" s="9" t="s">
        <v>145</v>
      </c>
      <c r="BV79" s="9" t="s">
        <v>145</v>
      </c>
      <c r="BW79" s="9" t="s">
        <v>145</v>
      </c>
      <c r="BX79" s="9" t="s">
        <v>145</v>
      </c>
      <c r="BY79" s="9" t="s">
        <v>145</v>
      </c>
      <c r="BZ79" s="9" t="s">
        <v>145</v>
      </c>
      <c r="CA79" s="9" t="s">
        <v>145</v>
      </c>
      <c r="CB79" s="9" t="s">
        <v>145</v>
      </c>
      <c r="CC79" s="9" t="s">
        <v>145</v>
      </c>
      <c r="CD79" s="16" t="s">
        <v>145</v>
      </c>
    </row>
    <row r="80" spans="6:82">
      <c r="F80" s="17">
        <v>1250</v>
      </c>
      <c r="G80" s="9" t="s">
        <v>145</v>
      </c>
      <c r="H80" s="9" t="s">
        <v>145</v>
      </c>
      <c r="I80" s="9" t="s">
        <v>145</v>
      </c>
      <c r="J80" s="9" t="s">
        <v>145</v>
      </c>
      <c r="K80" s="9" t="s">
        <v>145</v>
      </c>
      <c r="L80" s="9" t="s">
        <v>145</v>
      </c>
      <c r="M80" s="9" t="s">
        <v>145</v>
      </c>
      <c r="N80" s="9" t="s">
        <v>145</v>
      </c>
      <c r="O80" s="9" t="s">
        <v>145</v>
      </c>
      <c r="P80" s="9" t="s">
        <v>145</v>
      </c>
      <c r="Q80" s="9" t="s">
        <v>145</v>
      </c>
      <c r="R80" s="9" t="s">
        <v>145</v>
      </c>
      <c r="S80" s="9" t="s">
        <v>145</v>
      </c>
      <c r="T80" s="9" t="s">
        <v>145</v>
      </c>
      <c r="U80" s="9" t="s">
        <v>145</v>
      </c>
      <c r="V80" s="9" t="s">
        <v>145</v>
      </c>
      <c r="W80" s="9" t="s">
        <v>145</v>
      </c>
      <c r="X80" s="9" t="s">
        <v>145</v>
      </c>
      <c r="Y80" s="9" t="s">
        <v>145</v>
      </c>
      <c r="Z80" s="9" t="s">
        <v>145</v>
      </c>
      <c r="AA80" s="9" t="s">
        <v>145</v>
      </c>
      <c r="AB80" s="9" t="s">
        <v>145</v>
      </c>
      <c r="AC80" s="9" t="s">
        <v>145</v>
      </c>
      <c r="AD80" s="9" t="s">
        <v>145</v>
      </c>
      <c r="AE80" s="9" t="s">
        <v>145</v>
      </c>
      <c r="AF80" s="9" t="s">
        <v>145</v>
      </c>
      <c r="AG80" s="9" t="s">
        <v>145</v>
      </c>
      <c r="AH80" s="9" t="s">
        <v>145</v>
      </c>
      <c r="AI80" s="9" t="s">
        <v>145</v>
      </c>
      <c r="AJ80" s="9" t="s">
        <v>145</v>
      </c>
      <c r="AK80" s="9" t="s">
        <v>145</v>
      </c>
      <c r="AL80" s="9" t="s">
        <v>145</v>
      </c>
      <c r="AM80" s="9" t="s">
        <v>145</v>
      </c>
      <c r="AN80" s="9" t="s">
        <v>145</v>
      </c>
      <c r="AO80" s="9" t="s">
        <v>145</v>
      </c>
      <c r="AP80" s="9" t="s">
        <v>145</v>
      </c>
      <c r="AQ80" s="9" t="s">
        <v>145</v>
      </c>
      <c r="AR80" s="9" t="s">
        <v>145</v>
      </c>
      <c r="AS80" s="9" t="s">
        <v>145</v>
      </c>
      <c r="AT80" s="9" t="s">
        <v>145</v>
      </c>
      <c r="AU80" s="9" t="s">
        <v>145</v>
      </c>
      <c r="AV80" s="9" t="s">
        <v>145</v>
      </c>
      <c r="AW80" s="9" t="s">
        <v>145</v>
      </c>
      <c r="AX80" s="9" t="s">
        <v>145</v>
      </c>
      <c r="AY80" s="9" t="s">
        <v>145</v>
      </c>
      <c r="AZ80" s="9" t="s">
        <v>145</v>
      </c>
      <c r="BA80" s="9" t="s">
        <v>145</v>
      </c>
      <c r="BB80" s="9" t="s">
        <v>145</v>
      </c>
      <c r="BC80" s="9" t="s">
        <v>145</v>
      </c>
      <c r="BD80" s="9" t="s">
        <v>145</v>
      </c>
      <c r="BE80" s="9" t="s">
        <v>145</v>
      </c>
      <c r="BF80" s="9" t="s">
        <v>145</v>
      </c>
      <c r="BG80" s="9" t="s">
        <v>145</v>
      </c>
      <c r="BH80" s="9" t="s">
        <v>145</v>
      </c>
      <c r="BI80" s="9" t="s">
        <v>145</v>
      </c>
      <c r="BJ80" s="9" t="s">
        <v>145</v>
      </c>
      <c r="BK80" s="9" t="s">
        <v>145</v>
      </c>
      <c r="BL80" s="9" t="s">
        <v>145</v>
      </c>
      <c r="BM80" s="9" t="s">
        <v>145</v>
      </c>
      <c r="BN80" s="9" t="s">
        <v>145</v>
      </c>
      <c r="BO80" s="9" t="s">
        <v>145</v>
      </c>
      <c r="BP80" s="9" t="s">
        <v>145</v>
      </c>
      <c r="BQ80" s="9" t="s">
        <v>145</v>
      </c>
      <c r="BR80" s="9" t="s">
        <v>145</v>
      </c>
      <c r="BS80" s="5" t="s">
        <v>146</v>
      </c>
      <c r="BT80" s="5" t="s">
        <v>146</v>
      </c>
      <c r="BU80" s="9" t="s">
        <v>145</v>
      </c>
      <c r="BV80" s="9" t="s">
        <v>145</v>
      </c>
      <c r="BW80" s="9" t="s">
        <v>145</v>
      </c>
      <c r="BX80" s="9" t="s">
        <v>145</v>
      </c>
      <c r="BY80" s="9" t="s">
        <v>145</v>
      </c>
      <c r="BZ80" s="9" t="s">
        <v>145</v>
      </c>
      <c r="CA80" s="9" t="s">
        <v>145</v>
      </c>
      <c r="CB80" s="9" t="s">
        <v>145</v>
      </c>
      <c r="CC80" s="9" t="s">
        <v>145</v>
      </c>
      <c r="CD80" s="16" t="s">
        <v>145</v>
      </c>
    </row>
    <row r="81" spans="6:82">
      <c r="F81" s="17">
        <v>1600</v>
      </c>
      <c r="G81" s="9" t="s">
        <v>145</v>
      </c>
      <c r="H81" s="9" t="s">
        <v>145</v>
      </c>
      <c r="I81" s="9" t="s">
        <v>145</v>
      </c>
      <c r="J81" s="9" t="s">
        <v>145</v>
      </c>
      <c r="K81" s="9" t="s">
        <v>145</v>
      </c>
      <c r="L81" s="9" t="s">
        <v>145</v>
      </c>
      <c r="M81" s="9" t="s">
        <v>145</v>
      </c>
      <c r="N81" s="9" t="s">
        <v>145</v>
      </c>
      <c r="O81" s="9" t="s">
        <v>145</v>
      </c>
      <c r="P81" s="9" t="s">
        <v>145</v>
      </c>
      <c r="Q81" s="9" t="s">
        <v>145</v>
      </c>
      <c r="R81" s="9" t="s">
        <v>145</v>
      </c>
      <c r="S81" s="9" t="s">
        <v>145</v>
      </c>
      <c r="T81" s="9" t="s">
        <v>145</v>
      </c>
      <c r="U81" s="9" t="s">
        <v>145</v>
      </c>
      <c r="V81" s="9" t="s">
        <v>145</v>
      </c>
      <c r="W81" s="9" t="s">
        <v>145</v>
      </c>
      <c r="X81" s="9" t="s">
        <v>145</v>
      </c>
      <c r="Y81" s="9" t="s">
        <v>145</v>
      </c>
      <c r="Z81" s="9" t="s">
        <v>145</v>
      </c>
      <c r="AA81" s="9" t="s">
        <v>145</v>
      </c>
      <c r="AB81" s="9" t="s">
        <v>145</v>
      </c>
      <c r="AC81" s="9" t="s">
        <v>145</v>
      </c>
      <c r="AD81" s="9" t="s">
        <v>145</v>
      </c>
      <c r="AE81" s="9" t="s">
        <v>145</v>
      </c>
      <c r="AF81" s="9" t="s">
        <v>145</v>
      </c>
      <c r="AG81" s="9" t="s">
        <v>145</v>
      </c>
      <c r="AH81" s="9" t="s">
        <v>145</v>
      </c>
      <c r="AI81" s="9" t="s">
        <v>145</v>
      </c>
      <c r="AJ81" s="9" t="s">
        <v>145</v>
      </c>
      <c r="AK81" s="9" t="s">
        <v>145</v>
      </c>
      <c r="AL81" s="9" t="s">
        <v>145</v>
      </c>
      <c r="AM81" s="9" t="s">
        <v>145</v>
      </c>
      <c r="AN81" s="9" t="s">
        <v>145</v>
      </c>
      <c r="AO81" s="9" t="s">
        <v>145</v>
      </c>
      <c r="AP81" s="9" t="s">
        <v>145</v>
      </c>
      <c r="AQ81" s="9" t="s">
        <v>145</v>
      </c>
      <c r="AR81" s="9" t="s">
        <v>145</v>
      </c>
      <c r="AS81" s="9" t="s">
        <v>145</v>
      </c>
      <c r="AT81" s="9" t="s">
        <v>145</v>
      </c>
      <c r="AU81" s="9" t="s">
        <v>145</v>
      </c>
      <c r="AV81" s="9" t="s">
        <v>145</v>
      </c>
      <c r="AW81" s="9" t="s">
        <v>145</v>
      </c>
      <c r="AX81" s="9" t="s">
        <v>145</v>
      </c>
      <c r="AY81" s="9" t="s">
        <v>145</v>
      </c>
      <c r="AZ81" s="9" t="s">
        <v>145</v>
      </c>
      <c r="BA81" s="9" t="s">
        <v>145</v>
      </c>
      <c r="BB81" s="9" t="s">
        <v>145</v>
      </c>
      <c r="BC81" s="9" t="s">
        <v>145</v>
      </c>
      <c r="BD81" s="9" t="s">
        <v>145</v>
      </c>
      <c r="BE81" s="9" t="s">
        <v>145</v>
      </c>
      <c r="BF81" s="9" t="s">
        <v>145</v>
      </c>
      <c r="BG81" s="9" t="s">
        <v>145</v>
      </c>
      <c r="BH81" s="9" t="s">
        <v>145</v>
      </c>
      <c r="BI81" s="9" t="s">
        <v>145</v>
      </c>
      <c r="BJ81" s="9" t="s">
        <v>145</v>
      </c>
      <c r="BK81" s="9" t="s">
        <v>145</v>
      </c>
      <c r="BL81" s="9" t="s">
        <v>145</v>
      </c>
      <c r="BM81" s="9" t="s">
        <v>145</v>
      </c>
      <c r="BN81" s="9" t="s">
        <v>145</v>
      </c>
      <c r="BO81" s="9" t="s">
        <v>145</v>
      </c>
      <c r="BP81" s="9" t="s">
        <v>145</v>
      </c>
      <c r="BQ81" s="9" t="s">
        <v>145</v>
      </c>
      <c r="BR81" s="9" t="s">
        <v>145</v>
      </c>
      <c r="BS81" s="9" t="s">
        <v>145</v>
      </c>
      <c r="BT81" s="9" t="s">
        <v>145</v>
      </c>
      <c r="BU81" s="5" t="s">
        <v>146</v>
      </c>
      <c r="BV81" s="5" t="s">
        <v>146</v>
      </c>
      <c r="BW81" s="9" t="s">
        <v>145</v>
      </c>
      <c r="BX81" s="9" t="s">
        <v>145</v>
      </c>
      <c r="BY81" s="9" t="s">
        <v>145</v>
      </c>
      <c r="BZ81" s="9" t="s">
        <v>145</v>
      </c>
      <c r="CA81" s="9" t="s">
        <v>145</v>
      </c>
      <c r="CB81" s="9" t="s">
        <v>145</v>
      </c>
      <c r="CC81" s="9" t="s">
        <v>145</v>
      </c>
      <c r="CD81" s="16" t="s">
        <v>145</v>
      </c>
    </row>
    <row r="82" spans="6:82">
      <c r="F82" s="17">
        <v>2000</v>
      </c>
      <c r="G82" s="9" t="s">
        <v>145</v>
      </c>
      <c r="H82" s="9" t="s">
        <v>145</v>
      </c>
      <c r="I82" s="9" t="s">
        <v>145</v>
      </c>
      <c r="J82" s="9" t="s">
        <v>145</v>
      </c>
      <c r="K82" s="9" t="s">
        <v>145</v>
      </c>
      <c r="L82" s="9" t="s">
        <v>145</v>
      </c>
      <c r="M82" s="9" t="s">
        <v>145</v>
      </c>
      <c r="N82" s="9" t="s">
        <v>145</v>
      </c>
      <c r="O82" s="9" t="s">
        <v>145</v>
      </c>
      <c r="P82" s="9" t="s">
        <v>145</v>
      </c>
      <c r="Q82" s="9" t="s">
        <v>145</v>
      </c>
      <c r="R82" s="9" t="s">
        <v>145</v>
      </c>
      <c r="S82" s="9" t="s">
        <v>145</v>
      </c>
      <c r="T82" s="9" t="s">
        <v>145</v>
      </c>
      <c r="U82" s="9" t="s">
        <v>145</v>
      </c>
      <c r="V82" s="9" t="s">
        <v>145</v>
      </c>
      <c r="W82" s="9" t="s">
        <v>145</v>
      </c>
      <c r="X82" s="9" t="s">
        <v>145</v>
      </c>
      <c r="Y82" s="9" t="s">
        <v>145</v>
      </c>
      <c r="Z82" s="9" t="s">
        <v>145</v>
      </c>
      <c r="AA82" s="9" t="s">
        <v>145</v>
      </c>
      <c r="AB82" s="9" t="s">
        <v>145</v>
      </c>
      <c r="AC82" s="9" t="s">
        <v>145</v>
      </c>
      <c r="AD82" s="9" t="s">
        <v>145</v>
      </c>
      <c r="AE82" s="9" t="s">
        <v>145</v>
      </c>
      <c r="AF82" s="9" t="s">
        <v>145</v>
      </c>
      <c r="AG82" s="9" t="s">
        <v>145</v>
      </c>
      <c r="AH82" s="9" t="s">
        <v>145</v>
      </c>
      <c r="AI82" s="9" t="s">
        <v>145</v>
      </c>
      <c r="AJ82" s="9" t="s">
        <v>145</v>
      </c>
      <c r="AK82" s="9" t="s">
        <v>145</v>
      </c>
      <c r="AL82" s="9" t="s">
        <v>145</v>
      </c>
      <c r="AM82" s="9" t="s">
        <v>145</v>
      </c>
      <c r="AN82" s="9" t="s">
        <v>145</v>
      </c>
      <c r="AO82" s="9" t="s">
        <v>145</v>
      </c>
      <c r="AP82" s="9" t="s">
        <v>145</v>
      </c>
      <c r="AQ82" s="9" t="s">
        <v>145</v>
      </c>
      <c r="AR82" s="9" t="s">
        <v>145</v>
      </c>
      <c r="AS82" s="9" t="s">
        <v>145</v>
      </c>
      <c r="AT82" s="9" t="s">
        <v>145</v>
      </c>
      <c r="AU82" s="9" t="s">
        <v>145</v>
      </c>
      <c r="AV82" s="9" t="s">
        <v>145</v>
      </c>
      <c r="AW82" s="9" t="s">
        <v>145</v>
      </c>
      <c r="AX82" s="9" t="s">
        <v>145</v>
      </c>
      <c r="AY82" s="9" t="s">
        <v>145</v>
      </c>
      <c r="AZ82" s="9" t="s">
        <v>145</v>
      </c>
      <c r="BA82" s="9" t="s">
        <v>145</v>
      </c>
      <c r="BB82" s="9" t="s">
        <v>145</v>
      </c>
      <c r="BC82" s="9" t="s">
        <v>145</v>
      </c>
      <c r="BD82" s="9" t="s">
        <v>145</v>
      </c>
      <c r="BE82" s="9" t="s">
        <v>145</v>
      </c>
      <c r="BF82" s="9" t="s">
        <v>145</v>
      </c>
      <c r="BG82" s="9" t="s">
        <v>145</v>
      </c>
      <c r="BH82" s="9" t="s">
        <v>145</v>
      </c>
      <c r="BI82" s="9" t="s">
        <v>145</v>
      </c>
      <c r="BJ82" s="9" t="s">
        <v>145</v>
      </c>
      <c r="BK82" s="9" t="s">
        <v>145</v>
      </c>
      <c r="BL82" s="9" t="s">
        <v>145</v>
      </c>
      <c r="BM82" s="9" t="s">
        <v>145</v>
      </c>
      <c r="BN82" s="9" t="s">
        <v>145</v>
      </c>
      <c r="BO82" s="9" t="s">
        <v>145</v>
      </c>
      <c r="BP82" s="9" t="s">
        <v>145</v>
      </c>
      <c r="BQ82" s="9" t="s">
        <v>145</v>
      </c>
      <c r="BR82" s="9" t="s">
        <v>145</v>
      </c>
      <c r="BS82" s="9" t="s">
        <v>145</v>
      </c>
      <c r="BT82" s="9" t="s">
        <v>145</v>
      </c>
      <c r="BU82" s="9" t="s">
        <v>145</v>
      </c>
      <c r="BV82" s="9" t="s">
        <v>145</v>
      </c>
      <c r="BW82" s="5" t="s">
        <v>146</v>
      </c>
      <c r="BX82" s="5" t="s">
        <v>146</v>
      </c>
      <c r="BY82" s="9" t="s">
        <v>145</v>
      </c>
      <c r="BZ82" s="9" t="s">
        <v>145</v>
      </c>
      <c r="CA82" s="9" t="s">
        <v>145</v>
      </c>
      <c r="CB82" s="9" t="s">
        <v>145</v>
      </c>
      <c r="CC82" s="9" t="s">
        <v>145</v>
      </c>
      <c r="CD82" s="16" t="s">
        <v>145</v>
      </c>
    </row>
    <row r="83" spans="6:82">
      <c r="F83" s="17">
        <v>2500</v>
      </c>
      <c r="G83" s="9" t="s">
        <v>145</v>
      </c>
      <c r="H83" s="9" t="s">
        <v>145</v>
      </c>
      <c r="I83" s="9" t="s">
        <v>145</v>
      </c>
      <c r="J83" s="9" t="s">
        <v>145</v>
      </c>
      <c r="K83" s="9" t="s">
        <v>145</v>
      </c>
      <c r="L83" s="9" t="s">
        <v>145</v>
      </c>
      <c r="M83" s="9" t="s">
        <v>145</v>
      </c>
      <c r="N83" s="9" t="s">
        <v>145</v>
      </c>
      <c r="O83" s="9" t="s">
        <v>145</v>
      </c>
      <c r="P83" s="9" t="s">
        <v>145</v>
      </c>
      <c r="Q83" s="9" t="s">
        <v>145</v>
      </c>
      <c r="R83" s="9" t="s">
        <v>145</v>
      </c>
      <c r="S83" s="9" t="s">
        <v>145</v>
      </c>
      <c r="T83" s="9" t="s">
        <v>145</v>
      </c>
      <c r="U83" s="9" t="s">
        <v>145</v>
      </c>
      <c r="V83" s="9" t="s">
        <v>145</v>
      </c>
      <c r="W83" s="9" t="s">
        <v>145</v>
      </c>
      <c r="X83" s="9" t="s">
        <v>145</v>
      </c>
      <c r="Y83" s="9" t="s">
        <v>145</v>
      </c>
      <c r="Z83" s="9" t="s">
        <v>145</v>
      </c>
      <c r="AA83" s="9" t="s">
        <v>145</v>
      </c>
      <c r="AB83" s="9" t="s">
        <v>145</v>
      </c>
      <c r="AC83" s="9" t="s">
        <v>145</v>
      </c>
      <c r="AD83" s="9" t="s">
        <v>145</v>
      </c>
      <c r="AE83" s="9" t="s">
        <v>145</v>
      </c>
      <c r="AF83" s="9" t="s">
        <v>145</v>
      </c>
      <c r="AG83" s="9" t="s">
        <v>145</v>
      </c>
      <c r="AH83" s="9" t="s">
        <v>145</v>
      </c>
      <c r="AI83" s="9" t="s">
        <v>145</v>
      </c>
      <c r="AJ83" s="9" t="s">
        <v>145</v>
      </c>
      <c r="AK83" s="9" t="s">
        <v>145</v>
      </c>
      <c r="AL83" s="9" t="s">
        <v>145</v>
      </c>
      <c r="AM83" s="9" t="s">
        <v>145</v>
      </c>
      <c r="AN83" s="9" t="s">
        <v>145</v>
      </c>
      <c r="AO83" s="9" t="s">
        <v>145</v>
      </c>
      <c r="AP83" s="9" t="s">
        <v>145</v>
      </c>
      <c r="AQ83" s="9" t="s">
        <v>145</v>
      </c>
      <c r="AR83" s="9" t="s">
        <v>145</v>
      </c>
      <c r="AS83" s="9" t="s">
        <v>145</v>
      </c>
      <c r="AT83" s="9" t="s">
        <v>145</v>
      </c>
      <c r="AU83" s="9" t="s">
        <v>145</v>
      </c>
      <c r="AV83" s="9" t="s">
        <v>145</v>
      </c>
      <c r="AW83" s="9" t="s">
        <v>145</v>
      </c>
      <c r="AX83" s="9" t="s">
        <v>145</v>
      </c>
      <c r="AY83" s="9" t="s">
        <v>145</v>
      </c>
      <c r="AZ83" s="9" t="s">
        <v>145</v>
      </c>
      <c r="BA83" s="9" t="s">
        <v>145</v>
      </c>
      <c r="BB83" s="9" t="s">
        <v>145</v>
      </c>
      <c r="BC83" s="9" t="s">
        <v>145</v>
      </c>
      <c r="BD83" s="9" t="s">
        <v>145</v>
      </c>
      <c r="BE83" s="9" t="s">
        <v>145</v>
      </c>
      <c r="BF83" s="9" t="s">
        <v>145</v>
      </c>
      <c r="BG83" s="9" t="s">
        <v>145</v>
      </c>
      <c r="BH83" s="9" t="s">
        <v>145</v>
      </c>
      <c r="BI83" s="9" t="s">
        <v>145</v>
      </c>
      <c r="BJ83" s="9" t="s">
        <v>145</v>
      </c>
      <c r="BK83" s="9" t="s">
        <v>145</v>
      </c>
      <c r="BL83" s="9" t="s">
        <v>145</v>
      </c>
      <c r="BM83" s="9" t="s">
        <v>145</v>
      </c>
      <c r="BN83" s="9" t="s">
        <v>145</v>
      </c>
      <c r="BO83" s="9" t="s">
        <v>145</v>
      </c>
      <c r="BP83" s="9" t="s">
        <v>145</v>
      </c>
      <c r="BQ83" s="9" t="s">
        <v>145</v>
      </c>
      <c r="BR83" s="9" t="s">
        <v>145</v>
      </c>
      <c r="BS83" s="9" t="s">
        <v>145</v>
      </c>
      <c r="BT83" s="9" t="s">
        <v>145</v>
      </c>
      <c r="BU83" s="9" t="s">
        <v>145</v>
      </c>
      <c r="BV83" s="9" t="s">
        <v>145</v>
      </c>
      <c r="BW83" s="9" t="s">
        <v>145</v>
      </c>
      <c r="BX83" s="9" t="s">
        <v>145</v>
      </c>
      <c r="BY83" s="5" t="s">
        <v>146</v>
      </c>
      <c r="BZ83" s="5" t="s">
        <v>146</v>
      </c>
      <c r="CA83" s="9" t="s">
        <v>145</v>
      </c>
      <c r="CB83" s="9" t="s">
        <v>145</v>
      </c>
      <c r="CC83" s="9" t="s">
        <v>145</v>
      </c>
      <c r="CD83" s="16" t="s">
        <v>145</v>
      </c>
    </row>
    <row r="84" spans="6:82">
      <c r="F84" s="17">
        <v>3200</v>
      </c>
      <c r="G84" s="9" t="s">
        <v>145</v>
      </c>
      <c r="H84" s="9" t="s">
        <v>145</v>
      </c>
      <c r="I84" s="9" t="s">
        <v>145</v>
      </c>
      <c r="J84" s="9" t="s">
        <v>145</v>
      </c>
      <c r="K84" s="9" t="s">
        <v>145</v>
      </c>
      <c r="L84" s="9" t="s">
        <v>145</v>
      </c>
      <c r="M84" s="9" t="s">
        <v>145</v>
      </c>
      <c r="N84" s="9" t="s">
        <v>145</v>
      </c>
      <c r="O84" s="9" t="s">
        <v>145</v>
      </c>
      <c r="P84" s="9" t="s">
        <v>145</v>
      </c>
      <c r="Q84" s="9" t="s">
        <v>145</v>
      </c>
      <c r="R84" s="9" t="s">
        <v>145</v>
      </c>
      <c r="S84" s="9" t="s">
        <v>145</v>
      </c>
      <c r="T84" s="9" t="s">
        <v>145</v>
      </c>
      <c r="U84" s="9" t="s">
        <v>145</v>
      </c>
      <c r="V84" s="9" t="s">
        <v>145</v>
      </c>
      <c r="W84" s="9" t="s">
        <v>145</v>
      </c>
      <c r="X84" s="9" t="s">
        <v>145</v>
      </c>
      <c r="Y84" s="9" t="s">
        <v>145</v>
      </c>
      <c r="Z84" s="9" t="s">
        <v>145</v>
      </c>
      <c r="AA84" s="9" t="s">
        <v>145</v>
      </c>
      <c r="AB84" s="9" t="s">
        <v>145</v>
      </c>
      <c r="AC84" s="9" t="s">
        <v>145</v>
      </c>
      <c r="AD84" s="9" t="s">
        <v>145</v>
      </c>
      <c r="AE84" s="9" t="s">
        <v>145</v>
      </c>
      <c r="AF84" s="9" t="s">
        <v>145</v>
      </c>
      <c r="AG84" s="9" t="s">
        <v>145</v>
      </c>
      <c r="AH84" s="9" t="s">
        <v>145</v>
      </c>
      <c r="AI84" s="9" t="s">
        <v>145</v>
      </c>
      <c r="AJ84" s="9" t="s">
        <v>145</v>
      </c>
      <c r="AK84" s="9" t="s">
        <v>145</v>
      </c>
      <c r="AL84" s="9" t="s">
        <v>145</v>
      </c>
      <c r="AM84" s="9" t="s">
        <v>145</v>
      </c>
      <c r="AN84" s="9" t="s">
        <v>145</v>
      </c>
      <c r="AO84" s="9" t="s">
        <v>145</v>
      </c>
      <c r="AP84" s="9" t="s">
        <v>145</v>
      </c>
      <c r="AQ84" s="9" t="s">
        <v>145</v>
      </c>
      <c r="AR84" s="9" t="s">
        <v>145</v>
      </c>
      <c r="AS84" s="9" t="s">
        <v>145</v>
      </c>
      <c r="AT84" s="9" t="s">
        <v>145</v>
      </c>
      <c r="AU84" s="9" t="s">
        <v>145</v>
      </c>
      <c r="AV84" s="9" t="s">
        <v>145</v>
      </c>
      <c r="AW84" s="9" t="s">
        <v>145</v>
      </c>
      <c r="AX84" s="9" t="s">
        <v>145</v>
      </c>
      <c r="AY84" s="9" t="s">
        <v>145</v>
      </c>
      <c r="AZ84" s="9" t="s">
        <v>145</v>
      </c>
      <c r="BA84" s="9" t="s">
        <v>145</v>
      </c>
      <c r="BB84" s="9" t="s">
        <v>145</v>
      </c>
      <c r="BC84" s="9" t="s">
        <v>145</v>
      </c>
      <c r="BD84" s="9" t="s">
        <v>145</v>
      </c>
      <c r="BE84" s="9" t="s">
        <v>145</v>
      </c>
      <c r="BF84" s="9" t="s">
        <v>145</v>
      </c>
      <c r="BG84" s="9" t="s">
        <v>145</v>
      </c>
      <c r="BH84" s="9" t="s">
        <v>145</v>
      </c>
      <c r="BI84" s="9" t="s">
        <v>145</v>
      </c>
      <c r="BJ84" s="9" t="s">
        <v>145</v>
      </c>
      <c r="BK84" s="9" t="s">
        <v>145</v>
      </c>
      <c r="BL84" s="9" t="s">
        <v>145</v>
      </c>
      <c r="BM84" s="9" t="s">
        <v>145</v>
      </c>
      <c r="BN84" s="9" t="s">
        <v>145</v>
      </c>
      <c r="BO84" s="9" t="s">
        <v>145</v>
      </c>
      <c r="BP84" s="9" t="s">
        <v>145</v>
      </c>
      <c r="BQ84" s="9" t="s">
        <v>145</v>
      </c>
      <c r="BR84" s="9" t="s">
        <v>145</v>
      </c>
      <c r="BS84" s="9" t="s">
        <v>145</v>
      </c>
      <c r="BT84" s="9" t="s">
        <v>145</v>
      </c>
      <c r="BU84" s="9" t="s">
        <v>145</v>
      </c>
      <c r="BV84" s="9" t="s">
        <v>145</v>
      </c>
      <c r="BW84" s="9" t="s">
        <v>145</v>
      </c>
      <c r="BX84" s="9" t="s">
        <v>145</v>
      </c>
      <c r="BY84" s="9" t="s">
        <v>145</v>
      </c>
      <c r="BZ84" s="9" t="s">
        <v>145</v>
      </c>
      <c r="CA84" s="5" t="s">
        <v>146</v>
      </c>
      <c r="CB84" s="5" t="s">
        <v>146</v>
      </c>
      <c r="CC84" s="9" t="s">
        <v>145</v>
      </c>
      <c r="CD84" s="16" t="s">
        <v>145</v>
      </c>
    </row>
    <row r="85" spans="6:82">
      <c r="F85" s="17">
        <v>4000</v>
      </c>
      <c r="G85" s="9" t="s">
        <v>145</v>
      </c>
      <c r="H85" s="9" t="s">
        <v>145</v>
      </c>
      <c r="I85" s="9" t="s">
        <v>145</v>
      </c>
      <c r="J85" s="9" t="s">
        <v>145</v>
      </c>
      <c r="K85" s="9" t="s">
        <v>145</v>
      </c>
      <c r="L85" s="9" t="s">
        <v>145</v>
      </c>
      <c r="M85" s="9" t="s">
        <v>145</v>
      </c>
      <c r="N85" s="9" t="s">
        <v>145</v>
      </c>
      <c r="O85" s="9" t="s">
        <v>145</v>
      </c>
      <c r="P85" s="9" t="s">
        <v>145</v>
      </c>
      <c r="Q85" s="9" t="s">
        <v>145</v>
      </c>
      <c r="R85" s="9" t="s">
        <v>145</v>
      </c>
      <c r="S85" s="9" t="s">
        <v>145</v>
      </c>
      <c r="T85" s="9" t="s">
        <v>145</v>
      </c>
      <c r="U85" s="9" t="s">
        <v>145</v>
      </c>
      <c r="V85" s="9" t="s">
        <v>145</v>
      </c>
      <c r="W85" s="9" t="s">
        <v>145</v>
      </c>
      <c r="X85" s="9" t="s">
        <v>145</v>
      </c>
      <c r="Y85" s="9" t="s">
        <v>145</v>
      </c>
      <c r="Z85" s="9" t="s">
        <v>145</v>
      </c>
      <c r="AA85" s="9" t="s">
        <v>145</v>
      </c>
      <c r="AB85" s="9" t="s">
        <v>145</v>
      </c>
      <c r="AC85" s="9" t="s">
        <v>145</v>
      </c>
      <c r="AD85" s="9" t="s">
        <v>145</v>
      </c>
      <c r="AE85" s="9" t="s">
        <v>145</v>
      </c>
      <c r="AF85" s="9" t="s">
        <v>145</v>
      </c>
      <c r="AG85" s="9" t="s">
        <v>145</v>
      </c>
      <c r="AH85" s="9" t="s">
        <v>145</v>
      </c>
      <c r="AI85" s="9" t="s">
        <v>145</v>
      </c>
      <c r="AJ85" s="9" t="s">
        <v>145</v>
      </c>
      <c r="AK85" s="9" t="s">
        <v>145</v>
      </c>
      <c r="AL85" s="9" t="s">
        <v>145</v>
      </c>
      <c r="AM85" s="9" t="s">
        <v>145</v>
      </c>
      <c r="AN85" s="9" t="s">
        <v>145</v>
      </c>
      <c r="AO85" s="9" t="s">
        <v>145</v>
      </c>
      <c r="AP85" s="9" t="s">
        <v>145</v>
      </c>
      <c r="AQ85" s="9" t="s">
        <v>145</v>
      </c>
      <c r="AR85" s="9" t="s">
        <v>145</v>
      </c>
      <c r="AS85" s="9" t="s">
        <v>145</v>
      </c>
      <c r="AT85" s="9" t="s">
        <v>145</v>
      </c>
      <c r="AU85" s="9" t="s">
        <v>145</v>
      </c>
      <c r="AV85" s="9" t="s">
        <v>145</v>
      </c>
      <c r="AW85" s="9" t="s">
        <v>145</v>
      </c>
      <c r="AX85" s="9" t="s">
        <v>145</v>
      </c>
      <c r="AY85" s="9" t="s">
        <v>145</v>
      </c>
      <c r="AZ85" s="9" t="s">
        <v>145</v>
      </c>
      <c r="BA85" s="9" t="s">
        <v>145</v>
      </c>
      <c r="BB85" s="9" t="s">
        <v>145</v>
      </c>
      <c r="BC85" s="9" t="s">
        <v>145</v>
      </c>
      <c r="BD85" s="9" t="s">
        <v>145</v>
      </c>
      <c r="BE85" s="9" t="s">
        <v>145</v>
      </c>
      <c r="BF85" s="9" t="s">
        <v>145</v>
      </c>
      <c r="BG85" s="9" t="s">
        <v>145</v>
      </c>
      <c r="BH85" s="9" t="s">
        <v>145</v>
      </c>
      <c r="BI85" s="9" t="s">
        <v>145</v>
      </c>
      <c r="BJ85" s="9" t="s">
        <v>145</v>
      </c>
      <c r="BK85" s="9" t="s">
        <v>145</v>
      </c>
      <c r="BL85" s="9" t="s">
        <v>145</v>
      </c>
      <c r="BM85" s="9" t="s">
        <v>145</v>
      </c>
      <c r="BN85" s="9" t="s">
        <v>145</v>
      </c>
      <c r="BO85" s="9" t="s">
        <v>145</v>
      </c>
      <c r="BP85" s="9" t="s">
        <v>145</v>
      </c>
      <c r="BQ85" s="9" t="s">
        <v>145</v>
      </c>
      <c r="BR85" s="9" t="s">
        <v>145</v>
      </c>
      <c r="BS85" s="9" t="s">
        <v>145</v>
      </c>
      <c r="BT85" s="9" t="s">
        <v>145</v>
      </c>
      <c r="BU85" s="9" t="s">
        <v>145</v>
      </c>
      <c r="BV85" s="9" t="s">
        <v>145</v>
      </c>
      <c r="BW85" s="9" t="s">
        <v>145</v>
      </c>
      <c r="BX85" s="9" t="s">
        <v>145</v>
      </c>
      <c r="BY85" s="9" t="s">
        <v>145</v>
      </c>
      <c r="BZ85" s="9" t="s">
        <v>145</v>
      </c>
      <c r="CA85" s="9" t="s">
        <v>145</v>
      </c>
      <c r="CB85" s="9" t="s">
        <v>145</v>
      </c>
      <c r="CC85" s="5" t="s">
        <v>146</v>
      </c>
      <c r="CD85" s="15" t="s">
        <v>146</v>
      </c>
    </row>
  </sheetData>
  <mergeCells count="9">
    <mergeCell ref="CZ1:DC1"/>
    <mergeCell ref="F22:F23"/>
    <mergeCell ref="G22:H22"/>
    <mergeCell ref="CF41:CO41"/>
    <mergeCell ref="CR41:DA41"/>
    <mergeCell ref="CV1:CW1"/>
    <mergeCell ref="CQ1:CU1"/>
    <mergeCell ref="CY1:CY2"/>
    <mergeCell ref="F2:F18"/>
  </mergeCells>
  <pageMargins left="0.7" right="0.7" top="0.75" bottom="0.75" header="0.3" footer="0.3"/>
  <pageSetup paperSize="9" scale="95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8">
    <pageSetUpPr fitToPage="1"/>
  </sheetPr>
  <dimension ref="A1:XCV251"/>
  <sheetViews>
    <sheetView tabSelected="1" zoomScale="120" zoomScaleNormal="120" workbookViewId="0">
      <pane xSplit="4" ySplit="3" topLeftCell="E4" activePane="bottomRight" state="frozen"/>
      <selection pane="topRight" activeCell="F1" sqref="F1"/>
      <selection pane="bottomLeft" activeCell="A4" sqref="A4"/>
      <selection pane="bottomRight" activeCell="H48" sqref="H48"/>
    </sheetView>
  </sheetViews>
  <sheetFormatPr defaultColWidth="9.1796875" defaultRowHeight="26.25" customHeight="1" outlineLevelCol="3"/>
  <cols>
    <col min="1" max="1" width="3.54296875" customWidth="1"/>
    <col min="2" max="2" width="5" customWidth="1"/>
    <col min="3" max="3" width="6" customWidth="1"/>
    <col min="4" max="4" width="64.26953125" customWidth="1"/>
    <col min="5" max="5" width="6.453125" customWidth="1"/>
    <col min="6" max="6" width="8.453125" customWidth="1"/>
    <col min="7" max="7" width="5.1796875" customWidth="1"/>
    <col min="8" max="8" width="6.81640625" style="99" customWidth="1"/>
    <col min="9" max="9" width="4.453125" customWidth="1"/>
    <col min="10" max="10" width="5" customWidth="1"/>
    <col min="11" max="12" width="5.453125" customWidth="1"/>
    <col min="13" max="13" width="6" customWidth="1"/>
    <col min="14" max="14" width="6.7265625" bestFit="1" customWidth="1"/>
    <col min="15" max="15" width="4.7265625" customWidth="1"/>
    <col min="16" max="16" width="5.26953125" customWidth="1"/>
    <col min="17" max="17" width="6.7265625" customWidth="1"/>
    <col min="18" max="18" width="9.81640625" customWidth="1"/>
    <col min="19" max="20" width="5.26953125" customWidth="1"/>
    <col min="21" max="21" width="4.81640625" hidden="1" customWidth="1" outlineLevel="1"/>
    <col min="22" max="22" width="5.453125" hidden="1" customWidth="1" outlineLevel="1"/>
    <col min="23" max="23" width="11.1796875" hidden="1" customWidth="1" outlineLevel="1"/>
    <col min="24" max="24" width="4.54296875" hidden="1" customWidth="1" outlineLevel="1"/>
    <col min="25" max="25" width="7.453125" hidden="1" customWidth="1" outlineLevel="3"/>
    <col min="26" max="26" width="9.54296875" hidden="1" customWidth="1" outlineLevel="3"/>
    <col min="27" max="27" width="9.81640625" hidden="1" customWidth="1" outlineLevel="3"/>
    <col min="28" max="28" width="8.81640625" hidden="1" customWidth="1" outlineLevel="3"/>
    <col min="29" max="29" width="5.1796875" hidden="1" customWidth="1" outlineLevel="3"/>
    <col min="30" max="30" width="16.1796875" hidden="1" customWidth="1" outlineLevel="3"/>
    <col min="31" max="31" width="3.7265625" hidden="1" customWidth="1" outlineLevel="3"/>
    <col min="32" max="32" width="11.81640625" hidden="1" customWidth="1" outlineLevel="3"/>
    <col min="33" max="33" width="4.1796875" hidden="1" customWidth="1" outlineLevel="3"/>
    <col min="34" max="34" width="10.1796875" hidden="1" customWidth="1" outlineLevel="3"/>
    <col min="35" max="35" width="3.54296875" hidden="1" customWidth="1" outlineLevel="3"/>
    <col min="36" max="36" width="14.26953125" hidden="1" customWidth="1" outlineLevel="3"/>
    <col min="37" max="37" width="5.1796875" style="3" hidden="1" customWidth="1" outlineLevel="3"/>
    <col min="38" max="38" width="10.26953125" hidden="1" customWidth="1" outlineLevel="3"/>
    <col min="39" max="39" width="4.81640625" hidden="1" customWidth="1" outlineLevel="3"/>
    <col min="40" max="40" width="10.26953125" hidden="1" customWidth="1" outlineLevel="3"/>
    <col min="41" max="41" width="5.54296875" hidden="1" customWidth="1" outlineLevel="3"/>
    <col min="42" max="42" width="8.26953125" hidden="1" customWidth="1" outlineLevel="3"/>
    <col min="43" max="43" width="4.26953125" style="3" hidden="1" customWidth="1" outlineLevel="3"/>
    <col min="44" max="46" width="9.81640625" hidden="1" customWidth="1" outlineLevel="3"/>
    <col min="47" max="47" width="10.81640625" hidden="1" customWidth="1" outlineLevel="3"/>
    <col min="48" max="48" width="4.26953125" style="3" hidden="1" customWidth="1" outlineLevel="3"/>
    <col min="49" max="49" width="9.81640625" hidden="1" customWidth="1" outlineLevel="3"/>
    <col min="50" max="50" width="3.7265625" hidden="1" customWidth="1" outlineLevel="3"/>
    <col min="51" max="51" width="10.26953125" hidden="1" customWidth="1" outlineLevel="3"/>
    <col min="52" max="52" width="3.81640625" hidden="1" customWidth="1" outlineLevel="3"/>
    <col min="53" max="53" width="8" hidden="1" customWidth="1" outlineLevel="3"/>
    <col min="54" max="54" width="5.1796875" style="3" hidden="1" customWidth="1" outlineLevel="3"/>
    <col min="55" max="55" width="10.7265625" hidden="1" customWidth="1" outlineLevel="3"/>
    <col min="56" max="56" width="5.7265625" hidden="1" customWidth="1" outlineLevel="3"/>
    <col min="57" max="57" width="17" hidden="1" customWidth="1" outlineLevel="3"/>
    <col min="58" max="58" width="4.7265625" hidden="1" customWidth="1" outlineLevel="3"/>
    <col min="59" max="59" width="9.453125" style="4" hidden="1" customWidth="1" outlineLevel="3"/>
    <col min="60" max="60" width="6" hidden="1" customWidth="1" outlineLevel="3"/>
    <col min="61" max="61" width="11.7265625" hidden="1" customWidth="1" outlineLevel="3"/>
    <col min="62" max="62" width="4.26953125" hidden="1" customWidth="1" outlineLevel="3" collapsed="1"/>
    <col min="63" max="63" width="27.54296875" hidden="1" customWidth="1" outlineLevel="3"/>
    <col min="64" max="64" width="27.81640625" hidden="1" customWidth="1" outlineLevel="3"/>
    <col min="65" max="65" width="7.453125" hidden="1" customWidth="1" outlineLevel="3"/>
    <col min="66" max="66" width="11.7265625" hidden="1" customWidth="1" outlineLevel="3"/>
    <col min="67" max="67" width="5.1796875" hidden="1" customWidth="1" outlineLevel="3"/>
    <col min="68" max="68" width="31.1796875" hidden="1" customWidth="1" outlineLevel="3"/>
    <col min="69" max="69" width="18" hidden="1" customWidth="1" outlineLevel="1" collapsed="1"/>
    <col min="70" max="70" width="5.1796875" hidden="1" customWidth="1" outlineLevel="1"/>
    <col min="71" max="71" width="8.1796875" hidden="1" customWidth="1" outlineLevel="1"/>
    <col min="72" max="72" width="3.7265625" hidden="1" customWidth="1" outlineLevel="1"/>
    <col min="73" max="73" width="4.7265625" hidden="1" customWidth="1" outlineLevel="1"/>
    <col min="74" max="74" width="10.1796875" hidden="1" customWidth="1" outlineLevel="1"/>
    <col min="75" max="75" width="2.7265625" hidden="1" customWidth="1" outlineLevel="1"/>
    <col min="76" max="76" width="2.81640625" hidden="1" customWidth="1" outlineLevel="1"/>
    <col min="77" max="77" width="5.26953125" hidden="1" customWidth="1" outlineLevel="1"/>
    <col min="78" max="78" width="6.7265625" hidden="1" customWidth="1" outlineLevel="1"/>
    <col min="79" max="79" width="8.81640625" hidden="1" customWidth="1" outlineLevel="1"/>
    <col min="80" max="80" width="17.1796875" hidden="1" customWidth="1" outlineLevel="1"/>
    <col min="81" max="81" width="19.26953125" customWidth="1" collapsed="1"/>
  </cols>
  <sheetData>
    <row r="1" spans="1:16324" ht="26.25" customHeight="1"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W1" s="184" t="s">
        <v>287</v>
      </c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184"/>
      <c r="AP1" s="184"/>
      <c r="AQ1" s="184"/>
      <c r="AR1" s="184"/>
      <c r="AS1" s="184"/>
      <c r="AT1" s="184"/>
      <c r="AU1" s="184"/>
      <c r="AV1" s="184"/>
      <c r="AW1" s="184"/>
      <c r="AX1" s="184"/>
      <c r="AY1" s="184"/>
      <c r="AZ1" s="184"/>
      <c r="BA1" s="184"/>
      <c r="BB1" s="184"/>
      <c r="BC1" s="184"/>
      <c r="BD1" s="184"/>
      <c r="BE1" s="184"/>
      <c r="BF1" s="184"/>
      <c r="BG1" s="184"/>
      <c r="BH1" s="184"/>
      <c r="BI1" s="184"/>
      <c r="BJ1" s="184"/>
      <c r="BK1" s="184"/>
      <c r="BL1" s="184"/>
      <c r="BM1" s="184"/>
      <c r="BN1" s="184"/>
      <c r="BO1" s="184"/>
      <c r="BP1" s="184"/>
      <c r="BQ1" s="184"/>
      <c r="BR1" s="184"/>
      <c r="BS1" s="184"/>
      <c r="BT1" s="184"/>
      <c r="BU1" s="184"/>
      <c r="BV1" s="83"/>
      <c r="BW1" s="83"/>
      <c r="BX1" s="83"/>
      <c r="BY1" s="83"/>
      <c r="BZ1" s="83"/>
      <c r="CA1" s="83"/>
      <c r="CB1" s="83"/>
      <c r="CC1" s="83"/>
      <c r="CD1" s="83"/>
      <c r="CE1" s="83"/>
      <c r="CF1" s="83"/>
      <c r="CG1" s="83"/>
      <c r="CH1" s="83"/>
      <c r="CI1" s="83"/>
      <c r="CJ1" s="83"/>
    </row>
    <row r="2" spans="1:16324" ht="11.25" customHeight="1">
      <c r="A2" s="181" t="s">
        <v>579</v>
      </c>
      <c r="B2" s="181" t="s">
        <v>50</v>
      </c>
      <c r="C2" s="197" t="s">
        <v>29</v>
      </c>
      <c r="D2" s="197" t="s">
        <v>286</v>
      </c>
      <c r="E2" s="197" t="s">
        <v>31</v>
      </c>
      <c r="F2" s="197"/>
      <c r="G2" s="197"/>
      <c r="H2" s="197"/>
      <c r="I2" s="197" t="s">
        <v>32</v>
      </c>
      <c r="J2" s="197"/>
      <c r="K2" s="197"/>
      <c r="L2" s="197" t="s">
        <v>33</v>
      </c>
      <c r="M2" s="197"/>
      <c r="N2" s="197"/>
      <c r="O2" s="198" t="s">
        <v>47</v>
      </c>
      <c r="P2" s="198" t="s">
        <v>34</v>
      </c>
      <c r="Q2" s="197" t="s">
        <v>35</v>
      </c>
      <c r="R2" s="197"/>
      <c r="S2" s="197"/>
      <c r="T2" s="198" t="s">
        <v>36</v>
      </c>
      <c r="U2" s="84"/>
      <c r="V2" s="84"/>
      <c r="W2" s="107" t="s">
        <v>293</v>
      </c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86" t="s">
        <v>876</v>
      </c>
      <c r="AL2" s="187"/>
      <c r="AM2" s="187"/>
      <c r="AN2" s="187"/>
      <c r="AO2" s="187"/>
      <c r="AP2" s="188"/>
      <c r="AQ2" s="189" t="s">
        <v>877</v>
      </c>
      <c r="AR2" s="190"/>
      <c r="AS2" s="190"/>
      <c r="AT2" s="190"/>
      <c r="AU2" s="191"/>
      <c r="AV2" s="192" t="s">
        <v>878</v>
      </c>
      <c r="AW2" s="193"/>
      <c r="AX2" s="193"/>
      <c r="AY2" s="193"/>
      <c r="AZ2" s="193"/>
      <c r="BA2" s="194"/>
      <c r="BB2" s="192" t="s">
        <v>879</v>
      </c>
      <c r="BC2" s="193"/>
      <c r="BD2" s="193"/>
      <c r="BE2" s="193"/>
      <c r="BF2" s="193"/>
      <c r="BG2" s="194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1"/>
    </row>
    <row r="3" spans="1:16324" ht="62.25" customHeight="1">
      <c r="A3" s="181"/>
      <c r="B3" s="181"/>
      <c r="C3" s="197"/>
      <c r="D3" s="197"/>
      <c r="E3" s="65" t="s">
        <v>49</v>
      </c>
      <c r="F3" s="65"/>
      <c r="G3" s="65" t="s">
        <v>37</v>
      </c>
      <c r="H3" s="98" t="s">
        <v>38</v>
      </c>
      <c r="I3" s="65" t="s">
        <v>39</v>
      </c>
      <c r="J3" s="65" t="s">
        <v>40</v>
      </c>
      <c r="K3" s="65" t="s">
        <v>41</v>
      </c>
      <c r="L3" s="65" t="s">
        <v>42</v>
      </c>
      <c r="M3" s="65" t="s">
        <v>43</v>
      </c>
      <c r="N3" s="65" t="s">
        <v>44</v>
      </c>
      <c r="O3" s="198"/>
      <c r="P3" s="198"/>
      <c r="Q3" s="65" t="s">
        <v>45</v>
      </c>
      <c r="R3" s="65" t="s">
        <v>48</v>
      </c>
      <c r="S3" s="65" t="s">
        <v>46</v>
      </c>
      <c r="T3" s="198"/>
      <c r="U3" s="104" t="s">
        <v>411</v>
      </c>
      <c r="V3" s="104" t="s">
        <v>412</v>
      </c>
      <c r="W3" s="104" t="s">
        <v>292</v>
      </c>
      <c r="X3" s="104" t="s">
        <v>413</v>
      </c>
      <c r="Y3" s="105" t="s">
        <v>296</v>
      </c>
      <c r="Z3" s="105" t="s">
        <v>296</v>
      </c>
      <c r="AA3" s="105" t="s">
        <v>297</v>
      </c>
      <c r="AB3" s="105" t="s">
        <v>297</v>
      </c>
      <c r="AC3" s="105" t="s">
        <v>298</v>
      </c>
      <c r="AD3" s="105" t="s">
        <v>298</v>
      </c>
      <c r="AE3" s="105" t="s">
        <v>544</v>
      </c>
      <c r="AF3" s="105" t="s">
        <v>544</v>
      </c>
      <c r="AG3" s="105" t="s">
        <v>553</v>
      </c>
      <c r="AH3" s="105" t="s">
        <v>553</v>
      </c>
      <c r="AI3" s="105" t="s">
        <v>578</v>
      </c>
      <c r="AJ3" s="105" t="s">
        <v>578</v>
      </c>
      <c r="AK3" s="182" t="s">
        <v>700</v>
      </c>
      <c r="AL3" s="183"/>
      <c r="AM3" s="183" t="s">
        <v>864</v>
      </c>
      <c r="AN3" s="183"/>
      <c r="AO3" s="183" t="s">
        <v>874</v>
      </c>
      <c r="AP3" s="185"/>
      <c r="AQ3" s="109" t="s">
        <v>798</v>
      </c>
      <c r="AR3" s="106" t="s">
        <v>581</v>
      </c>
      <c r="AS3" s="106" t="s">
        <v>707</v>
      </c>
      <c r="AT3" s="106" t="s">
        <v>862</v>
      </c>
      <c r="AU3" s="106" t="s">
        <v>872</v>
      </c>
      <c r="AV3" s="182" t="s">
        <v>861</v>
      </c>
      <c r="AW3" s="183"/>
      <c r="AX3" s="183" t="s">
        <v>865</v>
      </c>
      <c r="AY3" s="183"/>
      <c r="AZ3" s="183" t="s">
        <v>875</v>
      </c>
      <c r="BA3" s="185"/>
      <c r="BB3" s="182" t="s">
        <v>830</v>
      </c>
      <c r="BC3" s="183"/>
      <c r="BD3" s="183" t="s">
        <v>863</v>
      </c>
      <c r="BE3" s="183"/>
      <c r="BF3" s="183" t="s">
        <v>873</v>
      </c>
      <c r="BG3" s="185"/>
      <c r="BH3" s="183" t="s">
        <v>647</v>
      </c>
      <c r="BI3" s="183"/>
      <c r="BJ3" s="106"/>
      <c r="BK3" t="s">
        <v>992</v>
      </c>
      <c r="BL3" t="s">
        <v>993</v>
      </c>
      <c r="BM3" s="195" t="s">
        <v>994</v>
      </c>
      <c r="BN3" s="195"/>
      <c r="BO3" s="195" t="s">
        <v>995</v>
      </c>
      <c r="BP3" s="195"/>
      <c r="BQ3" s="105" t="s">
        <v>29</v>
      </c>
      <c r="BR3" s="105" t="s">
        <v>414</v>
      </c>
      <c r="BS3" s="105" t="s">
        <v>415</v>
      </c>
      <c r="BT3" s="105" t="s">
        <v>416</v>
      </c>
      <c r="BU3" s="72"/>
      <c r="BV3" s="72"/>
      <c r="BW3" s="72"/>
      <c r="CA3" s="2" t="s">
        <v>417</v>
      </c>
      <c r="CB3" s="2" t="s">
        <v>417</v>
      </c>
    </row>
    <row r="4" spans="1:16324" ht="17.25" customHeight="1">
      <c r="A4" s="93"/>
      <c r="B4" s="93"/>
      <c r="C4" s="64"/>
      <c r="D4" s="64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85"/>
      <c r="V4" s="85"/>
      <c r="W4" s="85"/>
      <c r="X4" s="85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108"/>
      <c r="AL4" s="72"/>
      <c r="AM4" s="72"/>
      <c r="AN4" s="72"/>
      <c r="AO4" s="72"/>
      <c r="AP4" s="72"/>
      <c r="AQ4" s="108"/>
      <c r="AR4" s="72"/>
      <c r="AS4" s="72"/>
      <c r="AT4" s="72"/>
      <c r="BD4" s="72"/>
      <c r="BE4" s="72"/>
      <c r="BF4" s="72"/>
      <c r="BG4" s="110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72"/>
      <c r="BU4" s="72"/>
      <c r="BV4" s="72"/>
      <c r="BW4" s="72"/>
      <c r="CA4" s="2"/>
      <c r="CB4" s="2"/>
    </row>
    <row r="5" spans="1:16324" ht="25">
      <c r="A5" s="102" t="s">
        <v>1015</v>
      </c>
      <c r="B5" s="94">
        <v>100</v>
      </c>
      <c r="C5" s="103" t="s">
        <v>705</v>
      </c>
      <c r="D5" s="100" t="s">
        <v>892</v>
      </c>
      <c r="E5" s="95">
        <v>380</v>
      </c>
      <c r="F5" s="19" t="s">
        <v>580</v>
      </c>
      <c r="G5" s="96">
        <v>0.8</v>
      </c>
      <c r="H5" s="96">
        <f>IF(E5&lt;=230,(G5)/((E5/1000)*J5*(B5/100)),(G5)/(1.732*(E5/1000)*J5*(B5/100)))</f>
        <v>1.2794841120060394</v>
      </c>
      <c r="I5" s="95">
        <v>1</v>
      </c>
      <c r="J5" s="96">
        <v>0.95</v>
      </c>
      <c r="K5" s="96">
        <v>0.33</v>
      </c>
      <c r="L5" s="97">
        <f>I5*G5</f>
        <v>0.8</v>
      </c>
      <c r="M5" s="97">
        <f>I5*G5*K5</f>
        <v>0.26400000000000001</v>
      </c>
      <c r="N5" s="97">
        <f>1*G5^2</f>
        <v>0.64000000000000012</v>
      </c>
      <c r="O5" s="97"/>
      <c r="P5" s="97"/>
      <c r="Q5" s="97"/>
      <c r="R5" s="97"/>
      <c r="S5" s="97"/>
      <c r="T5" s="97"/>
      <c r="U5" s="86">
        <f>10*1.2</f>
        <v>12</v>
      </c>
      <c r="V5" s="86">
        <f>7*H5</f>
        <v>8.9563887840422751</v>
      </c>
      <c r="W5" s="116" t="s">
        <v>872</v>
      </c>
      <c r="X5" s="87" t="s">
        <v>302</v>
      </c>
      <c r="Y5" s="87">
        <f>IF(U5&lt;=6,6,IF(U5&lt;=10,10,IF(U5&lt;=16,16,IF(U5&lt;=20,20,IF(U5&lt;=25,25,IF(U5&lt;=32,32,IF(U5&lt;=40,40,IF(U5&lt;=50,50,IF(U5&lt;=63,63,"др.выкл")))))))))</f>
        <v>16</v>
      </c>
      <c r="Z5" s="87" t="str">
        <f>INDEX(автоматы!$B$3:$D$11,MATCH(Y5,автоматы!$A$3:$A$11,0),MATCH(X5,кол_пол,0))</f>
        <v>EZ9F34316</v>
      </c>
      <c r="AA5" s="87">
        <f>IF(U5&lt;=0.16,0.16,IF(U5&lt;=0.25,0.25,IF(U5&lt;=0.4,0.4,IF(U5&lt;=0.63,0.63,IF(U5&lt;=1,1,IF(U5&lt;=1.6,1.6,IF(U5&lt;=2.5,2.5,IF(U5&lt;=4,4,IF(U5&lt;=6.3,6.3,IF(U5&lt;=10,10,IF(U5&lt;=14,14,IF(U5&lt;=18,18,IF(U5&lt;=23,23,IF(U5&lt;=25,25,IF(U5&lt;=32,32,"др.авт")))))))))))))))</f>
        <v>14</v>
      </c>
      <c r="AB5" s="87" t="str">
        <f>VLOOKUP(AA5,автоматы!$H$3:$I$17,2,0)</f>
        <v>GZ1 E16</v>
      </c>
      <c r="AC5" s="87">
        <f>IF(U5&lt;=20,20,IF(U5&lt;=25,25,IF(U5&lt;=32,32,IF(U5&lt;=40,40,IF(U5&lt;=50,50,IF(U5&lt;=63,63,IF(U5&lt;=80,80,IF(U5&lt;=100,100,IF(U5&lt;=125,125,IF(U5&lt;=160,160,IF(U5&lt;=200,200,IF(U5&lt;=250,250,IF(U5&lt;=300,300,IF(U5&lt;=320,320,IF(U5&lt;=400,400,IF(U5&lt;=500,500,IF(U5&lt;=630,630,"др.авт")))))))))))))))))</f>
        <v>20</v>
      </c>
      <c r="AD5" s="87" t="str">
        <f>VLOOKUP(AC5,автоматы!$N$3:$O$19,2,0)</f>
        <v>LZMB1-A20-I</v>
      </c>
      <c r="AE5" s="88">
        <f>IF(U5&lt;=6,6,IF(U5&lt;=10,10,IF(U5&lt;=16,16,IF(U5&lt;=20,20,IF(U5&lt;=25,25,IF(U5&lt;=32,32,IF(U5&lt;=40,40,IF(U5&lt;=50,50,IF(U5&lt;=63,63,"др.выкл")))))))))</f>
        <v>16</v>
      </c>
      <c r="AF5" s="87" t="str">
        <f>INDEX(автоматы!$T$2:$V$15,MATCH(AE5,автоматы!$S$2:$S$15,0),MATCH(X5,автоматы!$T$1:$V$1,0))</f>
        <v>iC60N C16 3P</v>
      </c>
      <c r="AG5" s="87">
        <f>IF(U5&lt;=6,6,IF(U5&lt;=10,10,IF(U5&lt;=16,16,IF(U5&lt;=20,20,IF(U5&lt;=25,25,IF(U5&lt;=32,32,IF(U5&lt;=40,40,"др.выкл")))))))</f>
        <v>16</v>
      </c>
      <c r="AH5" s="87" t="str">
        <f>VLOOKUP(AG5,автоматы!$Z$3:$AA$9,2,0)</f>
        <v>A9D31616</v>
      </c>
      <c r="AI5" s="2">
        <f>IF(U5&lt;=15,15,IF(U5&lt;=16,16,IF(U5&lt;=20,20,IF(U5&lt;=25,25,IF(U5&lt;=32,32,IF(U5&lt;=40,40,IF(U5&lt;=45,45,IF(U5&lt;=50,50,IF(U5&lt;=60,60,IF(U5&lt;=63,63,IF(U5&lt;=75,75,IF(U5&lt;=80,80,IF(U5&lt;=100,100,IF(U5&lt;=125,125,IF(U5&lt;=150,150,IF(U5&lt;=160,160,IF(U5&lt;=175,175,IF(U5&lt;=200,200,IF(U5&lt;=225,225,IF(U5&lt;=250,250,IF(U5&lt;=320,320,IF(U5&lt;=350,350,IF(U5&lt;=400,400,"др.выкл")))))))))))))))))))))))</f>
        <v>15</v>
      </c>
      <c r="AJ5" t="str">
        <f>VLOOKUP(AI5,автоматы!$AE$3:$AF$26,2,0)</f>
        <v>EZC100F3015</v>
      </c>
      <c r="AK5" s="3">
        <f>IF(U5&lt;=0.16,0.16,IF(U5&lt;=0.25,0.25,IF(U5&lt;=0.4,0.4,IF(U5&lt;=0.63,0.63,IF(U5&lt;=1,1,IF(U5&lt;=1.6,1.6,IF(U5&lt;=2.5,2.5,IF(U5&lt;=4,4,IF(U5&lt;=6.3,6.3,IF(U5&lt;=10,10,IF(U5&lt;=14,14,IF(U5&lt;=18,18,IF(U5&lt;=23,23,IF(U5&lt;=25,25,IF(U5&lt;=32,32,"др.авт")))))))))))))))</f>
        <v>14</v>
      </c>
      <c r="AL5" t="str">
        <f>VLOOKUP(AK5,DEKraft!$I$2:$J$16,2,0)</f>
        <v>21230DEK</v>
      </c>
      <c r="AM5">
        <f>IF(U5&lt;=0.16,0.16,IF(U5&lt;=0.25,0.25,IF(U5&lt;=0.4,0.4,IF(U5&lt;=0.63,0.63,IF(U5&lt;=1,1,IF(U5&lt;=1.6,1.6,IF(U5&lt;=2.5,2.5,IF(U5&lt;=4,4,IF(U5&lt;=6.3,6.3,IF(U5&lt;=10,10,IF(U5&lt;=14,14,IF(U5&lt;=18,18,IF(U5&lt;=23,23,IF(U5&lt;=25,25,IF(U5&lt;=32,32,"др.авт")))))))))))))))</f>
        <v>14</v>
      </c>
      <c r="AN5" t="str">
        <f>VLOOKUP(AM5,systeme!$A$33:$B$47,2,0)</f>
        <v>GM2ME16</v>
      </c>
      <c r="AO5">
        <f>IF(U5&lt;=0.16,0.16,IF(U5&lt;=0.25,0.25,IF(U5&lt;=0.4,0.4,IF(U5&lt;=0.63,0.63,IF(U5&lt;=1,1,IF(U5&lt;=1.6,1.6,IF(U5&lt;=2.5,2.5,IF(U5&lt;=4,4,IF(U5&lt;=6.3,6.3,IF(U5&lt;=10,10,IF(U5&lt;=14,14,IF(U5&lt;=18,18,IF(U5&lt;=23,23,IF(U5&lt;=25,25,IF(U5&lt;=32,32,"др.авт")))))))))))))))</f>
        <v>14</v>
      </c>
      <c r="AP5">
        <f>VLOOKUP(AO5,chint!$A$34:$B$48,2,0)</f>
        <v>495082</v>
      </c>
      <c r="AQ5" s="3">
        <f>IF(U5&lt;=6,6,IF(U5&lt;=10,10,IF(U5&lt;=16,16,IF(U5&lt;=20,20,IF(U5&lt;=25,25,IF(U5&lt;=32,32,IF(U5&lt;=40,40,IF(U5&lt;=50,50,IF(U5&lt;=63,63,"др.выкл")))))))))</f>
        <v>16</v>
      </c>
      <c r="AR5" t="str">
        <f>INDEX(DEKraft!$B$2:$D$13,MATCH(AQ5,DEKraft!$A$2:$A$13,0),MATCH(X5,DEKraft!$B$1:$D$1,0))</f>
        <v>13177DEK</v>
      </c>
      <c r="AS5" t="str">
        <f>INDEX(DEKraft!$B$21:$D$32,MATCH(AQ5,DEKraft!$A$21:$A$32,0),MATCH(X5,DEKraft!$B$20:$D$20,0))</f>
        <v>12305DEK</v>
      </c>
      <c r="AT5" t="str">
        <f>INDEX(systeme!$B$2:$D$10,MATCH(AQ5,systeme!$A$2:$A$10,0),MATCH(X5,systeme!$B$1:$D$1,0))</f>
        <v>C9F36316</v>
      </c>
      <c r="AU5">
        <f>INDEX(chint!$B$2:$D$10,MATCH(AQ5,chint!$A$2:$A$10,0),MATCH(X5,chint!$B$1:$D$1,0))</f>
        <v>179700</v>
      </c>
      <c r="AV5" s="3">
        <f>IF(U5&lt;=6,6,IF(U5&lt;=10,10,IF(U5&lt;=16,16,IF(U5&lt;=20,20,IF(U5&lt;=25,25,IF(U5&lt;=32,32,IF(U5&lt;=40,40,"др.выкл")))))))</f>
        <v>16</v>
      </c>
      <c r="AW5" t="str">
        <f>VLOOKUP(AV5,DEKraft!$A$41:$B$47,2,0)</f>
        <v>16204DEK</v>
      </c>
      <c r="AX5">
        <f>IF(U5&lt;=10,10,IF(U5&lt;=16,16,IF(U5&lt;=20,20,IF(U5&lt;=25,25,IF(U5&lt;=32,32,IF(U5&lt;=40,40,"др.выкл"))))))</f>
        <v>16</v>
      </c>
      <c r="AY5" t="str">
        <f>VLOOKUP(AX5,systeme!$G$2:$H$7,2,0)</f>
        <v>C9D36616</v>
      </c>
      <c r="AZ5">
        <f>IF(U5&lt;=6,6,IF(U5&lt;=10,10,IF(U5&lt;=16,16,IF(U5&lt;=20,20,IF(U5&lt;=25,25,IF(U5&lt;=32,32,IF(U5&lt;=40,40,"др.выкл")))))))</f>
        <v>16</v>
      </c>
      <c r="BA5">
        <f>VLOOKUP(AV5,chint!$G$2:$H$8,2,0)</f>
        <v>689002</v>
      </c>
      <c r="BB5" s="3">
        <f>IF(U5&lt;=25,25,IF(U5&lt;=32,32,IF(U5&lt;=40,40,IF(U5&lt;=50,50,IF(U5&lt;=63,63,IF(U5&lt;=80,80,IF(U5&lt;=100,100,IF(U5&lt;=125,125,IF(U5&lt;=140,140,IF(U5&lt;=160,160,IF(U5&lt;=200,200,IF(U5&lt;=250,250,IF(U5&lt;=320,320,IF(U5&lt;=400,400,IF(U5&lt;=500,500,IF(U5&lt;=630,630,"др.выкл"))))))))))))))))</f>
        <v>25</v>
      </c>
      <c r="BC5" t="str">
        <f>VLOOKUP(BB5,DEKraft!$I$21:$J$36,2,0)</f>
        <v>28100DEK</v>
      </c>
      <c r="BD5">
        <f>IF(U5&lt;=16,16,IF(U5&lt;=25,25,IF(U5&lt;=32,32,IF(U5&lt;=40,40,IF(U5&lt;=50,50,IF(U5&lt;=63,63,IF(U5&lt;=80,80,IF(U5&lt;=100,100,IF(U5&lt;=125,125,IF(U5&lt;=160,160,IF(U5&lt;=200,200,IF(U5&lt;=250,250,IF(U5&lt;=400,400,IF(U5&lt;=500,500,IF(U5&lt;=600,600,"др.авт")))))))))))))))</f>
        <v>16</v>
      </c>
      <c r="BE5" t="str">
        <f>VLOOKUP(BD5,systeme!$A$16:$B$30,2,0)</f>
        <v>SPC100F016L3DF</v>
      </c>
      <c r="BF5">
        <f>IF(U5&lt;=16,16,IF(U5&lt;=25,25,IF(U5&lt;=32,32,IF(U5&lt;=40,40,IF(U5&lt;=50,50,IF(U5&lt;=63,63,IF(U5&lt;=80,80,IF(U5&lt;=100,100,IF(U5&lt;=125,125,IF(U5&lt;=160,160,IF(U5&lt;=200,200,IF(U5&lt;=225,225,IF(U5&lt;=250,250,IF(U5&lt;=315,315,IF(U5&lt;=350,350,IF(U5&lt;=400,400,IF(U5&lt;=500,500,IF(U5&lt;=630,630,"др.выкл"))))))))))))))))))</f>
        <v>16</v>
      </c>
      <c r="BG5" s="4">
        <f>VLOOKUP(BF5,chint!$A$14:$B$31,2,0)</f>
        <v>271581</v>
      </c>
      <c r="BH5">
        <f>IF(U5&lt;=6,6,IF(U5&lt;=10,10,IF(U5&lt;=16,16,IF(U5&lt;=20,20,IF(U5&lt;=25,25,IF(U5&lt;=32,32,IF(U5&lt;=40,40,IF(U5&lt;=50,50,IF(U5&lt;=63,63,"др.выкл")))))))))</f>
        <v>16</v>
      </c>
      <c r="BI5" t="str">
        <f>INDEX(КЭАЗ!$B$2:$E$14,MATCH(BH5,КЭАЗ!$A$2:$A$14,0),MATCH(X5,КЭАЗ!$B$1:$D$1,0))</f>
        <v>kea.341959</v>
      </c>
      <c r="BJ5">
        <f>IF(U5&lt;=6,6,IF(U5&lt;=10,10,IF(U5&lt;=16,16,IF(U5&lt;=20,20,IF(U5&lt;=25,25,IF(U5&lt;=32,32,IF(U5&lt;=40,40,IF(U5&lt;=50,50,IF(U5&lt;=63,63,IF(U5&lt;=80,80,IF(U5&lt;=100,100,IF(U5&lt;=125,125,"др.выкл"))))))))))))</f>
        <v>16</v>
      </c>
      <c r="BK5" t="str">
        <f>INDEX(hy!$B$2:$D$18,MATCH(BJ5,hy!$A$2:$A$18,0),MATCH(X5,hy!$B$1:$D$1,0))</f>
        <v>HGD63M 3PMCS0000C 00016</v>
      </c>
      <c r="BL5" t="str">
        <f>VLOOKUP(BJ5,hy!$G$2:$H$15,2,0)</f>
        <v>HRO63M 1NG4С0000C00016G</v>
      </c>
      <c r="BM5">
        <f>IF(U5&lt;=0.16,0.16,IF(U5&lt;=0.25,0.25,IF(U5&lt;=0.4,0.4,IF(U5&lt;=0.63,0.63,IF(U5&lt;=1,1,IF(U5&lt;=1.6,1.6,IF(U5&lt;=2.5,2.5,IF(U5&lt;=4,4,IF(U5&lt;=6.3,6.3,IF(U5&lt;=10,10,IF(U5&lt;=14,14,IF(U5&lt;=18,18,IF(U5&lt;=23,23,IF(U5&lt;=25,25,IF(U5&lt;=32,32,"др.авт")))))))))))))))</f>
        <v>14</v>
      </c>
      <c r="BN5" t="str">
        <f>VLOOKUP(BM5,hy!$A$41:$B$55,2,0)</f>
        <v>MMS32K 0014</v>
      </c>
      <c r="BO5">
        <f>IF(U5&lt;=100,100,IF(U5&lt;=125,125,IF(U5&lt;=150,150,IF(U5&lt;=160,160,IF(U5&lt;=175,175,IF(U5&lt;=200,200,IF(U5&lt;=225,225,IF(U5&lt;=250,250,IF(U5&lt;=300,300,IF(U5&lt;=350,350,IF(U5&lt;=400,400,IF(U5&lt;=500,500,IF(U5&lt;=630,630,IF(U5&lt;=700,700,IF(U5&lt;=800,800,"др.выкл")))))))))))))))</f>
        <v>100</v>
      </c>
      <c r="BP5" t="str">
        <f>VLOOKUP(BO5,hy!$A$21:$B$35,2,0)</f>
        <v>HGP100S-G 3PT4S0000C 00100H</v>
      </c>
      <c r="BQ5" s="89">
        <f>IF($W5=автоматы!$D$45,Z5,IF($W5=автоматы!$D$46,AF5,IF($W5=автоматы!$D$47,AH5,IF($W5=автоматы!$D$48,AB5,IF($W5=автоматы!$D$49,AJ5,IF($W5=автоматы!$D$50,AD5,IF($W5=автоматы!$D$51,BI5,IF($W5=автоматы!$D$52,AR5,IF($W5=автоматы!$D$53,AS5,IF($W5=автоматы!$D$54,AW5,IF($W5=автоматы!$D$55,AL5,IF($W5=автоматы!$D$56,BC5,IF($W5=автоматы!$D$57,AT5,IF($W5=автоматы!$D$58,AY5,IF($W5=автоматы!$D$59,AN5,IF($W5=автоматы!$D$60,BE5,IF($W5=автоматы!$D$61,AU5,IF($W5=автоматы!$D$62,BA5,IF($W5=автоматы!$D$63,AP5,IF($W5=автоматы!$D$64,BG5,IF($W5=автоматы!$D$65,BK5,IF($W5=автоматы!$D$66,BL5,IF($W5=автоматы!$D$67,BN5,IF($W5=автоматы!$D$68,BP5,"др"))))))))))))))))))))))))</f>
        <v>179700</v>
      </c>
      <c r="BR5" s="89">
        <f>IF($W5=автоматы!$D$45,Y5,IF($W5=автоматы!$D$46,AE5,IF($W5=автоматы!$D$47,AG5,IF($W5=автоматы!$D$48,AA5,IF($W5=автоматы!$D$49,AI5,IF($W5=автоматы!$D$50,AC5,IF($W5=автоматы!$D$51,BH5,IF($W5=автоматы!$D$52,AQ5,IF($W5=автоматы!$D$53,AQ5,IF($W5=автоматы!$D$54,AV5,IF($W5=автоматы!$D$55,AK5,IF($W5=автоматы!$D$56,BB5,IF($W5=автоматы!$D$57,AQ5,IF($W5=автоматы!$D$58,AX5,IF($W5=автоматы!$D$59,AM5,IF($W5=автоматы!$D$60,BD5,IF($W5=автоматы!$D$61,AQ5,IF($W5=автоматы!$D$62,AZ5,IF($W5=автоматы!$D$63,AO5,IF($W5=автоматы!$D$64,BF5,IF($W5=автоматы!$D$65,BJ5,IF($W5=автоматы!$D$66,BJ5,IF($W5=автоматы!$D$67,BM5,IF($W5=автоматы!$D$68,BO5,"др"))))))))))))))))))))))))</f>
        <v>16</v>
      </c>
      <c r="BS5" s="89" t="str">
        <f>CONCATENATE(IF($W5=автоматы!$A$1,Y5,IF($W5=автоматы!$H$1,VLOOKUP(AA5,автоматы!$H$3:$K$17,3,0),IF($W5=автоматы!$N$1,VLOOKUP(AC5,автоматы!$N$3:$Q$19,3,0),IF($W5=автоматы!$S$17,AE5,IF($W5=автоматы!$Z$1,AG5,IF($W5=автоматы!$AE$1,AI5,"др"))))))," А")</f>
        <v>др А</v>
      </c>
      <c r="BT5" s="89" t="str">
        <f>IF($W5=автоматы!$A$1,Y5*10,IF($W5=автоматы!$H$1,VLOOKUP(AA5,автоматы!$H$3:$K$17,4,0),IF($W5=автоматы!$N$1,VLOOKUP(AC5,автоматы!$N$3:$Q$19,4,0),IF($W5=автоматы!$S$17,AE5*10,IF($W5=автоматы!$Z$1,AG5*10,IF($W5=автоматы!$AE$1,AI5*10,"др"))))))</f>
        <v>др</v>
      </c>
      <c r="BU5" s="85"/>
      <c r="BV5" s="90" t="s">
        <v>147</v>
      </c>
      <c r="BW5" s="90">
        <v>1</v>
      </c>
      <c r="BX5" s="91">
        <v>5</v>
      </c>
      <c r="BY5" s="92">
        <v>2.5</v>
      </c>
      <c r="BZ5" s="91">
        <f>HLOOKUP(BV5,каталог!$CG$1:$CO$22,MATCH(BY5,каталог!$CF$1:$CF$22,0),0)*BW5</f>
        <v>25</v>
      </c>
      <c r="CA5" s="87" t="str">
        <f>CONCATENATE("н",C5,"")</f>
        <v>нПЭСПЗ</v>
      </c>
      <c r="CB5" s="87" t="str">
        <f>CONCATENATE(BV5," ",BX5,"x",BY5)</f>
        <v>ВВГнг(А)-LS 5x2,5</v>
      </c>
      <c r="CC5" s="87"/>
      <c r="CD5" s="87"/>
      <c r="CE5" s="87"/>
      <c r="CF5" s="87"/>
      <c r="CG5" s="87"/>
      <c r="CH5" s="87"/>
      <c r="CI5" s="87"/>
      <c r="CJ5" s="87"/>
      <c r="CK5" s="87"/>
      <c r="CL5" s="87"/>
      <c r="CM5" s="87"/>
      <c r="CN5" s="87"/>
      <c r="CO5" s="87"/>
      <c r="CP5" s="87"/>
      <c r="CQ5" s="87"/>
      <c r="CR5" s="87"/>
      <c r="CS5" s="87"/>
      <c r="CT5" s="87"/>
      <c r="CU5" s="87"/>
      <c r="CV5" s="87"/>
      <c r="CW5" s="87"/>
      <c r="CX5" s="87"/>
      <c r="CY5" s="87"/>
      <c r="CZ5" s="87"/>
      <c r="DA5" s="87"/>
      <c r="DB5" s="87"/>
      <c r="DC5" s="87"/>
      <c r="DD5" s="87"/>
      <c r="DE5" s="87"/>
      <c r="DF5" s="87"/>
      <c r="DG5" s="87"/>
      <c r="DH5" s="87"/>
      <c r="DI5" s="87"/>
      <c r="DJ5" s="87"/>
      <c r="DK5" s="87"/>
      <c r="DL5" s="87"/>
      <c r="DM5" s="87"/>
      <c r="DN5" s="87"/>
      <c r="DO5" s="87"/>
      <c r="DP5" s="87"/>
      <c r="DQ5" s="87"/>
      <c r="DR5" s="87"/>
      <c r="DS5" s="87"/>
      <c r="DT5" s="87"/>
      <c r="DU5" s="87"/>
      <c r="DV5" s="87"/>
      <c r="DW5" s="87"/>
      <c r="DX5" s="87"/>
      <c r="DY5" s="87"/>
      <c r="DZ5" s="87"/>
      <c r="EA5" s="87"/>
      <c r="EB5" s="87"/>
      <c r="EC5" s="87"/>
      <c r="ED5" s="87"/>
      <c r="EE5" s="87"/>
      <c r="EF5" s="87"/>
      <c r="EG5" s="87"/>
      <c r="EH5" s="87"/>
      <c r="EI5" s="87"/>
      <c r="EJ5" s="87"/>
      <c r="EK5" s="87"/>
      <c r="EL5" s="87"/>
      <c r="EM5" s="87"/>
      <c r="EN5" s="87"/>
      <c r="EO5" s="87"/>
      <c r="EP5" s="87"/>
      <c r="EQ5" s="87"/>
      <c r="ER5" s="87"/>
      <c r="ES5" s="87"/>
      <c r="ET5" s="87"/>
      <c r="EU5" s="87"/>
      <c r="EV5" s="87"/>
      <c r="EW5" s="87"/>
      <c r="EX5" s="87"/>
      <c r="EY5" s="87"/>
      <c r="EZ5" s="87"/>
      <c r="FA5" s="87"/>
      <c r="FB5" s="87"/>
      <c r="FC5" s="87"/>
      <c r="FD5" s="87"/>
      <c r="FE5" s="87"/>
      <c r="FF5" s="87"/>
      <c r="FG5" s="87"/>
      <c r="FH5" s="87"/>
      <c r="FI5" s="87"/>
      <c r="FJ5" s="87"/>
      <c r="FK5" s="87"/>
      <c r="FL5" s="87"/>
      <c r="FM5" s="87"/>
      <c r="FN5" s="87"/>
      <c r="FO5" s="87"/>
      <c r="FP5" s="87"/>
      <c r="FQ5" s="87"/>
      <c r="FR5" s="87"/>
      <c r="FS5" s="87"/>
      <c r="FT5" s="87"/>
      <c r="FU5" s="87"/>
      <c r="FV5" s="87"/>
      <c r="FW5" s="87"/>
      <c r="FX5" s="87"/>
      <c r="FY5" s="87"/>
      <c r="FZ5" s="87"/>
      <c r="GA5" s="87"/>
      <c r="GB5" s="87"/>
      <c r="GC5" s="87"/>
      <c r="GD5" s="87"/>
      <c r="GE5" s="87"/>
      <c r="GF5" s="87"/>
      <c r="GG5" s="87"/>
      <c r="GH5" s="87"/>
      <c r="GI5" s="87"/>
      <c r="GJ5" s="87"/>
      <c r="GK5" s="87"/>
      <c r="GL5" s="87"/>
      <c r="GM5" s="87"/>
      <c r="GN5" s="87"/>
      <c r="GO5" s="87"/>
      <c r="GP5" s="87"/>
      <c r="GQ5" s="87"/>
      <c r="GR5" s="87"/>
      <c r="GS5" s="87"/>
      <c r="GT5" s="87"/>
      <c r="GU5" s="87"/>
      <c r="GV5" s="87"/>
      <c r="GW5" s="87"/>
      <c r="GX5" s="87"/>
      <c r="GY5" s="87"/>
      <c r="GZ5" s="87"/>
      <c r="HA5" s="87"/>
      <c r="HB5" s="87"/>
      <c r="HC5" s="87"/>
      <c r="HD5" s="87"/>
      <c r="HE5" s="87"/>
      <c r="HF5" s="87"/>
      <c r="HG5" s="87"/>
      <c r="HH5" s="87"/>
      <c r="HI5" s="87"/>
      <c r="HJ5" s="87"/>
      <c r="HK5" s="87"/>
      <c r="HL5" s="87"/>
      <c r="HM5" s="87"/>
      <c r="HN5" s="87"/>
      <c r="HO5" s="87"/>
      <c r="HP5" s="87"/>
      <c r="HQ5" s="87"/>
      <c r="HR5" s="87"/>
      <c r="HS5" s="87"/>
      <c r="HT5" s="87"/>
      <c r="HU5" s="87"/>
      <c r="HV5" s="87"/>
      <c r="HW5" s="87"/>
      <c r="HX5" s="87"/>
      <c r="HY5" s="87"/>
      <c r="HZ5" s="87"/>
      <c r="IA5" s="87"/>
      <c r="IB5" s="87"/>
      <c r="IC5" s="87"/>
      <c r="ID5" s="87"/>
      <c r="IE5" s="87"/>
      <c r="IF5" s="87"/>
      <c r="IG5" s="87"/>
      <c r="IH5" s="87"/>
      <c r="II5" s="87"/>
      <c r="IJ5" s="87"/>
      <c r="IK5" s="87"/>
      <c r="IL5" s="87"/>
      <c r="IM5" s="87"/>
      <c r="IN5" s="87"/>
      <c r="IO5" s="87"/>
      <c r="IP5" s="87"/>
      <c r="IQ5" s="87"/>
      <c r="IR5" s="87"/>
      <c r="IS5" s="87"/>
      <c r="IT5" s="87"/>
      <c r="IU5" s="87"/>
      <c r="IV5" s="87"/>
      <c r="IW5" s="87"/>
      <c r="IX5" s="87"/>
      <c r="IY5" s="87"/>
      <c r="IZ5" s="87"/>
      <c r="JA5" s="87"/>
      <c r="JB5" s="87"/>
      <c r="JC5" s="87"/>
      <c r="JD5" s="87"/>
      <c r="JE5" s="87"/>
      <c r="JF5" s="87"/>
      <c r="JG5" s="87"/>
      <c r="JH5" s="87"/>
      <c r="JI5" s="87"/>
      <c r="JJ5" s="87"/>
      <c r="JK5" s="87"/>
      <c r="JL5" s="87"/>
      <c r="JM5" s="87"/>
      <c r="JN5" s="87"/>
      <c r="JO5" s="87"/>
      <c r="JP5" s="87"/>
      <c r="JQ5" s="87"/>
      <c r="JR5" s="87"/>
      <c r="JS5" s="87"/>
      <c r="JT5" s="87"/>
      <c r="JU5" s="87"/>
      <c r="JV5" s="87"/>
      <c r="JW5" s="87"/>
      <c r="JX5" s="87"/>
      <c r="JY5" s="87"/>
      <c r="JZ5" s="87"/>
      <c r="KA5" s="87"/>
      <c r="KB5" s="87"/>
      <c r="KC5" s="87"/>
      <c r="KD5" s="87"/>
      <c r="KE5" s="87"/>
      <c r="KF5" s="87"/>
      <c r="KG5" s="87"/>
      <c r="KH5" s="87"/>
      <c r="KI5" s="87"/>
      <c r="KJ5" s="87"/>
      <c r="KK5" s="87"/>
      <c r="KL5" s="87"/>
      <c r="KM5" s="87"/>
      <c r="KN5" s="87"/>
      <c r="KO5" s="87"/>
      <c r="KP5" s="87"/>
      <c r="KQ5" s="87"/>
      <c r="KR5" s="87"/>
      <c r="KS5" s="87"/>
      <c r="KT5" s="87"/>
      <c r="KU5" s="87"/>
      <c r="KV5" s="87"/>
      <c r="KW5" s="87"/>
      <c r="KX5" s="87"/>
      <c r="KY5" s="87"/>
      <c r="KZ5" s="87"/>
      <c r="LA5" s="87"/>
      <c r="LB5" s="87"/>
      <c r="LC5" s="87"/>
      <c r="LD5" s="87"/>
      <c r="LE5" s="87"/>
      <c r="LF5" s="87"/>
      <c r="LG5" s="87"/>
      <c r="LH5" s="87"/>
      <c r="LI5" s="87"/>
      <c r="LJ5" s="87"/>
      <c r="LK5" s="87"/>
      <c r="LL5" s="87"/>
      <c r="LM5" s="87"/>
      <c r="LN5" s="87"/>
      <c r="LO5" s="87"/>
      <c r="LP5" s="87"/>
      <c r="LQ5" s="87"/>
      <c r="LR5" s="87"/>
      <c r="LS5" s="87"/>
      <c r="LT5" s="87"/>
      <c r="LU5" s="87"/>
      <c r="LV5" s="87"/>
      <c r="LW5" s="87"/>
      <c r="LX5" s="87"/>
      <c r="LY5" s="87"/>
      <c r="LZ5" s="87"/>
      <c r="MA5" s="87"/>
      <c r="MB5" s="87"/>
      <c r="MC5" s="87"/>
      <c r="MD5" s="87"/>
      <c r="ME5" s="87"/>
      <c r="MF5" s="87"/>
      <c r="MG5" s="87"/>
      <c r="MH5" s="87"/>
      <c r="MI5" s="87"/>
      <c r="MJ5" s="87"/>
      <c r="MK5" s="87"/>
      <c r="ML5" s="87"/>
      <c r="MM5" s="87"/>
      <c r="MN5" s="87"/>
      <c r="MO5" s="87"/>
      <c r="MP5" s="87"/>
      <c r="MQ5" s="87"/>
      <c r="MR5" s="87"/>
      <c r="MS5" s="87"/>
      <c r="MT5" s="87"/>
      <c r="MU5" s="87"/>
      <c r="MV5" s="87"/>
      <c r="MW5" s="87"/>
      <c r="MX5" s="87"/>
      <c r="MY5" s="87"/>
      <c r="MZ5" s="87"/>
      <c r="NA5" s="87"/>
      <c r="NB5" s="87"/>
      <c r="NC5" s="87"/>
      <c r="ND5" s="87"/>
      <c r="NE5" s="87"/>
      <c r="NF5" s="87"/>
      <c r="NG5" s="87"/>
      <c r="NH5" s="87"/>
      <c r="NI5" s="87"/>
      <c r="NJ5" s="87"/>
      <c r="NK5" s="87"/>
      <c r="NL5" s="87"/>
      <c r="NM5" s="87"/>
      <c r="NN5" s="87"/>
      <c r="NO5" s="87"/>
      <c r="NP5" s="87"/>
      <c r="NQ5" s="87"/>
      <c r="NR5" s="87"/>
      <c r="NS5" s="87"/>
      <c r="NT5" s="87"/>
      <c r="NU5" s="87"/>
      <c r="NV5" s="87"/>
      <c r="NW5" s="87"/>
      <c r="NX5" s="87"/>
      <c r="NY5" s="87"/>
      <c r="NZ5" s="87"/>
      <c r="OA5" s="87"/>
      <c r="OB5" s="87"/>
      <c r="OC5" s="87"/>
      <c r="OD5" s="87"/>
      <c r="OE5" s="87"/>
      <c r="OF5" s="87"/>
      <c r="OG5" s="87"/>
      <c r="OH5" s="87"/>
      <c r="OI5" s="87"/>
      <c r="OJ5" s="87"/>
      <c r="OK5" s="87"/>
      <c r="OL5" s="87"/>
      <c r="OM5" s="87"/>
      <c r="ON5" s="87"/>
      <c r="OO5" s="87"/>
      <c r="OP5" s="87"/>
      <c r="OQ5" s="87"/>
      <c r="OR5" s="87"/>
      <c r="OS5" s="87"/>
      <c r="OT5" s="87"/>
      <c r="OU5" s="87"/>
      <c r="OV5" s="87"/>
      <c r="OW5" s="87"/>
      <c r="OX5" s="87"/>
      <c r="OY5" s="87"/>
      <c r="OZ5" s="87"/>
      <c r="PA5" s="87"/>
      <c r="PB5" s="87"/>
      <c r="PC5" s="87"/>
      <c r="PD5" s="87"/>
      <c r="PE5" s="87"/>
      <c r="PF5" s="87"/>
      <c r="PG5" s="87"/>
      <c r="PH5" s="87"/>
      <c r="PI5" s="87"/>
      <c r="PJ5" s="87"/>
      <c r="PK5" s="87"/>
      <c r="PL5" s="87"/>
      <c r="PM5" s="87"/>
      <c r="PN5" s="87"/>
      <c r="PO5" s="87"/>
      <c r="PP5" s="87"/>
      <c r="PQ5" s="87"/>
      <c r="PR5" s="87"/>
      <c r="PS5" s="87"/>
      <c r="PT5" s="87"/>
      <c r="PU5" s="87"/>
      <c r="PV5" s="87"/>
      <c r="PW5" s="87"/>
      <c r="PX5" s="87"/>
      <c r="PY5" s="87"/>
      <c r="PZ5" s="87"/>
      <c r="QA5" s="87"/>
      <c r="QB5" s="87"/>
      <c r="QC5" s="87"/>
      <c r="QD5" s="87"/>
      <c r="QE5" s="87"/>
      <c r="QF5" s="87"/>
      <c r="QG5" s="87"/>
      <c r="QH5" s="87"/>
      <c r="QI5" s="87"/>
      <c r="QJ5" s="87"/>
      <c r="QK5" s="87"/>
      <c r="QL5" s="87"/>
      <c r="QM5" s="87"/>
      <c r="QN5" s="87"/>
      <c r="QO5" s="87"/>
      <c r="QP5" s="87"/>
      <c r="QQ5" s="87"/>
      <c r="QR5" s="87"/>
      <c r="QS5" s="87"/>
      <c r="QT5" s="87"/>
      <c r="QU5" s="87"/>
      <c r="QV5" s="87"/>
      <c r="QW5" s="87"/>
      <c r="QX5" s="87"/>
      <c r="QY5" s="87"/>
      <c r="QZ5" s="87"/>
      <c r="RA5" s="87"/>
      <c r="RB5" s="87"/>
      <c r="RC5" s="87"/>
      <c r="RD5" s="87"/>
      <c r="RE5" s="87"/>
      <c r="RF5" s="87"/>
      <c r="RG5" s="87"/>
      <c r="RH5" s="87"/>
      <c r="RI5" s="87"/>
      <c r="RJ5" s="87"/>
      <c r="RK5" s="87"/>
      <c r="RL5" s="87"/>
      <c r="RM5" s="87"/>
      <c r="RN5" s="87"/>
      <c r="RO5" s="87"/>
      <c r="RP5" s="87"/>
      <c r="RQ5" s="87"/>
      <c r="RR5" s="87"/>
      <c r="RS5" s="87"/>
      <c r="RT5" s="87"/>
      <c r="RU5" s="87"/>
      <c r="RV5" s="87"/>
      <c r="RW5" s="87"/>
      <c r="RX5" s="87"/>
      <c r="RY5" s="87"/>
      <c r="RZ5" s="87"/>
      <c r="SA5" s="87"/>
      <c r="SB5" s="87"/>
      <c r="SC5" s="87"/>
      <c r="SD5" s="87"/>
      <c r="SE5" s="87"/>
      <c r="SF5" s="87"/>
      <c r="SG5" s="87"/>
      <c r="SH5" s="87"/>
      <c r="SI5" s="87"/>
      <c r="SJ5" s="87"/>
      <c r="SK5" s="87"/>
      <c r="SL5" s="87"/>
      <c r="SM5" s="87"/>
      <c r="SN5" s="87"/>
      <c r="SO5" s="87"/>
      <c r="SP5" s="87"/>
      <c r="SQ5" s="87"/>
      <c r="SR5" s="87"/>
      <c r="SS5" s="87"/>
      <c r="ST5" s="87"/>
      <c r="SU5" s="87"/>
      <c r="SV5" s="87"/>
      <c r="SW5" s="87"/>
      <c r="SX5" s="87"/>
      <c r="SY5" s="87"/>
      <c r="SZ5" s="87"/>
      <c r="TA5" s="87"/>
      <c r="TB5" s="87"/>
      <c r="TC5" s="87"/>
      <c r="TD5" s="87"/>
      <c r="TE5" s="87"/>
      <c r="TF5" s="87"/>
      <c r="TG5" s="87"/>
      <c r="TH5" s="87"/>
      <c r="TI5" s="87"/>
      <c r="TJ5" s="87"/>
      <c r="TK5" s="87"/>
      <c r="TL5" s="87"/>
      <c r="TM5" s="87"/>
      <c r="TN5" s="87"/>
      <c r="TO5" s="87"/>
      <c r="TP5" s="87"/>
      <c r="TQ5" s="87"/>
      <c r="TR5" s="87"/>
      <c r="TS5" s="87"/>
      <c r="TT5" s="87"/>
      <c r="TU5" s="87"/>
      <c r="TV5" s="87"/>
      <c r="TW5" s="87"/>
      <c r="TX5" s="87"/>
      <c r="TY5" s="87"/>
      <c r="TZ5" s="87"/>
      <c r="UA5" s="87"/>
      <c r="UB5" s="87"/>
      <c r="UC5" s="87"/>
      <c r="UD5" s="87"/>
      <c r="UE5" s="87"/>
      <c r="UF5" s="87"/>
      <c r="UG5" s="87"/>
      <c r="UH5" s="87"/>
      <c r="UI5" s="87"/>
      <c r="UJ5" s="87"/>
      <c r="UK5" s="87"/>
      <c r="UL5" s="87"/>
      <c r="UM5" s="87"/>
      <c r="UN5" s="87"/>
      <c r="UO5" s="87"/>
      <c r="UP5" s="87"/>
      <c r="UQ5" s="87"/>
      <c r="UR5" s="87"/>
      <c r="US5" s="87"/>
      <c r="UT5" s="87"/>
      <c r="UU5" s="87"/>
      <c r="UV5" s="87"/>
      <c r="UW5" s="87"/>
      <c r="UX5" s="87"/>
      <c r="UY5" s="87"/>
      <c r="UZ5" s="87"/>
      <c r="VA5" s="87"/>
      <c r="VB5" s="87"/>
      <c r="VC5" s="87"/>
      <c r="VD5" s="87"/>
      <c r="VE5" s="87"/>
      <c r="VF5" s="87"/>
      <c r="VG5" s="87"/>
      <c r="VH5" s="87"/>
      <c r="VI5" s="87"/>
      <c r="VJ5" s="87"/>
      <c r="VK5" s="87"/>
      <c r="VL5" s="87"/>
      <c r="VM5" s="87"/>
      <c r="VN5" s="87"/>
      <c r="VO5" s="87"/>
      <c r="VP5" s="87"/>
      <c r="VQ5" s="87"/>
      <c r="VR5" s="87"/>
      <c r="VS5" s="87"/>
      <c r="VT5" s="87"/>
      <c r="VU5" s="87"/>
      <c r="VV5" s="87"/>
      <c r="VW5" s="87"/>
      <c r="VX5" s="87"/>
      <c r="VY5" s="87"/>
      <c r="VZ5" s="87"/>
      <c r="WA5" s="87"/>
      <c r="WB5" s="87"/>
      <c r="WC5" s="87"/>
      <c r="WD5" s="87"/>
      <c r="WE5" s="87"/>
      <c r="WF5" s="87"/>
      <c r="WG5" s="87"/>
      <c r="WH5" s="87"/>
      <c r="WI5" s="87"/>
      <c r="WJ5" s="87"/>
      <c r="WK5" s="87"/>
      <c r="WL5" s="87"/>
      <c r="WM5" s="87"/>
      <c r="WN5" s="87"/>
      <c r="WO5" s="87"/>
      <c r="WP5" s="87"/>
      <c r="WQ5" s="87"/>
      <c r="WR5" s="87"/>
      <c r="WS5" s="87"/>
      <c r="WT5" s="87"/>
      <c r="WU5" s="87"/>
      <c r="WV5" s="87"/>
      <c r="WW5" s="87"/>
      <c r="WX5" s="87"/>
      <c r="WY5" s="87"/>
      <c r="WZ5" s="87"/>
      <c r="XA5" s="87"/>
      <c r="XB5" s="87"/>
      <c r="XC5" s="87"/>
      <c r="XD5" s="87"/>
      <c r="XE5" s="87"/>
      <c r="XF5" s="87"/>
      <c r="XG5" s="87"/>
      <c r="XH5" s="87"/>
      <c r="XI5" s="87"/>
      <c r="XJ5" s="87"/>
      <c r="XK5" s="87"/>
      <c r="XL5" s="87"/>
      <c r="XM5" s="87"/>
      <c r="XN5" s="87"/>
      <c r="XO5" s="87"/>
      <c r="XP5" s="87"/>
      <c r="XQ5" s="87"/>
      <c r="XR5" s="87"/>
      <c r="XS5" s="87"/>
      <c r="XT5" s="87"/>
      <c r="XU5" s="87"/>
      <c r="XV5" s="87"/>
      <c r="XW5" s="87"/>
      <c r="XX5" s="87"/>
      <c r="XY5" s="87"/>
      <c r="XZ5" s="87"/>
      <c r="YA5" s="87"/>
      <c r="YB5" s="87"/>
      <c r="YC5" s="87"/>
      <c r="YD5" s="87"/>
      <c r="YE5" s="87"/>
      <c r="YF5" s="87"/>
      <c r="YG5" s="87"/>
      <c r="YH5" s="87"/>
      <c r="YI5" s="87"/>
      <c r="YJ5" s="87"/>
      <c r="YK5" s="87"/>
      <c r="YL5" s="87"/>
      <c r="YM5" s="87"/>
      <c r="YN5" s="87"/>
      <c r="YO5" s="87"/>
      <c r="YP5" s="87"/>
      <c r="YQ5" s="87"/>
      <c r="YR5" s="87"/>
      <c r="YS5" s="87"/>
      <c r="YT5" s="87"/>
      <c r="YU5" s="87"/>
      <c r="YV5" s="87"/>
      <c r="YW5" s="87"/>
      <c r="YX5" s="87"/>
      <c r="YY5" s="87"/>
      <c r="YZ5" s="87"/>
      <c r="ZA5" s="87"/>
      <c r="ZB5" s="87"/>
      <c r="ZC5" s="87"/>
      <c r="ZD5" s="87"/>
      <c r="ZE5" s="87"/>
      <c r="ZF5" s="87"/>
      <c r="ZG5" s="87"/>
      <c r="ZH5" s="87"/>
      <c r="ZI5" s="87"/>
      <c r="ZJ5" s="87"/>
      <c r="ZK5" s="87"/>
      <c r="ZL5" s="87"/>
      <c r="ZM5" s="87"/>
      <c r="ZN5" s="87"/>
      <c r="ZO5" s="87"/>
      <c r="ZP5" s="87"/>
      <c r="ZQ5" s="87"/>
      <c r="ZR5" s="87"/>
      <c r="ZS5" s="87"/>
      <c r="ZT5" s="87"/>
      <c r="ZU5" s="87"/>
      <c r="ZV5" s="87"/>
      <c r="ZW5" s="87"/>
      <c r="ZX5" s="87"/>
      <c r="ZY5" s="87"/>
      <c r="ZZ5" s="87"/>
      <c r="AAA5" s="87"/>
      <c r="AAB5" s="87"/>
      <c r="AAC5" s="87"/>
      <c r="AAD5" s="87"/>
      <c r="AAE5" s="87"/>
      <c r="AAF5" s="87"/>
      <c r="AAG5" s="87"/>
      <c r="AAH5" s="87"/>
      <c r="AAI5" s="87"/>
      <c r="AAJ5" s="87"/>
      <c r="AAK5" s="87"/>
      <c r="AAL5" s="87"/>
      <c r="AAM5" s="87"/>
      <c r="AAN5" s="87"/>
      <c r="AAO5" s="87"/>
      <c r="AAP5" s="87"/>
      <c r="AAQ5" s="87"/>
      <c r="AAR5" s="87"/>
      <c r="AAS5" s="87"/>
      <c r="AAT5" s="87"/>
      <c r="AAU5" s="87"/>
      <c r="AAV5" s="87"/>
      <c r="AAW5" s="87"/>
      <c r="AAX5" s="87"/>
      <c r="AAY5" s="87"/>
      <c r="AAZ5" s="87"/>
      <c r="ABA5" s="87"/>
      <c r="ABB5" s="87"/>
      <c r="ABC5" s="87"/>
      <c r="ABD5" s="87"/>
      <c r="ABE5" s="87"/>
      <c r="ABF5" s="87"/>
      <c r="ABG5" s="87"/>
      <c r="ABH5" s="87"/>
      <c r="ABI5" s="87"/>
      <c r="ABJ5" s="87"/>
      <c r="ABK5" s="87"/>
      <c r="ABL5" s="87"/>
      <c r="ABM5" s="87"/>
      <c r="ABN5" s="87"/>
      <c r="ABO5" s="87"/>
      <c r="ABP5" s="87"/>
      <c r="ABQ5" s="87"/>
      <c r="ABR5" s="87"/>
      <c r="ABS5" s="87"/>
      <c r="ABT5" s="87"/>
      <c r="ABU5" s="87"/>
      <c r="ABV5" s="87"/>
      <c r="ABW5" s="87"/>
      <c r="ABX5" s="87"/>
      <c r="ABY5" s="87"/>
      <c r="ABZ5" s="87"/>
      <c r="ACA5" s="87"/>
      <c r="ACB5" s="87"/>
      <c r="ACC5" s="87"/>
      <c r="ACD5" s="87"/>
      <c r="ACE5" s="87"/>
      <c r="ACF5" s="87"/>
      <c r="ACG5" s="87"/>
      <c r="ACH5" s="87"/>
      <c r="ACI5" s="87"/>
      <c r="ACJ5" s="87"/>
      <c r="ACK5" s="87"/>
      <c r="ACL5" s="87"/>
      <c r="ACM5" s="87"/>
      <c r="ACN5" s="87"/>
      <c r="ACO5" s="87"/>
      <c r="ACP5" s="87"/>
      <c r="ACQ5" s="87"/>
      <c r="ACR5" s="87"/>
      <c r="ACS5" s="87"/>
      <c r="ACT5" s="87"/>
      <c r="ACU5" s="87"/>
      <c r="ACV5" s="87"/>
      <c r="ACW5" s="87"/>
      <c r="ACX5" s="87"/>
      <c r="ACY5" s="87"/>
      <c r="ACZ5" s="87"/>
      <c r="ADA5" s="87"/>
      <c r="ADB5" s="87"/>
      <c r="ADC5" s="87"/>
      <c r="ADD5" s="87"/>
      <c r="ADE5" s="87"/>
      <c r="ADF5" s="87"/>
      <c r="ADG5" s="87"/>
      <c r="ADH5" s="87"/>
      <c r="ADI5" s="87"/>
      <c r="ADJ5" s="87"/>
      <c r="ADK5" s="87"/>
      <c r="ADL5" s="87"/>
      <c r="ADM5" s="87"/>
      <c r="ADN5" s="87"/>
      <c r="ADO5" s="87"/>
      <c r="ADP5" s="87"/>
      <c r="ADQ5" s="87"/>
      <c r="ADR5" s="87"/>
      <c r="ADS5" s="87"/>
      <c r="ADT5" s="87"/>
      <c r="ADU5" s="87"/>
      <c r="ADV5" s="87"/>
      <c r="ADW5" s="87"/>
      <c r="ADX5" s="87"/>
      <c r="ADY5" s="87"/>
      <c r="ADZ5" s="87"/>
      <c r="AEA5" s="87"/>
      <c r="AEB5" s="87"/>
      <c r="AEC5" s="87"/>
      <c r="AED5" s="87"/>
      <c r="AEE5" s="87"/>
      <c r="AEF5" s="87"/>
      <c r="AEG5" s="87"/>
      <c r="AEH5" s="87"/>
      <c r="AEI5" s="87"/>
      <c r="AEJ5" s="87"/>
      <c r="AEK5" s="87"/>
      <c r="AEL5" s="87"/>
      <c r="AEM5" s="87"/>
      <c r="AEN5" s="87"/>
      <c r="AEO5" s="87"/>
      <c r="AEP5" s="87"/>
      <c r="AEQ5" s="87"/>
      <c r="AER5" s="87"/>
      <c r="AES5" s="87"/>
      <c r="AET5" s="87"/>
      <c r="AEU5" s="87"/>
      <c r="AEV5" s="87"/>
      <c r="AEW5" s="87"/>
      <c r="AEX5" s="87"/>
      <c r="AEY5" s="87"/>
      <c r="AEZ5" s="87"/>
      <c r="AFA5" s="87"/>
      <c r="AFB5" s="87"/>
      <c r="AFC5" s="87"/>
      <c r="AFD5" s="87"/>
      <c r="AFE5" s="87"/>
      <c r="AFF5" s="87"/>
      <c r="AFG5" s="87"/>
      <c r="AFH5" s="87"/>
      <c r="AFI5" s="87"/>
      <c r="AFJ5" s="87"/>
      <c r="AFK5" s="87"/>
      <c r="AFL5" s="87"/>
      <c r="AFM5" s="87"/>
      <c r="AFN5" s="87"/>
      <c r="AFO5" s="87"/>
      <c r="AFP5" s="87"/>
      <c r="AFQ5" s="87"/>
      <c r="AFR5" s="87"/>
      <c r="AFS5" s="87"/>
      <c r="AFT5" s="87"/>
      <c r="AFU5" s="87"/>
      <c r="AFV5" s="87"/>
      <c r="AFW5" s="87"/>
      <c r="AFX5" s="87"/>
      <c r="AFY5" s="87"/>
      <c r="AFZ5" s="87"/>
      <c r="AGA5" s="87"/>
      <c r="AGB5" s="87"/>
      <c r="AGC5" s="87"/>
      <c r="AGD5" s="87"/>
      <c r="AGE5" s="87"/>
      <c r="AGF5" s="87"/>
      <c r="AGG5" s="87"/>
      <c r="AGH5" s="87"/>
      <c r="AGI5" s="87"/>
      <c r="AGJ5" s="87"/>
      <c r="AGK5" s="87"/>
      <c r="AGL5" s="87"/>
      <c r="AGM5" s="87"/>
      <c r="AGN5" s="87"/>
      <c r="AGO5" s="87"/>
      <c r="AGP5" s="87"/>
      <c r="AGQ5" s="87"/>
      <c r="AGR5" s="87"/>
      <c r="AGS5" s="87"/>
      <c r="AGT5" s="87"/>
      <c r="AGU5" s="87"/>
      <c r="AGV5" s="87"/>
      <c r="AGW5" s="87"/>
      <c r="AGX5" s="87"/>
      <c r="AGY5" s="87"/>
      <c r="AGZ5" s="87"/>
      <c r="AHA5" s="87"/>
      <c r="AHB5" s="87"/>
      <c r="AHC5" s="87"/>
      <c r="AHD5" s="87"/>
      <c r="AHE5" s="87"/>
      <c r="AHF5" s="87"/>
      <c r="AHG5" s="87"/>
      <c r="AHH5" s="87"/>
      <c r="AHI5" s="87"/>
      <c r="AHJ5" s="87"/>
      <c r="AHK5" s="87"/>
      <c r="AHL5" s="87"/>
      <c r="AHM5" s="87"/>
      <c r="AHN5" s="87"/>
      <c r="AHO5" s="87"/>
      <c r="AHP5" s="87"/>
      <c r="AHQ5" s="87"/>
      <c r="AHR5" s="87"/>
      <c r="AHS5" s="87"/>
      <c r="AHT5" s="87"/>
      <c r="AHU5" s="87"/>
      <c r="AHV5" s="87"/>
      <c r="AHW5" s="87"/>
      <c r="AHX5" s="87"/>
      <c r="AHY5" s="87"/>
      <c r="AHZ5" s="87"/>
      <c r="AIA5" s="87"/>
      <c r="AIB5" s="87"/>
      <c r="AIC5" s="87"/>
      <c r="AID5" s="87"/>
      <c r="AIE5" s="87"/>
      <c r="AIF5" s="87"/>
      <c r="AIG5" s="87"/>
      <c r="AIH5" s="87"/>
      <c r="AII5" s="87"/>
      <c r="AIJ5" s="87"/>
      <c r="AIK5" s="87"/>
      <c r="AIL5" s="87"/>
      <c r="AIM5" s="87"/>
      <c r="AIN5" s="87"/>
      <c r="AIO5" s="87"/>
      <c r="AIP5" s="87"/>
      <c r="AIQ5" s="87"/>
      <c r="AIR5" s="87"/>
      <c r="AIS5" s="87"/>
      <c r="AIT5" s="87"/>
      <c r="AIU5" s="87"/>
      <c r="AIV5" s="87"/>
      <c r="AIW5" s="87"/>
      <c r="AIX5" s="87"/>
      <c r="AIY5" s="87"/>
      <c r="AIZ5" s="87"/>
      <c r="AJA5" s="87"/>
      <c r="AJB5" s="87"/>
      <c r="AJC5" s="87"/>
      <c r="AJD5" s="87"/>
      <c r="AJE5" s="87"/>
      <c r="AJF5" s="87"/>
      <c r="AJG5" s="87"/>
      <c r="AJH5" s="87"/>
      <c r="AJI5" s="87"/>
      <c r="AJJ5" s="87"/>
      <c r="AJK5" s="87"/>
      <c r="AJL5" s="87"/>
      <c r="AJM5" s="87"/>
      <c r="AJN5" s="87"/>
      <c r="AJO5" s="87"/>
      <c r="AJP5" s="87"/>
      <c r="AJQ5" s="87"/>
      <c r="AJR5" s="87"/>
      <c r="AJS5" s="87"/>
      <c r="AJT5" s="87"/>
      <c r="AJU5" s="87"/>
      <c r="AJV5" s="87"/>
      <c r="AJW5" s="87"/>
      <c r="AJX5" s="87"/>
      <c r="AJY5" s="87"/>
      <c r="AJZ5" s="87"/>
      <c r="AKA5" s="87"/>
      <c r="AKB5" s="87"/>
      <c r="AKC5" s="87"/>
      <c r="AKD5" s="87"/>
      <c r="AKE5" s="87"/>
      <c r="AKF5" s="87"/>
      <c r="AKG5" s="87"/>
      <c r="AKH5" s="87"/>
      <c r="AKI5" s="87"/>
      <c r="AKJ5" s="87"/>
      <c r="AKK5" s="87"/>
      <c r="AKL5" s="87"/>
      <c r="AKM5" s="87"/>
      <c r="AKN5" s="87"/>
      <c r="AKO5" s="87"/>
      <c r="AKP5" s="87"/>
      <c r="AKQ5" s="87"/>
      <c r="AKR5" s="87"/>
      <c r="AKS5" s="87"/>
      <c r="AKT5" s="87"/>
      <c r="AKU5" s="87"/>
      <c r="AKV5" s="87"/>
      <c r="AKW5" s="87"/>
      <c r="AKX5" s="87"/>
      <c r="AKY5" s="87"/>
      <c r="AKZ5" s="87"/>
      <c r="ALA5" s="87"/>
      <c r="ALB5" s="87"/>
      <c r="ALC5" s="87"/>
      <c r="ALD5" s="87"/>
      <c r="ALE5" s="87"/>
      <c r="ALF5" s="87"/>
      <c r="ALG5" s="87"/>
      <c r="ALH5" s="87"/>
      <c r="ALI5" s="87"/>
      <c r="ALJ5" s="87"/>
      <c r="ALK5" s="87"/>
      <c r="ALL5" s="87"/>
      <c r="ALM5" s="87"/>
      <c r="ALN5" s="87"/>
      <c r="ALO5" s="87"/>
      <c r="ALP5" s="87"/>
      <c r="ALQ5" s="87"/>
      <c r="ALR5" s="87"/>
      <c r="ALS5" s="87"/>
      <c r="ALT5" s="87"/>
      <c r="ALU5" s="87"/>
      <c r="ALV5" s="87"/>
      <c r="ALW5" s="87"/>
      <c r="ALX5" s="87"/>
      <c r="ALY5" s="87"/>
      <c r="ALZ5" s="87"/>
      <c r="AMA5" s="87"/>
      <c r="AMB5" s="87"/>
      <c r="AMC5" s="87"/>
      <c r="AMD5" s="87"/>
      <c r="AME5" s="87"/>
      <c r="AMF5" s="87"/>
      <c r="AMG5" s="87"/>
      <c r="AMH5" s="87"/>
      <c r="AMI5" s="87"/>
      <c r="AMJ5" s="87"/>
      <c r="AMK5" s="87"/>
      <c r="AML5" s="87"/>
      <c r="AMM5" s="87"/>
      <c r="AMN5" s="87"/>
      <c r="AMO5" s="87"/>
      <c r="AMP5" s="87"/>
      <c r="AMQ5" s="87"/>
      <c r="AMR5" s="87"/>
      <c r="AMS5" s="87"/>
      <c r="AMT5" s="87"/>
      <c r="AMU5" s="87"/>
      <c r="AMV5" s="87"/>
      <c r="AMW5" s="87"/>
      <c r="AMX5" s="87"/>
      <c r="AMY5" s="87"/>
      <c r="AMZ5" s="87"/>
      <c r="ANA5" s="87"/>
      <c r="ANB5" s="87"/>
      <c r="ANC5" s="87"/>
      <c r="AND5" s="87"/>
      <c r="ANE5" s="87"/>
      <c r="ANF5" s="87"/>
      <c r="ANG5" s="87"/>
      <c r="ANH5" s="87"/>
      <c r="ANI5" s="87"/>
      <c r="ANJ5" s="87"/>
      <c r="ANK5" s="87"/>
      <c r="ANL5" s="87"/>
      <c r="ANM5" s="87"/>
      <c r="ANN5" s="87"/>
      <c r="ANO5" s="87"/>
      <c r="ANP5" s="87"/>
      <c r="ANQ5" s="87"/>
      <c r="ANR5" s="87"/>
      <c r="ANS5" s="87"/>
      <c r="ANT5" s="87"/>
      <c r="ANU5" s="87"/>
      <c r="ANV5" s="87"/>
      <c r="ANW5" s="87"/>
      <c r="ANX5" s="87"/>
      <c r="ANY5" s="87"/>
      <c r="ANZ5" s="87"/>
      <c r="AOA5" s="87"/>
      <c r="AOB5" s="87"/>
      <c r="AOC5" s="87"/>
      <c r="AOD5" s="87"/>
      <c r="AOE5" s="87"/>
      <c r="AOF5" s="87"/>
      <c r="AOG5" s="87"/>
      <c r="AOH5" s="87"/>
      <c r="AOI5" s="87"/>
      <c r="AOJ5" s="87"/>
      <c r="AOK5" s="87"/>
      <c r="AOL5" s="87"/>
      <c r="AOM5" s="87"/>
      <c r="AON5" s="87"/>
      <c r="AOO5" s="87"/>
      <c r="AOP5" s="87"/>
      <c r="AOQ5" s="87"/>
      <c r="AOR5" s="87"/>
      <c r="AOS5" s="87"/>
      <c r="AOT5" s="87"/>
      <c r="AOU5" s="87"/>
      <c r="AOV5" s="87"/>
      <c r="AOW5" s="87"/>
      <c r="AOX5" s="87"/>
      <c r="AOY5" s="87"/>
      <c r="AOZ5" s="87"/>
      <c r="APA5" s="87"/>
      <c r="APB5" s="87"/>
      <c r="APC5" s="87"/>
      <c r="APD5" s="87"/>
      <c r="APE5" s="87"/>
      <c r="APF5" s="87"/>
      <c r="APG5" s="87"/>
      <c r="APH5" s="87"/>
      <c r="API5" s="87"/>
      <c r="APJ5" s="87"/>
      <c r="APK5" s="87"/>
      <c r="APL5" s="87"/>
      <c r="APM5" s="87"/>
      <c r="APN5" s="87"/>
      <c r="APO5" s="87"/>
      <c r="APP5" s="87"/>
      <c r="APQ5" s="87"/>
      <c r="APR5" s="87"/>
      <c r="APS5" s="87"/>
      <c r="APT5" s="87"/>
      <c r="APU5" s="87"/>
      <c r="APV5" s="87"/>
      <c r="APW5" s="87"/>
      <c r="APX5" s="87"/>
      <c r="APY5" s="87"/>
      <c r="APZ5" s="87"/>
      <c r="AQA5" s="87"/>
      <c r="AQB5" s="87"/>
      <c r="AQC5" s="87"/>
      <c r="AQD5" s="87"/>
      <c r="AQE5" s="87"/>
      <c r="AQF5" s="87"/>
      <c r="AQG5" s="87"/>
      <c r="AQH5" s="87"/>
      <c r="AQI5" s="87"/>
      <c r="AQJ5" s="87"/>
      <c r="AQK5" s="87"/>
      <c r="AQL5" s="87"/>
      <c r="AQM5" s="87"/>
      <c r="AQN5" s="87"/>
      <c r="AQO5" s="87"/>
      <c r="AQP5" s="87"/>
      <c r="AQQ5" s="87"/>
      <c r="AQR5" s="87"/>
      <c r="AQS5" s="87"/>
      <c r="AQT5" s="87"/>
      <c r="AQU5" s="87"/>
      <c r="AQV5" s="87"/>
      <c r="AQW5" s="87"/>
      <c r="AQX5" s="87"/>
      <c r="AQY5" s="87"/>
      <c r="AQZ5" s="87"/>
      <c r="ARA5" s="87"/>
      <c r="ARB5" s="87"/>
      <c r="ARC5" s="87"/>
      <c r="ARD5" s="87"/>
      <c r="ARE5" s="87"/>
      <c r="ARF5" s="87"/>
      <c r="ARG5" s="87"/>
      <c r="ARH5" s="87"/>
      <c r="ARI5" s="87"/>
      <c r="ARJ5" s="87"/>
      <c r="ARK5" s="87"/>
      <c r="ARL5" s="87"/>
      <c r="ARM5" s="87"/>
      <c r="ARN5" s="87"/>
      <c r="ARO5" s="87"/>
      <c r="ARP5" s="87"/>
      <c r="ARQ5" s="87"/>
      <c r="ARR5" s="87"/>
      <c r="ARS5" s="87"/>
      <c r="ART5" s="87"/>
      <c r="ARU5" s="87"/>
      <c r="ARV5" s="87"/>
      <c r="ARW5" s="87"/>
      <c r="ARX5" s="87"/>
      <c r="ARY5" s="87"/>
      <c r="ARZ5" s="87"/>
      <c r="ASA5" s="87"/>
      <c r="ASB5" s="87"/>
      <c r="ASC5" s="87"/>
      <c r="ASD5" s="87"/>
      <c r="ASE5" s="87"/>
      <c r="ASF5" s="87"/>
      <c r="ASG5" s="87"/>
      <c r="ASH5" s="87"/>
      <c r="ASI5" s="87"/>
      <c r="ASJ5" s="87"/>
      <c r="ASK5" s="87"/>
      <c r="ASL5" s="87"/>
      <c r="ASM5" s="87"/>
      <c r="ASN5" s="87"/>
      <c r="ASO5" s="87"/>
      <c r="ASP5" s="87"/>
      <c r="ASQ5" s="87"/>
      <c r="ASR5" s="87"/>
      <c r="ASS5" s="87"/>
      <c r="AST5" s="87"/>
      <c r="ASU5" s="87"/>
      <c r="ASV5" s="87"/>
      <c r="ASW5" s="87"/>
      <c r="ASX5" s="87"/>
      <c r="ASY5" s="87"/>
      <c r="ASZ5" s="87"/>
      <c r="ATA5" s="87"/>
      <c r="ATB5" s="87"/>
      <c r="ATC5" s="87"/>
      <c r="ATD5" s="87"/>
      <c r="ATE5" s="87"/>
      <c r="ATF5" s="87"/>
      <c r="ATG5" s="87"/>
      <c r="ATH5" s="87"/>
      <c r="ATI5" s="87"/>
      <c r="ATJ5" s="87"/>
      <c r="ATK5" s="87"/>
      <c r="ATL5" s="87"/>
      <c r="ATM5" s="87"/>
      <c r="ATN5" s="87"/>
      <c r="ATO5" s="87"/>
      <c r="ATP5" s="87"/>
      <c r="ATQ5" s="87"/>
      <c r="ATR5" s="87"/>
      <c r="ATS5" s="87"/>
      <c r="ATT5" s="87"/>
      <c r="ATU5" s="87"/>
      <c r="ATV5" s="87"/>
      <c r="ATW5" s="87"/>
      <c r="ATX5" s="87"/>
      <c r="ATY5" s="87"/>
      <c r="ATZ5" s="87"/>
      <c r="AUA5" s="87"/>
      <c r="AUB5" s="87"/>
      <c r="AUC5" s="87"/>
      <c r="AUD5" s="87"/>
      <c r="AUE5" s="87"/>
      <c r="AUF5" s="87"/>
      <c r="AUG5" s="87"/>
      <c r="AUH5" s="87"/>
      <c r="AUI5" s="87"/>
      <c r="AUJ5" s="87"/>
      <c r="AUK5" s="87"/>
      <c r="AUL5" s="87"/>
      <c r="AUM5" s="87"/>
      <c r="AUN5" s="87"/>
      <c r="AUO5" s="87"/>
      <c r="AUP5" s="87"/>
      <c r="AUQ5" s="87"/>
      <c r="AUR5" s="87"/>
      <c r="AUS5" s="87"/>
      <c r="AUT5" s="87"/>
      <c r="AUU5" s="87"/>
      <c r="AUV5" s="87"/>
      <c r="AUW5" s="87"/>
      <c r="AUX5" s="87"/>
      <c r="AUY5" s="87"/>
      <c r="AUZ5" s="87"/>
      <c r="AVA5" s="87"/>
      <c r="AVB5" s="87"/>
      <c r="AVC5" s="87"/>
      <c r="AVD5" s="87"/>
      <c r="AVE5" s="87"/>
      <c r="AVF5" s="87"/>
      <c r="AVG5" s="87"/>
      <c r="AVH5" s="87"/>
      <c r="AVI5" s="87"/>
      <c r="AVJ5" s="87"/>
      <c r="AVK5" s="87"/>
      <c r="AVL5" s="87"/>
      <c r="AVM5" s="87"/>
      <c r="AVN5" s="87"/>
      <c r="AVO5" s="87"/>
      <c r="AVP5" s="87"/>
      <c r="AVQ5" s="87"/>
      <c r="AVR5" s="87"/>
      <c r="AVS5" s="87"/>
      <c r="AVT5" s="87"/>
      <c r="AVU5" s="87"/>
      <c r="AVV5" s="87"/>
      <c r="AVW5" s="87"/>
      <c r="AVX5" s="87"/>
      <c r="AVY5" s="87"/>
      <c r="AVZ5" s="87"/>
      <c r="AWA5" s="87"/>
      <c r="AWB5" s="87"/>
      <c r="AWC5" s="87"/>
      <c r="AWD5" s="87"/>
      <c r="AWE5" s="87"/>
      <c r="AWF5" s="87"/>
      <c r="AWG5" s="87"/>
      <c r="AWH5" s="87"/>
      <c r="AWI5" s="87"/>
      <c r="AWJ5" s="87"/>
      <c r="AWK5" s="87"/>
      <c r="AWL5" s="87"/>
      <c r="AWM5" s="87"/>
      <c r="AWN5" s="87"/>
      <c r="AWO5" s="87"/>
      <c r="AWP5" s="87"/>
      <c r="AWQ5" s="87"/>
      <c r="AWR5" s="87"/>
      <c r="AWS5" s="87"/>
      <c r="AWT5" s="87"/>
      <c r="AWU5" s="87"/>
      <c r="AWV5" s="87"/>
      <c r="AWW5" s="87"/>
      <c r="AWX5" s="87"/>
      <c r="AWY5" s="87"/>
      <c r="AWZ5" s="87"/>
      <c r="AXA5" s="87"/>
      <c r="AXB5" s="87"/>
      <c r="AXC5" s="87"/>
      <c r="AXD5" s="87"/>
      <c r="AXE5" s="87"/>
      <c r="AXF5" s="87"/>
      <c r="AXG5" s="87"/>
      <c r="AXH5" s="87"/>
      <c r="AXI5" s="87"/>
      <c r="AXJ5" s="87"/>
      <c r="AXK5" s="87"/>
      <c r="AXL5" s="87"/>
      <c r="AXM5" s="87"/>
      <c r="AXN5" s="87"/>
      <c r="AXO5" s="87"/>
      <c r="AXP5" s="87"/>
      <c r="AXQ5" s="87"/>
      <c r="AXR5" s="87"/>
      <c r="AXS5" s="87"/>
      <c r="AXT5" s="87"/>
      <c r="AXU5" s="87"/>
      <c r="AXV5" s="87"/>
      <c r="AXW5" s="87"/>
      <c r="AXX5" s="87"/>
      <c r="AXY5" s="87"/>
      <c r="AXZ5" s="87"/>
      <c r="AYA5" s="87"/>
      <c r="AYB5" s="87"/>
      <c r="AYC5" s="87"/>
      <c r="AYD5" s="87"/>
      <c r="AYE5" s="87"/>
      <c r="AYF5" s="87"/>
      <c r="AYG5" s="87"/>
      <c r="AYH5" s="87"/>
      <c r="AYI5" s="87"/>
      <c r="AYJ5" s="87"/>
      <c r="AYK5" s="87"/>
      <c r="AYL5" s="87"/>
      <c r="AYM5" s="87"/>
      <c r="AYN5" s="87"/>
      <c r="AYO5" s="87"/>
      <c r="AYP5" s="87"/>
      <c r="AYQ5" s="87"/>
      <c r="AYR5" s="87"/>
      <c r="AYS5" s="87"/>
      <c r="AYT5" s="87"/>
      <c r="AYU5" s="87"/>
      <c r="AYV5" s="87"/>
      <c r="AYW5" s="87"/>
      <c r="AYX5" s="87"/>
      <c r="AYY5" s="87"/>
      <c r="AYZ5" s="87"/>
      <c r="AZA5" s="87"/>
      <c r="AZB5" s="87"/>
      <c r="AZC5" s="87"/>
      <c r="AZD5" s="87"/>
      <c r="AZE5" s="87"/>
      <c r="AZF5" s="87"/>
      <c r="AZG5" s="87"/>
      <c r="AZH5" s="87"/>
      <c r="AZI5" s="87"/>
      <c r="AZJ5" s="87"/>
      <c r="AZK5" s="87"/>
      <c r="AZL5" s="87"/>
      <c r="AZM5" s="87"/>
      <c r="AZN5" s="87"/>
      <c r="AZO5" s="87"/>
      <c r="AZP5" s="87"/>
      <c r="AZQ5" s="87"/>
      <c r="AZR5" s="87"/>
      <c r="AZS5" s="87"/>
      <c r="AZT5" s="87"/>
      <c r="AZU5" s="87"/>
      <c r="AZV5" s="87"/>
      <c r="AZW5" s="87"/>
      <c r="AZX5" s="87"/>
      <c r="AZY5" s="87"/>
      <c r="AZZ5" s="87"/>
      <c r="BAA5" s="87"/>
      <c r="BAB5" s="87"/>
      <c r="BAC5" s="87"/>
      <c r="BAD5" s="87"/>
      <c r="BAE5" s="87"/>
      <c r="BAF5" s="87"/>
      <c r="BAG5" s="87"/>
      <c r="BAH5" s="87"/>
      <c r="BAI5" s="87"/>
      <c r="BAJ5" s="87"/>
      <c r="BAK5" s="87"/>
      <c r="BAL5" s="87"/>
      <c r="BAM5" s="87"/>
      <c r="BAN5" s="87"/>
      <c r="BAO5" s="87"/>
      <c r="BAP5" s="87"/>
      <c r="BAQ5" s="87"/>
      <c r="BAR5" s="87"/>
      <c r="BAS5" s="87"/>
      <c r="BAT5" s="87"/>
      <c r="BAU5" s="87"/>
      <c r="BAV5" s="87"/>
      <c r="BAW5" s="87"/>
      <c r="BAX5" s="87"/>
      <c r="BAY5" s="87"/>
      <c r="BAZ5" s="87"/>
      <c r="BBA5" s="87"/>
      <c r="BBB5" s="87"/>
      <c r="BBC5" s="87"/>
      <c r="BBD5" s="87"/>
      <c r="BBE5" s="87"/>
      <c r="BBF5" s="87"/>
      <c r="BBG5" s="87"/>
      <c r="BBH5" s="87"/>
      <c r="BBI5" s="87"/>
      <c r="BBJ5" s="87"/>
      <c r="BBK5" s="87"/>
      <c r="BBL5" s="87"/>
      <c r="BBM5" s="87"/>
      <c r="BBN5" s="87"/>
      <c r="BBO5" s="87"/>
      <c r="BBP5" s="87"/>
      <c r="BBQ5" s="87"/>
      <c r="BBR5" s="87"/>
      <c r="BBS5" s="87"/>
      <c r="BBT5" s="87"/>
      <c r="BBU5" s="87"/>
      <c r="BBV5" s="87"/>
      <c r="BBW5" s="87"/>
      <c r="BBX5" s="87"/>
      <c r="BBY5" s="87"/>
      <c r="BBZ5" s="87"/>
      <c r="BCA5" s="87"/>
      <c r="BCB5" s="87"/>
      <c r="BCC5" s="87"/>
      <c r="BCD5" s="87"/>
      <c r="BCE5" s="87"/>
      <c r="BCF5" s="87"/>
      <c r="BCG5" s="87"/>
      <c r="BCH5" s="87"/>
      <c r="BCI5" s="87"/>
      <c r="BCJ5" s="87"/>
      <c r="BCK5" s="87"/>
      <c r="BCL5" s="87"/>
      <c r="BCM5" s="87"/>
      <c r="BCN5" s="87"/>
      <c r="BCO5" s="87"/>
      <c r="BCP5" s="87"/>
      <c r="BCQ5" s="87"/>
      <c r="BCR5" s="87"/>
      <c r="BCS5" s="87"/>
      <c r="BCT5" s="87"/>
      <c r="BCU5" s="87"/>
      <c r="BCV5" s="87"/>
      <c r="BCW5" s="87"/>
      <c r="BCX5" s="87"/>
      <c r="BCY5" s="87"/>
      <c r="BCZ5" s="87"/>
      <c r="BDA5" s="87"/>
      <c r="BDB5" s="87"/>
      <c r="BDC5" s="87"/>
      <c r="BDD5" s="87"/>
      <c r="BDE5" s="87"/>
      <c r="BDF5" s="87"/>
      <c r="BDG5" s="87"/>
      <c r="BDH5" s="87"/>
      <c r="BDI5" s="87"/>
      <c r="BDJ5" s="87"/>
      <c r="BDK5" s="87"/>
      <c r="BDL5" s="87"/>
      <c r="BDM5" s="87"/>
      <c r="BDN5" s="87"/>
      <c r="BDO5" s="87"/>
      <c r="BDP5" s="87"/>
      <c r="BDQ5" s="87"/>
      <c r="BDR5" s="87"/>
      <c r="BDS5" s="87"/>
      <c r="BDT5" s="87"/>
      <c r="BDU5" s="87"/>
      <c r="BDV5" s="87"/>
      <c r="BDW5" s="87"/>
      <c r="BDX5" s="87"/>
      <c r="BDY5" s="87"/>
      <c r="BDZ5" s="87"/>
      <c r="BEA5" s="87"/>
      <c r="BEB5" s="87"/>
      <c r="BEC5" s="87"/>
      <c r="BED5" s="87"/>
      <c r="BEE5" s="87"/>
      <c r="BEF5" s="87"/>
      <c r="BEG5" s="87"/>
      <c r="BEH5" s="87"/>
      <c r="BEI5" s="87"/>
      <c r="BEJ5" s="87"/>
      <c r="BEK5" s="87"/>
      <c r="BEL5" s="87"/>
      <c r="BEM5" s="87"/>
      <c r="BEN5" s="87"/>
      <c r="BEO5" s="87"/>
      <c r="BEP5" s="87"/>
      <c r="BEQ5" s="87"/>
      <c r="BER5" s="87"/>
      <c r="BES5" s="87"/>
      <c r="BET5" s="87"/>
      <c r="BEU5" s="87"/>
      <c r="BEV5" s="87"/>
      <c r="BEW5" s="87"/>
      <c r="BEX5" s="87"/>
      <c r="BEY5" s="87"/>
      <c r="BEZ5" s="87"/>
      <c r="BFA5" s="87"/>
      <c r="BFB5" s="87"/>
      <c r="BFC5" s="87"/>
      <c r="BFD5" s="87"/>
      <c r="BFE5" s="87"/>
      <c r="BFF5" s="87"/>
      <c r="BFG5" s="87"/>
      <c r="BFH5" s="87"/>
      <c r="BFI5" s="87"/>
      <c r="BFJ5" s="87"/>
      <c r="BFK5" s="87"/>
      <c r="BFL5" s="87"/>
      <c r="BFM5" s="87"/>
      <c r="BFN5" s="87"/>
      <c r="BFO5" s="87"/>
      <c r="BFP5" s="87"/>
      <c r="BFQ5" s="87"/>
      <c r="BFR5" s="87"/>
      <c r="BFS5" s="87"/>
      <c r="BFT5" s="87"/>
      <c r="BFU5" s="87"/>
      <c r="BFV5" s="87"/>
      <c r="BFW5" s="87"/>
      <c r="BFX5" s="87"/>
      <c r="BFY5" s="87"/>
      <c r="BFZ5" s="87"/>
      <c r="BGA5" s="87"/>
      <c r="BGB5" s="87"/>
      <c r="BGC5" s="87"/>
      <c r="BGD5" s="87"/>
      <c r="BGE5" s="87"/>
      <c r="BGF5" s="87"/>
      <c r="BGG5" s="87"/>
      <c r="BGH5" s="87"/>
      <c r="BGI5" s="87"/>
      <c r="BGJ5" s="87"/>
      <c r="BGK5" s="87"/>
      <c r="BGL5" s="87"/>
      <c r="BGM5" s="87"/>
      <c r="BGN5" s="87"/>
      <c r="BGO5" s="87"/>
      <c r="BGP5" s="87"/>
      <c r="BGQ5" s="87"/>
      <c r="BGR5" s="87"/>
      <c r="BGS5" s="87"/>
      <c r="BGT5" s="87"/>
      <c r="BGU5" s="87"/>
      <c r="BGV5" s="87"/>
      <c r="BGW5" s="87"/>
      <c r="BGX5" s="87"/>
      <c r="BGY5" s="87"/>
      <c r="BGZ5" s="87"/>
      <c r="BHA5" s="87"/>
      <c r="BHB5" s="87"/>
      <c r="BHC5" s="87"/>
      <c r="BHD5" s="87"/>
      <c r="BHE5" s="87"/>
      <c r="BHF5" s="87"/>
      <c r="BHG5" s="87"/>
      <c r="BHH5" s="87"/>
      <c r="BHI5" s="87"/>
      <c r="BHJ5" s="87"/>
      <c r="BHK5" s="87"/>
      <c r="BHL5" s="87"/>
      <c r="BHM5" s="87"/>
      <c r="BHN5" s="87"/>
      <c r="BHO5" s="87"/>
      <c r="BHP5" s="87"/>
      <c r="BHQ5" s="87"/>
      <c r="BHR5" s="87"/>
      <c r="BHS5" s="87"/>
      <c r="BHT5" s="87"/>
      <c r="BHU5" s="87"/>
      <c r="BHV5" s="87"/>
      <c r="BHW5" s="87"/>
      <c r="BHX5" s="87"/>
      <c r="BHY5" s="87"/>
      <c r="BHZ5" s="87"/>
      <c r="BIA5" s="87"/>
      <c r="BIB5" s="87"/>
      <c r="BIC5" s="87"/>
      <c r="BID5" s="87"/>
      <c r="BIE5" s="87"/>
      <c r="BIF5" s="87"/>
      <c r="BIG5" s="87"/>
      <c r="BIH5" s="87"/>
      <c r="BII5" s="87"/>
      <c r="BIJ5" s="87"/>
      <c r="BIK5" s="87"/>
      <c r="BIL5" s="87"/>
      <c r="BIM5" s="87"/>
      <c r="BIN5" s="87"/>
      <c r="BIO5" s="87"/>
      <c r="BIP5" s="87"/>
      <c r="BIQ5" s="87"/>
      <c r="BIR5" s="87"/>
      <c r="BIS5" s="87"/>
      <c r="BIT5" s="87"/>
      <c r="BIU5" s="87"/>
      <c r="BIV5" s="87"/>
      <c r="BIW5" s="87"/>
      <c r="BIX5" s="87"/>
      <c r="BIY5" s="87"/>
      <c r="BIZ5" s="87"/>
      <c r="BJA5" s="87"/>
      <c r="BJB5" s="87"/>
      <c r="BJC5" s="87"/>
      <c r="BJD5" s="87"/>
      <c r="BJE5" s="87"/>
      <c r="BJF5" s="87"/>
      <c r="BJG5" s="87"/>
      <c r="BJH5" s="87"/>
      <c r="BJI5" s="87"/>
      <c r="BJJ5" s="87"/>
      <c r="BJK5" s="87"/>
      <c r="BJL5" s="87"/>
      <c r="BJM5" s="87"/>
      <c r="BJN5" s="87"/>
      <c r="BJO5" s="87"/>
      <c r="BJP5" s="87"/>
      <c r="BJQ5" s="87"/>
      <c r="BJR5" s="87"/>
      <c r="BJS5" s="87"/>
      <c r="BJT5" s="87"/>
      <c r="BJU5" s="87"/>
      <c r="BJV5" s="87"/>
      <c r="BJW5" s="87"/>
      <c r="BJX5" s="87"/>
      <c r="BJY5" s="87"/>
      <c r="BJZ5" s="87"/>
      <c r="BKA5" s="87"/>
      <c r="BKB5" s="87"/>
      <c r="BKC5" s="87"/>
      <c r="BKD5" s="87"/>
      <c r="BKE5" s="87"/>
      <c r="BKF5" s="87"/>
      <c r="BKG5" s="87"/>
      <c r="BKH5" s="87"/>
      <c r="BKI5" s="87"/>
      <c r="BKJ5" s="87"/>
      <c r="BKK5" s="87"/>
      <c r="BKL5" s="87"/>
      <c r="BKM5" s="87"/>
      <c r="BKN5" s="87"/>
      <c r="BKO5" s="87"/>
      <c r="BKP5" s="87"/>
      <c r="BKQ5" s="87"/>
      <c r="BKR5" s="87"/>
      <c r="BKS5" s="87"/>
      <c r="BKT5" s="87"/>
      <c r="BKU5" s="87"/>
      <c r="BKV5" s="87"/>
      <c r="BKW5" s="87"/>
      <c r="BKX5" s="87"/>
      <c r="BKY5" s="87"/>
      <c r="BKZ5" s="87"/>
      <c r="BLA5" s="87"/>
      <c r="BLB5" s="87"/>
      <c r="BLC5" s="87"/>
      <c r="BLD5" s="87"/>
      <c r="BLE5" s="87"/>
      <c r="BLF5" s="87"/>
      <c r="BLG5" s="87"/>
      <c r="BLH5" s="87"/>
      <c r="BLI5" s="87"/>
      <c r="BLJ5" s="87"/>
      <c r="BLK5" s="87"/>
      <c r="BLL5" s="87"/>
      <c r="BLM5" s="87"/>
      <c r="BLN5" s="87"/>
      <c r="BLO5" s="87"/>
      <c r="BLP5" s="87"/>
      <c r="BLQ5" s="87"/>
      <c r="BLR5" s="87"/>
      <c r="BLS5" s="87"/>
      <c r="BLT5" s="87"/>
      <c r="BLU5" s="87"/>
      <c r="BLV5" s="87"/>
      <c r="BLW5" s="87"/>
      <c r="BLX5" s="87"/>
      <c r="BLY5" s="87"/>
      <c r="BLZ5" s="87"/>
      <c r="BMA5" s="87"/>
      <c r="BMB5" s="87"/>
      <c r="BMC5" s="87"/>
      <c r="BMD5" s="87"/>
      <c r="BME5" s="87"/>
      <c r="BMF5" s="87"/>
      <c r="BMG5" s="87"/>
      <c r="BMH5" s="87"/>
      <c r="BMI5" s="87"/>
      <c r="BMJ5" s="87"/>
      <c r="BMK5" s="87"/>
      <c r="BML5" s="87"/>
      <c r="BMM5" s="87"/>
      <c r="BMN5" s="87"/>
      <c r="BMO5" s="87"/>
      <c r="BMP5" s="87"/>
      <c r="BMQ5" s="87"/>
      <c r="BMR5" s="87"/>
      <c r="BMS5" s="87"/>
      <c r="BMT5" s="87"/>
      <c r="BMU5" s="87"/>
      <c r="BMV5" s="87"/>
      <c r="BMW5" s="87"/>
      <c r="BMX5" s="87"/>
      <c r="BMY5" s="87"/>
      <c r="BMZ5" s="87"/>
      <c r="BNA5" s="87"/>
      <c r="BNB5" s="87"/>
      <c r="BNC5" s="87"/>
      <c r="BND5" s="87"/>
      <c r="BNE5" s="87"/>
      <c r="BNF5" s="87"/>
      <c r="BNG5" s="87"/>
      <c r="BNH5" s="87"/>
      <c r="BNI5" s="87"/>
      <c r="BNJ5" s="87"/>
      <c r="BNK5" s="87"/>
      <c r="BNL5" s="87"/>
      <c r="BNM5" s="87"/>
      <c r="BNN5" s="87"/>
      <c r="BNO5" s="87"/>
      <c r="BNP5" s="87"/>
      <c r="BNQ5" s="87"/>
      <c r="BNR5" s="87"/>
      <c r="BNS5" s="87"/>
      <c r="BNT5" s="87"/>
      <c r="BNU5" s="87"/>
      <c r="BNV5" s="87"/>
      <c r="BNW5" s="87"/>
      <c r="BNX5" s="87"/>
      <c r="BNY5" s="87"/>
      <c r="BNZ5" s="87"/>
      <c r="BOA5" s="87"/>
      <c r="BOB5" s="87"/>
      <c r="BOC5" s="87"/>
      <c r="BOD5" s="87"/>
      <c r="BOE5" s="87"/>
      <c r="BOF5" s="87"/>
      <c r="BOG5" s="87"/>
      <c r="BOH5" s="87"/>
      <c r="BOI5" s="87"/>
      <c r="BOJ5" s="87"/>
      <c r="BOK5" s="87"/>
      <c r="BOL5" s="87"/>
      <c r="BOM5" s="87"/>
      <c r="BON5" s="87"/>
      <c r="BOO5" s="87"/>
      <c r="BOP5" s="87"/>
      <c r="BOQ5" s="87"/>
      <c r="BOR5" s="87"/>
      <c r="BOS5" s="87"/>
      <c r="BOT5" s="87"/>
      <c r="BOU5" s="87"/>
      <c r="BOV5" s="87"/>
      <c r="BOW5" s="87"/>
      <c r="BOX5" s="87"/>
      <c r="BOY5" s="87"/>
      <c r="BOZ5" s="87"/>
      <c r="BPA5" s="87"/>
      <c r="BPB5" s="87"/>
      <c r="BPC5" s="87"/>
      <c r="BPD5" s="87"/>
      <c r="BPE5" s="87"/>
      <c r="BPF5" s="87"/>
      <c r="BPG5" s="87"/>
      <c r="BPH5" s="87"/>
      <c r="BPI5" s="87"/>
      <c r="BPJ5" s="87"/>
      <c r="BPK5" s="87"/>
      <c r="BPL5" s="87"/>
      <c r="BPM5" s="87"/>
      <c r="BPN5" s="87"/>
      <c r="BPO5" s="87"/>
      <c r="BPP5" s="87"/>
      <c r="BPQ5" s="87"/>
      <c r="BPR5" s="87"/>
      <c r="BPS5" s="87"/>
      <c r="BPT5" s="87"/>
      <c r="BPU5" s="87"/>
      <c r="BPV5" s="87"/>
      <c r="BPW5" s="87"/>
      <c r="BPX5" s="87"/>
      <c r="BPY5" s="87"/>
      <c r="BPZ5" s="87"/>
      <c r="BQA5" s="87"/>
      <c r="BQB5" s="87"/>
      <c r="BQC5" s="87"/>
      <c r="BQD5" s="87"/>
      <c r="BQE5" s="87"/>
      <c r="BQF5" s="87"/>
      <c r="BQG5" s="87"/>
      <c r="BQH5" s="87"/>
      <c r="BQI5" s="87"/>
      <c r="BQJ5" s="87"/>
      <c r="BQK5" s="87"/>
      <c r="BQL5" s="87"/>
      <c r="BQM5" s="87"/>
      <c r="BQN5" s="87"/>
      <c r="BQO5" s="87"/>
      <c r="BQP5" s="87"/>
      <c r="BQQ5" s="87"/>
      <c r="BQR5" s="87"/>
      <c r="BQS5" s="87"/>
      <c r="BQT5" s="87"/>
      <c r="BQU5" s="87"/>
      <c r="BQV5" s="87"/>
      <c r="BQW5" s="87"/>
      <c r="BQX5" s="87"/>
      <c r="BQY5" s="87"/>
      <c r="BQZ5" s="87"/>
      <c r="BRA5" s="87"/>
      <c r="BRB5" s="87"/>
      <c r="BRC5" s="87"/>
      <c r="BRD5" s="87"/>
      <c r="BRE5" s="87"/>
      <c r="BRF5" s="87"/>
      <c r="BRG5" s="87"/>
      <c r="BRH5" s="87"/>
      <c r="BRI5" s="87"/>
      <c r="BRJ5" s="87"/>
      <c r="BRK5" s="87"/>
      <c r="BRL5" s="87"/>
      <c r="BRM5" s="87"/>
      <c r="BRN5" s="87"/>
      <c r="BRO5" s="87"/>
      <c r="BRP5" s="87"/>
      <c r="BRQ5" s="87"/>
      <c r="BRR5" s="87"/>
      <c r="BRS5" s="87"/>
      <c r="BRT5" s="87"/>
      <c r="BRU5" s="87"/>
      <c r="BRV5" s="87"/>
      <c r="BRW5" s="87"/>
      <c r="BRX5" s="87"/>
      <c r="BRY5" s="87"/>
      <c r="BRZ5" s="87"/>
      <c r="BSA5" s="87"/>
      <c r="BSB5" s="87"/>
      <c r="BSC5" s="87"/>
      <c r="BSD5" s="87"/>
      <c r="BSE5" s="87"/>
      <c r="BSF5" s="87"/>
      <c r="BSG5" s="87"/>
      <c r="BSH5" s="87"/>
      <c r="BSI5" s="87"/>
      <c r="BSJ5" s="87"/>
      <c r="BSK5" s="87"/>
      <c r="BSL5" s="87"/>
      <c r="BSM5" s="87"/>
      <c r="BSN5" s="87"/>
      <c r="BSO5" s="87"/>
      <c r="BSP5" s="87"/>
      <c r="BSQ5" s="87"/>
      <c r="BSR5" s="87"/>
      <c r="BSS5" s="87"/>
      <c r="BST5" s="87"/>
      <c r="BSU5" s="87"/>
      <c r="BSV5" s="87"/>
      <c r="BSW5" s="87"/>
      <c r="BSX5" s="87"/>
      <c r="BSY5" s="87"/>
      <c r="BSZ5" s="87"/>
      <c r="BTA5" s="87"/>
      <c r="BTB5" s="87"/>
      <c r="BTC5" s="87"/>
      <c r="BTD5" s="87"/>
      <c r="BTE5" s="87"/>
      <c r="BTF5" s="87"/>
      <c r="BTG5" s="87"/>
      <c r="BTH5" s="87"/>
      <c r="BTI5" s="87"/>
      <c r="BTJ5" s="87"/>
      <c r="BTK5" s="87"/>
      <c r="BTL5" s="87"/>
      <c r="BTM5" s="87"/>
      <c r="BTN5" s="87"/>
      <c r="BTO5" s="87"/>
      <c r="BTP5" s="87"/>
      <c r="BTQ5" s="87"/>
      <c r="BTR5" s="87"/>
      <c r="BTS5" s="87"/>
      <c r="BTT5" s="87"/>
      <c r="BTU5" s="87"/>
      <c r="BTV5" s="87"/>
      <c r="BTW5" s="87"/>
      <c r="BTX5" s="87"/>
      <c r="BTY5" s="87"/>
      <c r="BTZ5" s="87"/>
      <c r="BUA5" s="87"/>
      <c r="BUB5" s="87"/>
      <c r="BUC5" s="87"/>
      <c r="BUD5" s="87"/>
      <c r="BUE5" s="87"/>
      <c r="BUF5" s="87"/>
      <c r="BUG5" s="87"/>
      <c r="BUH5" s="87"/>
      <c r="BUI5" s="87"/>
      <c r="BUJ5" s="87"/>
      <c r="BUK5" s="87"/>
      <c r="BUL5" s="87"/>
      <c r="BUM5" s="87"/>
      <c r="BUN5" s="87"/>
      <c r="BUO5" s="87"/>
      <c r="BUP5" s="87"/>
      <c r="BUQ5" s="87"/>
      <c r="BUR5" s="87"/>
      <c r="BUS5" s="87"/>
      <c r="BUT5" s="87"/>
      <c r="BUU5" s="87"/>
      <c r="BUV5" s="87"/>
      <c r="BUW5" s="87"/>
      <c r="BUX5" s="87"/>
      <c r="BUY5" s="87"/>
      <c r="BUZ5" s="87"/>
      <c r="BVA5" s="87"/>
      <c r="BVB5" s="87"/>
      <c r="BVC5" s="87"/>
      <c r="BVD5" s="87"/>
      <c r="BVE5" s="87"/>
      <c r="BVF5" s="87"/>
      <c r="BVG5" s="87"/>
      <c r="BVH5" s="87"/>
      <c r="BVI5" s="87"/>
      <c r="BVJ5" s="87"/>
      <c r="BVK5" s="87"/>
      <c r="BVL5" s="87"/>
      <c r="BVM5" s="87"/>
      <c r="BVN5" s="87"/>
      <c r="BVO5" s="87"/>
      <c r="BVP5" s="87"/>
      <c r="BVQ5" s="87"/>
      <c r="BVR5" s="87"/>
      <c r="BVS5" s="87"/>
      <c r="BVT5" s="87"/>
      <c r="BVU5" s="87"/>
      <c r="BVV5" s="87"/>
      <c r="BVW5" s="87"/>
      <c r="BVX5" s="87"/>
      <c r="BVY5" s="87"/>
      <c r="BVZ5" s="87"/>
      <c r="BWA5" s="87"/>
      <c r="BWB5" s="87"/>
      <c r="BWC5" s="87"/>
      <c r="BWD5" s="87"/>
      <c r="BWE5" s="87"/>
      <c r="BWF5" s="87"/>
      <c r="BWG5" s="87"/>
      <c r="BWH5" s="87"/>
      <c r="BWI5" s="87"/>
      <c r="BWJ5" s="87"/>
      <c r="BWK5" s="87"/>
      <c r="BWL5" s="87"/>
      <c r="BWM5" s="87"/>
      <c r="BWN5" s="87"/>
      <c r="BWO5" s="87"/>
      <c r="BWP5" s="87"/>
      <c r="BWQ5" s="87"/>
      <c r="BWR5" s="87"/>
      <c r="BWS5" s="87"/>
      <c r="BWT5" s="87"/>
      <c r="BWU5" s="87"/>
      <c r="BWV5" s="87"/>
      <c r="BWW5" s="87"/>
      <c r="BWX5" s="87"/>
      <c r="BWY5" s="87"/>
      <c r="BWZ5" s="87"/>
      <c r="BXA5" s="87"/>
      <c r="BXB5" s="87"/>
      <c r="BXC5" s="87"/>
      <c r="BXD5" s="87"/>
      <c r="BXE5" s="87"/>
      <c r="BXF5" s="87"/>
      <c r="BXG5" s="87"/>
      <c r="BXH5" s="87"/>
      <c r="BXI5" s="87"/>
      <c r="BXJ5" s="87"/>
      <c r="BXK5" s="87"/>
      <c r="BXL5" s="87"/>
      <c r="BXM5" s="87"/>
      <c r="BXN5" s="87"/>
      <c r="BXO5" s="87"/>
      <c r="BXP5" s="87"/>
      <c r="BXQ5" s="87"/>
      <c r="BXR5" s="87"/>
      <c r="BXS5" s="87"/>
      <c r="BXT5" s="87"/>
      <c r="BXU5" s="87"/>
      <c r="BXV5" s="87"/>
      <c r="BXW5" s="87"/>
      <c r="BXX5" s="87"/>
      <c r="BXY5" s="87"/>
      <c r="BXZ5" s="87"/>
      <c r="BYA5" s="87"/>
      <c r="BYB5" s="87"/>
      <c r="BYC5" s="87"/>
      <c r="BYD5" s="87"/>
      <c r="BYE5" s="87"/>
      <c r="BYF5" s="87"/>
      <c r="BYG5" s="87"/>
      <c r="BYH5" s="87"/>
      <c r="BYI5" s="87"/>
      <c r="BYJ5" s="87"/>
      <c r="BYK5" s="87"/>
      <c r="BYL5" s="87"/>
      <c r="BYM5" s="87"/>
      <c r="BYN5" s="87"/>
      <c r="BYO5" s="87"/>
      <c r="BYP5" s="87"/>
      <c r="BYQ5" s="87"/>
      <c r="BYR5" s="87"/>
      <c r="BYS5" s="87"/>
      <c r="BYT5" s="87"/>
      <c r="BYU5" s="87"/>
      <c r="BYV5" s="87"/>
      <c r="BYW5" s="87"/>
      <c r="BYX5" s="87"/>
      <c r="BYY5" s="87"/>
      <c r="BYZ5" s="87"/>
      <c r="BZA5" s="87"/>
      <c r="BZB5" s="87"/>
      <c r="BZC5" s="87"/>
      <c r="BZD5" s="87"/>
      <c r="BZE5" s="87"/>
      <c r="BZF5" s="87"/>
      <c r="BZG5" s="87"/>
      <c r="BZH5" s="87"/>
      <c r="BZI5" s="87"/>
      <c r="BZJ5" s="87"/>
      <c r="BZK5" s="87"/>
      <c r="BZL5" s="87"/>
      <c r="BZM5" s="87"/>
      <c r="BZN5" s="87"/>
      <c r="BZO5" s="87"/>
      <c r="BZP5" s="87"/>
      <c r="BZQ5" s="87"/>
      <c r="BZR5" s="87"/>
      <c r="BZS5" s="87"/>
      <c r="BZT5" s="87"/>
      <c r="BZU5" s="87"/>
      <c r="BZV5" s="87"/>
      <c r="BZW5" s="87"/>
      <c r="BZX5" s="87"/>
      <c r="BZY5" s="87"/>
      <c r="BZZ5" s="87"/>
      <c r="CAA5" s="87"/>
      <c r="CAB5" s="87"/>
      <c r="CAC5" s="87"/>
      <c r="CAD5" s="87"/>
      <c r="CAE5" s="87"/>
      <c r="CAF5" s="87"/>
      <c r="CAG5" s="87"/>
      <c r="CAH5" s="87"/>
      <c r="CAI5" s="87"/>
      <c r="CAJ5" s="87"/>
      <c r="CAK5" s="87"/>
      <c r="CAL5" s="87"/>
      <c r="CAM5" s="87"/>
      <c r="CAN5" s="87"/>
      <c r="CAO5" s="87"/>
      <c r="CAP5" s="87"/>
      <c r="CAQ5" s="87"/>
      <c r="CAR5" s="87"/>
      <c r="CAS5" s="87"/>
      <c r="CAT5" s="87"/>
      <c r="CAU5" s="87"/>
      <c r="CAV5" s="87"/>
      <c r="CAW5" s="87"/>
      <c r="CAX5" s="87"/>
      <c r="CAY5" s="87"/>
      <c r="CAZ5" s="87"/>
      <c r="CBA5" s="87"/>
      <c r="CBB5" s="87"/>
      <c r="CBC5" s="87"/>
      <c r="CBD5" s="87"/>
      <c r="CBE5" s="87"/>
      <c r="CBF5" s="87"/>
      <c r="CBG5" s="87"/>
      <c r="CBH5" s="87"/>
      <c r="CBI5" s="87"/>
      <c r="CBJ5" s="87"/>
      <c r="CBK5" s="87"/>
      <c r="CBL5" s="87"/>
      <c r="CBM5" s="87"/>
      <c r="CBN5" s="87"/>
      <c r="CBO5" s="87"/>
      <c r="CBP5" s="87"/>
      <c r="CBQ5" s="87"/>
      <c r="CBR5" s="87"/>
      <c r="CBS5" s="87"/>
      <c r="CBT5" s="87"/>
      <c r="CBU5" s="87"/>
      <c r="CBV5" s="87"/>
      <c r="CBW5" s="87"/>
      <c r="CBX5" s="87"/>
      <c r="CBY5" s="87"/>
      <c r="CBZ5" s="87"/>
      <c r="CCA5" s="87"/>
      <c r="CCB5" s="87"/>
      <c r="CCC5" s="87"/>
      <c r="CCD5" s="87"/>
      <c r="CCE5" s="87"/>
      <c r="CCF5" s="87"/>
      <c r="CCG5" s="87"/>
      <c r="CCH5" s="87"/>
      <c r="CCI5" s="87"/>
      <c r="CCJ5" s="87"/>
      <c r="CCK5" s="87"/>
      <c r="CCL5" s="87"/>
      <c r="CCM5" s="87"/>
      <c r="CCN5" s="87"/>
      <c r="CCO5" s="87"/>
      <c r="CCP5" s="87"/>
      <c r="CCQ5" s="87"/>
      <c r="CCR5" s="87"/>
      <c r="CCS5" s="87"/>
      <c r="CCT5" s="87"/>
      <c r="CCU5" s="87"/>
      <c r="CCV5" s="87"/>
      <c r="CCW5" s="87"/>
      <c r="CCX5" s="87"/>
      <c r="CCY5" s="87"/>
      <c r="CCZ5" s="87"/>
      <c r="CDA5" s="87"/>
      <c r="CDB5" s="87"/>
      <c r="CDC5" s="87"/>
      <c r="CDD5" s="87"/>
      <c r="CDE5" s="87"/>
      <c r="CDF5" s="87"/>
      <c r="CDG5" s="87"/>
      <c r="CDH5" s="87"/>
      <c r="CDI5" s="87"/>
      <c r="CDJ5" s="87"/>
      <c r="CDK5" s="87"/>
      <c r="CDL5" s="87"/>
      <c r="CDM5" s="87"/>
      <c r="CDN5" s="87"/>
      <c r="CDO5" s="87"/>
      <c r="CDP5" s="87"/>
      <c r="CDQ5" s="87"/>
      <c r="CDR5" s="87"/>
      <c r="CDS5" s="87"/>
      <c r="CDT5" s="87"/>
      <c r="CDU5" s="87"/>
      <c r="CDV5" s="87"/>
      <c r="CDW5" s="87"/>
      <c r="CDX5" s="87"/>
      <c r="CDY5" s="87"/>
      <c r="CDZ5" s="87"/>
      <c r="CEA5" s="87"/>
      <c r="CEB5" s="87"/>
      <c r="CEC5" s="87"/>
      <c r="CED5" s="87"/>
      <c r="CEE5" s="87"/>
      <c r="CEF5" s="87"/>
      <c r="CEG5" s="87"/>
      <c r="CEH5" s="87"/>
      <c r="CEI5" s="87"/>
      <c r="CEJ5" s="87"/>
      <c r="CEK5" s="87"/>
      <c r="CEL5" s="87"/>
      <c r="CEM5" s="87"/>
      <c r="CEN5" s="87"/>
      <c r="CEO5" s="87"/>
      <c r="CEP5" s="87"/>
      <c r="CEQ5" s="87"/>
      <c r="CER5" s="87"/>
      <c r="CES5" s="87"/>
      <c r="CET5" s="87"/>
      <c r="CEU5" s="87"/>
      <c r="CEV5" s="87"/>
      <c r="CEW5" s="87"/>
      <c r="CEX5" s="87"/>
      <c r="CEY5" s="87"/>
      <c r="CEZ5" s="87"/>
      <c r="CFA5" s="87"/>
      <c r="CFB5" s="87"/>
      <c r="CFC5" s="87"/>
      <c r="CFD5" s="87"/>
      <c r="CFE5" s="87"/>
      <c r="CFF5" s="87"/>
      <c r="CFG5" s="87"/>
      <c r="CFH5" s="87"/>
      <c r="CFI5" s="87"/>
      <c r="CFJ5" s="87"/>
      <c r="CFK5" s="87"/>
      <c r="CFL5" s="87"/>
      <c r="CFM5" s="87"/>
      <c r="CFN5" s="87"/>
      <c r="CFO5" s="87"/>
      <c r="CFP5" s="87"/>
      <c r="CFQ5" s="87"/>
      <c r="CFR5" s="87"/>
      <c r="CFS5" s="87"/>
      <c r="CFT5" s="87"/>
      <c r="CFU5" s="87"/>
      <c r="CFV5" s="87"/>
      <c r="CFW5" s="87"/>
      <c r="CFX5" s="87"/>
      <c r="CFY5" s="87"/>
      <c r="CFZ5" s="87"/>
      <c r="CGA5" s="87"/>
      <c r="CGB5" s="87"/>
      <c r="CGC5" s="87"/>
      <c r="CGD5" s="87"/>
      <c r="CGE5" s="87"/>
      <c r="CGF5" s="87"/>
      <c r="CGG5" s="87"/>
      <c r="CGH5" s="87"/>
      <c r="CGI5" s="87"/>
      <c r="CGJ5" s="87"/>
      <c r="CGK5" s="87"/>
      <c r="CGL5" s="87"/>
      <c r="CGM5" s="87"/>
      <c r="CGN5" s="87"/>
      <c r="CGO5" s="87"/>
      <c r="CGP5" s="87"/>
      <c r="CGQ5" s="87"/>
      <c r="CGR5" s="87"/>
      <c r="CGS5" s="87"/>
      <c r="CGT5" s="87"/>
      <c r="CGU5" s="87"/>
      <c r="CGV5" s="87"/>
      <c r="CGW5" s="87"/>
      <c r="CGX5" s="87"/>
      <c r="CGY5" s="87"/>
      <c r="CGZ5" s="87"/>
      <c r="CHA5" s="87"/>
      <c r="CHB5" s="87"/>
      <c r="CHC5" s="87"/>
      <c r="CHD5" s="87"/>
      <c r="CHE5" s="87"/>
      <c r="CHF5" s="87"/>
      <c r="CHG5" s="87"/>
      <c r="CHH5" s="87"/>
      <c r="CHI5" s="87"/>
      <c r="CHJ5" s="87"/>
      <c r="CHK5" s="87"/>
      <c r="CHL5" s="87"/>
      <c r="CHM5" s="87"/>
      <c r="CHN5" s="87"/>
      <c r="CHO5" s="87"/>
      <c r="CHP5" s="87"/>
      <c r="CHQ5" s="87"/>
      <c r="CHR5" s="87"/>
      <c r="CHS5" s="87"/>
      <c r="CHT5" s="87"/>
      <c r="CHU5" s="87"/>
      <c r="CHV5" s="87"/>
      <c r="CHW5" s="87"/>
      <c r="CHX5" s="87"/>
      <c r="CHY5" s="87"/>
      <c r="CHZ5" s="87"/>
      <c r="CIA5" s="87"/>
      <c r="CIB5" s="87"/>
      <c r="CIC5" s="87"/>
      <c r="CID5" s="87"/>
      <c r="CIE5" s="87"/>
      <c r="CIF5" s="87"/>
      <c r="CIG5" s="87"/>
      <c r="CIH5" s="87"/>
      <c r="CII5" s="87"/>
      <c r="CIJ5" s="87"/>
      <c r="CIK5" s="87"/>
      <c r="CIL5" s="87"/>
      <c r="CIM5" s="87"/>
      <c r="CIN5" s="87"/>
      <c r="CIO5" s="87"/>
      <c r="CIP5" s="87"/>
      <c r="CIQ5" s="87"/>
      <c r="CIR5" s="87"/>
      <c r="CIS5" s="87"/>
      <c r="CIT5" s="87"/>
      <c r="CIU5" s="87"/>
      <c r="CIV5" s="87"/>
      <c r="CIW5" s="87"/>
      <c r="CIX5" s="87"/>
      <c r="CIY5" s="87"/>
      <c r="CIZ5" s="87"/>
      <c r="CJA5" s="87"/>
      <c r="CJB5" s="87"/>
      <c r="CJC5" s="87"/>
      <c r="CJD5" s="87"/>
      <c r="CJE5" s="87"/>
      <c r="CJF5" s="87"/>
      <c r="CJG5" s="87"/>
      <c r="CJH5" s="87"/>
      <c r="CJI5" s="87"/>
      <c r="CJJ5" s="87"/>
      <c r="CJK5" s="87"/>
      <c r="CJL5" s="87"/>
      <c r="CJM5" s="87"/>
      <c r="CJN5" s="87"/>
      <c r="CJO5" s="87"/>
      <c r="CJP5" s="87"/>
      <c r="CJQ5" s="87"/>
      <c r="CJR5" s="87"/>
      <c r="CJS5" s="87"/>
      <c r="CJT5" s="87"/>
      <c r="CJU5" s="87"/>
      <c r="CJV5" s="87"/>
      <c r="CJW5" s="87"/>
      <c r="CJX5" s="87"/>
      <c r="CJY5" s="87"/>
      <c r="CJZ5" s="87"/>
      <c r="CKA5" s="87"/>
      <c r="CKB5" s="87"/>
      <c r="CKC5" s="87"/>
      <c r="CKD5" s="87"/>
      <c r="CKE5" s="87"/>
      <c r="CKF5" s="87"/>
      <c r="CKG5" s="87"/>
      <c r="CKH5" s="87"/>
      <c r="CKI5" s="87"/>
      <c r="CKJ5" s="87"/>
      <c r="CKK5" s="87"/>
      <c r="CKL5" s="87"/>
      <c r="CKM5" s="87"/>
      <c r="CKN5" s="87"/>
      <c r="CKO5" s="87"/>
      <c r="CKP5" s="87"/>
      <c r="CKQ5" s="87"/>
      <c r="CKR5" s="87"/>
      <c r="CKS5" s="87"/>
      <c r="CKT5" s="87"/>
      <c r="CKU5" s="87"/>
      <c r="CKV5" s="87"/>
      <c r="CKW5" s="87"/>
      <c r="CKX5" s="87"/>
      <c r="CKY5" s="87"/>
      <c r="CKZ5" s="87"/>
      <c r="CLA5" s="87"/>
      <c r="CLB5" s="87"/>
      <c r="CLC5" s="87"/>
      <c r="CLD5" s="87"/>
      <c r="CLE5" s="87"/>
      <c r="CLF5" s="87"/>
      <c r="CLG5" s="87"/>
      <c r="CLH5" s="87"/>
      <c r="CLI5" s="87"/>
      <c r="CLJ5" s="87"/>
      <c r="CLK5" s="87"/>
      <c r="CLL5" s="87"/>
      <c r="CLM5" s="87"/>
      <c r="CLN5" s="87"/>
      <c r="CLO5" s="87"/>
      <c r="CLP5" s="87"/>
      <c r="CLQ5" s="87"/>
      <c r="CLR5" s="87"/>
      <c r="CLS5" s="87"/>
      <c r="CLT5" s="87"/>
      <c r="CLU5" s="87"/>
      <c r="CLV5" s="87"/>
      <c r="CLW5" s="87"/>
      <c r="CLX5" s="87"/>
      <c r="CLY5" s="87"/>
      <c r="CLZ5" s="87"/>
      <c r="CMA5" s="87"/>
      <c r="CMB5" s="87"/>
      <c r="CMC5" s="87"/>
      <c r="CMD5" s="87"/>
      <c r="CME5" s="87"/>
      <c r="CMF5" s="87"/>
      <c r="CMG5" s="87"/>
      <c r="CMH5" s="87"/>
      <c r="CMI5" s="87"/>
      <c r="CMJ5" s="87"/>
      <c r="CMK5" s="87"/>
      <c r="CML5" s="87"/>
      <c r="CMM5" s="87"/>
      <c r="CMN5" s="87"/>
      <c r="CMO5" s="87"/>
      <c r="CMP5" s="87"/>
      <c r="CMQ5" s="87"/>
      <c r="CMR5" s="87"/>
      <c r="CMS5" s="87"/>
      <c r="CMT5" s="87"/>
      <c r="CMU5" s="87"/>
      <c r="CMV5" s="87"/>
      <c r="CMW5" s="87"/>
      <c r="CMX5" s="87"/>
      <c r="CMY5" s="87"/>
      <c r="CMZ5" s="87"/>
      <c r="CNA5" s="87"/>
      <c r="CNB5" s="87"/>
      <c r="CNC5" s="87"/>
      <c r="CND5" s="87"/>
      <c r="CNE5" s="87"/>
      <c r="CNF5" s="87"/>
      <c r="CNG5" s="87"/>
      <c r="CNH5" s="87"/>
      <c r="CNI5" s="87"/>
      <c r="CNJ5" s="87"/>
      <c r="CNK5" s="87"/>
      <c r="CNL5" s="87"/>
      <c r="CNM5" s="87"/>
      <c r="CNN5" s="87"/>
      <c r="CNO5" s="87"/>
      <c r="CNP5" s="87"/>
      <c r="CNQ5" s="87"/>
      <c r="CNR5" s="87"/>
      <c r="CNS5" s="87"/>
      <c r="CNT5" s="87"/>
      <c r="CNU5" s="87"/>
      <c r="CNV5" s="87"/>
      <c r="CNW5" s="87"/>
      <c r="CNX5" s="87"/>
      <c r="CNY5" s="87"/>
      <c r="CNZ5" s="87"/>
      <c r="COA5" s="87"/>
      <c r="COB5" s="87"/>
      <c r="COC5" s="87"/>
      <c r="COD5" s="87"/>
      <c r="COE5" s="87"/>
      <c r="COF5" s="87"/>
      <c r="COG5" s="87"/>
      <c r="COH5" s="87"/>
      <c r="COI5" s="87"/>
      <c r="COJ5" s="87"/>
      <c r="COK5" s="87"/>
      <c r="COL5" s="87"/>
      <c r="COM5" s="87"/>
      <c r="CON5" s="87"/>
      <c r="COO5" s="87"/>
      <c r="COP5" s="87"/>
      <c r="COQ5" s="87"/>
      <c r="COR5" s="87"/>
      <c r="COS5" s="87"/>
      <c r="COT5" s="87"/>
      <c r="COU5" s="87"/>
      <c r="COV5" s="87"/>
      <c r="COW5" s="87"/>
      <c r="COX5" s="87"/>
      <c r="COY5" s="87"/>
      <c r="COZ5" s="87"/>
      <c r="CPA5" s="87"/>
      <c r="CPB5" s="87"/>
      <c r="CPC5" s="87"/>
      <c r="CPD5" s="87"/>
      <c r="CPE5" s="87"/>
      <c r="CPF5" s="87"/>
      <c r="CPG5" s="87"/>
      <c r="CPH5" s="87"/>
      <c r="CPI5" s="87"/>
      <c r="CPJ5" s="87"/>
      <c r="CPK5" s="87"/>
      <c r="CPL5" s="87"/>
      <c r="CPM5" s="87"/>
      <c r="CPN5" s="87"/>
      <c r="CPO5" s="87"/>
      <c r="CPP5" s="87"/>
      <c r="CPQ5" s="87"/>
      <c r="CPR5" s="87"/>
      <c r="CPS5" s="87"/>
      <c r="CPT5" s="87"/>
      <c r="CPU5" s="87"/>
      <c r="CPV5" s="87"/>
      <c r="CPW5" s="87"/>
      <c r="CPX5" s="87"/>
      <c r="CPY5" s="87"/>
      <c r="CPZ5" s="87"/>
      <c r="CQA5" s="87"/>
      <c r="CQB5" s="87"/>
      <c r="CQC5" s="87"/>
      <c r="CQD5" s="87"/>
      <c r="CQE5" s="87"/>
      <c r="CQF5" s="87"/>
      <c r="CQG5" s="87"/>
      <c r="CQH5" s="87"/>
      <c r="CQI5" s="87"/>
      <c r="CQJ5" s="87"/>
      <c r="CQK5" s="87"/>
      <c r="CQL5" s="87"/>
      <c r="CQM5" s="87"/>
      <c r="CQN5" s="87"/>
      <c r="CQO5" s="87"/>
      <c r="CQP5" s="87"/>
      <c r="CQQ5" s="87"/>
      <c r="CQR5" s="87"/>
      <c r="CQS5" s="87"/>
      <c r="CQT5" s="87"/>
      <c r="CQU5" s="87"/>
      <c r="CQV5" s="87"/>
      <c r="CQW5" s="87"/>
      <c r="CQX5" s="87"/>
      <c r="CQY5" s="87"/>
      <c r="CQZ5" s="87"/>
      <c r="CRA5" s="87"/>
      <c r="CRB5" s="87"/>
      <c r="CRC5" s="87"/>
      <c r="CRD5" s="87"/>
      <c r="CRE5" s="87"/>
      <c r="CRF5" s="87"/>
      <c r="CRG5" s="87"/>
      <c r="CRH5" s="87"/>
      <c r="CRI5" s="87"/>
      <c r="CRJ5" s="87"/>
      <c r="CRK5" s="87"/>
      <c r="CRL5" s="87"/>
      <c r="CRM5" s="87"/>
      <c r="CRN5" s="87"/>
      <c r="CRO5" s="87"/>
      <c r="CRP5" s="87"/>
      <c r="CRQ5" s="87"/>
      <c r="CRR5" s="87"/>
      <c r="CRS5" s="87"/>
      <c r="CRT5" s="87"/>
      <c r="CRU5" s="87"/>
      <c r="CRV5" s="87"/>
      <c r="CRW5" s="87"/>
      <c r="CRX5" s="87"/>
      <c r="CRY5" s="87"/>
      <c r="CRZ5" s="87"/>
      <c r="CSA5" s="87"/>
      <c r="CSB5" s="87"/>
      <c r="CSC5" s="87"/>
      <c r="CSD5" s="87"/>
      <c r="CSE5" s="87"/>
      <c r="CSF5" s="87"/>
      <c r="CSG5" s="87"/>
      <c r="CSH5" s="87"/>
      <c r="CSI5" s="87"/>
      <c r="CSJ5" s="87"/>
      <c r="CSK5" s="87"/>
      <c r="CSL5" s="87"/>
      <c r="CSM5" s="87"/>
      <c r="CSN5" s="87"/>
      <c r="CSO5" s="87"/>
      <c r="CSP5" s="87"/>
      <c r="CSQ5" s="87"/>
      <c r="CSR5" s="87"/>
      <c r="CSS5" s="87"/>
      <c r="CST5" s="87"/>
      <c r="CSU5" s="87"/>
      <c r="CSV5" s="87"/>
      <c r="CSW5" s="87"/>
      <c r="CSX5" s="87"/>
      <c r="CSY5" s="87"/>
      <c r="CSZ5" s="87"/>
      <c r="CTA5" s="87"/>
      <c r="CTB5" s="87"/>
      <c r="CTC5" s="87"/>
      <c r="CTD5" s="87"/>
      <c r="CTE5" s="87"/>
      <c r="CTF5" s="87"/>
      <c r="CTG5" s="87"/>
      <c r="CTH5" s="87"/>
      <c r="CTI5" s="87"/>
      <c r="CTJ5" s="87"/>
      <c r="CTK5" s="87"/>
      <c r="CTL5" s="87"/>
      <c r="CTM5" s="87"/>
      <c r="CTN5" s="87"/>
      <c r="CTO5" s="87"/>
      <c r="CTP5" s="87"/>
      <c r="CTQ5" s="87"/>
      <c r="CTR5" s="87"/>
      <c r="CTS5" s="87"/>
      <c r="CTT5" s="87"/>
      <c r="CTU5" s="87"/>
      <c r="CTV5" s="87"/>
      <c r="CTW5" s="87"/>
      <c r="CTX5" s="87"/>
      <c r="CTY5" s="87"/>
      <c r="CTZ5" s="87"/>
      <c r="CUA5" s="87"/>
      <c r="CUB5" s="87"/>
      <c r="CUC5" s="87"/>
      <c r="CUD5" s="87"/>
      <c r="CUE5" s="87"/>
      <c r="CUF5" s="87"/>
      <c r="CUG5" s="87"/>
      <c r="CUH5" s="87"/>
      <c r="CUI5" s="87"/>
      <c r="CUJ5" s="87"/>
      <c r="CUK5" s="87"/>
      <c r="CUL5" s="87"/>
      <c r="CUM5" s="87"/>
      <c r="CUN5" s="87"/>
      <c r="CUO5" s="87"/>
      <c r="CUP5" s="87"/>
      <c r="CUQ5" s="87"/>
      <c r="CUR5" s="87"/>
      <c r="CUS5" s="87"/>
      <c r="CUT5" s="87"/>
      <c r="CUU5" s="87"/>
      <c r="CUV5" s="87"/>
      <c r="CUW5" s="87"/>
      <c r="CUX5" s="87"/>
      <c r="CUY5" s="87"/>
      <c r="CUZ5" s="87"/>
      <c r="CVA5" s="87"/>
      <c r="CVB5" s="87"/>
      <c r="CVC5" s="87"/>
      <c r="CVD5" s="87"/>
      <c r="CVE5" s="87"/>
      <c r="CVF5" s="87"/>
      <c r="CVG5" s="87"/>
      <c r="CVH5" s="87"/>
      <c r="CVI5" s="87"/>
      <c r="CVJ5" s="87"/>
      <c r="CVK5" s="87"/>
      <c r="CVL5" s="87"/>
      <c r="CVM5" s="87"/>
      <c r="CVN5" s="87"/>
      <c r="CVO5" s="87"/>
      <c r="CVP5" s="87"/>
      <c r="CVQ5" s="87"/>
      <c r="CVR5" s="87"/>
      <c r="CVS5" s="87"/>
      <c r="CVT5" s="87"/>
      <c r="CVU5" s="87"/>
      <c r="CVV5" s="87"/>
      <c r="CVW5" s="87"/>
      <c r="CVX5" s="87"/>
      <c r="CVY5" s="87"/>
      <c r="CVZ5" s="87"/>
      <c r="CWA5" s="87"/>
      <c r="CWB5" s="87"/>
      <c r="CWC5" s="87"/>
      <c r="CWD5" s="87"/>
      <c r="CWE5" s="87"/>
      <c r="CWF5" s="87"/>
      <c r="CWG5" s="87"/>
      <c r="CWH5" s="87"/>
      <c r="CWI5" s="87"/>
      <c r="CWJ5" s="87"/>
      <c r="CWK5" s="87"/>
      <c r="CWL5" s="87"/>
      <c r="CWM5" s="87"/>
      <c r="CWN5" s="87"/>
      <c r="CWO5" s="87"/>
      <c r="CWP5" s="87"/>
      <c r="CWQ5" s="87"/>
      <c r="CWR5" s="87"/>
      <c r="CWS5" s="87"/>
      <c r="CWT5" s="87"/>
      <c r="CWU5" s="87"/>
      <c r="CWV5" s="87"/>
      <c r="CWW5" s="87"/>
      <c r="CWX5" s="87"/>
      <c r="CWY5" s="87"/>
      <c r="CWZ5" s="87"/>
      <c r="CXA5" s="87"/>
      <c r="CXB5" s="87"/>
      <c r="CXC5" s="87"/>
      <c r="CXD5" s="87"/>
      <c r="CXE5" s="87"/>
      <c r="CXF5" s="87"/>
      <c r="CXG5" s="87"/>
      <c r="CXH5" s="87"/>
      <c r="CXI5" s="87"/>
      <c r="CXJ5" s="87"/>
      <c r="CXK5" s="87"/>
      <c r="CXL5" s="87"/>
      <c r="CXM5" s="87"/>
      <c r="CXN5" s="87"/>
      <c r="CXO5" s="87"/>
      <c r="CXP5" s="87"/>
      <c r="CXQ5" s="87"/>
      <c r="CXR5" s="87"/>
      <c r="CXS5" s="87"/>
      <c r="CXT5" s="87"/>
      <c r="CXU5" s="87"/>
      <c r="CXV5" s="87"/>
      <c r="CXW5" s="87"/>
      <c r="CXX5" s="87"/>
      <c r="CXY5" s="87"/>
      <c r="CXZ5" s="87"/>
      <c r="CYA5" s="87"/>
      <c r="CYB5" s="87"/>
      <c r="CYC5" s="87"/>
      <c r="CYD5" s="87"/>
      <c r="CYE5" s="87"/>
      <c r="CYF5" s="87"/>
      <c r="CYG5" s="87"/>
      <c r="CYH5" s="87"/>
      <c r="CYI5" s="87"/>
      <c r="CYJ5" s="87"/>
      <c r="CYK5" s="87"/>
      <c r="CYL5" s="87"/>
      <c r="CYM5" s="87"/>
      <c r="CYN5" s="87"/>
      <c r="CYO5" s="87"/>
      <c r="CYP5" s="87"/>
      <c r="CYQ5" s="87"/>
      <c r="CYR5" s="87"/>
      <c r="CYS5" s="87"/>
      <c r="CYT5" s="87"/>
      <c r="CYU5" s="87"/>
      <c r="CYV5" s="87"/>
      <c r="CYW5" s="87"/>
      <c r="CYX5" s="87"/>
      <c r="CYY5" s="87"/>
      <c r="CYZ5" s="87"/>
      <c r="CZA5" s="87"/>
      <c r="CZB5" s="87"/>
      <c r="CZC5" s="87"/>
      <c r="CZD5" s="87"/>
      <c r="CZE5" s="87"/>
      <c r="CZF5" s="87"/>
      <c r="CZG5" s="87"/>
      <c r="CZH5" s="87"/>
      <c r="CZI5" s="87"/>
      <c r="CZJ5" s="87"/>
      <c r="CZK5" s="87"/>
      <c r="CZL5" s="87"/>
      <c r="CZM5" s="87"/>
      <c r="CZN5" s="87"/>
      <c r="CZO5" s="87"/>
      <c r="CZP5" s="87"/>
      <c r="CZQ5" s="87"/>
      <c r="CZR5" s="87"/>
      <c r="CZS5" s="87"/>
      <c r="CZT5" s="87"/>
      <c r="CZU5" s="87"/>
      <c r="CZV5" s="87"/>
      <c r="CZW5" s="87"/>
      <c r="CZX5" s="87"/>
      <c r="CZY5" s="87"/>
      <c r="CZZ5" s="87"/>
      <c r="DAA5" s="87"/>
      <c r="DAB5" s="87"/>
      <c r="DAC5" s="87"/>
      <c r="DAD5" s="87"/>
      <c r="DAE5" s="87"/>
      <c r="DAF5" s="87"/>
      <c r="DAG5" s="87"/>
      <c r="DAH5" s="87"/>
      <c r="DAI5" s="87"/>
      <c r="DAJ5" s="87"/>
      <c r="DAK5" s="87"/>
      <c r="DAL5" s="87"/>
      <c r="DAM5" s="87"/>
      <c r="DAN5" s="87"/>
      <c r="DAO5" s="87"/>
      <c r="DAP5" s="87"/>
      <c r="DAQ5" s="87"/>
      <c r="DAR5" s="87"/>
      <c r="DAS5" s="87"/>
      <c r="DAT5" s="87"/>
      <c r="DAU5" s="87"/>
      <c r="DAV5" s="87"/>
      <c r="DAW5" s="87"/>
      <c r="DAX5" s="87"/>
      <c r="DAY5" s="87"/>
      <c r="DAZ5" s="87"/>
      <c r="DBA5" s="87"/>
      <c r="DBB5" s="87"/>
      <c r="DBC5" s="87"/>
      <c r="DBD5" s="87"/>
      <c r="DBE5" s="87"/>
      <c r="DBF5" s="87"/>
      <c r="DBG5" s="87"/>
      <c r="DBH5" s="87"/>
      <c r="DBI5" s="87"/>
      <c r="DBJ5" s="87"/>
      <c r="DBK5" s="87"/>
      <c r="DBL5" s="87"/>
      <c r="DBM5" s="87"/>
      <c r="DBN5" s="87"/>
      <c r="DBO5" s="87"/>
      <c r="DBP5" s="87"/>
      <c r="DBQ5" s="87"/>
      <c r="DBR5" s="87"/>
      <c r="DBS5" s="87"/>
      <c r="DBT5" s="87"/>
      <c r="DBU5" s="87"/>
      <c r="DBV5" s="87"/>
      <c r="DBW5" s="87"/>
      <c r="DBX5" s="87"/>
      <c r="DBY5" s="87"/>
      <c r="DBZ5" s="87"/>
      <c r="DCA5" s="87"/>
      <c r="DCB5" s="87"/>
      <c r="DCC5" s="87"/>
      <c r="DCD5" s="87"/>
      <c r="DCE5" s="87"/>
      <c r="DCF5" s="87"/>
      <c r="DCG5" s="87"/>
      <c r="DCH5" s="87"/>
      <c r="DCI5" s="87"/>
      <c r="DCJ5" s="87"/>
      <c r="DCK5" s="87"/>
      <c r="DCL5" s="87"/>
      <c r="DCM5" s="87"/>
      <c r="DCN5" s="87"/>
      <c r="DCO5" s="87"/>
      <c r="DCP5" s="87"/>
      <c r="DCQ5" s="87"/>
      <c r="DCR5" s="87"/>
      <c r="DCS5" s="87"/>
      <c r="DCT5" s="87"/>
      <c r="DCU5" s="87"/>
      <c r="DCV5" s="87"/>
      <c r="DCW5" s="87"/>
      <c r="DCX5" s="87"/>
      <c r="DCY5" s="87"/>
      <c r="DCZ5" s="87"/>
      <c r="DDA5" s="87"/>
      <c r="DDB5" s="87"/>
      <c r="DDC5" s="87"/>
      <c r="DDD5" s="87"/>
      <c r="DDE5" s="87"/>
      <c r="DDF5" s="87"/>
      <c r="DDG5" s="87"/>
      <c r="DDH5" s="87"/>
      <c r="DDI5" s="87"/>
      <c r="DDJ5" s="87"/>
      <c r="DDK5" s="87"/>
      <c r="DDL5" s="87"/>
      <c r="DDM5" s="87"/>
      <c r="DDN5" s="87"/>
      <c r="DDO5" s="87"/>
      <c r="DDP5" s="87"/>
      <c r="DDQ5" s="87"/>
      <c r="DDR5" s="87"/>
      <c r="DDS5" s="87"/>
      <c r="DDT5" s="87"/>
      <c r="DDU5" s="87"/>
      <c r="DDV5" s="87"/>
      <c r="DDW5" s="87"/>
      <c r="DDX5" s="87"/>
      <c r="DDY5" s="87"/>
      <c r="DDZ5" s="87"/>
      <c r="DEA5" s="87"/>
      <c r="DEB5" s="87"/>
      <c r="DEC5" s="87"/>
      <c r="DED5" s="87"/>
      <c r="DEE5" s="87"/>
      <c r="DEF5" s="87"/>
      <c r="DEG5" s="87"/>
      <c r="DEH5" s="87"/>
      <c r="DEI5" s="87"/>
      <c r="DEJ5" s="87"/>
      <c r="DEK5" s="87"/>
      <c r="DEL5" s="87"/>
      <c r="DEM5" s="87"/>
      <c r="DEN5" s="87"/>
      <c r="DEO5" s="87"/>
      <c r="DEP5" s="87"/>
      <c r="DEQ5" s="87"/>
      <c r="DER5" s="87"/>
      <c r="DES5" s="87"/>
      <c r="DET5" s="87"/>
      <c r="DEU5" s="87"/>
      <c r="DEV5" s="87"/>
      <c r="DEW5" s="87"/>
      <c r="DEX5" s="87"/>
      <c r="DEY5" s="87"/>
      <c r="DEZ5" s="87"/>
      <c r="DFA5" s="87"/>
      <c r="DFB5" s="87"/>
      <c r="DFC5" s="87"/>
      <c r="DFD5" s="87"/>
      <c r="DFE5" s="87"/>
      <c r="DFF5" s="87"/>
      <c r="DFG5" s="87"/>
      <c r="DFH5" s="87"/>
      <c r="DFI5" s="87"/>
      <c r="DFJ5" s="87"/>
      <c r="DFK5" s="87"/>
      <c r="DFL5" s="87"/>
      <c r="DFM5" s="87"/>
      <c r="DFN5" s="87"/>
      <c r="DFO5" s="87"/>
      <c r="DFP5" s="87"/>
      <c r="DFQ5" s="87"/>
      <c r="DFR5" s="87"/>
      <c r="DFS5" s="87"/>
      <c r="DFT5" s="87"/>
      <c r="DFU5" s="87"/>
      <c r="DFV5" s="87"/>
      <c r="DFW5" s="87"/>
      <c r="DFX5" s="87"/>
      <c r="DFY5" s="87"/>
      <c r="DFZ5" s="87"/>
      <c r="DGA5" s="87"/>
      <c r="DGB5" s="87"/>
      <c r="DGC5" s="87"/>
      <c r="DGD5" s="87"/>
      <c r="DGE5" s="87"/>
      <c r="DGF5" s="87"/>
      <c r="DGG5" s="87"/>
      <c r="DGH5" s="87"/>
      <c r="DGI5" s="87"/>
      <c r="DGJ5" s="87"/>
      <c r="DGK5" s="87"/>
      <c r="DGL5" s="87"/>
      <c r="DGM5" s="87"/>
      <c r="DGN5" s="87"/>
      <c r="DGO5" s="87"/>
      <c r="DGP5" s="87"/>
      <c r="DGQ5" s="87"/>
      <c r="DGR5" s="87"/>
      <c r="DGS5" s="87"/>
      <c r="DGT5" s="87"/>
      <c r="DGU5" s="87"/>
      <c r="DGV5" s="87"/>
      <c r="DGW5" s="87"/>
      <c r="DGX5" s="87"/>
      <c r="DGY5" s="87"/>
      <c r="DGZ5" s="87"/>
      <c r="DHA5" s="87"/>
      <c r="DHB5" s="87"/>
      <c r="DHC5" s="87"/>
      <c r="DHD5" s="87"/>
      <c r="DHE5" s="87"/>
      <c r="DHF5" s="87"/>
      <c r="DHG5" s="87"/>
      <c r="DHH5" s="87"/>
      <c r="DHI5" s="87"/>
      <c r="DHJ5" s="87"/>
      <c r="DHK5" s="87"/>
      <c r="DHL5" s="87"/>
      <c r="DHM5" s="87"/>
      <c r="DHN5" s="87"/>
      <c r="DHO5" s="87"/>
      <c r="DHP5" s="87"/>
      <c r="DHQ5" s="87"/>
      <c r="DHR5" s="87"/>
      <c r="DHS5" s="87"/>
      <c r="DHT5" s="87"/>
      <c r="DHU5" s="87"/>
      <c r="DHV5" s="87"/>
      <c r="DHW5" s="87"/>
      <c r="DHX5" s="87"/>
      <c r="DHY5" s="87"/>
      <c r="DHZ5" s="87"/>
      <c r="DIA5" s="87"/>
      <c r="DIB5" s="87"/>
      <c r="DIC5" s="87"/>
      <c r="DID5" s="87"/>
      <c r="DIE5" s="87"/>
      <c r="DIF5" s="87"/>
      <c r="DIG5" s="87"/>
      <c r="DIH5" s="87"/>
      <c r="DII5" s="87"/>
      <c r="DIJ5" s="87"/>
      <c r="DIK5" s="87"/>
      <c r="DIL5" s="87"/>
      <c r="DIM5" s="87"/>
      <c r="DIN5" s="87"/>
      <c r="DIO5" s="87"/>
      <c r="DIP5" s="87"/>
      <c r="DIQ5" s="87"/>
      <c r="DIR5" s="87"/>
      <c r="DIS5" s="87"/>
      <c r="DIT5" s="87"/>
      <c r="DIU5" s="87"/>
      <c r="DIV5" s="87"/>
      <c r="DIW5" s="87"/>
      <c r="DIX5" s="87"/>
      <c r="DIY5" s="87"/>
      <c r="DIZ5" s="87"/>
      <c r="DJA5" s="87"/>
      <c r="DJB5" s="87"/>
      <c r="DJC5" s="87"/>
      <c r="DJD5" s="87"/>
      <c r="DJE5" s="87"/>
      <c r="DJF5" s="87"/>
      <c r="DJG5" s="87"/>
      <c r="DJH5" s="87"/>
      <c r="DJI5" s="87"/>
      <c r="DJJ5" s="87"/>
      <c r="DJK5" s="87"/>
      <c r="DJL5" s="87"/>
      <c r="DJM5" s="87"/>
      <c r="DJN5" s="87"/>
      <c r="DJO5" s="87"/>
      <c r="DJP5" s="87"/>
      <c r="DJQ5" s="87"/>
      <c r="DJR5" s="87"/>
      <c r="DJS5" s="87"/>
      <c r="DJT5" s="87"/>
      <c r="DJU5" s="87"/>
      <c r="DJV5" s="87"/>
      <c r="DJW5" s="87"/>
      <c r="DJX5" s="87"/>
      <c r="DJY5" s="87"/>
      <c r="DJZ5" s="87"/>
      <c r="DKA5" s="87"/>
      <c r="DKB5" s="87"/>
      <c r="DKC5" s="87"/>
      <c r="DKD5" s="87"/>
      <c r="DKE5" s="87"/>
      <c r="DKF5" s="87"/>
      <c r="DKG5" s="87"/>
      <c r="DKH5" s="87"/>
      <c r="DKI5" s="87"/>
      <c r="DKJ5" s="87"/>
      <c r="DKK5" s="87"/>
      <c r="DKL5" s="87"/>
      <c r="DKM5" s="87"/>
      <c r="DKN5" s="87"/>
      <c r="DKO5" s="87"/>
      <c r="DKP5" s="87"/>
      <c r="DKQ5" s="87"/>
      <c r="DKR5" s="87"/>
      <c r="DKS5" s="87"/>
      <c r="DKT5" s="87"/>
      <c r="DKU5" s="87"/>
      <c r="DKV5" s="87"/>
      <c r="DKW5" s="87"/>
      <c r="DKX5" s="87"/>
      <c r="DKY5" s="87"/>
      <c r="DKZ5" s="87"/>
      <c r="DLA5" s="87"/>
      <c r="DLB5" s="87"/>
      <c r="DLC5" s="87"/>
      <c r="DLD5" s="87"/>
      <c r="DLE5" s="87"/>
      <c r="DLF5" s="87"/>
      <c r="DLG5" s="87"/>
      <c r="DLH5" s="87"/>
      <c r="DLI5" s="87"/>
      <c r="DLJ5" s="87"/>
      <c r="DLK5" s="87"/>
      <c r="DLL5" s="87"/>
      <c r="DLM5" s="87"/>
      <c r="DLN5" s="87"/>
      <c r="DLO5" s="87"/>
      <c r="DLP5" s="87"/>
      <c r="DLQ5" s="87"/>
      <c r="DLR5" s="87"/>
      <c r="DLS5" s="87"/>
      <c r="DLT5" s="87"/>
      <c r="DLU5" s="87"/>
      <c r="DLV5" s="87"/>
      <c r="DLW5" s="87"/>
      <c r="DLX5" s="87"/>
      <c r="DLY5" s="87"/>
      <c r="DLZ5" s="87"/>
      <c r="DMA5" s="87"/>
      <c r="DMB5" s="87"/>
      <c r="DMC5" s="87"/>
      <c r="DMD5" s="87"/>
      <c r="DME5" s="87"/>
      <c r="DMF5" s="87"/>
      <c r="DMG5" s="87"/>
      <c r="DMH5" s="87"/>
      <c r="DMI5" s="87"/>
      <c r="DMJ5" s="87"/>
      <c r="DMK5" s="87"/>
      <c r="DML5" s="87"/>
      <c r="DMM5" s="87"/>
      <c r="DMN5" s="87"/>
      <c r="DMO5" s="87"/>
      <c r="DMP5" s="87"/>
      <c r="DMQ5" s="87"/>
      <c r="DMR5" s="87"/>
      <c r="DMS5" s="87"/>
      <c r="DMT5" s="87"/>
      <c r="DMU5" s="87"/>
      <c r="DMV5" s="87"/>
      <c r="DMW5" s="87"/>
      <c r="DMX5" s="87"/>
      <c r="DMY5" s="87"/>
      <c r="DMZ5" s="87"/>
      <c r="DNA5" s="87"/>
      <c r="DNB5" s="87"/>
      <c r="DNC5" s="87"/>
      <c r="DND5" s="87"/>
      <c r="DNE5" s="87"/>
      <c r="DNF5" s="87"/>
      <c r="DNG5" s="87"/>
      <c r="DNH5" s="87"/>
      <c r="DNI5" s="87"/>
      <c r="DNJ5" s="87"/>
      <c r="DNK5" s="87"/>
      <c r="DNL5" s="87"/>
      <c r="DNM5" s="87"/>
      <c r="DNN5" s="87"/>
      <c r="DNO5" s="87"/>
      <c r="DNP5" s="87"/>
      <c r="DNQ5" s="87"/>
      <c r="DNR5" s="87"/>
      <c r="DNS5" s="87"/>
      <c r="DNT5" s="87"/>
      <c r="DNU5" s="87"/>
      <c r="DNV5" s="87"/>
      <c r="DNW5" s="87"/>
      <c r="DNX5" s="87"/>
      <c r="DNY5" s="87"/>
      <c r="DNZ5" s="87"/>
      <c r="DOA5" s="87"/>
      <c r="DOB5" s="87"/>
      <c r="DOC5" s="87"/>
      <c r="DOD5" s="87"/>
      <c r="DOE5" s="87"/>
      <c r="DOF5" s="87"/>
      <c r="DOG5" s="87"/>
      <c r="DOH5" s="87"/>
      <c r="DOI5" s="87"/>
      <c r="DOJ5" s="87"/>
      <c r="DOK5" s="87"/>
      <c r="DOL5" s="87"/>
      <c r="DOM5" s="87"/>
      <c r="DON5" s="87"/>
      <c r="DOO5" s="87"/>
      <c r="DOP5" s="87"/>
      <c r="DOQ5" s="87"/>
      <c r="DOR5" s="87"/>
      <c r="DOS5" s="87"/>
      <c r="DOT5" s="87"/>
      <c r="DOU5" s="87"/>
      <c r="DOV5" s="87"/>
      <c r="DOW5" s="87"/>
      <c r="DOX5" s="87"/>
      <c r="DOY5" s="87"/>
      <c r="DOZ5" s="87"/>
      <c r="DPA5" s="87"/>
      <c r="DPB5" s="87"/>
      <c r="DPC5" s="87"/>
      <c r="DPD5" s="87"/>
      <c r="DPE5" s="87"/>
      <c r="DPF5" s="87"/>
      <c r="DPG5" s="87"/>
      <c r="DPH5" s="87"/>
      <c r="DPI5" s="87"/>
      <c r="DPJ5" s="87"/>
      <c r="DPK5" s="87"/>
      <c r="DPL5" s="87"/>
      <c r="DPM5" s="87"/>
      <c r="DPN5" s="87"/>
      <c r="DPO5" s="87"/>
      <c r="DPP5" s="87"/>
      <c r="DPQ5" s="87"/>
      <c r="DPR5" s="87"/>
      <c r="DPS5" s="87"/>
      <c r="DPT5" s="87"/>
      <c r="DPU5" s="87"/>
      <c r="DPV5" s="87"/>
      <c r="DPW5" s="87"/>
      <c r="DPX5" s="87"/>
      <c r="DPY5" s="87"/>
      <c r="DPZ5" s="87"/>
      <c r="DQA5" s="87"/>
      <c r="DQB5" s="87"/>
      <c r="DQC5" s="87"/>
      <c r="DQD5" s="87"/>
      <c r="DQE5" s="87"/>
      <c r="DQF5" s="87"/>
      <c r="DQG5" s="87"/>
      <c r="DQH5" s="87"/>
      <c r="DQI5" s="87"/>
      <c r="DQJ5" s="87"/>
      <c r="DQK5" s="87"/>
      <c r="DQL5" s="87"/>
      <c r="DQM5" s="87"/>
      <c r="DQN5" s="87"/>
      <c r="DQO5" s="87"/>
      <c r="DQP5" s="87"/>
      <c r="DQQ5" s="87"/>
      <c r="DQR5" s="87"/>
      <c r="DQS5" s="87"/>
      <c r="DQT5" s="87"/>
      <c r="DQU5" s="87"/>
      <c r="DQV5" s="87"/>
      <c r="DQW5" s="87"/>
      <c r="DQX5" s="87"/>
      <c r="DQY5" s="87"/>
      <c r="DQZ5" s="87"/>
      <c r="DRA5" s="87"/>
      <c r="DRB5" s="87"/>
      <c r="DRC5" s="87"/>
      <c r="DRD5" s="87"/>
      <c r="DRE5" s="87"/>
      <c r="DRF5" s="87"/>
      <c r="DRG5" s="87"/>
      <c r="DRH5" s="87"/>
      <c r="DRI5" s="87"/>
      <c r="DRJ5" s="87"/>
      <c r="DRK5" s="87"/>
      <c r="DRL5" s="87"/>
      <c r="DRM5" s="87"/>
      <c r="DRN5" s="87"/>
      <c r="DRO5" s="87"/>
      <c r="DRP5" s="87"/>
      <c r="DRQ5" s="87"/>
      <c r="DRR5" s="87"/>
      <c r="DRS5" s="87"/>
      <c r="DRT5" s="87"/>
      <c r="DRU5" s="87"/>
      <c r="DRV5" s="87"/>
      <c r="DRW5" s="87"/>
      <c r="DRX5" s="87"/>
      <c r="DRY5" s="87"/>
      <c r="DRZ5" s="87"/>
      <c r="DSA5" s="87"/>
      <c r="DSB5" s="87"/>
      <c r="DSC5" s="87"/>
      <c r="DSD5" s="87"/>
      <c r="DSE5" s="87"/>
      <c r="DSF5" s="87"/>
      <c r="DSG5" s="87"/>
      <c r="DSH5" s="87"/>
      <c r="DSI5" s="87"/>
      <c r="DSJ5" s="87"/>
      <c r="DSK5" s="87"/>
      <c r="DSL5" s="87"/>
      <c r="DSM5" s="87"/>
      <c r="DSN5" s="87"/>
      <c r="DSO5" s="87"/>
      <c r="DSP5" s="87"/>
      <c r="DSQ5" s="87"/>
      <c r="DSR5" s="87"/>
      <c r="DSS5" s="87"/>
      <c r="DST5" s="87"/>
      <c r="DSU5" s="87"/>
      <c r="DSV5" s="87"/>
      <c r="DSW5" s="87"/>
      <c r="DSX5" s="87"/>
      <c r="DSY5" s="87"/>
      <c r="DSZ5" s="87"/>
      <c r="DTA5" s="87"/>
      <c r="DTB5" s="87"/>
      <c r="DTC5" s="87"/>
      <c r="DTD5" s="87"/>
      <c r="DTE5" s="87"/>
      <c r="DTF5" s="87"/>
      <c r="DTG5" s="87"/>
      <c r="DTH5" s="87"/>
      <c r="DTI5" s="87"/>
      <c r="DTJ5" s="87"/>
      <c r="DTK5" s="87"/>
      <c r="DTL5" s="87"/>
      <c r="DTM5" s="87"/>
      <c r="DTN5" s="87"/>
      <c r="DTO5" s="87"/>
      <c r="DTP5" s="87"/>
      <c r="DTQ5" s="87"/>
      <c r="DTR5" s="87"/>
      <c r="DTS5" s="87"/>
      <c r="DTT5" s="87"/>
      <c r="DTU5" s="87"/>
      <c r="DTV5" s="87"/>
      <c r="DTW5" s="87"/>
      <c r="DTX5" s="87"/>
      <c r="DTY5" s="87"/>
      <c r="DTZ5" s="87"/>
      <c r="DUA5" s="87"/>
      <c r="DUB5" s="87"/>
      <c r="DUC5" s="87"/>
      <c r="DUD5" s="87"/>
      <c r="DUE5" s="87"/>
      <c r="DUF5" s="87"/>
      <c r="DUG5" s="87"/>
      <c r="DUH5" s="87"/>
      <c r="DUI5" s="87"/>
      <c r="DUJ5" s="87"/>
      <c r="DUK5" s="87"/>
      <c r="DUL5" s="87"/>
      <c r="DUM5" s="87"/>
      <c r="DUN5" s="87"/>
      <c r="DUO5" s="87"/>
      <c r="DUP5" s="87"/>
      <c r="DUQ5" s="87"/>
      <c r="DUR5" s="87"/>
      <c r="DUS5" s="87"/>
      <c r="DUT5" s="87"/>
      <c r="DUU5" s="87"/>
      <c r="DUV5" s="87"/>
      <c r="DUW5" s="87"/>
      <c r="DUX5" s="87"/>
      <c r="DUY5" s="87"/>
      <c r="DUZ5" s="87"/>
      <c r="DVA5" s="87"/>
      <c r="DVB5" s="87"/>
      <c r="DVC5" s="87"/>
      <c r="DVD5" s="87"/>
      <c r="DVE5" s="87"/>
      <c r="DVF5" s="87"/>
      <c r="DVG5" s="87"/>
      <c r="DVH5" s="87"/>
      <c r="DVI5" s="87"/>
      <c r="DVJ5" s="87"/>
      <c r="DVK5" s="87"/>
      <c r="DVL5" s="87"/>
      <c r="DVM5" s="87"/>
      <c r="DVN5" s="87"/>
      <c r="DVO5" s="87"/>
      <c r="DVP5" s="87"/>
      <c r="DVQ5" s="87"/>
      <c r="DVR5" s="87"/>
      <c r="DVS5" s="87"/>
      <c r="DVT5" s="87"/>
      <c r="DVU5" s="87"/>
      <c r="DVV5" s="87"/>
      <c r="DVW5" s="87"/>
      <c r="DVX5" s="87"/>
      <c r="DVY5" s="87"/>
      <c r="DVZ5" s="87"/>
      <c r="DWA5" s="87"/>
      <c r="DWB5" s="87"/>
      <c r="DWC5" s="87"/>
      <c r="DWD5" s="87"/>
      <c r="DWE5" s="87"/>
      <c r="DWF5" s="87"/>
      <c r="DWG5" s="87"/>
      <c r="DWH5" s="87"/>
      <c r="DWI5" s="87"/>
      <c r="DWJ5" s="87"/>
      <c r="DWK5" s="87"/>
      <c r="DWL5" s="87"/>
      <c r="DWM5" s="87"/>
      <c r="DWN5" s="87"/>
      <c r="DWO5" s="87"/>
      <c r="DWP5" s="87"/>
      <c r="DWQ5" s="87"/>
      <c r="DWR5" s="87"/>
      <c r="DWS5" s="87"/>
      <c r="DWT5" s="87"/>
      <c r="DWU5" s="87"/>
      <c r="DWV5" s="87"/>
      <c r="DWW5" s="87"/>
      <c r="DWX5" s="87"/>
      <c r="DWY5" s="87"/>
      <c r="DWZ5" s="87"/>
      <c r="DXA5" s="87"/>
      <c r="DXB5" s="87"/>
      <c r="DXC5" s="87"/>
      <c r="DXD5" s="87"/>
      <c r="DXE5" s="87"/>
      <c r="DXF5" s="87"/>
      <c r="DXG5" s="87"/>
      <c r="DXH5" s="87"/>
      <c r="DXI5" s="87"/>
      <c r="DXJ5" s="87"/>
      <c r="DXK5" s="87"/>
      <c r="DXL5" s="87"/>
      <c r="DXM5" s="87"/>
      <c r="DXN5" s="87"/>
      <c r="DXO5" s="87"/>
      <c r="DXP5" s="87"/>
      <c r="DXQ5" s="87"/>
      <c r="DXR5" s="87"/>
      <c r="DXS5" s="87"/>
      <c r="DXT5" s="87"/>
      <c r="DXU5" s="87"/>
      <c r="DXV5" s="87"/>
      <c r="DXW5" s="87"/>
      <c r="DXX5" s="87"/>
      <c r="DXY5" s="87"/>
      <c r="DXZ5" s="87"/>
      <c r="DYA5" s="87"/>
      <c r="DYB5" s="87"/>
      <c r="DYC5" s="87"/>
      <c r="DYD5" s="87"/>
      <c r="DYE5" s="87"/>
      <c r="DYF5" s="87"/>
      <c r="DYG5" s="87"/>
      <c r="DYH5" s="87"/>
      <c r="DYI5" s="87"/>
      <c r="DYJ5" s="87"/>
      <c r="DYK5" s="87"/>
      <c r="DYL5" s="87"/>
      <c r="DYM5" s="87"/>
      <c r="DYN5" s="87"/>
      <c r="DYO5" s="87"/>
      <c r="DYP5" s="87"/>
      <c r="DYQ5" s="87"/>
      <c r="DYR5" s="87"/>
      <c r="DYS5" s="87"/>
      <c r="DYT5" s="87"/>
      <c r="DYU5" s="87"/>
      <c r="DYV5" s="87"/>
      <c r="DYW5" s="87"/>
      <c r="DYX5" s="87"/>
      <c r="DYY5" s="87"/>
      <c r="DYZ5" s="87"/>
      <c r="DZA5" s="87"/>
      <c r="DZB5" s="87"/>
      <c r="DZC5" s="87"/>
      <c r="DZD5" s="87"/>
      <c r="DZE5" s="87"/>
      <c r="DZF5" s="87"/>
      <c r="DZG5" s="87"/>
      <c r="DZH5" s="87"/>
      <c r="DZI5" s="87"/>
      <c r="DZJ5" s="87"/>
      <c r="DZK5" s="87"/>
      <c r="DZL5" s="87"/>
      <c r="DZM5" s="87"/>
      <c r="DZN5" s="87"/>
      <c r="DZO5" s="87"/>
      <c r="DZP5" s="87"/>
      <c r="DZQ5" s="87"/>
      <c r="DZR5" s="87"/>
      <c r="DZS5" s="87"/>
      <c r="DZT5" s="87"/>
      <c r="DZU5" s="87"/>
      <c r="DZV5" s="87"/>
      <c r="DZW5" s="87"/>
      <c r="DZX5" s="87"/>
      <c r="DZY5" s="87"/>
      <c r="DZZ5" s="87"/>
      <c r="EAA5" s="87"/>
      <c r="EAB5" s="87"/>
      <c r="EAC5" s="87"/>
      <c r="EAD5" s="87"/>
      <c r="EAE5" s="87"/>
      <c r="EAF5" s="87"/>
      <c r="EAG5" s="87"/>
      <c r="EAH5" s="87"/>
      <c r="EAI5" s="87"/>
      <c r="EAJ5" s="87"/>
      <c r="EAK5" s="87"/>
      <c r="EAL5" s="87"/>
      <c r="EAM5" s="87"/>
      <c r="EAN5" s="87"/>
      <c r="EAO5" s="87"/>
      <c r="EAP5" s="87"/>
      <c r="EAQ5" s="87"/>
      <c r="EAR5" s="87"/>
      <c r="EAS5" s="87"/>
      <c r="EAT5" s="87"/>
      <c r="EAU5" s="87"/>
      <c r="EAV5" s="87"/>
      <c r="EAW5" s="87"/>
      <c r="EAX5" s="87"/>
      <c r="EAY5" s="87"/>
      <c r="EAZ5" s="87"/>
      <c r="EBA5" s="87"/>
      <c r="EBB5" s="87"/>
      <c r="EBC5" s="87"/>
      <c r="EBD5" s="87"/>
      <c r="EBE5" s="87"/>
      <c r="EBF5" s="87"/>
      <c r="EBG5" s="87"/>
      <c r="EBH5" s="87"/>
      <c r="EBI5" s="87"/>
      <c r="EBJ5" s="87"/>
      <c r="EBK5" s="87"/>
      <c r="EBL5" s="87"/>
      <c r="EBM5" s="87"/>
      <c r="EBN5" s="87"/>
      <c r="EBO5" s="87"/>
      <c r="EBP5" s="87"/>
      <c r="EBQ5" s="87"/>
      <c r="EBR5" s="87"/>
      <c r="EBS5" s="87"/>
      <c r="EBT5" s="87"/>
      <c r="EBU5" s="87"/>
      <c r="EBV5" s="87"/>
      <c r="EBW5" s="87"/>
      <c r="EBX5" s="87"/>
      <c r="EBY5" s="87"/>
      <c r="EBZ5" s="87"/>
      <c r="ECA5" s="87"/>
      <c r="ECB5" s="87"/>
      <c r="ECC5" s="87"/>
      <c r="ECD5" s="87"/>
      <c r="ECE5" s="87"/>
      <c r="ECF5" s="87"/>
      <c r="ECG5" s="87"/>
      <c r="ECH5" s="87"/>
      <c r="ECI5" s="87"/>
      <c r="ECJ5" s="87"/>
      <c r="ECK5" s="87"/>
      <c r="ECL5" s="87"/>
      <c r="ECM5" s="87"/>
      <c r="ECN5" s="87"/>
      <c r="ECO5" s="87"/>
      <c r="ECP5" s="87"/>
      <c r="ECQ5" s="87"/>
      <c r="ECR5" s="87"/>
      <c r="ECS5" s="87"/>
      <c r="ECT5" s="87"/>
      <c r="ECU5" s="87"/>
      <c r="ECV5" s="87"/>
      <c r="ECW5" s="87"/>
      <c r="ECX5" s="87"/>
      <c r="ECY5" s="87"/>
      <c r="ECZ5" s="87"/>
      <c r="EDA5" s="87"/>
      <c r="EDB5" s="87"/>
      <c r="EDC5" s="87"/>
      <c r="EDD5" s="87"/>
      <c r="EDE5" s="87"/>
      <c r="EDF5" s="87"/>
      <c r="EDG5" s="87"/>
      <c r="EDH5" s="87"/>
      <c r="EDI5" s="87"/>
      <c r="EDJ5" s="87"/>
      <c r="EDK5" s="87"/>
      <c r="EDL5" s="87"/>
      <c r="EDM5" s="87"/>
      <c r="EDN5" s="87"/>
      <c r="EDO5" s="87"/>
      <c r="EDP5" s="87"/>
      <c r="EDQ5" s="87"/>
      <c r="EDR5" s="87"/>
      <c r="EDS5" s="87"/>
      <c r="EDT5" s="87"/>
      <c r="EDU5" s="87"/>
      <c r="EDV5" s="87"/>
      <c r="EDW5" s="87"/>
      <c r="EDX5" s="87"/>
      <c r="EDY5" s="87"/>
      <c r="EDZ5" s="87"/>
      <c r="EEA5" s="87"/>
      <c r="EEB5" s="87"/>
      <c r="EEC5" s="87"/>
      <c r="EED5" s="87"/>
      <c r="EEE5" s="87"/>
      <c r="EEF5" s="87"/>
      <c r="EEG5" s="87"/>
      <c r="EEH5" s="87"/>
      <c r="EEI5" s="87"/>
      <c r="EEJ5" s="87"/>
      <c r="EEK5" s="87"/>
      <c r="EEL5" s="87"/>
      <c r="EEM5" s="87"/>
      <c r="EEN5" s="87"/>
      <c r="EEO5" s="87"/>
      <c r="EEP5" s="87"/>
      <c r="EEQ5" s="87"/>
      <c r="EER5" s="87"/>
      <c r="EES5" s="87"/>
      <c r="EET5" s="87"/>
      <c r="EEU5" s="87"/>
      <c r="EEV5" s="87"/>
      <c r="EEW5" s="87"/>
      <c r="EEX5" s="87"/>
      <c r="EEY5" s="87"/>
      <c r="EEZ5" s="87"/>
      <c r="EFA5" s="87"/>
      <c r="EFB5" s="87"/>
      <c r="EFC5" s="87"/>
      <c r="EFD5" s="87"/>
      <c r="EFE5" s="87"/>
      <c r="EFF5" s="87"/>
      <c r="EFG5" s="87"/>
      <c r="EFH5" s="87"/>
      <c r="EFI5" s="87"/>
      <c r="EFJ5" s="87"/>
      <c r="EFK5" s="87"/>
      <c r="EFL5" s="87"/>
      <c r="EFM5" s="87"/>
      <c r="EFN5" s="87"/>
      <c r="EFO5" s="87"/>
      <c r="EFP5" s="87"/>
      <c r="EFQ5" s="87"/>
      <c r="EFR5" s="87"/>
      <c r="EFS5" s="87"/>
      <c r="EFT5" s="87"/>
      <c r="EFU5" s="87"/>
      <c r="EFV5" s="87"/>
      <c r="EFW5" s="87"/>
      <c r="EFX5" s="87"/>
      <c r="EFY5" s="87"/>
      <c r="EFZ5" s="87"/>
      <c r="EGA5" s="87"/>
      <c r="EGB5" s="87"/>
      <c r="EGC5" s="87"/>
      <c r="EGD5" s="87"/>
      <c r="EGE5" s="87"/>
      <c r="EGF5" s="87"/>
      <c r="EGG5" s="87"/>
      <c r="EGH5" s="87"/>
      <c r="EGI5" s="87"/>
      <c r="EGJ5" s="87"/>
      <c r="EGK5" s="87"/>
      <c r="EGL5" s="87"/>
      <c r="EGM5" s="87"/>
      <c r="EGN5" s="87"/>
      <c r="EGO5" s="87"/>
      <c r="EGP5" s="87"/>
      <c r="EGQ5" s="87"/>
      <c r="EGR5" s="87"/>
      <c r="EGS5" s="87"/>
      <c r="EGT5" s="87"/>
      <c r="EGU5" s="87"/>
      <c r="EGV5" s="87"/>
      <c r="EGW5" s="87"/>
      <c r="EGX5" s="87"/>
      <c r="EGY5" s="87"/>
      <c r="EGZ5" s="87"/>
      <c r="EHA5" s="87"/>
      <c r="EHB5" s="87"/>
      <c r="EHC5" s="87"/>
      <c r="EHD5" s="87"/>
      <c r="EHE5" s="87"/>
      <c r="EHF5" s="87"/>
      <c r="EHG5" s="87"/>
      <c r="EHH5" s="87"/>
      <c r="EHI5" s="87"/>
      <c r="EHJ5" s="87"/>
      <c r="EHK5" s="87"/>
      <c r="EHL5" s="87"/>
      <c r="EHM5" s="87"/>
      <c r="EHN5" s="87"/>
      <c r="EHO5" s="87"/>
      <c r="EHP5" s="87"/>
      <c r="EHQ5" s="87"/>
      <c r="EHR5" s="87"/>
      <c r="EHS5" s="87"/>
      <c r="EHT5" s="87"/>
      <c r="EHU5" s="87"/>
      <c r="EHV5" s="87"/>
      <c r="EHW5" s="87"/>
      <c r="EHX5" s="87"/>
      <c r="EHY5" s="87"/>
      <c r="EHZ5" s="87"/>
      <c r="EIA5" s="87"/>
      <c r="EIB5" s="87"/>
      <c r="EIC5" s="87"/>
      <c r="EID5" s="87"/>
      <c r="EIE5" s="87"/>
      <c r="EIF5" s="87"/>
      <c r="EIG5" s="87"/>
      <c r="EIH5" s="87"/>
      <c r="EII5" s="87"/>
      <c r="EIJ5" s="87"/>
      <c r="EIK5" s="87"/>
      <c r="EIL5" s="87"/>
      <c r="EIM5" s="87"/>
      <c r="EIN5" s="87"/>
      <c r="EIO5" s="87"/>
      <c r="EIP5" s="87"/>
      <c r="EIQ5" s="87"/>
      <c r="EIR5" s="87"/>
      <c r="EIS5" s="87"/>
      <c r="EIT5" s="87"/>
      <c r="EIU5" s="87"/>
      <c r="EIV5" s="87"/>
      <c r="EIW5" s="87"/>
      <c r="EIX5" s="87"/>
      <c r="EIY5" s="87"/>
      <c r="EIZ5" s="87"/>
      <c r="EJA5" s="87"/>
      <c r="EJB5" s="87"/>
      <c r="EJC5" s="87"/>
      <c r="EJD5" s="87"/>
      <c r="EJE5" s="87"/>
      <c r="EJF5" s="87"/>
      <c r="EJG5" s="87"/>
      <c r="EJH5" s="87"/>
      <c r="EJI5" s="87"/>
      <c r="EJJ5" s="87"/>
      <c r="EJK5" s="87"/>
      <c r="EJL5" s="87"/>
      <c r="EJM5" s="87"/>
      <c r="EJN5" s="87"/>
      <c r="EJO5" s="87"/>
      <c r="EJP5" s="87"/>
      <c r="EJQ5" s="87"/>
      <c r="EJR5" s="87"/>
      <c r="EJS5" s="87"/>
      <c r="EJT5" s="87"/>
      <c r="EJU5" s="87"/>
      <c r="EJV5" s="87"/>
      <c r="EJW5" s="87"/>
      <c r="EJX5" s="87"/>
      <c r="EJY5" s="87"/>
      <c r="EJZ5" s="87"/>
      <c r="EKA5" s="87"/>
      <c r="EKB5" s="87"/>
      <c r="EKC5" s="87"/>
      <c r="EKD5" s="87"/>
      <c r="EKE5" s="87"/>
      <c r="EKF5" s="87"/>
      <c r="EKG5" s="87"/>
      <c r="EKH5" s="87"/>
      <c r="EKI5" s="87"/>
      <c r="EKJ5" s="87"/>
      <c r="EKK5" s="87"/>
      <c r="EKL5" s="87"/>
      <c r="EKM5" s="87"/>
      <c r="EKN5" s="87"/>
      <c r="EKO5" s="87"/>
      <c r="EKP5" s="87"/>
      <c r="EKQ5" s="87"/>
      <c r="EKR5" s="87"/>
      <c r="EKS5" s="87"/>
      <c r="EKT5" s="87"/>
      <c r="EKU5" s="87"/>
      <c r="EKV5" s="87"/>
      <c r="EKW5" s="87"/>
      <c r="EKX5" s="87"/>
      <c r="EKY5" s="87"/>
      <c r="EKZ5" s="87"/>
      <c r="ELA5" s="87"/>
      <c r="ELB5" s="87"/>
      <c r="ELC5" s="87"/>
      <c r="ELD5" s="87"/>
      <c r="ELE5" s="87"/>
      <c r="ELF5" s="87"/>
      <c r="ELG5" s="87"/>
      <c r="ELH5" s="87"/>
      <c r="ELI5" s="87"/>
      <c r="ELJ5" s="87"/>
      <c r="ELK5" s="87"/>
      <c r="ELL5" s="87"/>
      <c r="ELM5" s="87"/>
      <c r="ELN5" s="87"/>
      <c r="ELO5" s="87"/>
      <c r="ELP5" s="87"/>
      <c r="ELQ5" s="87"/>
      <c r="ELR5" s="87"/>
      <c r="ELS5" s="87"/>
      <c r="ELT5" s="87"/>
      <c r="ELU5" s="87"/>
      <c r="ELV5" s="87"/>
      <c r="ELW5" s="87"/>
      <c r="ELX5" s="87"/>
      <c r="ELY5" s="87"/>
      <c r="ELZ5" s="87"/>
      <c r="EMA5" s="87"/>
      <c r="EMB5" s="87"/>
      <c r="EMC5" s="87"/>
      <c r="EMD5" s="87"/>
      <c r="EME5" s="87"/>
      <c r="EMF5" s="87"/>
      <c r="EMG5" s="87"/>
      <c r="EMH5" s="87"/>
      <c r="EMI5" s="87"/>
      <c r="EMJ5" s="87"/>
      <c r="EMK5" s="87"/>
      <c r="EML5" s="87"/>
      <c r="EMM5" s="87"/>
      <c r="EMN5" s="87"/>
      <c r="EMO5" s="87"/>
      <c r="EMP5" s="87"/>
      <c r="EMQ5" s="87"/>
      <c r="EMR5" s="87"/>
      <c r="EMS5" s="87"/>
      <c r="EMT5" s="87"/>
      <c r="EMU5" s="87"/>
      <c r="EMV5" s="87"/>
      <c r="EMW5" s="87"/>
      <c r="EMX5" s="87"/>
      <c r="EMY5" s="87"/>
      <c r="EMZ5" s="87"/>
      <c r="ENA5" s="87"/>
      <c r="ENB5" s="87"/>
      <c r="ENC5" s="87"/>
      <c r="END5" s="87"/>
      <c r="ENE5" s="87"/>
      <c r="ENF5" s="87"/>
      <c r="ENG5" s="87"/>
      <c r="ENH5" s="87"/>
      <c r="ENI5" s="87"/>
      <c r="ENJ5" s="87"/>
      <c r="ENK5" s="87"/>
      <c r="ENL5" s="87"/>
      <c r="ENM5" s="87"/>
      <c r="ENN5" s="87"/>
      <c r="ENO5" s="87"/>
      <c r="ENP5" s="87"/>
      <c r="ENQ5" s="87"/>
      <c r="ENR5" s="87"/>
      <c r="ENS5" s="87"/>
      <c r="ENT5" s="87"/>
      <c r="ENU5" s="87"/>
      <c r="ENV5" s="87"/>
      <c r="ENW5" s="87"/>
      <c r="ENX5" s="87"/>
      <c r="ENY5" s="87"/>
      <c r="ENZ5" s="87"/>
      <c r="EOA5" s="87"/>
      <c r="EOB5" s="87"/>
      <c r="EOC5" s="87"/>
      <c r="EOD5" s="87"/>
      <c r="EOE5" s="87"/>
      <c r="EOF5" s="87"/>
      <c r="EOG5" s="87"/>
      <c r="EOH5" s="87"/>
      <c r="EOI5" s="87"/>
      <c r="EOJ5" s="87"/>
      <c r="EOK5" s="87"/>
      <c r="EOL5" s="87"/>
      <c r="EOM5" s="87"/>
      <c r="EON5" s="87"/>
      <c r="EOO5" s="87"/>
      <c r="EOP5" s="87"/>
      <c r="EOQ5" s="87"/>
      <c r="EOR5" s="87"/>
      <c r="EOS5" s="87"/>
      <c r="EOT5" s="87"/>
      <c r="EOU5" s="87"/>
      <c r="EOV5" s="87"/>
      <c r="EOW5" s="87"/>
      <c r="EOX5" s="87"/>
      <c r="EOY5" s="87"/>
      <c r="EOZ5" s="87"/>
      <c r="EPA5" s="87"/>
      <c r="EPB5" s="87"/>
      <c r="EPC5" s="87"/>
      <c r="EPD5" s="87"/>
      <c r="EPE5" s="87"/>
      <c r="EPF5" s="87"/>
      <c r="EPG5" s="87"/>
      <c r="EPH5" s="87"/>
      <c r="EPI5" s="87"/>
      <c r="EPJ5" s="87"/>
      <c r="EPK5" s="87"/>
      <c r="EPL5" s="87"/>
      <c r="EPM5" s="87"/>
      <c r="EPN5" s="87"/>
      <c r="EPO5" s="87"/>
      <c r="EPP5" s="87"/>
      <c r="EPQ5" s="87"/>
      <c r="EPR5" s="87"/>
      <c r="EPS5" s="87"/>
      <c r="EPT5" s="87"/>
      <c r="EPU5" s="87"/>
      <c r="EPV5" s="87"/>
      <c r="EPW5" s="87"/>
      <c r="EPX5" s="87"/>
      <c r="EPY5" s="87"/>
      <c r="EPZ5" s="87"/>
      <c r="EQA5" s="87"/>
      <c r="EQB5" s="87"/>
      <c r="EQC5" s="87"/>
      <c r="EQD5" s="87"/>
      <c r="EQE5" s="87"/>
      <c r="EQF5" s="87"/>
      <c r="EQG5" s="87"/>
      <c r="EQH5" s="87"/>
      <c r="EQI5" s="87"/>
      <c r="EQJ5" s="87"/>
      <c r="EQK5" s="87"/>
      <c r="EQL5" s="87"/>
      <c r="EQM5" s="87"/>
      <c r="EQN5" s="87"/>
      <c r="EQO5" s="87"/>
      <c r="EQP5" s="87"/>
      <c r="EQQ5" s="87"/>
      <c r="EQR5" s="87"/>
      <c r="EQS5" s="87"/>
      <c r="EQT5" s="87"/>
      <c r="EQU5" s="87"/>
      <c r="EQV5" s="87"/>
      <c r="EQW5" s="87"/>
      <c r="EQX5" s="87"/>
      <c r="EQY5" s="87"/>
      <c r="EQZ5" s="87"/>
      <c r="ERA5" s="87"/>
      <c r="ERB5" s="87"/>
      <c r="ERC5" s="87"/>
      <c r="ERD5" s="87"/>
      <c r="ERE5" s="87"/>
      <c r="ERF5" s="87"/>
      <c r="ERG5" s="87"/>
      <c r="ERH5" s="87"/>
      <c r="ERI5" s="87"/>
      <c r="ERJ5" s="87"/>
      <c r="ERK5" s="87"/>
      <c r="ERL5" s="87"/>
      <c r="ERM5" s="87"/>
      <c r="ERN5" s="87"/>
      <c r="ERO5" s="87"/>
      <c r="ERP5" s="87"/>
      <c r="ERQ5" s="87"/>
      <c r="ERR5" s="87"/>
      <c r="ERS5" s="87"/>
      <c r="ERT5" s="87"/>
      <c r="ERU5" s="87"/>
      <c r="ERV5" s="87"/>
      <c r="ERW5" s="87"/>
      <c r="ERX5" s="87"/>
      <c r="ERY5" s="87"/>
      <c r="ERZ5" s="87"/>
      <c r="ESA5" s="87"/>
      <c r="ESB5" s="87"/>
      <c r="ESC5" s="87"/>
      <c r="ESD5" s="87"/>
      <c r="ESE5" s="87"/>
      <c r="ESF5" s="87"/>
      <c r="ESG5" s="87"/>
      <c r="ESH5" s="87"/>
      <c r="ESI5" s="87"/>
      <c r="ESJ5" s="87"/>
      <c r="ESK5" s="87"/>
      <c r="ESL5" s="87"/>
      <c r="ESM5" s="87"/>
      <c r="ESN5" s="87"/>
      <c r="ESO5" s="87"/>
      <c r="ESP5" s="87"/>
      <c r="ESQ5" s="87"/>
      <c r="ESR5" s="87"/>
      <c r="ESS5" s="87"/>
      <c r="EST5" s="87"/>
      <c r="ESU5" s="87"/>
      <c r="ESV5" s="87"/>
      <c r="ESW5" s="87"/>
      <c r="ESX5" s="87"/>
      <c r="ESY5" s="87"/>
      <c r="ESZ5" s="87"/>
      <c r="ETA5" s="87"/>
      <c r="ETB5" s="87"/>
      <c r="ETC5" s="87"/>
      <c r="ETD5" s="87"/>
      <c r="ETE5" s="87"/>
      <c r="ETF5" s="87"/>
      <c r="ETG5" s="87"/>
      <c r="ETH5" s="87"/>
      <c r="ETI5" s="87"/>
      <c r="ETJ5" s="87"/>
      <c r="ETK5" s="87"/>
      <c r="ETL5" s="87"/>
      <c r="ETM5" s="87"/>
      <c r="ETN5" s="87"/>
      <c r="ETO5" s="87"/>
      <c r="ETP5" s="87"/>
      <c r="ETQ5" s="87"/>
      <c r="ETR5" s="87"/>
      <c r="ETS5" s="87"/>
      <c r="ETT5" s="87"/>
      <c r="ETU5" s="87"/>
      <c r="ETV5" s="87"/>
      <c r="ETW5" s="87"/>
      <c r="ETX5" s="87"/>
      <c r="ETY5" s="87"/>
      <c r="ETZ5" s="87"/>
      <c r="EUA5" s="87"/>
      <c r="EUB5" s="87"/>
      <c r="EUC5" s="87"/>
      <c r="EUD5" s="87"/>
      <c r="EUE5" s="87"/>
      <c r="EUF5" s="87"/>
      <c r="EUG5" s="87"/>
      <c r="EUH5" s="87"/>
      <c r="EUI5" s="87"/>
      <c r="EUJ5" s="87"/>
      <c r="EUK5" s="87"/>
      <c r="EUL5" s="87"/>
      <c r="EUM5" s="87"/>
      <c r="EUN5" s="87"/>
      <c r="EUO5" s="87"/>
      <c r="EUP5" s="87"/>
      <c r="EUQ5" s="87"/>
      <c r="EUR5" s="87"/>
      <c r="EUS5" s="87"/>
      <c r="EUT5" s="87"/>
      <c r="EUU5" s="87"/>
      <c r="EUV5" s="87"/>
      <c r="EUW5" s="87"/>
      <c r="EUX5" s="87"/>
      <c r="EUY5" s="87"/>
      <c r="EUZ5" s="87"/>
      <c r="EVA5" s="87"/>
      <c r="EVB5" s="87"/>
      <c r="EVC5" s="87"/>
      <c r="EVD5" s="87"/>
      <c r="EVE5" s="87"/>
      <c r="EVF5" s="87"/>
      <c r="EVG5" s="87"/>
      <c r="EVH5" s="87"/>
      <c r="EVI5" s="87"/>
      <c r="EVJ5" s="87"/>
      <c r="EVK5" s="87"/>
      <c r="EVL5" s="87"/>
      <c r="EVM5" s="87"/>
      <c r="EVN5" s="87"/>
      <c r="EVO5" s="87"/>
      <c r="EVP5" s="87"/>
      <c r="EVQ5" s="87"/>
      <c r="EVR5" s="87"/>
      <c r="EVS5" s="87"/>
      <c r="EVT5" s="87"/>
      <c r="EVU5" s="87"/>
      <c r="EVV5" s="87"/>
      <c r="EVW5" s="87"/>
      <c r="EVX5" s="87"/>
      <c r="EVY5" s="87"/>
      <c r="EVZ5" s="87"/>
      <c r="EWA5" s="87"/>
      <c r="EWB5" s="87"/>
      <c r="EWC5" s="87"/>
      <c r="EWD5" s="87"/>
      <c r="EWE5" s="87"/>
      <c r="EWF5" s="87"/>
      <c r="EWG5" s="87"/>
      <c r="EWH5" s="87"/>
      <c r="EWI5" s="87"/>
      <c r="EWJ5" s="87"/>
      <c r="EWK5" s="87"/>
      <c r="EWL5" s="87"/>
      <c r="EWM5" s="87"/>
      <c r="EWN5" s="87"/>
      <c r="EWO5" s="87"/>
      <c r="EWP5" s="87"/>
      <c r="EWQ5" s="87"/>
      <c r="EWR5" s="87"/>
      <c r="EWS5" s="87"/>
      <c r="EWT5" s="87"/>
      <c r="EWU5" s="87"/>
      <c r="EWV5" s="87"/>
      <c r="EWW5" s="87"/>
      <c r="EWX5" s="87"/>
      <c r="EWY5" s="87"/>
      <c r="EWZ5" s="87"/>
      <c r="EXA5" s="87"/>
      <c r="EXB5" s="87"/>
      <c r="EXC5" s="87"/>
      <c r="EXD5" s="87"/>
      <c r="EXE5" s="87"/>
      <c r="EXF5" s="87"/>
      <c r="EXG5" s="87"/>
      <c r="EXH5" s="87"/>
      <c r="EXI5" s="87"/>
      <c r="EXJ5" s="87"/>
      <c r="EXK5" s="87"/>
      <c r="EXL5" s="87"/>
      <c r="EXM5" s="87"/>
      <c r="EXN5" s="87"/>
      <c r="EXO5" s="87"/>
      <c r="EXP5" s="87"/>
      <c r="EXQ5" s="87"/>
      <c r="EXR5" s="87"/>
      <c r="EXS5" s="87"/>
      <c r="EXT5" s="87"/>
      <c r="EXU5" s="87"/>
      <c r="EXV5" s="87"/>
      <c r="EXW5" s="87"/>
      <c r="EXX5" s="87"/>
      <c r="EXY5" s="87"/>
      <c r="EXZ5" s="87"/>
      <c r="EYA5" s="87"/>
      <c r="EYB5" s="87"/>
      <c r="EYC5" s="87"/>
      <c r="EYD5" s="87"/>
      <c r="EYE5" s="87"/>
      <c r="EYF5" s="87"/>
      <c r="EYG5" s="87"/>
      <c r="EYH5" s="87"/>
      <c r="EYI5" s="87"/>
      <c r="EYJ5" s="87"/>
      <c r="EYK5" s="87"/>
      <c r="EYL5" s="87"/>
      <c r="EYM5" s="87"/>
      <c r="EYN5" s="87"/>
      <c r="EYO5" s="87"/>
      <c r="EYP5" s="87"/>
      <c r="EYQ5" s="87"/>
      <c r="EYR5" s="87"/>
      <c r="EYS5" s="87"/>
      <c r="EYT5" s="87"/>
      <c r="EYU5" s="87"/>
      <c r="EYV5" s="87"/>
      <c r="EYW5" s="87"/>
      <c r="EYX5" s="87"/>
      <c r="EYY5" s="87"/>
      <c r="EYZ5" s="87"/>
      <c r="EZA5" s="87"/>
      <c r="EZB5" s="87"/>
      <c r="EZC5" s="87"/>
      <c r="EZD5" s="87"/>
      <c r="EZE5" s="87"/>
      <c r="EZF5" s="87"/>
      <c r="EZG5" s="87"/>
      <c r="EZH5" s="87"/>
      <c r="EZI5" s="87"/>
      <c r="EZJ5" s="87"/>
      <c r="EZK5" s="87"/>
      <c r="EZL5" s="87"/>
      <c r="EZM5" s="87"/>
      <c r="EZN5" s="87"/>
      <c r="EZO5" s="87"/>
      <c r="EZP5" s="87"/>
      <c r="EZQ5" s="87"/>
      <c r="EZR5" s="87"/>
      <c r="EZS5" s="87"/>
      <c r="EZT5" s="87"/>
      <c r="EZU5" s="87"/>
      <c r="EZV5" s="87"/>
      <c r="EZW5" s="87"/>
      <c r="EZX5" s="87"/>
      <c r="EZY5" s="87"/>
      <c r="EZZ5" s="87"/>
      <c r="FAA5" s="87"/>
      <c r="FAB5" s="87"/>
      <c r="FAC5" s="87"/>
      <c r="FAD5" s="87"/>
      <c r="FAE5" s="87"/>
      <c r="FAF5" s="87"/>
      <c r="FAG5" s="87"/>
      <c r="FAH5" s="87"/>
      <c r="FAI5" s="87"/>
      <c r="FAJ5" s="87"/>
      <c r="FAK5" s="87"/>
      <c r="FAL5" s="87"/>
      <c r="FAM5" s="87"/>
      <c r="FAN5" s="87"/>
      <c r="FAO5" s="87"/>
      <c r="FAP5" s="87"/>
      <c r="FAQ5" s="87"/>
      <c r="FAR5" s="87"/>
      <c r="FAS5" s="87"/>
      <c r="FAT5" s="87"/>
      <c r="FAU5" s="87"/>
      <c r="FAV5" s="87"/>
      <c r="FAW5" s="87"/>
      <c r="FAX5" s="87"/>
      <c r="FAY5" s="87"/>
      <c r="FAZ5" s="87"/>
      <c r="FBA5" s="87"/>
      <c r="FBB5" s="87"/>
      <c r="FBC5" s="87"/>
      <c r="FBD5" s="87"/>
      <c r="FBE5" s="87"/>
      <c r="FBF5" s="87"/>
      <c r="FBG5" s="87"/>
      <c r="FBH5" s="87"/>
      <c r="FBI5" s="87"/>
      <c r="FBJ5" s="87"/>
      <c r="FBK5" s="87"/>
      <c r="FBL5" s="87"/>
      <c r="FBM5" s="87"/>
      <c r="FBN5" s="87"/>
      <c r="FBO5" s="87"/>
      <c r="FBP5" s="87"/>
      <c r="FBQ5" s="87"/>
      <c r="FBR5" s="87"/>
      <c r="FBS5" s="87"/>
      <c r="FBT5" s="87"/>
      <c r="FBU5" s="87"/>
      <c r="FBV5" s="87"/>
      <c r="FBW5" s="87"/>
      <c r="FBX5" s="87"/>
      <c r="FBY5" s="87"/>
      <c r="FBZ5" s="87"/>
      <c r="FCA5" s="87"/>
      <c r="FCB5" s="87"/>
      <c r="FCC5" s="87"/>
      <c r="FCD5" s="87"/>
      <c r="FCE5" s="87"/>
      <c r="FCF5" s="87"/>
      <c r="FCG5" s="87"/>
      <c r="FCH5" s="87"/>
      <c r="FCI5" s="87"/>
      <c r="FCJ5" s="87"/>
      <c r="FCK5" s="87"/>
      <c r="FCL5" s="87"/>
      <c r="FCM5" s="87"/>
      <c r="FCN5" s="87"/>
      <c r="FCO5" s="87"/>
      <c r="FCP5" s="87"/>
      <c r="FCQ5" s="87"/>
      <c r="FCR5" s="87"/>
      <c r="FCS5" s="87"/>
      <c r="FCT5" s="87"/>
      <c r="FCU5" s="87"/>
      <c r="FCV5" s="87"/>
      <c r="FCW5" s="87"/>
      <c r="FCX5" s="87"/>
      <c r="FCY5" s="87"/>
      <c r="FCZ5" s="87"/>
      <c r="FDA5" s="87"/>
      <c r="FDB5" s="87"/>
      <c r="FDC5" s="87"/>
      <c r="FDD5" s="87"/>
      <c r="FDE5" s="87"/>
      <c r="FDF5" s="87"/>
      <c r="FDG5" s="87"/>
      <c r="FDH5" s="87"/>
      <c r="FDI5" s="87"/>
      <c r="FDJ5" s="87"/>
      <c r="FDK5" s="87"/>
      <c r="FDL5" s="87"/>
      <c r="FDM5" s="87"/>
      <c r="FDN5" s="87"/>
      <c r="FDO5" s="87"/>
      <c r="FDP5" s="87"/>
      <c r="FDQ5" s="87"/>
      <c r="FDR5" s="87"/>
      <c r="FDS5" s="87"/>
      <c r="FDT5" s="87"/>
      <c r="FDU5" s="87"/>
      <c r="FDV5" s="87"/>
      <c r="FDW5" s="87"/>
      <c r="FDX5" s="87"/>
      <c r="FDY5" s="87"/>
      <c r="FDZ5" s="87"/>
      <c r="FEA5" s="87"/>
      <c r="FEB5" s="87"/>
      <c r="FEC5" s="87"/>
      <c r="FED5" s="87"/>
      <c r="FEE5" s="87"/>
      <c r="FEF5" s="87"/>
      <c r="FEG5" s="87"/>
      <c r="FEH5" s="87"/>
      <c r="FEI5" s="87"/>
      <c r="FEJ5" s="87"/>
      <c r="FEK5" s="87"/>
      <c r="FEL5" s="87"/>
      <c r="FEM5" s="87"/>
      <c r="FEN5" s="87"/>
      <c r="FEO5" s="87"/>
      <c r="FEP5" s="87"/>
      <c r="FEQ5" s="87"/>
      <c r="FER5" s="87"/>
      <c r="FES5" s="87"/>
      <c r="FET5" s="87"/>
      <c r="FEU5" s="87"/>
      <c r="FEV5" s="87"/>
      <c r="FEW5" s="87"/>
      <c r="FEX5" s="87"/>
      <c r="FEY5" s="87"/>
      <c r="FEZ5" s="87"/>
      <c r="FFA5" s="87"/>
      <c r="FFB5" s="87"/>
      <c r="FFC5" s="87"/>
      <c r="FFD5" s="87"/>
      <c r="FFE5" s="87"/>
      <c r="FFF5" s="87"/>
      <c r="FFG5" s="87"/>
      <c r="FFH5" s="87"/>
      <c r="FFI5" s="87"/>
      <c r="FFJ5" s="87"/>
      <c r="FFK5" s="87"/>
      <c r="FFL5" s="87"/>
      <c r="FFM5" s="87"/>
      <c r="FFN5" s="87"/>
      <c r="FFO5" s="87"/>
      <c r="FFP5" s="87"/>
      <c r="FFQ5" s="87"/>
      <c r="FFR5" s="87"/>
      <c r="FFS5" s="87"/>
      <c r="FFT5" s="87"/>
      <c r="FFU5" s="87"/>
      <c r="FFV5" s="87"/>
      <c r="FFW5" s="87"/>
      <c r="FFX5" s="87"/>
      <c r="FFY5" s="87"/>
      <c r="FFZ5" s="87"/>
      <c r="FGA5" s="87"/>
      <c r="FGB5" s="87"/>
      <c r="FGC5" s="87"/>
      <c r="FGD5" s="87"/>
      <c r="FGE5" s="87"/>
      <c r="FGF5" s="87"/>
      <c r="FGG5" s="87"/>
      <c r="FGH5" s="87"/>
      <c r="FGI5" s="87"/>
      <c r="FGJ5" s="87"/>
      <c r="FGK5" s="87"/>
      <c r="FGL5" s="87"/>
      <c r="FGM5" s="87"/>
      <c r="FGN5" s="87"/>
      <c r="FGO5" s="87"/>
      <c r="FGP5" s="87"/>
      <c r="FGQ5" s="87"/>
      <c r="FGR5" s="87"/>
      <c r="FGS5" s="87"/>
      <c r="FGT5" s="87"/>
      <c r="FGU5" s="87"/>
      <c r="FGV5" s="87"/>
      <c r="FGW5" s="87"/>
      <c r="FGX5" s="87"/>
      <c r="FGY5" s="87"/>
      <c r="FGZ5" s="87"/>
      <c r="FHA5" s="87"/>
      <c r="FHB5" s="87"/>
      <c r="FHC5" s="87"/>
      <c r="FHD5" s="87"/>
      <c r="FHE5" s="87"/>
      <c r="FHF5" s="87"/>
      <c r="FHG5" s="87"/>
      <c r="FHH5" s="87"/>
      <c r="FHI5" s="87"/>
      <c r="FHJ5" s="87"/>
      <c r="FHK5" s="87"/>
      <c r="FHL5" s="87"/>
      <c r="FHM5" s="87"/>
      <c r="FHN5" s="87"/>
      <c r="FHO5" s="87"/>
      <c r="FHP5" s="87"/>
      <c r="FHQ5" s="87"/>
      <c r="FHR5" s="87"/>
      <c r="FHS5" s="87"/>
      <c r="FHT5" s="87"/>
      <c r="FHU5" s="87"/>
      <c r="FHV5" s="87"/>
      <c r="FHW5" s="87"/>
      <c r="FHX5" s="87"/>
      <c r="FHY5" s="87"/>
      <c r="FHZ5" s="87"/>
      <c r="FIA5" s="87"/>
      <c r="FIB5" s="87"/>
      <c r="FIC5" s="87"/>
      <c r="FID5" s="87"/>
      <c r="FIE5" s="87"/>
      <c r="FIF5" s="87"/>
      <c r="FIG5" s="87"/>
      <c r="FIH5" s="87"/>
      <c r="FII5" s="87"/>
      <c r="FIJ5" s="87"/>
      <c r="FIK5" s="87"/>
      <c r="FIL5" s="87"/>
      <c r="FIM5" s="87"/>
      <c r="FIN5" s="87"/>
      <c r="FIO5" s="87"/>
      <c r="FIP5" s="87"/>
      <c r="FIQ5" s="87"/>
      <c r="FIR5" s="87"/>
      <c r="FIS5" s="87"/>
      <c r="FIT5" s="87"/>
      <c r="FIU5" s="87"/>
      <c r="FIV5" s="87"/>
      <c r="FIW5" s="87"/>
      <c r="FIX5" s="87"/>
      <c r="FIY5" s="87"/>
      <c r="FIZ5" s="87"/>
      <c r="FJA5" s="87"/>
      <c r="FJB5" s="87"/>
      <c r="FJC5" s="87"/>
      <c r="FJD5" s="87"/>
      <c r="FJE5" s="87"/>
      <c r="FJF5" s="87"/>
      <c r="FJG5" s="87"/>
      <c r="FJH5" s="87"/>
      <c r="FJI5" s="87"/>
      <c r="FJJ5" s="87"/>
      <c r="FJK5" s="87"/>
      <c r="FJL5" s="87"/>
      <c r="FJM5" s="87"/>
      <c r="FJN5" s="87"/>
      <c r="FJO5" s="87"/>
      <c r="FJP5" s="87"/>
      <c r="FJQ5" s="87"/>
      <c r="FJR5" s="87"/>
      <c r="FJS5" s="87"/>
      <c r="FJT5" s="87"/>
      <c r="FJU5" s="87"/>
      <c r="FJV5" s="87"/>
      <c r="FJW5" s="87"/>
      <c r="FJX5" s="87"/>
      <c r="FJY5" s="87"/>
      <c r="FJZ5" s="87"/>
      <c r="FKA5" s="87"/>
      <c r="FKB5" s="87"/>
      <c r="FKC5" s="87"/>
      <c r="FKD5" s="87"/>
      <c r="FKE5" s="87"/>
      <c r="FKF5" s="87"/>
      <c r="FKG5" s="87"/>
      <c r="FKH5" s="87"/>
      <c r="FKI5" s="87"/>
      <c r="FKJ5" s="87"/>
      <c r="FKK5" s="87"/>
      <c r="FKL5" s="87"/>
      <c r="FKM5" s="87"/>
      <c r="FKN5" s="87"/>
      <c r="FKO5" s="87"/>
      <c r="FKP5" s="87"/>
      <c r="FKQ5" s="87"/>
      <c r="FKR5" s="87"/>
      <c r="FKS5" s="87"/>
      <c r="FKT5" s="87"/>
      <c r="FKU5" s="87"/>
      <c r="FKV5" s="87"/>
      <c r="FKW5" s="87"/>
      <c r="FKX5" s="87"/>
      <c r="FKY5" s="87"/>
      <c r="FKZ5" s="87"/>
      <c r="FLA5" s="87"/>
      <c r="FLB5" s="87"/>
      <c r="FLC5" s="87"/>
      <c r="FLD5" s="87"/>
      <c r="FLE5" s="87"/>
      <c r="FLF5" s="87"/>
      <c r="FLG5" s="87"/>
      <c r="FLH5" s="87"/>
      <c r="FLI5" s="87"/>
      <c r="FLJ5" s="87"/>
      <c r="FLK5" s="87"/>
      <c r="FLL5" s="87"/>
      <c r="FLM5" s="87"/>
      <c r="FLN5" s="87"/>
      <c r="FLO5" s="87"/>
      <c r="FLP5" s="87"/>
      <c r="FLQ5" s="87"/>
      <c r="FLR5" s="87"/>
      <c r="FLS5" s="87"/>
      <c r="FLT5" s="87"/>
      <c r="FLU5" s="87"/>
      <c r="FLV5" s="87"/>
      <c r="FLW5" s="87"/>
      <c r="FLX5" s="87"/>
      <c r="FLY5" s="87"/>
      <c r="FLZ5" s="87"/>
      <c r="FMA5" s="87"/>
      <c r="FMB5" s="87"/>
      <c r="FMC5" s="87"/>
      <c r="FMD5" s="87"/>
      <c r="FME5" s="87"/>
      <c r="FMF5" s="87"/>
      <c r="FMG5" s="87"/>
      <c r="FMH5" s="87"/>
      <c r="FMI5" s="87"/>
      <c r="FMJ5" s="87"/>
      <c r="FMK5" s="87"/>
      <c r="FML5" s="87"/>
      <c r="FMM5" s="87"/>
      <c r="FMN5" s="87"/>
      <c r="FMO5" s="87"/>
      <c r="FMP5" s="87"/>
      <c r="FMQ5" s="87"/>
      <c r="FMR5" s="87"/>
      <c r="FMS5" s="87"/>
      <c r="FMT5" s="87"/>
      <c r="FMU5" s="87"/>
      <c r="FMV5" s="87"/>
      <c r="FMW5" s="87"/>
      <c r="FMX5" s="87"/>
      <c r="FMY5" s="87"/>
      <c r="FMZ5" s="87"/>
      <c r="FNA5" s="87"/>
      <c r="FNB5" s="87"/>
      <c r="FNC5" s="87"/>
      <c r="FND5" s="87"/>
      <c r="FNE5" s="87"/>
      <c r="FNF5" s="87"/>
      <c r="FNG5" s="87"/>
      <c r="FNH5" s="87"/>
      <c r="FNI5" s="87"/>
      <c r="FNJ5" s="87"/>
      <c r="FNK5" s="87"/>
      <c r="FNL5" s="87"/>
      <c r="FNM5" s="87"/>
      <c r="FNN5" s="87"/>
      <c r="FNO5" s="87"/>
      <c r="FNP5" s="87"/>
      <c r="FNQ5" s="87"/>
      <c r="FNR5" s="87"/>
      <c r="FNS5" s="87"/>
      <c r="FNT5" s="87"/>
      <c r="FNU5" s="87"/>
      <c r="FNV5" s="87"/>
      <c r="FNW5" s="87"/>
      <c r="FNX5" s="87"/>
      <c r="FNY5" s="87"/>
      <c r="FNZ5" s="87"/>
      <c r="FOA5" s="87"/>
      <c r="FOB5" s="87"/>
      <c r="FOC5" s="87"/>
      <c r="FOD5" s="87"/>
      <c r="FOE5" s="87"/>
      <c r="FOF5" s="87"/>
      <c r="FOG5" s="87"/>
      <c r="FOH5" s="87"/>
      <c r="FOI5" s="87"/>
      <c r="FOJ5" s="87"/>
      <c r="FOK5" s="87"/>
      <c r="FOL5" s="87"/>
      <c r="FOM5" s="87"/>
      <c r="FON5" s="87"/>
      <c r="FOO5" s="87"/>
      <c r="FOP5" s="87"/>
      <c r="FOQ5" s="87"/>
      <c r="FOR5" s="87"/>
      <c r="FOS5" s="87"/>
      <c r="FOT5" s="87"/>
      <c r="FOU5" s="87"/>
      <c r="FOV5" s="87"/>
      <c r="FOW5" s="87"/>
      <c r="FOX5" s="87"/>
      <c r="FOY5" s="87"/>
      <c r="FOZ5" s="87"/>
      <c r="FPA5" s="87"/>
      <c r="FPB5" s="87"/>
      <c r="FPC5" s="87"/>
      <c r="FPD5" s="87"/>
      <c r="FPE5" s="87"/>
      <c r="FPF5" s="87"/>
      <c r="FPG5" s="87"/>
      <c r="FPH5" s="87"/>
      <c r="FPI5" s="87"/>
      <c r="FPJ5" s="87"/>
      <c r="FPK5" s="87"/>
      <c r="FPL5" s="87"/>
      <c r="FPM5" s="87"/>
      <c r="FPN5" s="87"/>
      <c r="FPO5" s="87"/>
      <c r="FPP5" s="87"/>
      <c r="FPQ5" s="87"/>
      <c r="FPR5" s="87"/>
      <c r="FPS5" s="87"/>
      <c r="FPT5" s="87"/>
      <c r="FPU5" s="87"/>
      <c r="FPV5" s="87"/>
      <c r="FPW5" s="87"/>
      <c r="FPX5" s="87"/>
      <c r="FPY5" s="87"/>
      <c r="FPZ5" s="87"/>
      <c r="FQA5" s="87"/>
      <c r="FQB5" s="87"/>
      <c r="FQC5" s="87"/>
      <c r="FQD5" s="87"/>
      <c r="FQE5" s="87"/>
      <c r="FQF5" s="87"/>
      <c r="FQG5" s="87"/>
      <c r="FQH5" s="87"/>
      <c r="FQI5" s="87"/>
      <c r="FQJ5" s="87"/>
      <c r="FQK5" s="87"/>
      <c r="FQL5" s="87"/>
      <c r="FQM5" s="87"/>
      <c r="FQN5" s="87"/>
      <c r="FQO5" s="87"/>
      <c r="FQP5" s="87"/>
      <c r="FQQ5" s="87"/>
      <c r="FQR5" s="87"/>
      <c r="FQS5" s="87"/>
      <c r="FQT5" s="87"/>
      <c r="FQU5" s="87"/>
      <c r="FQV5" s="87"/>
      <c r="FQW5" s="87"/>
      <c r="FQX5" s="87"/>
      <c r="FQY5" s="87"/>
      <c r="FQZ5" s="87"/>
      <c r="FRA5" s="87"/>
      <c r="FRB5" s="87"/>
      <c r="FRC5" s="87"/>
      <c r="FRD5" s="87"/>
      <c r="FRE5" s="87"/>
      <c r="FRF5" s="87"/>
      <c r="FRG5" s="87"/>
      <c r="FRH5" s="87"/>
      <c r="FRI5" s="87"/>
      <c r="FRJ5" s="87"/>
      <c r="FRK5" s="87"/>
      <c r="FRL5" s="87"/>
      <c r="FRM5" s="87"/>
      <c r="FRN5" s="87"/>
      <c r="FRO5" s="87"/>
      <c r="FRP5" s="87"/>
      <c r="FRQ5" s="87"/>
      <c r="FRR5" s="87"/>
      <c r="FRS5" s="87"/>
      <c r="FRT5" s="87"/>
      <c r="FRU5" s="87"/>
      <c r="FRV5" s="87"/>
      <c r="FRW5" s="87"/>
      <c r="FRX5" s="87"/>
      <c r="FRY5" s="87"/>
      <c r="FRZ5" s="87"/>
      <c r="FSA5" s="87"/>
      <c r="FSB5" s="87"/>
      <c r="FSC5" s="87"/>
      <c r="FSD5" s="87"/>
      <c r="FSE5" s="87"/>
      <c r="FSF5" s="87"/>
      <c r="FSG5" s="87"/>
      <c r="FSH5" s="87"/>
      <c r="FSI5" s="87"/>
      <c r="FSJ5" s="87"/>
      <c r="FSK5" s="87"/>
      <c r="FSL5" s="87"/>
      <c r="FSM5" s="87"/>
      <c r="FSN5" s="87"/>
      <c r="FSO5" s="87"/>
      <c r="FSP5" s="87"/>
      <c r="FSQ5" s="87"/>
      <c r="FSR5" s="87"/>
      <c r="FSS5" s="87"/>
      <c r="FST5" s="87"/>
      <c r="FSU5" s="87"/>
      <c r="FSV5" s="87"/>
      <c r="FSW5" s="87"/>
      <c r="FSX5" s="87"/>
      <c r="FSY5" s="87"/>
      <c r="FSZ5" s="87"/>
      <c r="FTA5" s="87"/>
      <c r="FTB5" s="87"/>
      <c r="FTC5" s="87"/>
      <c r="FTD5" s="87"/>
      <c r="FTE5" s="87"/>
      <c r="FTF5" s="87"/>
      <c r="FTG5" s="87"/>
      <c r="FTH5" s="87"/>
      <c r="FTI5" s="87"/>
      <c r="FTJ5" s="87"/>
      <c r="FTK5" s="87"/>
      <c r="FTL5" s="87"/>
      <c r="FTM5" s="87"/>
      <c r="FTN5" s="87"/>
      <c r="FTO5" s="87"/>
      <c r="FTP5" s="87"/>
      <c r="FTQ5" s="87"/>
      <c r="FTR5" s="87"/>
      <c r="FTS5" s="87"/>
      <c r="FTT5" s="87"/>
      <c r="FTU5" s="87"/>
      <c r="FTV5" s="87"/>
      <c r="FTW5" s="87"/>
      <c r="FTX5" s="87"/>
      <c r="FTY5" s="87"/>
      <c r="FTZ5" s="87"/>
      <c r="FUA5" s="87"/>
      <c r="FUB5" s="87"/>
      <c r="FUC5" s="87"/>
      <c r="FUD5" s="87"/>
      <c r="FUE5" s="87"/>
      <c r="FUF5" s="87"/>
      <c r="FUG5" s="87"/>
      <c r="FUH5" s="87"/>
      <c r="FUI5" s="87"/>
      <c r="FUJ5" s="87"/>
      <c r="FUK5" s="87"/>
      <c r="FUL5" s="87"/>
      <c r="FUM5" s="87"/>
      <c r="FUN5" s="87"/>
      <c r="FUO5" s="87"/>
      <c r="FUP5" s="87"/>
      <c r="FUQ5" s="87"/>
      <c r="FUR5" s="87"/>
      <c r="FUS5" s="87"/>
      <c r="FUT5" s="87"/>
      <c r="FUU5" s="87"/>
      <c r="FUV5" s="87"/>
      <c r="FUW5" s="87"/>
      <c r="FUX5" s="87"/>
      <c r="FUY5" s="87"/>
      <c r="FUZ5" s="87"/>
      <c r="FVA5" s="87"/>
      <c r="FVB5" s="87"/>
      <c r="FVC5" s="87"/>
      <c r="FVD5" s="87"/>
      <c r="FVE5" s="87"/>
      <c r="FVF5" s="87"/>
      <c r="FVG5" s="87"/>
      <c r="FVH5" s="87"/>
      <c r="FVI5" s="87"/>
      <c r="FVJ5" s="87"/>
      <c r="FVK5" s="87"/>
      <c r="FVL5" s="87"/>
      <c r="FVM5" s="87"/>
      <c r="FVN5" s="87"/>
      <c r="FVO5" s="87"/>
      <c r="FVP5" s="87"/>
      <c r="FVQ5" s="87"/>
      <c r="FVR5" s="87"/>
      <c r="FVS5" s="87"/>
      <c r="FVT5" s="87"/>
      <c r="FVU5" s="87"/>
      <c r="FVV5" s="87"/>
      <c r="FVW5" s="87"/>
      <c r="FVX5" s="87"/>
      <c r="FVY5" s="87"/>
      <c r="FVZ5" s="87"/>
      <c r="FWA5" s="87"/>
      <c r="FWB5" s="87"/>
      <c r="FWC5" s="87"/>
      <c r="FWD5" s="87"/>
      <c r="FWE5" s="87"/>
      <c r="FWF5" s="87"/>
      <c r="FWG5" s="87"/>
      <c r="FWH5" s="87"/>
      <c r="FWI5" s="87"/>
      <c r="FWJ5" s="87"/>
      <c r="FWK5" s="87"/>
      <c r="FWL5" s="87"/>
      <c r="FWM5" s="87"/>
      <c r="FWN5" s="87"/>
      <c r="FWO5" s="87"/>
      <c r="FWP5" s="87"/>
      <c r="FWQ5" s="87"/>
      <c r="FWR5" s="87"/>
      <c r="FWS5" s="87"/>
      <c r="FWT5" s="87"/>
      <c r="FWU5" s="87"/>
      <c r="FWV5" s="87"/>
      <c r="FWW5" s="87"/>
      <c r="FWX5" s="87"/>
      <c r="FWY5" s="87"/>
      <c r="FWZ5" s="87"/>
      <c r="FXA5" s="87"/>
      <c r="FXB5" s="87"/>
      <c r="FXC5" s="87"/>
      <c r="FXD5" s="87"/>
      <c r="FXE5" s="87"/>
      <c r="FXF5" s="87"/>
      <c r="FXG5" s="87"/>
      <c r="FXH5" s="87"/>
      <c r="FXI5" s="87"/>
      <c r="FXJ5" s="87"/>
      <c r="FXK5" s="87"/>
      <c r="FXL5" s="87"/>
      <c r="FXM5" s="87"/>
      <c r="FXN5" s="87"/>
      <c r="FXO5" s="87"/>
      <c r="FXP5" s="87"/>
      <c r="FXQ5" s="87"/>
      <c r="FXR5" s="87"/>
      <c r="FXS5" s="87"/>
      <c r="FXT5" s="87"/>
      <c r="FXU5" s="87"/>
      <c r="FXV5" s="87"/>
      <c r="FXW5" s="87"/>
      <c r="FXX5" s="87"/>
      <c r="FXY5" s="87"/>
      <c r="FXZ5" s="87"/>
      <c r="FYA5" s="87"/>
      <c r="FYB5" s="87"/>
      <c r="FYC5" s="87"/>
      <c r="FYD5" s="87"/>
      <c r="FYE5" s="87"/>
      <c r="FYF5" s="87"/>
      <c r="FYG5" s="87"/>
      <c r="FYH5" s="87"/>
      <c r="FYI5" s="87"/>
      <c r="FYJ5" s="87"/>
      <c r="FYK5" s="87"/>
      <c r="FYL5" s="87"/>
      <c r="FYM5" s="87"/>
      <c r="FYN5" s="87"/>
      <c r="FYO5" s="87"/>
      <c r="FYP5" s="87"/>
      <c r="FYQ5" s="87"/>
      <c r="FYR5" s="87"/>
      <c r="FYS5" s="87"/>
      <c r="FYT5" s="87"/>
      <c r="FYU5" s="87"/>
      <c r="FYV5" s="87"/>
      <c r="FYW5" s="87"/>
      <c r="FYX5" s="87"/>
      <c r="FYY5" s="87"/>
      <c r="FYZ5" s="87"/>
      <c r="FZA5" s="87"/>
      <c r="FZB5" s="87"/>
      <c r="FZC5" s="87"/>
      <c r="FZD5" s="87"/>
      <c r="FZE5" s="87"/>
      <c r="FZF5" s="87"/>
      <c r="FZG5" s="87"/>
      <c r="FZH5" s="87"/>
      <c r="FZI5" s="87"/>
      <c r="FZJ5" s="87"/>
      <c r="FZK5" s="87"/>
      <c r="FZL5" s="87"/>
      <c r="FZM5" s="87"/>
      <c r="FZN5" s="87"/>
      <c r="FZO5" s="87"/>
      <c r="FZP5" s="87"/>
      <c r="FZQ5" s="87"/>
      <c r="FZR5" s="87"/>
      <c r="FZS5" s="87"/>
      <c r="FZT5" s="87"/>
      <c r="FZU5" s="87"/>
      <c r="FZV5" s="87"/>
      <c r="FZW5" s="87"/>
      <c r="FZX5" s="87"/>
      <c r="FZY5" s="87"/>
      <c r="FZZ5" s="87"/>
      <c r="GAA5" s="87"/>
      <c r="GAB5" s="87"/>
      <c r="GAC5" s="87"/>
      <c r="GAD5" s="87"/>
      <c r="GAE5" s="87"/>
      <c r="GAF5" s="87"/>
      <c r="GAG5" s="87"/>
      <c r="GAH5" s="87"/>
      <c r="GAI5" s="87"/>
      <c r="GAJ5" s="87"/>
      <c r="GAK5" s="87"/>
      <c r="GAL5" s="87"/>
      <c r="GAM5" s="87"/>
      <c r="GAN5" s="87"/>
      <c r="GAO5" s="87"/>
      <c r="GAP5" s="87"/>
      <c r="GAQ5" s="87"/>
      <c r="GAR5" s="87"/>
      <c r="GAS5" s="87"/>
      <c r="GAT5" s="87"/>
      <c r="GAU5" s="87"/>
      <c r="GAV5" s="87"/>
      <c r="GAW5" s="87"/>
      <c r="GAX5" s="87"/>
      <c r="GAY5" s="87"/>
      <c r="GAZ5" s="87"/>
      <c r="GBA5" s="87"/>
      <c r="GBB5" s="87"/>
      <c r="GBC5" s="87"/>
      <c r="GBD5" s="87"/>
      <c r="GBE5" s="87"/>
      <c r="GBF5" s="87"/>
      <c r="GBG5" s="87"/>
      <c r="GBH5" s="87"/>
      <c r="GBI5" s="87"/>
      <c r="GBJ5" s="87"/>
      <c r="GBK5" s="87"/>
      <c r="GBL5" s="87"/>
      <c r="GBM5" s="87"/>
      <c r="GBN5" s="87"/>
      <c r="GBO5" s="87"/>
      <c r="GBP5" s="87"/>
      <c r="GBQ5" s="87"/>
      <c r="GBR5" s="87"/>
      <c r="GBS5" s="87"/>
      <c r="GBT5" s="87"/>
      <c r="GBU5" s="87"/>
      <c r="GBV5" s="87"/>
      <c r="GBW5" s="87"/>
      <c r="GBX5" s="87"/>
      <c r="GBY5" s="87"/>
      <c r="GBZ5" s="87"/>
      <c r="GCA5" s="87"/>
      <c r="GCB5" s="87"/>
      <c r="GCC5" s="87"/>
      <c r="GCD5" s="87"/>
      <c r="GCE5" s="87"/>
      <c r="GCF5" s="87"/>
      <c r="GCG5" s="87"/>
      <c r="GCH5" s="87"/>
      <c r="GCI5" s="87"/>
      <c r="GCJ5" s="87"/>
      <c r="GCK5" s="87"/>
      <c r="GCL5" s="87"/>
      <c r="GCM5" s="87"/>
      <c r="GCN5" s="87"/>
      <c r="GCO5" s="87"/>
      <c r="GCP5" s="87"/>
      <c r="GCQ5" s="87"/>
      <c r="GCR5" s="87"/>
      <c r="GCS5" s="87"/>
      <c r="GCT5" s="87"/>
      <c r="GCU5" s="87"/>
      <c r="GCV5" s="87"/>
      <c r="GCW5" s="87"/>
      <c r="GCX5" s="87"/>
      <c r="GCY5" s="87"/>
      <c r="GCZ5" s="87"/>
      <c r="GDA5" s="87"/>
      <c r="GDB5" s="87"/>
      <c r="GDC5" s="87"/>
      <c r="GDD5" s="87"/>
      <c r="GDE5" s="87"/>
      <c r="GDF5" s="87"/>
      <c r="GDG5" s="87"/>
      <c r="GDH5" s="87"/>
      <c r="GDI5" s="87"/>
      <c r="GDJ5" s="87"/>
      <c r="GDK5" s="87"/>
      <c r="GDL5" s="87"/>
      <c r="GDM5" s="87"/>
      <c r="GDN5" s="87"/>
      <c r="GDO5" s="87"/>
      <c r="GDP5" s="87"/>
      <c r="GDQ5" s="87"/>
      <c r="GDR5" s="87"/>
      <c r="GDS5" s="87"/>
      <c r="GDT5" s="87"/>
      <c r="GDU5" s="87"/>
      <c r="GDV5" s="87"/>
      <c r="GDW5" s="87"/>
      <c r="GDX5" s="87"/>
      <c r="GDY5" s="87"/>
      <c r="GDZ5" s="87"/>
      <c r="GEA5" s="87"/>
      <c r="GEB5" s="87"/>
      <c r="GEC5" s="87"/>
      <c r="GED5" s="87"/>
      <c r="GEE5" s="87"/>
      <c r="GEF5" s="87"/>
      <c r="GEG5" s="87"/>
      <c r="GEH5" s="87"/>
      <c r="GEI5" s="87"/>
      <c r="GEJ5" s="87"/>
      <c r="GEK5" s="87"/>
      <c r="GEL5" s="87"/>
      <c r="GEM5" s="87"/>
      <c r="GEN5" s="87"/>
      <c r="GEO5" s="87"/>
      <c r="GEP5" s="87"/>
      <c r="GEQ5" s="87"/>
      <c r="GER5" s="87"/>
      <c r="GES5" s="87"/>
      <c r="GET5" s="87"/>
      <c r="GEU5" s="87"/>
      <c r="GEV5" s="87"/>
      <c r="GEW5" s="87"/>
      <c r="GEX5" s="87"/>
      <c r="GEY5" s="87"/>
      <c r="GEZ5" s="87"/>
      <c r="GFA5" s="87"/>
      <c r="GFB5" s="87"/>
      <c r="GFC5" s="87"/>
      <c r="GFD5" s="87"/>
      <c r="GFE5" s="87"/>
      <c r="GFF5" s="87"/>
      <c r="GFG5" s="87"/>
      <c r="GFH5" s="87"/>
      <c r="GFI5" s="87"/>
      <c r="GFJ5" s="87"/>
      <c r="GFK5" s="87"/>
      <c r="GFL5" s="87"/>
      <c r="GFM5" s="87"/>
      <c r="GFN5" s="87"/>
      <c r="GFO5" s="87"/>
      <c r="GFP5" s="87"/>
      <c r="GFQ5" s="87"/>
      <c r="GFR5" s="87"/>
      <c r="GFS5" s="87"/>
      <c r="GFT5" s="87"/>
      <c r="GFU5" s="87"/>
      <c r="GFV5" s="87"/>
      <c r="GFW5" s="87"/>
      <c r="GFX5" s="87"/>
      <c r="GFY5" s="87"/>
      <c r="GFZ5" s="87"/>
      <c r="GGA5" s="87"/>
      <c r="GGB5" s="87"/>
      <c r="GGC5" s="87"/>
      <c r="GGD5" s="87"/>
      <c r="GGE5" s="87"/>
      <c r="GGF5" s="87"/>
      <c r="GGG5" s="87"/>
      <c r="GGH5" s="87"/>
      <c r="GGI5" s="87"/>
      <c r="GGJ5" s="87"/>
      <c r="GGK5" s="87"/>
      <c r="GGL5" s="87"/>
      <c r="GGM5" s="87"/>
      <c r="GGN5" s="87"/>
      <c r="GGO5" s="87"/>
      <c r="GGP5" s="87"/>
      <c r="GGQ5" s="87"/>
      <c r="GGR5" s="87"/>
      <c r="GGS5" s="87"/>
      <c r="GGT5" s="87"/>
      <c r="GGU5" s="87"/>
      <c r="GGV5" s="87"/>
      <c r="GGW5" s="87"/>
      <c r="GGX5" s="87"/>
      <c r="GGY5" s="87"/>
      <c r="GGZ5" s="87"/>
      <c r="GHA5" s="87"/>
      <c r="GHB5" s="87"/>
      <c r="GHC5" s="87"/>
      <c r="GHD5" s="87"/>
      <c r="GHE5" s="87"/>
      <c r="GHF5" s="87"/>
      <c r="GHG5" s="87"/>
      <c r="GHH5" s="87"/>
      <c r="GHI5" s="87"/>
      <c r="GHJ5" s="87"/>
      <c r="GHK5" s="87"/>
      <c r="GHL5" s="87"/>
      <c r="GHM5" s="87"/>
      <c r="GHN5" s="87"/>
      <c r="GHO5" s="87"/>
      <c r="GHP5" s="87"/>
      <c r="GHQ5" s="87"/>
      <c r="GHR5" s="87"/>
      <c r="GHS5" s="87"/>
      <c r="GHT5" s="87"/>
      <c r="GHU5" s="87"/>
      <c r="GHV5" s="87"/>
      <c r="GHW5" s="87"/>
      <c r="GHX5" s="87"/>
      <c r="GHY5" s="87"/>
      <c r="GHZ5" s="87"/>
      <c r="GIA5" s="87"/>
      <c r="GIB5" s="87"/>
      <c r="GIC5" s="87"/>
      <c r="GID5" s="87"/>
      <c r="GIE5" s="87"/>
      <c r="GIF5" s="87"/>
      <c r="GIG5" s="87"/>
      <c r="GIH5" s="87"/>
      <c r="GII5" s="87"/>
      <c r="GIJ5" s="87"/>
      <c r="GIK5" s="87"/>
      <c r="GIL5" s="87"/>
      <c r="GIM5" s="87"/>
      <c r="GIN5" s="87"/>
      <c r="GIO5" s="87"/>
      <c r="GIP5" s="87"/>
      <c r="GIQ5" s="87"/>
      <c r="GIR5" s="87"/>
      <c r="GIS5" s="87"/>
      <c r="GIT5" s="87"/>
      <c r="GIU5" s="87"/>
      <c r="GIV5" s="87"/>
      <c r="GIW5" s="87"/>
      <c r="GIX5" s="87"/>
      <c r="GIY5" s="87"/>
      <c r="GIZ5" s="87"/>
      <c r="GJA5" s="87"/>
      <c r="GJB5" s="87"/>
      <c r="GJC5" s="87"/>
      <c r="GJD5" s="87"/>
      <c r="GJE5" s="87"/>
      <c r="GJF5" s="87"/>
      <c r="GJG5" s="87"/>
      <c r="GJH5" s="87"/>
      <c r="GJI5" s="87"/>
      <c r="GJJ5" s="87"/>
      <c r="GJK5" s="87"/>
      <c r="GJL5" s="87"/>
      <c r="GJM5" s="87"/>
      <c r="GJN5" s="87"/>
      <c r="GJO5" s="87"/>
      <c r="GJP5" s="87"/>
      <c r="GJQ5" s="87"/>
      <c r="GJR5" s="87"/>
      <c r="GJS5" s="87"/>
      <c r="GJT5" s="87"/>
      <c r="GJU5" s="87"/>
      <c r="GJV5" s="87"/>
      <c r="GJW5" s="87"/>
      <c r="GJX5" s="87"/>
      <c r="GJY5" s="87"/>
      <c r="GJZ5" s="87"/>
      <c r="GKA5" s="87"/>
      <c r="GKB5" s="87"/>
      <c r="GKC5" s="87"/>
      <c r="GKD5" s="87"/>
      <c r="GKE5" s="87"/>
      <c r="GKF5" s="87"/>
      <c r="GKG5" s="87"/>
      <c r="GKH5" s="87"/>
      <c r="GKI5" s="87"/>
      <c r="GKJ5" s="87"/>
      <c r="GKK5" s="87"/>
      <c r="GKL5" s="87"/>
      <c r="GKM5" s="87"/>
      <c r="GKN5" s="87"/>
      <c r="GKO5" s="87"/>
      <c r="GKP5" s="87"/>
      <c r="GKQ5" s="87"/>
      <c r="GKR5" s="87"/>
      <c r="GKS5" s="87"/>
      <c r="GKT5" s="87"/>
      <c r="GKU5" s="87"/>
      <c r="GKV5" s="87"/>
      <c r="GKW5" s="87"/>
      <c r="GKX5" s="87"/>
      <c r="GKY5" s="87"/>
      <c r="GKZ5" s="87"/>
      <c r="GLA5" s="87"/>
      <c r="GLB5" s="87"/>
      <c r="GLC5" s="87"/>
      <c r="GLD5" s="87"/>
      <c r="GLE5" s="87"/>
      <c r="GLF5" s="87"/>
      <c r="GLG5" s="87"/>
      <c r="GLH5" s="87"/>
      <c r="GLI5" s="87"/>
      <c r="GLJ5" s="87"/>
      <c r="GLK5" s="87"/>
      <c r="GLL5" s="87"/>
      <c r="GLM5" s="87"/>
      <c r="GLN5" s="87"/>
      <c r="GLO5" s="87"/>
      <c r="GLP5" s="87"/>
      <c r="GLQ5" s="87"/>
      <c r="GLR5" s="87"/>
      <c r="GLS5" s="87"/>
      <c r="GLT5" s="87"/>
      <c r="GLU5" s="87"/>
      <c r="GLV5" s="87"/>
      <c r="GLW5" s="87"/>
      <c r="GLX5" s="87"/>
      <c r="GLY5" s="87"/>
      <c r="GLZ5" s="87"/>
      <c r="GMA5" s="87"/>
      <c r="GMB5" s="87"/>
      <c r="GMC5" s="87"/>
      <c r="GMD5" s="87"/>
      <c r="GME5" s="87"/>
      <c r="GMF5" s="87"/>
      <c r="GMG5" s="87"/>
      <c r="GMH5" s="87"/>
      <c r="GMI5" s="87"/>
      <c r="GMJ5" s="87"/>
      <c r="GMK5" s="87"/>
      <c r="GML5" s="87"/>
      <c r="GMM5" s="87"/>
      <c r="GMN5" s="87"/>
      <c r="GMO5" s="87"/>
      <c r="GMP5" s="87"/>
      <c r="GMQ5" s="87"/>
      <c r="GMR5" s="87"/>
      <c r="GMS5" s="87"/>
      <c r="GMT5" s="87"/>
      <c r="GMU5" s="87"/>
      <c r="GMV5" s="87"/>
      <c r="GMW5" s="87"/>
      <c r="GMX5" s="87"/>
      <c r="GMY5" s="87"/>
      <c r="GMZ5" s="87"/>
      <c r="GNA5" s="87"/>
      <c r="GNB5" s="87"/>
      <c r="GNC5" s="87"/>
      <c r="GND5" s="87"/>
      <c r="GNE5" s="87"/>
      <c r="GNF5" s="87"/>
      <c r="GNG5" s="87"/>
      <c r="GNH5" s="87"/>
      <c r="GNI5" s="87"/>
      <c r="GNJ5" s="87"/>
      <c r="GNK5" s="87"/>
      <c r="GNL5" s="87"/>
      <c r="GNM5" s="87"/>
      <c r="GNN5" s="87"/>
      <c r="GNO5" s="87"/>
      <c r="GNP5" s="87"/>
      <c r="GNQ5" s="87"/>
      <c r="GNR5" s="87"/>
      <c r="GNS5" s="87"/>
      <c r="GNT5" s="87"/>
      <c r="GNU5" s="87"/>
      <c r="GNV5" s="87"/>
      <c r="GNW5" s="87"/>
      <c r="GNX5" s="87"/>
      <c r="GNY5" s="87"/>
      <c r="GNZ5" s="87"/>
      <c r="GOA5" s="87"/>
      <c r="GOB5" s="87"/>
      <c r="GOC5" s="87"/>
      <c r="GOD5" s="87"/>
      <c r="GOE5" s="87"/>
      <c r="GOF5" s="87"/>
      <c r="GOG5" s="87"/>
      <c r="GOH5" s="87"/>
      <c r="GOI5" s="87"/>
      <c r="GOJ5" s="87"/>
      <c r="GOK5" s="87"/>
      <c r="GOL5" s="87"/>
      <c r="GOM5" s="87"/>
      <c r="GON5" s="87"/>
      <c r="GOO5" s="87"/>
      <c r="GOP5" s="87"/>
      <c r="GOQ5" s="87"/>
      <c r="GOR5" s="87"/>
      <c r="GOS5" s="87"/>
      <c r="GOT5" s="87"/>
      <c r="GOU5" s="87"/>
      <c r="GOV5" s="87"/>
      <c r="GOW5" s="87"/>
      <c r="GOX5" s="87"/>
      <c r="GOY5" s="87"/>
      <c r="GOZ5" s="87"/>
      <c r="GPA5" s="87"/>
      <c r="GPB5" s="87"/>
      <c r="GPC5" s="87"/>
      <c r="GPD5" s="87"/>
      <c r="GPE5" s="87"/>
      <c r="GPF5" s="87"/>
      <c r="GPG5" s="87"/>
      <c r="GPH5" s="87"/>
      <c r="GPI5" s="87"/>
      <c r="GPJ5" s="87"/>
      <c r="GPK5" s="87"/>
      <c r="GPL5" s="87"/>
      <c r="GPM5" s="87"/>
      <c r="GPN5" s="87"/>
      <c r="GPO5" s="87"/>
      <c r="GPP5" s="87"/>
      <c r="GPQ5" s="87"/>
      <c r="GPR5" s="87"/>
      <c r="GPS5" s="87"/>
      <c r="GPT5" s="87"/>
      <c r="GPU5" s="87"/>
      <c r="GPV5" s="87"/>
      <c r="GPW5" s="87"/>
      <c r="GPX5" s="87"/>
      <c r="GPY5" s="87"/>
      <c r="GPZ5" s="87"/>
      <c r="GQA5" s="87"/>
      <c r="GQB5" s="87"/>
      <c r="GQC5" s="87"/>
      <c r="GQD5" s="87"/>
      <c r="GQE5" s="87"/>
      <c r="GQF5" s="87"/>
      <c r="GQG5" s="87"/>
      <c r="GQH5" s="87"/>
      <c r="GQI5" s="87"/>
      <c r="GQJ5" s="87"/>
      <c r="GQK5" s="87"/>
      <c r="GQL5" s="87"/>
      <c r="GQM5" s="87"/>
      <c r="GQN5" s="87"/>
      <c r="GQO5" s="87"/>
      <c r="GQP5" s="87"/>
      <c r="GQQ5" s="87"/>
      <c r="GQR5" s="87"/>
      <c r="GQS5" s="87"/>
      <c r="GQT5" s="87"/>
      <c r="GQU5" s="87"/>
      <c r="GQV5" s="87"/>
      <c r="GQW5" s="87"/>
      <c r="GQX5" s="87"/>
      <c r="GQY5" s="87"/>
      <c r="GQZ5" s="87"/>
      <c r="GRA5" s="87"/>
      <c r="GRB5" s="87"/>
      <c r="GRC5" s="87"/>
      <c r="GRD5" s="87"/>
      <c r="GRE5" s="87"/>
      <c r="GRF5" s="87"/>
      <c r="GRG5" s="87"/>
      <c r="GRH5" s="87"/>
      <c r="GRI5" s="87"/>
      <c r="GRJ5" s="87"/>
      <c r="GRK5" s="87"/>
      <c r="GRL5" s="87"/>
      <c r="GRM5" s="87"/>
      <c r="GRN5" s="87"/>
      <c r="GRO5" s="87"/>
      <c r="GRP5" s="87"/>
      <c r="GRQ5" s="87"/>
      <c r="GRR5" s="87"/>
      <c r="GRS5" s="87"/>
      <c r="GRT5" s="87"/>
      <c r="GRU5" s="87"/>
      <c r="GRV5" s="87"/>
      <c r="GRW5" s="87"/>
      <c r="GRX5" s="87"/>
      <c r="GRY5" s="87"/>
      <c r="GRZ5" s="87"/>
      <c r="GSA5" s="87"/>
      <c r="GSB5" s="87"/>
      <c r="GSC5" s="87"/>
      <c r="GSD5" s="87"/>
      <c r="GSE5" s="87"/>
      <c r="GSF5" s="87"/>
      <c r="GSG5" s="87"/>
      <c r="GSH5" s="87"/>
      <c r="GSI5" s="87"/>
      <c r="GSJ5" s="87"/>
      <c r="GSK5" s="87"/>
      <c r="GSL5" s="87"/>
      <c r="GSM5" s="87"/>
      <c r="GSN5" s="87"/>
      <c r="GSO5" s="87"/>
      <c r="GSP5" s="87"/>
      <c r="GSQ5" s="87"/>
      <c r="GSR5" s="87"/>
      <c r="GSS5" s="87"/>
      <c r="GST5" s="87"/>
      <c r="GSU5" s="87"/>
      <c r="GSV5" s="87"/>
      <c r="GSW5" s="87"/>
      <c r="GSX5" s="87"/>
      <c r="GSY5" s="87"/>
      <c r="GSZ5" s="87"/>
      <c r="GTA5" s="87"/>
      <c r="GTB5" s="87"/>
      <c r="GTC5" s="87"/>
      <c r="GTD5" s="87"/>
      <c r="GTE5" s="87"/>
      <c r="GTF5" s="87"/>
      <c r="GTG5" s="87"/>
      <c r="GTH5" s="87"/>
      <c r="GTI5" s="87"/>
      <c r="GTJ5" s="87"/>
      <c r="GTK5" s="87"/>
      <c r="GTL5" s="87"/>
      <c r="GTM5" s="87"/>
      <c r="GTN5" s="87"/>
      <c r="GTO5" s="87"/>
      <c r="GTP5" s="87"/>
      <c r="GTQ5" s="87"/>
      <c r="GTR5" s="87"/>
      <c r="GTS5" s="87"/>
      <c r="GTT5" s="87"/>
      <c r="GTU5" s="87"/>
      <c r="GTV5" s="87"/>
      <c r="GTW5" s="87"/>
      <c r="GTX5" s="87"/>
      <c r="GTY5" s="87"/>
      <c r="GTZ5" s="87"/>
      <c r="GUA5" s="87"/>
      <c r="GUB5" s="87"/>
      <c r="GUC5" s="87"/>
      <c r="GUD5" s="87"/>
      <c r="GUE5" s="87"/>
      <c r="GUF5" s="87"/>
      <c r="GUG5" s="87"/>
      <c r="GUH5" s="87"/>
      <c r="GUI5" s="87"/>
      <c r="GUJ5" s="87"/>
      <c r="GUK5" s="87"/>
      <c r="GUL5" s="87"/>
      <c r="GUM5" s="87"/>
      <c r="GUN5" s="87"/>
      <c r="GUO5" s="87"/>
      <c r="GUP5" s="87"/>
      <c r="GUQ5" s="87"/>
      <c r="GUR5" s="87"/>
      <c r="GUS5" s="87"/>
      <c r="GUT5" s="87"/>
      <c r="GUU5" s="87"/>
      <c r="GUV5" s="87"/>
      <c r="GUW5" s="87"/>
      <c r="GUX5" s="87"/>
      <c r="GUY5" s="87"/>
      <c r="GUZ5" s="87"/>
      <c r="GVA5" s="87"/>
      <c r="GVB5" s="87"/>
      <c r="GVC5" s="87"/>
      <c r="GVD5" s="87"/>
      <c r="GVE5" s="87"/>
      <c r="GVF5" s="87"/>
      <c r="GVG5" s="87"/>
      <c r="GVH5" s="87"/>
      <c r="GVI5" s="87"/>
      <c r="GVJ5" s="87"/>
      <c r="GVK5" s="87"/>
      <c r="GVL5" s="87"/>
      <c r="GVM5" s="87"/>
      <c r="GVN5" s="87"/>
      <c r="GVO5" s="87"/>
      <c r="GVP5" s="87"/>
      <c r="GVQ5" s="87"/>
      <c r="GVR5" s="87"/>
      <c r="GVS5" s="87"/>
      <c r="GVT5" s="87"/>
      <c r="GVU5" s="87"/>
      <c r="GVV5" s="87"/>
      <c r="GVW5" s="87"/>
      <c r="GVX5" s="87"/>
      <c r="GVY5" s="87"/>
      <c r="GVZ5" s="87"/>
      <c r="GWA5" s="87"/>
      <c r="GWB5" s="87"/>
      <c r="GWC5" s="87"/>
      <c r="GWD5" s="87"/>
      <c r="GWE5" s="87"/>
      <c r="GWF5" s="87"/>
      <c r="GWG5" s="87"/>
      <c r="GWH5" s="87"/>
      <c r="GWI5" s="87"/>
      <c r="GWJ5" s="87"/>
      <c r="GWK5" s="87"/>
      <c r="GWL5" s="87"/>
      <c r="GWM5" s="87"/>
      <c r="GWN5" s="87"/>
      <c r="GWO5" s="87"/>
      <c r="GWP5" s="87"/>
      <c r="GWQ5" s="87"/>
      <c r="GWR5" s="87"/>
      <c r="GWS5" s="87"/>
      <c r="GWT5" s="87"/>
      <c r="GWU5" s="87"/>
      <c r="GWV5" s="87"/>
      <c r="GWW5" s="87"/>
      <c r="GWX5" s="87"/>
      <c r="GWY5" s="87"/>
      <c r="GWZ5" s="87"/>
      <c r="GXA5" s="87"/>
      <c r="GXB5" s="87"/>
      <c r="GXC5" s="87"/>
      <c r="GXD5" s="87"/>
      <c r="GXE5" s="87"/>
      <c r="GXF5" s="87"/>
      <c r="GXG5" s="87"/>
      <c r="GXH5" s="87"/>
      <c r="GXI5" s="87"/>
      <c r="GXJ5" s="87"/>
      <c r="GXK5" s="87"/>
      <c r="GXL5" s="87"/>
      <c r="GXM5" s="87"/>
      <c r="GXN5" s="87"/>
      <c r="GXO5" s="87"/>
      <c r="GXP5" s="87"/>
      <c r="GXQ5" s="87"/>
      <c r="GXR5" s="87"/>
      <c r="GXS5" s="87"/>
      <c r="GXT5" s="87"/>
      <c r="GXU5" s="87"/>
      <c r="GXV5" s="87"/>
      <c r="GXW5" s="87"/>
      <c r="GXX5" s="87"/>
      <c r="GXY5" s="87"/>
      <c r="GXZ5" s="87"/>
      <c r="GYA5" s="87"/>
      <c r="GYB5" s="87"/>
      <c r="GYC5" s="87"/>
      <c r="GYD5" s="87"/>
      <c r="GYE5" s="87"/>
      <c r="GYF5" s="87"/>
      <c r="GYG5" s="87"/>
      <c r="GYH5" s="87"/>
      <c r="GYI5" s="87"/>
      <c r="GYJ5" s="87"/>
      <c r="GYK5" s="87"/>
      <c r="GYL5" s="87"/>
      <c r="GYM5" s="87"/>
      <c r="GYN5" s="87"/>
      <c r="GYO5" s="87"/>
      <c r="GYP5" s="87"/>
      <c r="GYQ5" s="87"/>
      <c r="GYR5" s="87"/>
      <c r="GYS5" s="87"/>
      <c r="GYT5" s="87"/>
      <c r="GYU5" s="87"/>
      <c r="GYV5" s="87"/>
      <c r="GYW5" s="87"/>
      <c r="GYX5" s="87"/>
      <c r="GYY5" s="87"/>
      <c r="GYZ5" s="87"/>
      <c r="GZA5" s="87"/>
      <c r="GZB5" s="87"/>
      <c r="GZC5" s="87"/>
      <c r="GZD5" s="87"/>
      <c r="GZE5" s="87"/>
      <c r="GZF5" s="87"/>
      <c r="GZG5" s="87"/>
      <c r="GZH5" s="87"/>
      <c r="GZI5" s="87"/>
      <c r="GZJ5" s="87"/>
      <c r="GZK5" s="87"/>
      <c r="GZL5" s="87"/>
      <c r="GZM5" s="87"/>
      <c r="GZN5" s="87"/>
      <c r="GZO5" s="87"/>
      <c r="GZP5" s="87"/>
      <c r="GZQ5" s="87"/>
      <c r="GZR5" s="87"/>
      <c r="GZS5" s="87"/>
      <c r="GZT5" s="87"/>
      <c r="GZU5" s="87"/>
      <c r="GZV5" s="87"/>
      <c r="GZW5" s="87"/>
      <c r="GZX5" s="87"/>
      <c r="GZY5" s="87"/>
      <c r="GZZ5" s="87"/>
      <c r="HAA5" s="87"/>
      <c r="HAB5" s="87"/>
      <c r="HAC5" s="87"/>
      <c r="HAD5" s="87"/>
      <c r="HAE5" s="87"/>
      <c r="HAF5" s="87"/>
      <c r="HAG5" s="87"/>
      <c r="HAH5" s="87"/>
      <c r="HAI5" s="87"/>
      <c r="HAJ5" s="87"/>
      <c r="HAK5" s="87"/>
      <c r="HAL5" s="87"/>
      <c r="HAM5" s="87"/>
      <c r="HAN5" s="87"/>
      <c r="HAO5" s="87"/>
      <c r="HAP5" s="87"/>
      <c r="HAQ5" s="87"/>
      <c r="HAR5" s="87"/>
      <c r="HAS5" s="87"/>
      <c r="HAT5" s="87"/>
      <c r="HAU5" s="87"/>
      <c r="HAV5" s="87"/>
      <c r="HAW5" s="87"/>
      <c r="HAX5" s="87"/>
      <c r="HAY5" s="87"/>
      <c r="HAZ5" s="87"/>
      <c r="HBA5" s="87"/>
      <c r="HBB5" s="87"/>
      <c r="HBC5" s="87"/>
      <c r="HBD5" s="87"/>
      <c r="HBE5" s="87"/>
      <c r="HBF5" s="87"/>
      <c r="HBG5" s="87"/>
      <c r="HBH5" s="87"/>
      <c r="HBI5" s="87"/>
      <c r="HBJ5" s="87"/>
      <c r="HBK5" s="87"/>
      <c r="HBL5" s="87"/>
      <c r="HBM5" s="87"/>
      <c r="HBN5" s="87"/>
      <c r="HBO5" s="87"/>
      <c r="HBP5" s="87"/>
      <c r="HBQ5" s="87"/>
      <c r="HBR5" s="87"/>
      <c r="HBS5" s="87"/>
      <c r="HBT5" s="87"/>
      <c r="HBU5" s="87"/>
      <c r="HBV5" s="87"/>
      <c r="HBW5" s="87"/>
      <c r="HBX5" s="87"/>
      <c r="HBY5" s="87"/>
      <c r="HBZ5" s="87"/>
      <c r="HCA5" s="87"/>
      <c r="HCB5" s="87"/>
      <c r="HCC5" s="87"/>
      <c r="HCD5" s="87"/>
      <c r="HCE5" s="87"/>
      <c r="HCF5" s="87"/>
      <c r="HCG5" s="87"/>
      <c r="HCH5" s="87"/>
      <c r="HCI5" s="87"/>
      <c r="HCJ5" s="87"/>
      <c r="HCK5" s="87"/>
      <c r="HCL5" s="87"/>
      <c r="HCM5" s="87"/>
      <c r="HCN5" s="87"/>
      <c r="HCO5" s="87"/>
      <c r="HCP5" s="87"/>
      <c r="HCQ5" s="87"/>
      <c r="HCR5" s="87"/>
      <c r="HCS5" s="87"/>
      <c r="HCT5" s="87"/>
      <c r="HCU5" s="87"/>
      <c r="HCV5" s="87"/>
      <c r="HCW5" s="87"/>
      <c r="HCX5" s="87"/>
      <c r="HCY5" s="87"/>
      <c r="HCZ5" s="87"/>
      <c r="HDA5" s="87"/>
      <c r="HDB5" s="87"/>
      <c r="HDC5" s="87"/>
      <c r="HDD5" s="87"/>
      <c r="HDE5" s="87"/>
      <c r="HDF5" s="87"/>
      <c r="HDG5" s="87"/>
      <c r="HDH5" s="87"/>
      <c r="HDI5" s="87"/>
      <c r="HDJ5" s="87"/>
      <c r="HDK5" s="87"/>
      <c r="HDL5" s="87"/>
      <c r="HDM5" s="87"/>
      <c r="HDN5" s="87"/>
      <c r="HDO5" s="87"/>
      <c r="HDP5" s="87"/>
      <c r="HDQ5" s="87"/>
      <c r="HDR5" s="87"/>
      <c r="HDS5" s="87"/>
      <c r="HDT5" s="87"/>
      <c r="HDU5" s="87"/>
      <c r="HDV5" s="87"/>
      <c r="HDW5" s="87"/>
      <c r="HDX5" s="87"/>
      <c r="HDY5" s="87"/>
      <c r="HDZ5" s="87"/>
      <c r="HEA5" s="87"/>
      <c r="HEB5" s="87"/>
      <c r="HEC5" s="87"/>
      <c r="HED5" s="87"/>
      <c r="HEE5" s="87"/>
      <c r="HEF5" s="87"/>
      <c r="HEG5" s="87"/>
      <c r="HEH5" s="87"/>
      <c r="HEI5" s="87"/>
      <c r="HEJ5" s="87"/>
      <c r="HEK5" s="87"/>
      <c r="HEL5" s="87"/>
      <c r="HEM5" s="87"/>
      <c r="HEN5" s="87"/>
      <c r="HEO5" s="87"/>
      <c r="HEP5" s="87"/>
      <c r="HEQ5" s="87"/>
      <c r="HER5" s="87"/>
      <c r="HES5" s="87"/>
      <c r="HET5" s="87"/>
      <c r="HEU5" s="87"/>
      <c r="HEV5" s="87"/>
      <c r="HEW5" s="87"/>
      <c r="HEX5" s="87"/>
      <c r="HEY5" s="87"/>
      <c r="HEZ5" s="87"/>
      <c r="HFA5" s="87"/>
      <c r="HFB5" s="87"/>
      <c r="HFC5" s="87"/>
      <c r="HFD5" s="87"/>
      <c r="HFE5" s="87"/>
      <c r="HFF5" s="87"/>
      <c r="HFG5" s="87"/>
      <c r="HFH5" s="87"/>
      <c r="HFI5" s="87"/>
      <c r="HFJ5" s="87"/>
      <c r="HFK5" s="87"/>
      <c r="HFL5" s="87"/>
      <c r="HFM5" s="87"/>
      <c r="HFN5" s="87"/>
      <c r="HFO5" s="87"/>
      <c r="HFP5" s="87"/>
      <c r="HFQ5" s="87"/>
      <c r="HFR5" s="87"/>
      <c r="HFS5" s="87"/>
      <c r="HFT5" s="87"/>
      <c r="HFU5" s="87"/>
      <c r="HFV5" s="87"/>
      <c r="HFW5" s="87"/>
      <c r="HFX5" s="87"/>
      <c r="HFY5" s="87"/>
      <c r="HFZ5" s="87"/>
      <c r="HGA5" s="87"/>
      <c r="HGB5" s="87"/>
      <c r="HGC5" s="87"/>
      <c r="HGD5" s="87"/>
      <c r="HGE5" s="87"/>
      <c r="HGF5" s="87"/>
      <c r="HGG5" s="87"/>
      <c r="HGH5" s="87"/>
      <c r="HGI5" s="87"/>
      <c r="HGJ5" s="87"/>
      <c r="HGK5" s="87"/>
      <c r="HGL5" s="87"/>
      <c r="HGM5" s="87"/>
      <c r="HGN5" s="87"/>
      <c r="HGO5" s="87"/>
      <c r="HGP5" s="87"/>
      <c r="HGQ5" s="87"/>
      <c r="HGR5" s="87"/>
      <c r="HGS5" s="87"/>
      <c r="HGT5" s="87"/>
      <c r="HGU5" s="87"/>
      <c r="HGV5" s="87"/>
      <c r="HGW5" s="87"/>
      <c r="HGX5" s="87"/>
      <c r="HGY5" s="87"/>
      <c r="HGZ5" s="87"/>
      <c r="HHA5" s="87"/>
      <c r="HHB5" s="87"/>
      <c r="HHC5" s="87"/>
      <c r="HHD5" s="87"/>
      <c r="HHE5" s="87"/>
      <c r="HHF5" s="87"/>
      <c r="HHG5" s="87"/>
      <c r="HHH5" s="87"/>
      <c r="HHI5" s="87"/>
      <c r="HHJ5" s="87"/>
      <c r="HHK5" s="87"/>
      <c r="HHL5" s="87"/>
      <c r="HHM5" s="87"/>
      <c r="HHN5" s="87"/>
      <c r="HHO5" s="87"/>
      <c r="HHP5" s="87"/>
      <c r="HHQ5" s="87"/>
      <c r="HHR5" s="87"/>
      <c r="HHS5" s="87"/>
      <c r="HHT5" s="87"/>
      <c r="HHU5" s="87"/>
      <c r="HHV5" s="87"/>
      <c r="HHW5" s="87"/>
      <c r="HHX5" s="87"/>
      <c r="HHY5" s="87"/>
      <c r="HHZ5" s="87"/>
      <c r="HIA5" s="87"/>
      <c r="HIB5" s="87"/>
      <c r="HIC5" s="87"/>
      <c r="HID5" s="87"/>
      <c r="HIE5" s="87"/>
      <c r="HIF5" s="87"/>
      <c r="HIG5" s="87"/>
      <c r="HIH5" s="87"/>
      <c r="HII5" s="87"/>
      <c r="HIJ5" s="87"/>
      <c r="HIK5" s="87"/>
      <c r="HIL5" s="87"/>
      <c r="HIM5" s="87"/>
      <c r="HIN5" s="87"/>
      <c r="HIO5" s="87"/>
      <c r="HIP5" s="87"/>
      <c r="HIQ5" s="87"/>
      <c r="HIR5" s="87"/>
      <c r="HIS5" s="87"/>
      <c r="HIT5" s="87"/>
      <c r="HIU5" s="87"/>
      <c r="HIV5" s="87"/>
      <c r="HIW5" s="87"/>
      <c r="HIX5" s="87"/>
      <c r="HIY5" s="87"/>
      <c r="HIZ5" s="87"/>
      <c r="HJA5" s="87"/>
      <c r="HJB5" s="87"/>
      <c r="HJC5" s="87"/>
      <c r="HJD5" s="87"/>
      <c r="HJE5" s="87"/>
      <c r="HJF5" s="87"/>
      <c r="HJG5" s="87"/>
      <c r="HJH5" s="87"/>
      <c r="HJI5" s="87"/>
      <c r="HJJ5" s="87"/>
      <c r="HJK5" s="87"/>
      <c r="HJL5" s="87"/>
      <c r="HJM5" s="87"/>
      <c r="HJN5" s="87"/>
      <c r="HJO5" s="87"/>
      <c r="HJP5" s="87"/>
      <c r="HJQ5" s="87"/>
      <c r="HJR5" s="87"/>
      <c r="HJS5" s="87"/>
      <c r="HJT5" s="87"/>
      <c r="HJU5" s="87"/>
      <c r="HJV5" s="87"/>
      <c r="HJW5" s="87"/>
      <c r="HJX5" s="87"/>
      <c r="HJY5" s="87"/>
      <c r="HJZ5" s="87"/>
      <c r="HKA5" s="87"/>
      <c r="HKB5" s="87"/>
      <c r="HKC5" s="87"/>
      <c r="HKD5" s="87"/>
      <c r="HKE5" s="87"/>
      <c r="HKF5" s="87"/>
      <c r="HKG5" s="87"/>
      <c r="HKH5" s="87"/>
      <c r="HKI5" s="87"/>
      <c r="HKJ5" s="87"/>
      <c r="HKK5" s="87"/>
      <c r="HKL5" s="87"/>
      <c r="HKM5" s="87"/>
      <c r="HKN5" s="87"/>
      <c r="HKO5" s="87"/>
      <c r="HKP5" s="87"/>
      <c r="HKQ5" s="87"/>
      <c r="HKR5" s="87"/>
      <c r="HKS5" s="87"/>
      <c r="HKT5" s="87"/>
      <c r="HKU5" s="87"/>
      <c r="HKV5" s="87"/>
      <c r="HKW5" s="87"/>
      <c r="HKX5" s="87"/>
      <c r="HKY5" s="87"/>
      <c r="HKZ5" s="87"/>
      <c r="HLA5" s="87"/>
      <c r="HLB5" s="87"/>
      <c r="HLC5" s="87"/>
      <c r="HLD5" s="87"/>
      <c r="HLE5" s="87"/>
      <c r="HLF5" s="87"/>
      <c r="HLG5" s="87"/>
      <c r="HLH5" s="87"/>
      <c r="HLI5" s="87"/>
      <c r="HLJ5" s="87"/>
      <c r="HLK5" s="87"/>
      <c r="HLL5" s="87"/>
      <c r="HLM5" s="87"/>
      <c r="HLN5" s="87"/>
      <c r="HLO5" s="87"/>
      <c r="HLP5" s="87"/>
      <c r="HLQ5" s="87"/>
      <c r="HLR5" s="87"/>
      <c r="HLS5" s="87"/>
      <c r="HLT5" s="87"/>
      <c r="HLU5" s="87"/>
      <c r="HLV5" s="87"/>
      <c r="HLW5" s="87"/>
      <c r="HLX5" s="87"/>
      <c r="HLY5" s="87"/>
      <c r="HLZ5" s="87"/>
      <c r="HMA5" s="87"/>
      <c r="HMB5" s="87"/>
      <c r="HMC5" s="87"/>
      <c r="HMD5" s="87"/>
      <c r="HME5" s="87"/>
      <c r="HMF5" s="87"/>
      <c r="HMG5" s="87"/>
      <c r="HMH5" s="87"/>
      <c r="HMI5" s="87"/>
      <c r="HMJ5" s="87"/>
      <c r="HMK5" s="87"/>
      <c r="HML5" s="87"/>
      <c r="HMM5" s="87"/>
      <c r="HMN5" s="87"/>
      <c r="HMO5" s="87"/>
      <c r="HMP5" s="87"/>
      <c r="HMQ5" s="87"/>
      <c r="HMR5" s="87"/>
      <c r="HMS5" s="87"/>
      <c r="HMT5" s="87"/>
      <c r="HMU5" s="87"/>
      <c r="HMV5" s="87"/>
      <c r="HMW5" s="87"/>
      <c r="HMX5" s="87"/>
      <c r="HMY5" s="87"/>
      <c r="HMZ5" s="87"/>
      <c r="HNA5" s="87"/>
      <c r="HNB5" s="87"/>
      <c r="HNC5" s="87"/>
      <c r="HND5" s="87"/>
      <c r="HNE5" s="87"/>
      <c r="HNF5" s="87"/>
      <c r="HNG5" s="87"/>
      <c r="HNH5" s="87"/>
      <c r="HNI5" s="87"/>
      <c r="HNJ5" s="87"/>
      <c r="HNK5" s="87"/>
      <c r="HNL5" s="87"/>
      <c r="HNM5" s="87"/>
      <c r="HNN5" s="87"/>
      <c r="HNO5" s="87"/>
      <c r="HNP5" s="87"/>
      <c r="HNQ5" s="87"/>
      <c r="HNR5" s="87"/>
      <c r="HNS5" s="87"/>
      <c r="HNT5" s="87"/>
      <c r="HNU5" s="87"/>
      <c r="HNV5" s="87"/>
      <c r="HNW5" s="87"/>
      <c r="HNX5" s="87"/>
      <c r="HNY5" s="87"/>
      <c r="HNZ5" s="87"/>
      <c r="HOA5" s="87"/>
      <c r="HOB5" s="87"/>
      <c r="HOC5" s="87"/>
      <c r="HOD5" s="87"/>
      <c r="HOE5" s="87"/>
      <c r="HOF5" s="87"/>
      <c r="HOG5" s="87"/>
      <c r="HOH5" s="87"/>
      <c r="HOI5" s="87"/>
      <c r="HOJ5" s="87"/>
      <c r="HOK5" s="87"/>
      <c r="HOL5" s="87"/>
      <c r="HOM5" s="87"/>
      <c r="HON5" s="87"/>
      <c r="HOO5" s="87"/>
      <c r="HOP5" s="87"/>
      <c r="HOQ5" s="87"/>
      <c r="HOR5" s="87"/>
      <c r="HOS5" s="87"/>
      <c r="HOT5" s="87"/>
      <c r="HOU5" s="87"/>
      <c r="HOV5" s="87"/>
      <c r="HOW5" s="87"/>
      <c r="HOX5" s="87"/>
      <c r="HOY5" s="87"/>
      <c r="HOZ5" s="87"/>
      <c r="HPA5" s="87"/>
      <c r="HPB5" s="87"/>
      <c r="HPC5" s="87"/>
      <c r="HPD5" s="87"/>
      <c r="HPE5" s="87"/>
      <c r="HPF5" s="87"/>
      <c r="HPG5" s="87"/>
      <c r="HPH5" s="87"/>
      <c r="HPI5" s="87"/>
      <c r="HPJ5" s="87"/>
      <c r="HPK5" s="87"/>
      <c r="HPL5" s="87"/>
      <c r="HPM5" s="87"/>
      <c r="HPN5" s="87"/>
      <c r="HPO5" s="87"/>
      <c r="HPP5" s="87"/>
      <c r="HPQ5" s="87"/>
      <c r="HPR5" s="87"/>
      <c r="HPS5" s="87"/>
      <c r="HPT5" s="87"/>
      <c r="HPU5" s="87"/>
      <c r="HPV5" s="87"/>
      <c r="HPW5" s="87"/>
      <c r="HPX5" s="87"/>
      <c r="HPY5" s="87"/>
      <c r="HPZ5" s="87"/>
      <c r="HQA5" s="87"/>
      <c r="HQB5" s="87"/>
      <c r="HQC5" s="87"/>
      <c r="HQD5" s="87"/>
      <c r="HQE5" s="87"/>
      <c r="HQF5" s="87"/>
      <c r="HQG5" s="87"/>
      <c r="HQH5" s="87"/>
      <c r="HQI5" s="87"/>
      <c r="HQJ5" s="87"/>
      <c r="HQK5" s="87"/>
      <c r="HQL5" s="87"/>
      <c r="HQM5" s="87"/>
      <c r="HQN5" s="87"/>
      <c r="HQO5" s="87"/>
      <c r="HQP5" s="87"/>
      <c r="HQQ5" s="87"/>
      <c r="HQR5" s="87"/>
      <c r="HQS5" s="87"/>
      <c r="HQT5" s="87"/>
      <c r="HQU5" s="87"/>
      <c r="HQV5" s="87"/>
      <c r="HQW5" s="87"/>
      <c r="HQX5" s="87"/>
      <c r="HQY5" s="87"/>
      <c r="HQZ5" s="87"/>
      <c r="HRA5" s="87"/>
      <c r="HRB5" s="87"/>
      <c r="HRC5" s="87"/>
      <c r="HRD5" s="87"/>
      <c r="HRE5" s="87"/>
      <c r="HRF5" s="87"/>
      <c r="HRG5" s="87"/>
      <c r="HRH5" s="87"/>
      <c r="HRI5" s="87"/>
      <c r="HRJ5" s="87"/>
      <c r="HRK5" s="87"/>
      <c r="HRL5" s="87"/>
      <c r="HRM5" s="87"/>
      <c r="HRN5" s="87"/>
      <c r="HRO5" s="87"/>
      <c r="HRP5" s="87"/>
      <c r="HRQ5" s="87"/>
      <c r="HRR5" s="87"/>
      <c r="HRS5" s="87"/>
      <c r="HRT5" s="87"/>
      <c r="HRU5" s="87"/>
      <c r="HRV5" s="87"/>
      <c r="HRW5" s="87"/>
      <c r="HRX5" s="87"/>
      <c r="HRY5" s="87"/>
      <c r="HRZ5" s="87"/>
      <c r="HSA5" s="87"/>
      <c r="HSB5" s="87"/>
      <c r="HSC5" s="87"/>
      <c r="HSD5" s="87"/>
      <c r="HSE5" s="87"/>
      <c r="HSF5" s="87"/>
      <c r="HSG5" s="87"/>
      <c r="HSH5" s="87"/>
      <c r="HSI5" s="87"/>
      <c r="HSJ5" s="87"/>
      <c r="HSK5" s="87"/>
      <c r="HSL5" s="87"/>
      <c r="HSM5" s="87"/>
      <c r="HSN5" s="87"/>
      <c r="HSO5" s="87"/>
      <c r="HSP5" s="87"/>
      <c r="HSQ5" s="87"/>
      <c r="HSR5" s="87"/>
      <c r="HSS5" s="87"/>
      <c r="HST5" s="87"/>
      <c r="HSU5" s="87"/>
      <c r="HSV5" s="87"/>
      <c r="HSW5" s="87"/>
      <c r="HSX5" s="87"/>
      <c r="HSY5" s="87"/>
      <c r="HSZ5" s="87"/>
      <c r="HTA5" s="87"/>
      <c r="HTB5" s="87"/>
      <c r="HTC5" s="87"/>
      <c r="HTD5" s="87"/>
      <c r="HTE5" s="87"/>
      <c r="HTF5" s="87"/>
      <c r="HTG5" s="87"/>
      <c r="HTH5" s="87"/>
      <c r="HTI5" s="87"/>
      <c r="HTJ5" s="87"/>
      <c r="HTK5" s="87"/>
      <c r="HTL5" s="87"/>
      <c r="HTM5" s="87"/>
      <c r="HTN5" s="87"/>
      <c r="HTO5" s="87"/>
      <c r="HTP5" s="87"/>
      <c r="HTQ5" s="87"/>
      <c r="HTR5" s="87"/>
      <c r="HTS5" s="87"/>
      <c r="HTT5" s="87"/>
      <c r="HTU5" s="87"/>
      <c r="HTV5" s="87"/>
      <c r="HTW5" s="87"/>
      <c r="HTX5" s="87"/>
      <c r="HTY5" s="87"/>
      <c r="HTZ5" s="87"/>
      <c r="HUA5" s="87"/>
      <c r="HUB5" s="87"/>
      <c r="HUC5" s="87"/>
      <c r="HUD5" s="87"/>
      <c r="HUE5" s="87"/>
      <c r="HUF5" s="87"/>
      <c r="HUG5" s="87"/>
      <c r="HUH5" s="87"/>
      <c r="HUI5" s="87"/>
      <c r="HUJ5" s="87"/>
      <c r="HUK5" s="87"/>
      <c r="HUL5" s="87"/>
      <c r="HUM5" s="87"/>
      <c r="HUN5" s="87"/>
      <c r="HUO5" s="87"/>
      <c r="HUP5" s="87"/>
      <c r="HUQ5" s="87"/>
      <c r="HUR5" s="87"/>
      <c r="HUS5" s="87"/>
      <c r="HUT5" s="87"/>
      <c r="HUU5" s="87"/>
      <c r="HUV5" s="87"/>
      <c r="HUW5" s="87"/>
      <c r="HUX5" s="87"/>
      <c r="HUY5" s="87"/>
      <c r="HUZ5" s="87"/>
      <c r="HVA5" s="87"/>
      <c r="HVB5" s="87"/>
      <c r="HVC5" s="87"/>
      <c r="HVD5" s="87"/>
      <c r="HVE5" s="87"/>
      <c r="HVF5" s="87"/>
      <c r="HVG5" s="87"/>
      <c r="HVH5" s="87"/>
      <c r="HVI5" s="87"/>
      <c r="HVJ5" s="87"/>
      <c r="HVK5" s="87"/>
      <c r="HVL5" s="87"/>
      <c r="HVM5" s="87"/>
      <c r="HVN5" s="87"/>
      <c r="HVO5" s="87"/>
      <c r="HVP5" s="87"/>
      <c r="HVQ5" s="87"/>
      <c r="HVR5" s="87"/>
      <c r="HVS5" s="87"/>
      <c r="HVT5" s="87"/>
      <c r="HVU5" s="87"/>
      <c r="HVV5" s="87"/>
      <c r="HVW5" s="87"/>
      <c r="HVX5" s="87"/>
      <c r="HVY5" s="87"/>
      <c r="HVZ5" s="87"/>
      <c r="HWA5" s="87"/>
      <c r="HWB5" s="87"/>
      <c r="HWC5" s="87"/>
      <c r="HWD5" s="87"/>
      <c r="HWE5" s="87"/>
      <c r="HWF5" s="87"/>
      <c r="HWG5" s="87"/>
      <c r="HWH5" s="87"/>
      <c r="HWI5" s="87"/>
      <c r="HWJ5" s="87"/>
      <c r="HWK5" s="87"/>
      <c r="HWL5" s="87"/>
      <c r="HWM5" s="87"/>
      <c r="HWN5" s="87"/>
      <c r="HWO5" s="87"/>
      <c r="HWP5" s="87"/>
      <c r="HWQ5" s="87"/>
      <c r="HWR5" s="87"/>
      <c r="HWS5" s="87"/>
      <c r="HWT5" s="87"/>
      <c r="HWU5" s="87"/>
      <c r="HWV5" s="87"/>
      <c r="HWW5" s="87"/>
      <c r="HWX5" s="87"/>
      <c r="HWY5" s="87"/>
      <c r="HWZ5" s="87"/>
      <c r="HXA5" s="87"/>
      <c r="HXB5" s="87"/>
      <c r="HXC5" s="87"/>
      <c r="HXD5" s="87"/>
      <c r="HXE5" s="87"/>
      <c r="HXF5" s="87"/>
      <c r="HXG5" s="87"/>
      <c r="HXH5" s="87"/>
      <c r="HXI5" s="87"/>
      <c r="HXJ5" s="87"/>
      <c r="HXK5" s="87"/>
      <c r="HXL5" s="87"/>
      <c r="HXM5" s="87"/>
      <c r="HXN5" s="87"/>
      <c r="HXO5" s="87"/>
      <c r="HXP5" s="87"/>
      <c r="HXQ5" s="87"/>
      <c r="HXR5" s="87"/>
      <c r="HXS5" s="87"/>
      <c r="HXT5" s="87"/>
      <c r="HXU5" s="87"/>
      <c r="HXV5" s="87"/>
      <c r="HXW5" s="87"/>
      <c r="HXX5" s="87"/>
      <c r="HXY5" s="87"/>
      <c r="HXZ5" s="87"/>
      <c r="HYA5" s="87"/>
      <c r="HYB5" s="87"/>
      <c r="HYC5" s="87"/>
      <c r="HYD5" s="87"/>
      <c r="HYE5" s="87"/>
      <c r="HYF5" s="87"/>
      <c r="HYG5" s="87"/>
      <c r="HYH5" s="87"/>
      <c r="HYI5" s="87"/>
      <c r="HYJ5" s="87"/>
      <c r="HYK5" s="87"/>
      <c r="HYL5" s="87"/>
      <c r="HYM5" s="87"/>
      <c r="HYN5" s="87"/>
      <c r="HYO5" s="87"/>
      <c r="HYP5" s="87"/>
      <c r="HYQ5" s="87"/>
      <c r="HYR5" s="87"/>
      <c r="HYS5" s="87"/>
      <c r="HYT5" s="87"/>
      <c r="HYU5" s="87"/>
      <c r="HYV5" s="87"/>
      <c r="HYW5" s="87"/>
      <c r="HYX5" s="87"/>
      <c r="HYY5" s="87"/>
      <c r="HYZ5" s="87"/>
      <c r="HZA5" s="87"/>
      <c r="HZB5" s="87"/>
      <c r="HZC5" s="87"/>
      <c r="HZD5" s="87"/>
      <c r="HZE5" s="87"/>
      <c r="HZF5" s="87"/>
      <c r="HZG5" s="87"/>
      <c r="HZH5" s="87"/>
      <c r="HZI5" s="87"/>
      <c r="HZJ5" s="87"/>
      <c r="HZK5" s="87"/>
      <c r="HZL5" s="87"/>
      <c r="HZM5" s="87"/>
      <c r="HZN5" s="87"/>
      <c r="HZO5" s="87"/>
      <c r="HZP5" s="87"/>
      <c r="HZQ5" s="87"/>
      <c r="HZR5" s="87"/>
      <c r="HZS5" s="87"/>
      <c r="HZT5" s="87"/>
      <c r="HZU5" s="87"/>
      <c r="HZV5" s="87"/>
      <c r="HZW5" s="87"/>
      <c r="HZX5" s="87"/>
      <c r="HZY5" s="87"/>
      <c r="HZZ5" s="87"/>
      <c r="IAA5" s="87"/>
      <c r="IAB5" s="87"/>
      <c r="IAC5" s="87"/>
      <c r="IAD5" s="87"/>
      <c r="IAE5" s="87"/>
      <c r="IAF5" s="87"/>
      <c r="IAG5" s="87"/>
      <c r="IAH5" s="87"/>
      <c r="IAI5" s="87"/>
      <c r="IAJ5" s="87"/>
      <c r="IAK5" s="87"/>
      <c r="IAL5" s="87"/>
      <c r="IAM5" s="87"/>
      <c r="IAN5" s="87"/>
      <c r="IAO5" s="87"/>
      <c r="IAP5" s="87"/>
      <c r="IAQ5" s="87"/>
      <c r="IAR5" s="87"/>
      <c r="IAS5" s="87"/>
      <c r="IAT5" s="87"/>
      <c r="IAU5" s="87"/>
      <c r="IAV5" s="87"/>
      <c r="IAW5" s="87"/>
      <c r="IAX5" s="87"/>
      <c r="IAY5" s="87"/>
      <c r="IAZ5" s="87"/>
      <c r="IBA5" s="87"/>
      <c r="IBB5" s="87"/>
      <c r="IBC5" s="87"/>
      <c r="IBD5" s="87"/>
      <c r="IBE5" s="87"/>
      <c r="IBF5" s="87"/>
      <c r="IBG5" s="87"/>
      <c r="IBH5" s="87"/>
      <c r="IBI5" s="87"/>
      <c r="IBJ5" s="87"/>
      <c r="IBK5" s="87"/>
      <c r="IBL5" s="87"/>
      <c r="IBM5" s="87"/>
      <c r="IBN5" s="87"/>
      <c r="IBO5" s="87"/>
      <c r="IBP5" s="87"/>
      <c r="IBQ5" s="87"/>
      <c r="IBR5" s="87"/>
      <c r="IBS5" s="87"/>
      <c r="IBT5" s="87"/>
      <c r="IBU5" s="87"/>
      <c r="IBV5" s="87"/>
      <c r="IBW5" s="87"/>
      <c r="IBX5" s="87"/>
      <c r="IBY5" s="87"/>
      <c r="IBZ5" s="87"/>
      <c r="ICA5" s="87"/>
      <c r="ICB5" s="87"/>
      <c r="ICC5" s="87"/>
      <c r="ICD5" s="87"/>
      <c r="ICE5" s="87"/>
      <c r="ICF5" s="87"/>
      <c r="ICG5" s="87"/>
      <c r="ICH5" s="87"/>
      <c r="ICI5" s="87"/>
      <c r="ICJ5" s="87"/>
      <c r="ICK5" s="87"/>
      <c r="ICL5" s="87"/>
      <c r="ICM5" s="87"/>
      <c r="ICN5" s="87"/>
      <c r="ICO5" s="87"/>
      <c r="ICP5" s="87"/>
      <c r="ICQ5" s="87"/>
      <c r="ICR5" s="87"/>
      <c r="ICS5" s="87"/>
      <c r="ICT5" s="87"/>
      <c r="ICU5" s="87"/>
      <c r="ICV5" s="87"/>
      <c r="ICW5" s="87"/>
      <c r="ICX5" s="87"/>
      <c r="ICY5" s="87"/>
      <c r="ICZ5" s="87"/>
      <c r="IDA5" s="87"/>
      <c r="IDB5" s="87"/>
      <c r="IDC5" s="87"/>
      <c r="IDD5" s="87"/>
      <c r="IDE5" s="87"/>
      <c r="IDF5" s="87"/>
      <c r="IDG5" s="87"/>
      <c r="IDH5" s="87"/>
      <c r="IDI5" s="87"/>
      <c r="IDJ5" s="87"/>
      <c r="IDK5" s="87"/>
      <c r="IDL5" s="87"/>
      <c r="IDM5" s="87"/>
      <c r="IDN5" s="87"/>
      <c r="IDO5" s="87"/>
      <c r="IDP5" s="87"/>
      <c r="IDQ5" s="87"/>
      <c r="IDR5" s="87"/>
      <c r="IDS5" s="87"/>
      <c r="IDT5" s="87"/>
      <c r="IDU5" s="87"/>
      <c r="IDV5" s="87"/>
      <c r="IDW5" s="87"/>
      <c r="IDX5" s="87"/>
      <c r="IDY5" s="87"/>
      <c r="IDZ5" s="87"/>
      <c r="IEA5" s="87"/>
      <c r="IEB5" s="87"/>
      <c r="IEC5" s="87"/>
      <c r="IED5" s="87"/>
      <c r="IEE5" s="87"/>
      <c r="IEF5" s="87"/>
      <c r="IEG5" s="87"/>
      <c r="IEH5" s="87"/>
      <c r="IEI5" s="87"/>
      <c r="IEJ5" s="87"/>
      <c r="IEK5" s="87"/>
      <c r="IEL5" s="87"/>
      <c r="IEM5" s="87"/>
      <c r="IEN5" s="87"/>
      <c r="IEO5" s="87"/>
      <c r="IEP5" s="87"/>
      <c r="IEQ5" s="87"/>
      <c r="IER5" s="87"/>
      <c r="IES5" s="87"/>
      <c r="IET5" s="87"/>
      <c r="IEU5" s="87"/>
      <c r="IEV5" s="87"/>
      <c r="IEW5" s="87"/>
      <c r="IEX5" s="87"/>
      <c r="IEY5" s="87"/>
      <c r="IEZ5" s="87"/>
      <c r="IFA5" s="87"/>
      <c r="IFB5" s="87"/>
      <c r="IFC5" s="87"/>
      <c r="IFD5" s="87"/>
      <c r="IFE5" s="87"/>
      <c r="IFF5" s="87"/>
      <c r="IFG5" s="87"/>
      <c r="IFH5" s="87"/>
      <c r="IFI5" s="87"/>
      <c r="IFJ5" s="87"/>
      <c r="IFK5" s="87"/>
      <c r="IFL5" s="87"/>
      <c r="IFM5" s="87"/>
      <c r="IFN5" s="87"/>
      <c r="IFO5" s="87"/>
      <c r="IFP5" s="87"/>
      <c r="IFQ5" s="87"/>
      <c r="IFR5" s="87"/>
      <c r="IFS5" s="87"/>
      <c r="IFT5" s="87"/>
      <c r="IFU5" s="87"/>
      <c r="IFV5" s="87"/>
      <c r="IFW5" s="87"/>
      <c r="IFX5" s="87"/>
      <c r="IFY5" s="87"/>
      <c r="IFZ5" s="87"/>
      <c r="IGA5" s="87"/>
      <c r="IGB5" s="87"/>
      <c r="IGC5" s="87"/>
      <c r="IGD5" s="87"/>
      <c r="IGE5" s="87"/>
      <c r="IGF5" s="87"/>
      <c r="IGG5" s="87"/>
      <c r="IGH5" s="87"/>
      <c r="IGI5" s="87"/>
      <c r="IGJ5" s="87"/>
      <c r="IGK5" s="87"/>
      <c r="IGL5" s="87"/>
      <c r="IGM5" s="87"/>
      <c r="IGN5" s="87"/>
      <c r="IGO5" s="87"/>
      <c r="IGP5" s="87"/>
      <c r="IGQ5" s="87"/>
      <c r="IGR5" s="87"/>
      <c r="IGS5" s="87"/>
      <c r="IGT5" s="87"/>
      <c r="IGU5" s="87"/>
      <c r="IGV5" s="87"/>
      <c r="IGW5" s="87"/>
      <c r="IGX5" s="87"/>
      <c r="IGY5" s="87"/>
      <c r="IGZ5" s="87"/>
      <c r="IHA5" s="87"/>
      <c r="IHB5" s="87"/>
      <c r="IHC5" s="87"/>
      <c r="IHD5" s="87"/>
      <c r="IHE5" s="87"/>
      <c r="IHF5" s="87"/>
      <c r="IHG5" s="87"/>
      <c r="IHH5" s="87"/>
      <c r="IHI5" s="87"/>
      <c r="IHJ5" s="87"/>
      <c r="IHK5" s="87"/>
      <c r="IHL5" s="87"/>
      <c r="IHM5" s="87"/>
      <c r="IHN5" s="87"/>
      <c r="IHO5" s="87"/>
      <c r="IHP5" s="87"/>
      <c r="IHQ5" s="87"/>
      <c r="IHR5" s="87"/>
      <c r="IHS5" s="87"/>
      <c r="IHT5" s="87"/>
      <c r="IHU5" s="87"/>
      <c r="IHV5" s="87"/>
      <c r="IHW5" s="87"/>
      <c r="IHX5" s="87"/>
      <c r="IHY5" s="87"/>
      <c r="IHZ5" s="87"/>
      <c r="IIA5" s="87"/>
      <c r="IIB5" s="87"/>
      <c r="IIC5" s="87"/>
      <c r="IID5" s="87"/>
      <c r="IIE5" s="87"/>
      <c r="IIF5" s="87"/>
      <c r="IIG5" s="87"/>
      <c r="IIH5" s="87"/>
      <c r="III5" s="87"/>
      <c r="IIJ5" s="87"/>
      <c r="IIK5" s="87"/>
      <c r="IIL5" s="87"/>
      <c r="IIM5" s="87"/>
      <c r="IIN5" s="87"/>
      <c r="IIO5" s="87"/>
      <c r="IIP5" s="87"/>
      <c r="IIQ5" s="87"/>
      <c r="IIR5" s="87"/>
      <c r="IIS5" s="87"/>
      <c r="IIT5" s="87"/>
      <c r="IIU5" s="87"/>
      <c r="IIV5" s="87"/>
      <c r="IIW5" s="87"/>
      <c r="IIX5" s="87"/>
      <c r="IIY5" s="87"/>
      <c r="IIZ5" s="87"/>
      <c r="IJA5" s="87"/>
      <c r="IJB5" s="87"/>
      <c r="IJC5" s="87"/>
      <c r="IJD5" s="87"/>
      <c r="IJE5" s="87"/>
      <c r="IJF5" s="87"/>
      <c r="IJG5" s="87"/>
      <c r="IJH5" s="87"/>
      <c r="IJI5" s="87"/>
      <c r="IJJ5" s="87"/>
      <c r="IJK5" s="87"/>
      <c r="IJL5" s="87"/>
      <c r="IJM5" s="87"/>
      <c r="IJN5" s="87"/>
      <c r="IJO5" s="87"/>
      <c r="IJP5" s="87"/>
      <c r="IJQ5" s="87"/>
      <c r="IJR5" s="87"/>
      <c r="IJS5" s="87"/>
      <c r="IJT5" s="87"/>
      <c r="IJU5" s="87"/>
      <c r="IJV5" s="87"/>
      <c r="IJW5" s="87"/>
      <c r="IJX5" s="87"/>
      <c r="IJY5" s="87"/>
      <c r="IJZ5" s="87"/>
      <c r="IKA5" s="87"/>
      <c r="IKB5" s="87"/>
      <c r="IKC5" s="87"/>
      <c r="IKD5" s="87"/>
      <c r="IKE5" s="87"/>
      <c r="IKF5" s="87"/>
      <c r="IKG5" s="87"/>
      <c r="IKH5" s="87"/>
      <c r="IKI5" s="87"/>
      <c r="IKJ5" s="87"/>
      <c r="IKK5" s="87"/>
      <c r="IKL5" s="87"/>
      <c r="IKM5" s="87"/>
      <c r="IKN5" s="87"/>
      <c r="IKO5" s="87"/>
      <c r="IKP5" s="87"/>
      <c r="IKQ5" s="87"/>
      <c r="IKR5" s="87"/>
      <c r="IKS5" s="87"/>
      <c r="IKT5" s="87"/>
      <c r="IKU5" s="87"/>
      <c r="IKV5" s="87"/>
      <c r="IKW5" s="87"/>
      <c r="IKX5" s="87"/>
      <c r="IKY5" s="87"/>
      <c r="IKZ5" s="87"/>
      <c r="ILA5" s="87"/>
      <c r="ILB5" s="87"/>
      <c r="ILC5" s="87"/>
      <c r="ILD5" s="87"/>
      <c r="ILE5" s="87"/>
      <c r="ILF5" s="87"/>
      <c r="ILG5" s="87"/>
      <c r="ILH5" s="87"/>
      <c r="ILI5" s="87"/>
      <c r="ILJ5" s="87"/>
      <c r="ILK5" s="87"/>
      <c r="ILL5" s="87"/>
      <c r="ILM5" s="87"/>
      <c r="ILN5" s="87"/>
      <c r="ILO5" s="87"/>
      <c r="ILP5" s="87"/>
      <c r="ILQ5" s="87"/>
      <c r="ILR5" s="87"/>
      <c r="ILS5" s="87"/>
      <c r="ILT5" s="87"/>
      <c r="ILU5" s="87"/>
      <c r="ILV5" s="87"/>
      <c r="ILW5" s="87"/>
      <c r="ILX5" s="87"/>
      <c r="ILY5" s="87"/>
      <c r="ILZ5" s="87"/>
      <c r="IMA5" s="87"/>
      <c r="IMB5" s="87"/>
      <c r="IMC5" s="87"/>
      <c r="IMD5" s="87"/>
      <c r="IME5" s="87"/>
      <c r="IMF5" s="87"/>
      <c r="IMG5" s="87"/>
      <c r="IMH5" s="87"/>
      <c r="IMI5" s="87"/>
      <c r="IMJ5" s="87"/>
      <c r="IMK5" s="87"/>
      <c r="IML5" s="87"/>
      <c r="IMM5" s="87"/>
      <c r="IMN5" s="87"/>
      <c r="IMO5" s="87"/>
      <c r="IMP5" s="87"/>
      <c r="IMQ5" s="87"/>
      <c r="IMR5" s="87"/>
      <c r="IMS5" s="87"/>
      <c r="IMT5" s="87"/>
      <c r="IMU5" s="87"/>
      <c r="IMV5" s="87"/>
      <c r="IMW5" s="87"/>
      <c r="IMX5" s="87"/>
      <c r="IMY5" s="87"/>
      <c r="IMZ5" s="87"/>
      <c r="INA5" s="87"/>
      <c r="INB5" s="87"/>
      <c r="INC5" s="87"/>
      <c r="IND5" s="87"/>
      <c r="INE5" s="87"/>
      <c r="INF5" s="87"/>
      <c r="ING5" s="87"/>
      <c r="INH5" s="87"/>
      <c r="INI5" s="87"/>
      <c r="INJ5" s="87"/>
      <c r="INK5" s="87"/>
      <c r="INL5" s="87"/>
      <c r="INM5" s="87"/>
      <c r="INN5" s="87"/>
      <c r="INO5" s="87"/>
      <c r="INP5" s="87"/>
      <c r="INQ5" s="87"/>
      <c r="INR5" s="87"/>
      <c r="INS5" s="87"/>
      <c r="INT5" s="87"/>
      <c r="INU5" s="87"/>
      <c r="INV5" s="87"/>
      <c r="INW5" s="87"/>
      <c r="INX5" s="87"/>
      <c r="INY5" s="87"/>
      <c r="INZ5" s="87"/>
      <c r="IOA5" s="87"/>
      <c r="IOB5" s="87"/>
      <c r="IOC5" s="87"/>
      <c r="IOD5" s="87"/>
      <c r="IOE5" s="87"/>
      <c r="IOF5" s="87"/>
      <c r="IOG5" s="87"/>
      <c r="IOH5" s="87"/>
      <c r="IOI5" s="87"/>
      <c r="IOJ5" s="87"/>
      <c r="IOK5" s="87"/>
      <c r="IOL5" s="87"/>
      <c r="IOM5" s="87"/>
      <c r="ION5" s="87"/>
      <c r="IOO5" s="87"/>
      <c r="IOP5" s="87"/>
      <c r="IOQ5" s="87"/>
      <c r="IOR5" s="87"/>
      <c r="IOS5" s="87"/>
      <c r="IOT5" s="87"/>
      <c r="IOU5" s="87"/>
      <c r="IOV5" s="87"/>
      <c r="IOW5" s="87"/>
      <c r="IOX5" s="87"/>
      <c r="IOY5" s="87"/>
      <c r="IOZ5" s="87"/>
      <c r="IPA5" s="87"/>
      <c r="IPB5" s="87"/>
      <c r="IPC5" s="87"/>
      <c r="IPD5" s="87"/>
      <c r="IPE5" s="87"/>
      <c r="IPF5" s="87"/>
      <c r="IPG5" s="87"/>
      <c r="IPH5" s="87"/>
      <c r="IPI5" s="87"/>
      <c r="IPJ5" s="87"/>
      <c r="IPK5" s="87"/>
      <c r="IPL5" s="87"/>
      <c r="IPM5" s="87"/>
      <c r="IPN5" s="87"/>
      <c r="IPO5" s="87"/>
      <c r="IPP5" s="87"/>
      <c r="IPQ5" s="87"/>
      <c r="IPR5" s="87"/>
      <c r="IPS5" s="87"/>
      <c r="IPT5" s="87"/>
      <c r="IPU5" s="87"/>
      <c r="IPV5" s="87"/>
      <c r="IPW5" s="87"/>
      <c r="IPX5" s="87"/>
      <c r="IPY5" s="87"/>
      <c r="IPZ5" s="87"/>
      <c r="IQA5" s="87"/>
      <c r="IQB5" s="87"/>
      <c r="IQC5" s="87"/>
      <c r="IQD5" s="87"/>
      <c r="IQE5" s="87"/>
      <c r="IQF5" s="87"/>
      <c r="IQG5" s="87"/>
      <c r="IQH5" s="87"/>
      <c r="IQI5" s="87"/>
      <c r="IQJ5" s="87"/>
      <c r="IQK5" s="87"/>
      <c r="IQL5" s="87"/>
      <c r="IQM5" s="87"/>
      <c r="IQN5" s="87"/>
      <c r="IQO5" s="87"/>
      <c r="IQP5" s="87"/>
      <c r="IQQ5" s="87"/>
      <c r="IQR5" s="87"/>
      <c r="IQS5" s="87"/>
      <c r="IQT5" s="87"/>
      <c r="IQU5" s="87"/>
      <c r="IQV5" s="87"/>
      <c r="IQW5" s="87"/>
      <c r="IQX5" s="87"/>
      <c r="IQY5" s="87"/>
      <c r="IQZ5" s="87"/>
      <c r="IRA5" s="87"/>
      <c r="IRB5" s="87"/>
      <c r="IRC5" s="87"/>
      <c r="IRD5" s="87"/>
      <c r="IRE5" s="87"/>
      <c r="IRF5" s="87"/>
      <c r="IRG5" s="87"/>
      <c r="IRH5" s="87"/>
      <c r="IRI5" s="87"/>
      <c r="IRJ5" s="87"/>
      <c r="IRK5" s="87"/>
      <c r="IRL5" s="87"/>
      <c r="IRM5" s="87"/>
      <c r="IRN5" s="87"/>
      <c r="IRO5" s="87"/>
      <c r="IRP5" s="87"/>
      <c r="IRQ5" s="87"/>
      <c r="IRR5" s="87"/>
      <c r="IRS5" s="87"/>
      <c r="IRT5" s="87"/>
      <c r="IRU5" s="87"/>
      <c r="IRV5" s="87"/>
      <c r="IRW5" s="87"/>
      <c r="IRX5" s="87"/>
      <c r="IRY5" s="87"/>
      <c r="IRZ5" s="87"/>
      <c r="ISA5" s="87"/>
      <c r="ISB5" s="87"/>
      <c r="ISC5" s="87"/>
      <c r="ISD5" s="87"/>
      <c r="ISE5" s="87"/>
      <c r="ISF5" s="87"/>
      <c r="ISG5" s="87"/>
      <c r="ISH5" s="87"/>
      <c r="ISI5" s="87"/>
      <c r="ISJ5" s="87"/>
      <c r="ISK5" s="87"/>
      <c r="ISL5" s="87"/>
      <c r="ISM5" s="87"/>
      <c r="ISN5" s="87"/>
      <c r="ISO5" s="87"/>
      <c r="ISP5" s="87"/>
      <c r="ISQ5" s="87"/>
      <c r="ISR5" s="87"/>
      <c r="ISS5" s="87"/>
      <c r="IST5" s="87"/>
      <c r="ISU5" s="87"/>
      <c r="ISV5" s="87"/>
      <c r="ISW5" s="87"/>
      <c r="ISX5" s="87"/>
      <c r="ISY5" s="87"/>
      <c r="ISZ5" s="87"/>
      <c r="ITA5" s="87"/>
      <c r="ITB5" s="87"/>
      <c r="ITC5" s="87"/>
      <c r="ITD5" s="87"/>
      <c r="ITE5" s="87"/>
      <c r="ITF5" s="87"/>
      <c r="ITG5" s="87"/>
      <c r="ITH5" s="87"/>
      <c r="ITI5" s="87"/>
      <c r="ITJ5" s="87"/>
      <c r="ITK5" s="87"/>
      <c r="ITL5" s="87"/>
      <c r="ITM5" s="87"/>
      <c r="ITN5" s="87"/>
      <c r="ITO5" s="87"/>
      <c r="ITP5" s="87"/>
      <c r="ITQ5" s="87"/>
      <c r="ITR5" s="87"/>
      <c r="ITS5" s="87"/>
      <c r="ITT5" s="87"/>
      <c r="ITU5" s="87"/>
      <c r="ITV5" s="87"/>
      <c r="ITW5" s="87"/>
      <c r="ITX5" s="87"/>
      <c r="ITY5" s="87"/>
      <c r="ITZ5" s="87"/>
      <c r="IUA5" s="87"/>
      <c r="IUB5" s="87"/>
      <c r="IUC5" s="87"/>
      <c r="IUD5" s="87"/>
      <c r="IUE5" s="87"/>
      <c r="IUF5" s="87"/>
      <c r="IUG5" s="87"/>
      <c r="IUH5" s="87"/>
      <c r="IUI5" s="87"/>
      <c r="IUJ5" s="87"/>
      <c r="IUK5" s="87"/>
      <c r="IUL5" s="87"/>
      <c r="IUM5" s="87"/>
      <c r="IUN5" s="87"/>
      <c r="IUO5" s="87"/>
      <c r="IUP5" s="87"/>
      <c r="IUQ5" s="87"/>
      <c r="IUR5" s="87"/>
      <c r="IUS5" s="87"/>
      <c r="IUT5" s="87"/>
      <c r="IUU5" s="87"/>
      <c r="IUV5" s="87"/>
      <c r="IUW5" s="87"/>
      <c r="IUX5" s="87"/>
      <c r="IUY5" s="87"/>
      <c r="IUZ5" s="87"/>
      <c r="IVA5" s="87"/>
      <c r="IVB5" s="87"/>
      <c r="IVC5" s="87"/>
      <c r="IVD5" s="87"/>
      <c r="IVE5" s="87"/>
      <c r="IVF5" s="87"/>
      <c r="IVG5" s="87"/>
      <c r="IVH5" s="87"/>
      <c r="IVI5" s="87"/>
      <c r="IVJ5" s="87"/>
      <c r="IVK5" s="87"/>
      <c r="IVL5" s="87"/>
      <c r="IVM5" s="87"/>
      <c r="IVN5" s="87"/>
      <c r="IVO5" s="87"/>
      <c r="IVP5" s="87"/>
      <c r="IVQ5" s="87"/>
      <c r="IVR5" s="87"/>
      <c r="IVS5" s="87"/>
      <c r="IVT5" s="87"/>
      <c r="IVU5" s="87"/>
      <c r="IVV5" s="87"/>
      <c r="IVW5" s="87"/>
      <c r="IVX5" s="87"/>
      <c r="IVY5" s="87"/>
      <c r="IVZ5" s="87"/>
      <c r="IWA5" s="87"/>
      <c r="IWB5" s="87"/>
      <c r="IWC5" s="87"/>
      <c r="IWD5" s="87"/>
      <c r="IWE5" s="87"/>
      <c r="IWF5" s="87"/>
      <c r="IWG5" s="87"/>
      <c r="IWH5" s="87"/>
      <c r="IWI5" s="87"/>
      <c r="IWJ5" s="87"/>
      <c r="IWK5" s="87"/>
      <c r="IWL5" s="87"/>
      <c r="IWM5" s="87"/>
      <c r="IWN5" s="87"/>
      <c r="IWO5" s="87"/>
      <c r="IWP5" s="87"/>
      <c r="IWQ5" s="87"/>
      <c r="IWR5" s="87"/>
      <c r="IWS5" s="87"/>
      <c r="IWT5" s="87"/>
      <c r="IWU5" s="87"/>
      <c r="IWV5" s="87"/>
      <c r="IWW5" s="87"/>
      <c r="IWX5" s="87"/>
      <c r="IWY5" s="87"/>
      <c r="IWZ5" s="87"/>
      <c r="IXA5" s="87"/>
      <c r="IXB5" s="87"/>
      <c r="IXC5" s="87"/>
      <c r="IXD5" s="87"/>
      <c r="IXE5" s="87"/>
      <c r="IXF5" s="87"/>
      <c r="IXG5" s="87"/>
      <c r="IXH5" s="87"/>
      <c r="IXI5" s="87"/>
      <c r="IXJ5" s="87"/>
      <c r="IXK5" s="87"/>
      <c r="IXL5" s="87"/>
      <c r="IXM5" s="87"/>
      <c r="IXN5" s="87"/>
      <c r="IXO5" s="87"/>
      <c r="IXP5" s="87"/>
      <c r="IXQ5" s="87"/>
      <c r="IXR5" s="87"/>
      <c r="IXS5" s="87"/>
      <c r="IXT5" s="87"/>
      <c r="IXU5" s="87"/>
      <c r="IXV5" s="87"/>
      <c r="IXW5" s="87"/>
      <c r="IXX5" s="87"/>
      <c r="IXY5" s="87"/>
      <c r="IXZ5" s="87"/>
      <c r="IYA5" s="87"/>
      <c r="IYB5" s="87"/>
      <c r="IYC5" s="87"/>
      <c r="IYD5" s="87"/>
      <c r="IYE5" s="87"/>
      <c r="IYF5" s="87"/>
      <c r="IYG5" s="87"/>
      <c r="IYH5" s="87"/>
      <c r="IYI5" s="87"/>
      <c r="IYJ5" s="87"/>
      <c r="IYK5" s="87"/>
      <c r="IYL5" s="87"/>
      <c r="IYM5" s="87"/>
      <c r="IYN5" s="87"/>
      <c r="IYO5" s="87"/>
      <c r="IYP5" s="87"/>
      <c r="IYQ5" s="87"/>
      <c r="IYR5" s="87"/>
      <c r="IYS5" s="87"/>
      <c r="IYT5" s="87"/>
      <c r="IYU5" s="87"/>
      <c r="IYV5" s="87"/>
      <c r="IYW5" s="87"/>
      <c r="IYX5" s="87"/>
      <c r="IYY5" s="87"/>
      <c r="IYZ5" s="87"/>
      <c r="IZA5" s="87"/>
      <c r="IZB5" s="87"/>
      <c r="IZC5" s="87"/>
      <c r="IZD5" s="87"/>
      <c r="IZE5" s="87"/>
      <c r="IZF5" s="87"/>
      <c r="IZG5" s="87"/>
      <c r="IZH5" s="87"/>
      <c r="IZI5" s="87"/>
      <c r="IZJ5" s="87"/>
      <c r="IZK5" s="87"/>
      <c r="IZL5" s="87"/>
      <c r="IZM5" s="87"/>
      <c r="IZN5" s="87"/>
      <c r="IZO5" s="87"/>
      <c r="IZP5" s="87"/>
      <c r="IZQ5" s="87"/>
      <c r="IZR5" s="87"/>
      <c r="IZS5" s="87"/>
      <c r="IZT5" s="87"/>
      <c r="IZU5" s="87"/>
      <c r="IZV5" s="87"/>
      <c r="IZW5" s="87"/>
      <c r="IZX5" s="87"/>
      <c r="IZY5" s="87"/>
      <c r="IZZ5" s="87"/>
      <c r="JAA5" s="87"/>
      <c r="JAB5" s="87"/>
      <c r="JAC5" s="87"/>
      <c r="JAD5" s="87"/>
      <c r="JAE5" s="87"/>
      <c r="JAF5" s="87"/>
      <c r="JAG5" s="87"/>
      <c r="JAH5" s="87"/>
      <c r="JAI5" s="87"/>
      <c r="JAJ5" s="87"/>
      <c r="JAK5" s="87"/>
      <c r="JAL5" s="87"/>
      <c r="JAM5" s="87"/>
      <c r="JAN5" s="87"/>
      <c r="JAO5" s="87"/>
      <c r="JAP5" s="87"/>
      <c r="JAQ5" s="87"/>
      <c r="JAR5" s="87"/>
      <c r="JAS5" s="87"/>
      <c r="JAT5" s="87"/>
      <c r="JAU5" s="87"/>
      <c r="JAV5" s="87"/>
      <c r="JAW5" s="87"/>
      <c r="JAX5" s="87"/>
      <c r="JAY5" s="87"/>
      <c r="JAZ5" s="87"/>
      <c r="JBA5" s="87"/>
      <c r="JBB5" s="87"/>
      <c r="JBC5" s="87"/>
      <c r="JBD5" s="87"/>
      <c r="JBE5" s="87"/>
      <c r="JBF5" s="87"/>
      <c r="JBG5" s="87"/>
      <c r="JBH5" s="87"/>
      <c r="JBI5" s="87"/>
      <c r="JBJ5" s="87"/>
      <c r="JBK5" s="87"/>
      <c r="JBL5" s="87"/>
      <c r="JBM5" s="87"/>
      <c r="JBN5" s="87"/>
      <c r="JBO5" s="87"/>
      <c r="JBP5" s="87"/>
      <c r="JBQ5" s="87"/>
      <c r="JBR5" s="87"/>
      <c r="JBS5" s="87"/>
      <c r="JBT5" s="87"/>
      <c r="JBU5" s="87"/>
      <c r="JBV5" s="87"/>
      <c r="JBW5" s="87"/>
      <c r="JBX5" s="87"/>
      <c r="JBY5" s="87"/>
      <c r="JBZ5" s="87"/>
      <c r="JCA5" s="87"/>
      <c r="JCB5" s="87"/>
      <c r="JCC5" s="87"/>
      <c r="JCD5" s="87"/>
      <c r="JCE5" s="87"/>
      <c r="JCF5" s="87"/>
      <c r="JCG5" s="87"/>
      <c r="JCH5" s="87"/>
      <c r="JCI5" s="87"/>
      <c r="JCJ5" s="87"/>
      <c r="JCK5" s="87"/>
      <c r="JCL5" s="87"/>
      <c r="JCM5" s="87"/>
      <c r="JCN5" s="87"/>
      <c r="JCO5" s="87"/>
      <c r="JCP5" s="87"/>
      <c r="JCQ5" s="87"/>
      <c r="JCR5" s="87"/>
      <c r="JCS5" s="87"/>
      <c r="JCT5" s="87"/>
      <c r="JCU5" s="87"/>
      <c r="JCV5" s="87"/>
      <c r="JCW5" s="87"/>
      <c r="JCX5" s="87"/>
      <c r="JCY5" s="87"/>
      <c r="JCZ5" s="87"/>
      <c r="JDA5" s="87"/>
      <c r="JDB5" s="87"/>
      <c r="JDC5" s="87"/>
      <c r="JDD5" s="87"/>
      <c r="JDE5" s="87"/>
      <c r="JDF5" s="87"/>
      <c r="JDG5" s="87"/>
      <c r="JDH5" s="87"/>
      <c r="JDI5" s="87"/>
      <c r="JDJ5" s="87"/>
      <c r="JDK5" s="87"/>
      <c r="JDL5" s="87"/>
      <c r="JDM5" s="87"/>
      <c r="JDN5" s="87"/>
      <c r="JDO5" s="87"/>
      <c r="JDP5" s="87"/>
      <c r="JDQ5" s="87"/>
      <c r="JDR5" s="87"/>
      <c r="JDS5" s="87"/>
      <c r="JDT5" s="87"/>
      <c r="JDU5" s="87"/>
      <c r="JDV5" s="87"/>
      <c r="JDW5" s="87"/>
      <c r="JDX5" s="87"/>
      <c r="JDY5" s="87"/>
      <c r="JDZ5" s="87"/>
      <c r="JEA5" s="87"/>
      <c r="JEB5" s="87"/>
      <c r="JEC5" s="87"/>
      <c r="JED5" s="87"/>
      <c r="JEE5" s="87"/>
      <c r="JEF5" s="87"/>
      <c r="JEG5" s="87"/>
      <c r="JEH5" s="87"/>
      <c r="JEI5" s="87"/>
      <c r="JEJ5" s="87"/>
      <c r="JEK5" s="87"/>
      <c r="JEL5" s="87"/>
      <c r="JEM5" s="87"/>
      <c r="JEN5" s="87"/>
      <c r="JEO5" s="87"/>
      <c r="JEP5" s="87"/>
      <c r="JEQ5" s="87"/>
      <c r="JER5" s="87"/>
      <c r="JES5" s="87"/>
      <c r="JET5" s="87"/>
      <c r="JEU5" s="87"/>
      <c r="JEV5" s="87"/>
      <c r="JEW5" s="87"/>
      <c r="JEX5" s="87"/>
      <c r="JEY5" s="87"/>
      <c r="JEZ5" s="87"/>
      <c r="JFA5" s="87"/>
      <c r="JFB5" s="87"/>
      <c r="JFC5" s="87"/>
      <c r="JFD5" s="87"/>
      <c r="JFE5" s="87"/>
      <c r="JFF5" s="87"/>
      <c r="JFG5" s="87"/>
      <c r="JFH5" s="87"/>
      <c r="JFI5" s="87"/>
      <c r="JFJ5" s="87"/>
      <c r="JFK5" s="87"/>
      <c r="JFL5" s="87"/>
      <c r="JFM5" s="87"/>
      <c r="JFN5" s="87"/>
      <c r="JFO5" s="87"/>
      <c r="JFP5" s="87"/>
      <c r="JFQ5" s="87"/>
      <c r="JFR5" s="87"/>
      <c r="JFS5" s="87"/>
      <c r="JFT5" s="87"/>
      <c r="JFU5" s="87"/>
      <c r="JFV5" s="87"/>
      <c r="JFW5" s="87"/>
      <c r="JFX5" s="87"/>
      <c r="JFY5" s="87"/>
      <c r="JFZ5" s="87"/>
      <c r="JGA5" s="87"/>
      <c r="JGB5" s="87"/>
      <c r="JGC5" s="87"/>
      <c r="JGD5" s="87"/>
      <c r="JGE5" s="87"/>
      <c r="JGF5" s="87"/>
      <c r="JGG5" s="87"/>
      <c r="JGH5" s="87"/>
      <c r="JGI5" s="87"/>
      <c r="JGJ5" s="87"/>
      <c r="JGK5" s="87"/>
      <c r="JGL5" s="87"/>
      <c r="JGM5" s="87"/>
      <c r="JGN5" s="87"/>
      <c r="JGO5" s="87"/>
      <c r="JGP5" s="87"/>
      <c r="JGQ5" s="87"/>
      <c r="JGR5" s="87"/>
      <c r="JGS5" s="87"/>
      <c r="JGT5" s="87"/>
      <c r="JGU5" s="87"/>
      <c r="JGV5" s="87"/>
      <c r="JGW5" s="87"/>
      <c r="JGX5" s="87"/>
      <c r="JGY5" s="87"/>
      <c r="JGZ5" s="87"/>
      <c r="JHA5" s="87"/>
      <c r="JHB5" s="87"/>
      <c r="JHC5" s="87"/>
      <c r="JHD5" s="87"/>
      <c r="JHE5" s="87"/>
      <c r="JHF5" s="87"/>
      <c r="JHG5" s="87"/>
      <c r="JHH5" s="87"/>
      <c r="JHI5" s="87"/>
      <c r="JHJ5" s="87"/>
      <c r="JHK5" s="87"/>
      <c r="JHL5" s="87"/>
      <c r="JHM5" s="87"/>
      <c r="JHN5" s="87"/>
      <c r="JHO5" s="87"/>
      <c r="JHP5" s="87"/>
      <c r="JHQ5" s="87"/>
      <c r="JHR5" s="87"/>
      <c r="JHS5" s="87"/>
      <c r="JHT5" s="87"/>
      <c r="JHU5" s="87"/>
      <c r="JHV5" s="87"/>
      <c r="JHW5" s="87"/>
      <c r="JHX5" s="87"/>
      <c r="JHY5" s="87"/>
      <c r="JHZ5" s="87"/>
      <c r="JIA5" s="87"/>
      <c r="JIB5" s="87"/>
      <c r="JIC5" s="87"/>
      <c r="JID5" s="87"/>
      <c r="JIE5" s="87"/>
      <c r="JIF5" s="87"/>
      <c r="JIG5" s="87"/>
      <c r="JIH5" s="87"/>
      <c r="JII5" s="87"/>
      <c r="JIJ5" s="87"/>
      <c r="JIK5" s="87"/>
      <c r="JIL5" s="87"/>
      <c r="JIM5" s="87"/>
      <c r="JIN5" s="87"/>
      <c r="JIO5" s="87"/>
      <c r="JIP5" s="87"/>
      <c r="JIQ5" s="87"/>
      <c r="JIR5" s="87"/>
      <c r="JIS5" s="87"/>
      <c r="JIT5" s="87"/>
      <c r="JIU5" s="87"/>
      <c r="JIV5" s="87"/>
      <c r="JIW5" s="87"/>
      <c r="JIX5" s="87"/>
      <c r="JIY5" s="87"/>
      <c r="JIZ5" s="87"/>
      <c r="JJA5" s="87"/>
      <c r="JJB5" s="87"/>
      <c r="JJC5" s="87"/>
      <c r="JJD5" s="87"/>
      <c r="JJE5" s="87"/>
      <c r="JJF5" s="87"/>
      <c r="JJG5" s="87"/>
      <c r="JJH5" s="87"/>
      <c r="JJI5" s="87"/>
      <c r="JJJ5" s="87"/>
      <c r="JJK5" s="87"/>
      <c r="JJL5" s="87"/>
      <c r="JJM5" s="87"/>
      <c r="JJN5" s="87"/>
      <c r="JJO5" s="87"/>
      <c r="JJP5" s="87"/>
      <c r="JJQ5" s="87"/>
      <c r="JJR5" s="87"/>
      <c r="JJS5" s="87"/>
      <c r="JJT5" s="87"/>
      <c r="JJU5" s="87"/>
      <c r="JJV5" s="87"/>
      <c r="JJW5" s="87"/>
      <c r="JJX5" s="87"/>
      <c r="JJY5" s="87"/>
      <c r="JJZ5" s="87"/>
      <c r="JKA5" s="87"/>
      <c r="JKB5" s="87"/>
      <c r="JKC5" s="87"/>
      <c r="JKD5" s="87"/>
      <c r="JKE5" s="87"/>
      <c r="JKF5" s="87"/>
      <c r="JKG5" s="87"/>
      <c r="JKH5" s="87"/>
      <c r="JKI5" s="87"/>
      <c r="JKJ5" s="87"/>
      <c r="JKK5" s="87"/>
      <c r="JKL5" s="87"/>
      <c r="JKM5" s="87"/>
      <c r="JKN5" s="87"/>
      <c r="JKO5" s="87"/>
      <c r="JKP5" s="87"/>
      <c r="JKQ5" s="87"/>
      <c r="JKR5" s="87"/>
      <c r="JKS5" s="87"/>
      <c r="JKT5" s="87"/>
      <c r="JKU5" s="87"/>
      <c r="JKV5" s="87"/>
      <c r="JKW5" s="87"/>
      <c r="JKX5" s="87"/>
      <c r="JKY5" s="87"/>
      <c r="JKZ5" s="87"/>
      <c r="JLA5" s="87"/>
      <c r="JLB5" s="87"/>
      <c r="JLC5" s="87"/>
      <c r="JLD5" s="87"/>
      <c r="JLE5" s="87"/>
      <c r="JLF5" s="87"/>
      <c r="JLG5" s="87"/>
      <c r="JLH5" s="87"/>
      <c r="JLI5" s="87"/>
      <c r="JLJ5" s="87"/>
      <c r="JLK5" s="87"/>
      <c r="JLL5" s="87"/>
      <c r="JLM5" s="87"/>
      <c r="JLN5" s="87"/>
      <c r="JLO5" s="87"/>
      <c r="JLP5" s="87"/>
      <c r="JLQ5" s="87"/>
      <c r="JLR5" s="87"/>
      <c r="JLS5" s="87"/>
      <c r="JLT5" s="87"/>
      <c r="JLU5" s="87"/>
      <c r="JLV5" s="87"/>
      <c r="JLW5" s="87"/>
      <c r="JLX5" s="87"/>
      <c r="JLY5" s="87"/>
      <c r="JLZ5" s="87"/>
      <c r="JMA5" s="87"/>
      <c r="JMB5" s="87"/>
      <c r="JMC5" s="87"/>
      <c r="JMD5" s="87"/>
      <c r="JME5" s="87"/>
      <c r="JMF5" s="87"/>
      <c r="JMG5" s="87"/>
      <c r="JMH5" s="87"/>
      <c r="JMI5" s="87"/>
      <c r="JMJ5" s="87"/>
      <c r="JMK5" s="87"/>
      <c r="JML5" s="87"/>
      <c r="JMM5" s="87"/>
      <c r="JMN5" s="87"/>
      <c r="JMO5" s="87"/>
      <c r="JMP5" s="87"/>
      <c r="JMQ5" s="87"/>
      <c r="JMR5" s="87"/>
      <c r="JMS5" s="87"/>
      <c r="JMT5" s="87"/>
      <c r="JMU5" s="87"/>
      <c r="JMV5" s="87"/>
      <c r="JMW5" s="87"/>
      <c r="JMX5" s="87"/>
      <c r="JMY5" s="87"/>
      <c r="JMZ5" s="87"/>
      <c r="JNA5" s="87"/>
      <c r="JNB5" s="87"/>
      <c r="JNC5" s="87"/>
      <c r="JND5" s="87"/>
      <c r="JNE5" s="87"/>
      <c r="JNF5" s="87"/>
      <c r="JNG5" s="87"/>
      <c r="JNH5" s="87"/>
      <c r="JNI5" s="87"/>
      <c r="JNJ5" s="87"/>
      <c r="JNK5" s="87"/>
      <c r="JNL5" s="87"/>
      <c r="JNM5" s="87"/>
      <c r="JNN5" s="87"/>
      <c r="JNO5" s="87"/>
      <c r="JNP5" s="87"/>
      <c r="JNQ5" s="87"/>
      <c r="JNR5" s="87"/>
      <c r="JNS5" s="87"/>
      <c r="JNT5" s="87"/>
      <c r="JNU5" s="87"/>
      <c r="JNV5" s="87"/>
      <c r="JNW5" s="87"/>
      <c r="JNX5" s="87"/>
      <c r="JNY5" s="87"/>
      <c r="JNZ5" s="87"/>
      <c r="JOA5" s="87"/>
      <c r="JOB5" s="87"/>
      <c r="JOC5" s="87"/>
      <c r="JOD5" s="87"/>
      <c r="JOE5" s="87"/>
      <c r="JOF5" s="87"/>
      <c r="JOG5" s="87"/>
      <c r="JOH5" s="87"/>
      <c r="JOI5" s="87"/>
      <c r="JOJ5" s="87"/>
      <c r="JOK5" s="87"/>
      <c r="JOL5" s="87"/>
      <c r="JOM5" s="87"/>
      <c r="JON5" s="87"/>
      <c r="JOO5" s="87"/>
      <c r="JOP5" s="87"/>
      <c r="JOQ5" s="87"/>
      <c r="JOR5" s="87"/>
      <c r="JOS5" s="87"/>
      <c r="JOT5" s="87"/>
      <c r="JOU5" s="87"/>
      <c r="JOV5" s="87"/>
      <c r="JOW5" s="87"/>
      <c r="JOX5" s="87"/>
      <c r="JOY5" s="87"/>
      <c r="JOZ5" s="87"/>
      <c r="JPA5" s="87"/>
      <c r="JPB5" s="87"/>
      <c r="JPC5" s="87"/>
      <c r="JPD5" s="87"/>
      <c r="JPE5" s="87"/>
      <c r="JPF5" s="87"/>
      <c r="JPG5" s="87"/>
      <c r="JPH5" s="87"/>
      <c r="JPI5" s="87"/>
      <c r="JPJ5" s="87"/>
      <c r="JPK5" s="87"/>
      <c r="JPL5" s="87"/>
      <c r="JPM5" s="87"/>
      <c r="JPN5" s="87"/>
      <c r="JPO5" s="87"/>
      <c r="JPP5" s="87"/>
      <c r="JPQ5" s="87"/>
      <c r="JPR5" s="87"/>
      <c r="JPS5" s="87"/>
      <c r="JPT5" s="87"/>
      <c r="JPU5" s="87"/>
      <c r="JPV5" s="87"/>
      <c r="JPW5" s="87"/>
      <c r="JPX5" s="87"/>
      <c r="JPY5" s="87"/>
      <c r="JPZ5" s="87"/>
      <c r="JQA5" s="87"/>
      <c r="JQB5" s="87"/>
      <c r="JQC5" s="87"/>
      <c r="JQD5" s="87"/>
      <c r="JQE5" s="87"/>
      <c r="JQF5" s="87"/>
      <c r="JQG5" s="87"/>
      <c r="JQH5" s="87"/>
      <c r="JQI5" s="87"/>
      <c r="JQJ5" s="87"/>
      <c r="JQK5" s="87"/>
      <c r="JQL5" s="87"/>
      <c r="JQM5" s="87"/>
      <c r="JQN5" s="87"/>
      <c r="JQO5" s="87"/>
      <c r="JQP5" s="87"/>
      <c r="JQQ5" s="87"/>
      <c r="JQR5" s="87"/>
      <c r="JQS5" s="87"/>
      <c r="JQT5" s="87"/>
      <c r="JQU5" s="87"/>
      <c r="JQV5" s="87"/>
      <c r="JQW5" s="87"/>
      <c r="JQX5" s="87"/>
      <c r="JQY5" s="87"/>
      <c r="JQZ5" s="87"/>
      <c r="JRA5" s="87"/>
      <c r="JRB5" s="87"/>
      <c r="JRC5" s="87"/>
      <c r="JRD5" s="87"/>
      <c r="JRE5" s="87"/>
      <c r="JRF5" s="87"/>
      <c r="JRG5" s="87"/>
      <c r="JRH5" s="87"/>
      <c r="JRI5" s="87"/>
      <c r="JRJ5" s="87"/>
      <c r="JRK5" s="87"/>
      <c r="JRL5" s="87"/>
      <c r="JRM5" s="87"/>
      <c r="JRN5" s="87"/>
      <c r="JRO5" s="87"/>
      <c r="JRP5" s="87"/>
      <c r="JRQ5" s="87"/>
      <c r="JRR5" s="87"/>
      <c r="JRS5" s="87"/>
      <c r="JRT5" s="87"/>
      <c r="JRU5" s="87"/>
      <c r="JRV5" s="87"/>
      <c r="JRW5" s="87"/>
      <c r="JRX5" s="87"/>
      <c r="JRY5" s="87"/>
      <c r="JRZ5" s="87"/>
      <c r="JSA5" s="87"/>
      <c r="JSB5" s="87"/>
      <c r="JSC5" s="87"/>
      <c r="JSD5" s="87"/>
      <c r="JSE5" s="87"/>
      <c r="JSF5" s="87"/>
      <c r="JSG5" s="87"/>
      <c r="JSH5" s="87"/>
      <c r="JSI5" s="87"/>
      <c r="JSJ5" s="87"/>
      <c r="JSK5" s="87"/>
      <c r="JSL5" s="87"/>
      <c r="JSM5" s="87"/>
      <c r="JSN5" s="87"/>
      <c r="JSO5" s="87"/>
      <c r="JSP5" s="87"/>
      <c r="JSQ5" s="87"/>
      <c r="JSR5" s="87"/>
      <c r="JSS5" s="87"/>
      <c r="JST5" s="87"/>
      <c r="JSU5" s="87"/>
      <c r="JSV5" s="87"/>
      <c r="JSW5" s="87"/>
      <c r="JSX5" s="87"/>
      <c r="JSY5" s="87"/>
      <c r="JSZ5" s="87"/>
      <c r="JTA5" s="87"/>
      <c r="JTB5" s="87"/>
      <c r="JTC5" s="87"/>
      <c r="JTD5" s="87"/>
      <c r="JTE5" s="87"/>
      <c r="JTF5" s="87"/>
      <c r="JTG5" s="87"/>
      <c r="JTH5" s="87"/>
      <c r="JTI5" s="87"/>
      <c r="JTJ5" s="87"/>
      <c r="JTK5" s="87"/>
      <c r="JTL5" s="87"/>
      <c r="JTM5" s="87"/>
      <c r="JTN5" s="87"/>
      <c r="JTO5" s="87"/>
      <c r="JTP5" s="87"/>
      <c r="JTQ5" s="87"/>
      <c r="JTR5" s="87"/>
      <c r="JTS5" s="87"/>
      <c r="JTT5" s="87"/>
      <c r="JTU5" s="87"/>
      <c r="JTV5" s="87"/>
      <c r="JTW5" s="87"/>
      <c r="JTX5" s="87"/>
      <c r="JTY5" s="87"/>
      <c r="JTZ5" s="87"/>
      <c r="JUA5" s="87"/>
      <c r="JUB5" s="87"/>
      <c r="JUC5" s="87"/>
      <c r="JUD5" s="87"/>
      <c r="JUE5" s="87"/>
      <c r="JUF5" s="87"/>
      <c r="JUG5" s="87"/>
      <c r="JUH5" s="87"/>
      <c r="JUI5" s="87"/>
      <c r="JUJ5" s="87"/>
      <c r="JUK5" s="87"/>
      <c r="JUL5" s="87"/>
      <c r="JUM5" s="87"/>
      <c r="JUN5" s="87"/>
      <c r="JUO5" s="87"/>
      <c r="JUP5" s="87"/>
      <c r="JUQ5" s="87"/>
      <c r="JUR5" s="87"/>
      <c r="JUS5" s="87"/>
      <c r="JUT5" s="87"/>
      <c r="JUU5" s="87"/>
      <c r="JUV5" s="87"/>
      <c r="JUW5" s="87"/>
      <c r="JUX5" s="87"/>
      <c r="JUY5" s="87"/>
      <c r="JUZ5" s="87"/>
      <c r="JVA5" s="87"/>
      <c r="JVB5" s="87"/>
      <c r="JVC5" s="87"/>
      <c r="JVD5" s="87"/>
      <c r="JVE5" s="87"/>
      <c r="JVF5" s="87"/>
      <c r="JVG5" s="87"/>
      <c r="JVH5" s="87"/>
      <c r="JVI5" s="87"/>
      <c r="JVJ5" s="87"/>
      <c r="JVK5" s="87"/>
      <c r="JVL5" s="87"/>
      <c r="JVM5" s="87"/>
      <c r="JVN5" s="87"/>
      <c r="JVO5" s="87"/>
      <c r="JVP5" s="87"/>
      <c r="JVQ5" s="87"/>
      <c r="JVR5" s="87"/>
      <c r="JVS5" s="87"/>
      <c r="JVT5" s="87"/>
      <c r="JVU5" s="87"/>
      <c r="JVV5" s="87"/>
      <c r="JVW5" s="87"/>
      <c r="JVX5" s="87"/>
      <c r="JVY5" s="87"/>
      <c r="JVZ5" s="87"/>
      <c r="JWA5" s="87"/>
      <c r="JWB5" s="87"/>
      <c r="JWC5" s="87"/>
      <c r="JWD5" s="87"/>
      <c r="JWE5" s="87"/>
      <c r="JWF5" s="87"/>
      <c r="JWG5" s="87"/>
      <c r="JWH5" s="87"/>
      <c r="JWI5" s="87"/>
      <c r="JWJ5" s="87"/>
      <c r="JWK5" s="87"/>
      <c r="JWL5" s="87"/>
      <c r="JWM5" s="87"/>
      <c r="JWN5" s="87"/>
      <c r="JWO5" s="87"/>
      <c r="JWP5" s="87"/>
      <c r="JWQ5" s="87"/>
      <c r="JWR5" s="87"/>
      <c r="JWS5" s="87"/>
      <c r="JWT5" s="87"/>
      <c r="JWU5" s="87"/>
      <c r="JWV5" s="87"/>
      <c r="JWW5" s="87"/>
      <c r="JWX5" s="87"/>
      <c r="JWY5" s="87"/>
      <c r="JWZ5" s="87"/>
      <c r="JXA5" s="87"/>
      <c r="JXB5" s="87"/>
      <c r="JXC5" s="87"/>
      <c r="JXD5" s="87"/>
      <c r="JXE5" s="87"/>
      <c r="JXF5" s="87"/>
      <c r="JXG5" s="87"/>
      <c r="JXH5" s="87"/>
      <c r="JXI5" s="87"/>
      <c r="JXJ5" s="87"/>
      <c r="JXK5" s="87"/>
      <c r="JXL5" s="87"/>
      <c r="JXM5" s="87"/>
      <c r="JXN5" s="87"/>
      <c r="JXO5" s="87"/>
      <c r="JXP5" s="87"/>
      <c r="JXQ5" s="87"/>
      <c r="JXR5" s="87"/>
      <c r="JXS5" s="87"/>
      <c r="JXT5" s="87"/>
      <c r="JXU5" s="87"/>
      <c r="JXV5" s="87"/>
      <c r="JXW5" s="87"/>
      <c r="JXX5" s="87"/>
      <c r="JXY5" s="87"/>
      <c r="JXZ5" s="87"/>
      <c r="JYA5" s="87"/>
      <c r="JYB5" s="87"/>
      <c r="JYC5" s="87"/>
      <c r="JYD5" s="87"/>
      <c r="JYE5" s="87"/>
      <c r="JYF5" s="87"/>
      <c r="JYG5" s="87"/>
      <c r="JYH5" s="87"/>
      <c r="JYI5" s="87"/>
      <c r="JYJ5" s="87"/>
      <c r="JYK5" s="87"/>
      <c r="JYL5" s="87"/>
      <c r="JYM5" s="87"/>
      <c r="JYN5" s="87"/>
      <c r="JYO5" s="87"/>
      <c r="JYP5" s="87"/>
      <c r="JYQ5" s="87"/>
      <c r="JYR5" s="87"/>
      <c r="JYS5" s="87"/>
      <c r="JYT5" s="87"/>
      <c r="JYU5" s="87"/>
      <c r="JYV5" s="87"/>
      <c r="JYW5" s="87"/>
      <c r="JYX5" s="87"/>
      <c r="JYY5" s="87"/>
      <c r="JYZ5" s="87"/>
      <c r="JZA5" s="87"/>
      <c r="JZB5" s="87"/>
      <c r="JZC5" s="87"/>
      <c r="JZD5" s="87"/>
      <c r="JZE5" s="87"/>
      <c r="JZF5" s="87"/>
      <c r="JZG5" s="87"/>
      <c r="JZH5" s="87"/>
      <c r="JZI5" s="87"/>
      <c r="JZJ5" s="87"/>
      <c r="JZK5" s="87"/>
      <c r="JZL5" s="87"/>
      <c r="JZM5" s="87"/>
      <c r="JZN5" s="87"/>
      <c r="JZO5" s="87"/>
      <c r="JZP5" s="87"/>
      <c r="JZQ5" s="87"/>
      <c r="JZR5" s="87"/>
      <c r="JZS5" s="87"/>
      <c r="JZT5" s="87"/>
      <c r="JZU5" s="87"/>
      <c r="JZV5" s="87"/>
      <c r="JZW5" s="87"/>
      <c r="JZX5" s="87"/>
      <c r="JZY5" s="87"/>
      <c r="JZZ5" s="87"/>
      <c r="KAA5" s="87"/>
      <c r="KAB5" s="87"/>
      <c r="KAC5" s="87"/>
      <c r="KAD5" s="87"/>
      <c r="KAE5" s="87"/>
      <c r="KAF5" s="87"/>
      <c r="KAG5" s="87"/>
      <c r="KAH5" s="87"/>
      <c r="KAI5" s="87"/>
      <c r="KAJ5" s="87"/>
      <c r="KAK5" s="87"/>
      <c r="KAL5" s="87"/>
      <c r="KAM5" s="87"/>
      <c r="KAN5" s="87"/>
      <c r="KAO5" s="87"/>
      <c r="KAP5" s="87"/>
      <c r="KAQ5" s="87"/>
      <c r="KAR5" s="87"/>
      <c r="KAS5" s="87"/>
      <c r="KAT5" s="87"/>
      <c r="KAU5" s="87"/>
      <c r="KAV5" s="87"/>
      <c r="KAW5" s="87"/>
      <c r="KAX5" s="87"/>
      <c r="KAY5" s="87"/>
      <c r="KAZ5" s="87"/>
      <c r="KBA5" s="87"/>
      <c r="KBB5" s="87"/>
      <c r="KBC5" s="87"/>
      <c r="KBD5" s="87"/>
      <c r="KBE5" s="87"/>
      <c r="KBF5" s="87"/>
      <c r="KBG5" s="87"/>
      <c r="KBH5" s="87"/>
      <c r="KBI5" s="87"/>
      <c r="KBJ5" s="87"/>
      <c r="KBK5" s="87"/>
      <c r="KBL5" s="87"/>
      <c r="KBM5" s="87"/>
      <c r="KBN5" s="87"/>
      <c r="KBO5" s="87"/>
      <c r="KBP5" s="87"/>
      <c r="KBQ5" s="87"/>
      <c r="KBR5" s="87"/>
      <c r="KBS5" s="87"/>
      <c r="KBT5" s="87"/>
      <c r="KBU5" s="87"/>
      <c r="KBV5" s="87"/>
      <c r="KBW5" s="87"/>
      <c r="KBX5" s="87"/>
      <c r="KBY5" s="87"/>
      <c r="KBZ5" s="87"/>
      <c r="KCA5" s="87"/>
      <c r="KCB5" s="87"/>
      <c r="KCC5" s="87"/>
      <c r="KCD5" s="87"/>
      <c r="KCE5" s="87"/>
      <c r="KCF5" s="87"/>
      <c r="KCG5" s="87"/>
      <c r="KCH5" s="87"/>
      <c r="KCI5" s="87"/>
      <c r="KCJ5" s="87"/>
      <c r="KCK5" s="87"/>
      <c r="KCL5" s="87"/>
      <c r="KCM5" s="87"/>
      <c r="KCN5" s="87"/>
      <c r="KCO5" s="87"/>
      <c r="KCP5" s="87"/>
      <c r="KCQ5" s="87"/>
      <c r="KCR5" s="87"/>
      <c r="KCS5" s="87"/>
      <c r="KCT5" s="87"/>
      <c r="KCU5" s="87"/>
      <c r="KCV5" s="87"/>
      <c r="KCW5" s="87"/>
      <c r="KCX5" s="87"/>
      <c r="KCY5" s="87"/>
      <c r="KCZ5" s="87"/>
      <c r="KDA5" s="87"/>
      <c r="KDB5" s="87"/>
      <c r="KDC5" s="87"/>
      <c r="KDD5" s="87"/>
      <c r="KDE5" s="87"/>
      <c r="KDF5" s="87"/>
      <c r="KDG5" s="87"/>
      <c r="KDH5" s="87"/>
      <c r="KDI5" s="87"/>
      <c r="KDJ5" s="87"/>
      <c r="KDK5" s="87"/>
      <c r="KDL5" s="87"/>
      <c r="KDM5" s="87"/>
      <c r="KDN5" s="87"/>
      <c r="KDO5" s="87"/>
      <c r="KDP5" s="87"/>
      <c r="KDQ5" s="87"/>
      <c r="KDR5" s="87"/>
      <c r="KDS5" s="87"/>
      <c r="KDT5" s="87"/>
      <c r="KDU5" s="87"/>
      <c r="KDV5" s="87"/>
      <c r="KDW5" s="87"/>
      <c r="KDX5" s="87"/>
      <c r="KDY5" s="87"/>
      <c r="KDZ5" s="87"/>
      <c r="KEA5" s="87"/>
      <c r="KEB5" s="87"/>
      <c r="KEC5" s="87"/>
      <c r="KED5" s="87"/>
      <c r="KEE5" s="87"/>
      <c r="KEF5" s="87"/>
      <c r="KEG5" s="87"/>
      <c r="KEH5" s="87"/>
      <c r="KEI5" s="87"/>
      <c r="KEJ5" s="87"/>
      <c r="KEK5" s="87"/>
      <c r="KEL5" s="87"/>
      <c r="KEM5" s="87"/>
      <c r="KEN5" s="87"/>
      <c r="KEO5" s="87"/>
      <c r="KEP5" s="87"/>
      <c r="KEQ5" s="87"/>
      <c r="KER5" s="87"/>
      <c r="KES5" s="87"/>
      <c r="KET5" s="87"/>
      <c r="KEU5" s="87"/>
      <c r="KEV5" s="87"/>
      <c r="KEW5" s="87"/>
      <c r="KEX5" s="87"/>
      <c r="KEY5" s="87"/>
      <c r="KEZ5" s="87"/>
      <c r="KFA5" s="87"/>
      <c r="KFB5" s="87"/>
      <c r="KFC5" s="87"/>
      <c r="KFD5" s="87"/>
      <c r="KFE5" s="87"/>
      <c r="KFF5" s="87"/>
      <c r="KFG5" s="87"/>
      <c r="KFH5" s="87"/>
      <c r="KFI5" s="87"/>
      <c r="KFJ5" s="87"/>
      <c r="KFK5" s="87"/>
      <c r="KFL5" s="87"/>
      <c r="KFM5" s="87"/>
      <c r="KFN5" s="87"/>
      <c r="KFO5" s="87"/>
      <c r="KFP5" s="87"/>
      <c r="KFQ5" s="87"/>
      <c r="KFR5" s="87"/>
      <c r="KFS5" s="87"/>
      <c r="KFT5" s="87"/>
      <c r="KFU5" s="87"/>
      <c r="KFV5" s="87"/>
      <c r="KFW5" s="87"/>
      <c r="KFX5" s="87"/>
      <c r="KFY5" s="87"/>
      <c r="KFZ5" s="87"/>
      <c r="KGA5" s="87"/>
      <c r="KGB5" s="87"/>
      <c r="KGC5" s="87"/>
      <c r="KGD5" s="87"/>
      <c r="KGE5" s="87"/>
      <c r="KGF5" s="87"/>
      <c r="KGG5" s="87"/>
      <c r="KGH5" s="87"/>
      <c r="KGI5" s="87"/>
      <c r="KGJ5" s="87"/>
      <c r="KGK5" s="87"/>
      <c r="KGL5" s="87"/>
      <c r="KGM5" s="87"/>
      <c r="KGN5" s="87"/>
      <c r="KGO5" s="87"/>
      <c r="KGP5" s="87"/>
      <c r="KGQ5" s="87"/>
      <c r="KGR5" s="87"/>
      <c r="KGS5" s="87"/>
      <c r="KGT5" s="87"/>
      <c r="KGU5" s="87"/>
      <c r="KGV5" s="87"/>
      <c r="KGW5" s="87"/>
      <c r="KGX5" s="87"/>
      <c r="KGY5" s="87"/>
      <c r="KGZ5" s="87"/>
      <c r="KHA5" s="87"/>
      <c r="KHB5" s="87"/>
      <c r="KHC5" s="87"/>
      <c r="KHD5" s="87"/>
      <c r="KHE5" s="87"/>
      <c r="KHF5" s="87"/>
      <c r="KHG5" s="87"/>
      <c r="KHH5" s="87"/>
      <c r="KHI5" s="87"/>
      <c r="KHJ5" s="87"/>
      <c r="KHK5" s="87"/>
      <c r="KHL5" s="87"/>
      <c r="KHM5" s="87"/>
      <c r="KHN5" s="87"/>
      <c r="KHO5" s="87"/>
      <c r="KHP5" s="87"/>
      <c r="KHQ5" s="87"/>
      <c r="KHR5" s="87"/>
      <c r="KHS5" s="87"/>
      <c r="KHT5" s="87"/>
      <c r="KHU5" s="87"/>
      <c r="KHV5" s="87"/>
      <c r="KHW5" s="87"/>
      <c r="KHX5" s="87"/>
      <c r="KHY5" s="87"/>
      <c r="KHZ5" s="87"/>
      <c r="KIA5" s="87"/>
      <c r="KIB5" s="87"/>
      <c r="KIC5" s="87"/>
      <c r="KID5" s="87"/>
      <c r="KIE5" s="87"/>
      <c r="KIF5" s="87"/>
      <c r="KIG5" s="87"/>
      <c r="KIH5" s="87"/>
      <c r="KII5" s="87"/>
      <c r="KIJ5" s="87"/>
      <c r="KIK5" s="87"/>
      <c r="KIL5" s="87"/>
      <c r="KIM5" s="87"/>
      <c r="KIN5" s="87"/>
      <c r="KIO5" s="87"/>
      <c r="KIP5" s="87"/>
      <c r="KIQ5" s="87"/>
      <c r="KIR5" s="87"/>
      <c r="KIS5" s="87"/>
      <c r="KIT5" s="87"/>
      <c r="KIU5" s="87"/>
      <c r="KIV5" s="87"/>
      <c r="KIW5" s="87"/>
      <c r="KIX5" s="87"/>
      <c r="KIY5" s="87"/>
      <c r="KIZ5" s="87"/>
      <c r="KJA5" s="87"/>
      <c r="KJB5" s="87"/>
      <c r="KJC5" s="87"/>
      <c r="KJD5" s="87"/>
      <c r="KJE5" s="87"/>
      <c r="KJF5" s="87"/>
      <c r="KJG5" s="87"/>
      <c r="KJH5" s="87"/>
      <c r="KJI5" s="87"/>
      <c r="KJJ5" s="87"/>
      <c r="KJK5" s="87"/>
      <c r="KJL5" s="87"/>
      <c r="KJM5" s="87"/>
      <c r="KJN5" s="87"/>
      <c r="KJO5" s="87"/>
      <c r="KJP5" s="87"/>
      <c r="KJQ5" s="87"/>
      <c r="KJR5" s="87"/>
      <c r="KJS5" s="87"/>
      <c r="KJT5" s="87"/>
      <c r="KJU5" s="87"/>
      <c r="KJV5" s="87"/>
      <c r="KJW5" s="87"/>
      <c r="KJX5" s="87"/>
      <c r="KJY5" s="87"/>
      <c r="KJZ5" s="87"/>
      <c r="KKA5" s="87"/>
      <c r="KKB5" s="87"/>
      <c r="KKC5" s="87"/>
      <c r="KKD5" s="87"/>
      <c r="KKE5" s="87"/>
      <c r="KKF5" s="87"/>
      <c r="KKG5" s="87"/>
      <c r="KKH5" s="87"/>
      <c r="KKI5" s="87"/>
      <c r="KKJ5" s="87"/>
      <c r="KKK5" s="87"/>
      <c r="KKL5" s="87"/>
      <c r="KKM5" s="87"/>
      <c r="KKN5" s="87"/>
      <c r="KKO5" s="87"/>
      <c r="KKP5" s="87"/>
      <c r="KKQ5" s="87"/>
      <c r="KKR5" s="87"/>
      <c r="KKS5" s="87"/>
      <c r="KKT5" s="87"/>
      <c r="KKU5" s="87"/>
      <c r="KKV5" s="87"/>
      <c r="KKW5" s="87"/>
      <c r="KKX5" s="87"/>
      <c r="KKY5" s="87"/>
      <c r="KKZ5" s="87"/>
      <c r="KLA5" s="87"/>
      <c r="KLB5" s="87"/>
      <c r="KLC5" s="87"/>
      <c r="KLD5" s="87"/>
      <c r="KLE5" s="87"/>
      <c r="KLF5" s="87"/>
      <c r="KLG5" s="87"/>
      <c r="KLH5" s="87"/>
      <c r="KLI5" s="87"/>
      <c r="KLJ5" s="87"/>
      <c r="KLK5" s="87"/>
      <c r="KLL5" s="87"/>
      <c r="KLM5" s="87"/>
      <c r="KLN5" s="87"/>
      <c r="KLO5" s="87"/>
      <c r="KLP5" s="87"/>
      <c r="KLQ5" s="87"/>
      <c r="KLR5" s="87"/>
      <c r="KLS5" s="87"/>
      <c r="KLT5" s="87"/>
      <c r="KLU5" s="87"/>
      <c r="KLV5" s="87"/>
      <c r="KLW5" s="87"/>
      <c r="KLX5" s="87"/>
      <c r="KLY5" s="87"/>
      <c r="KLZ5" s="87"/>
      <c r="KMA5" s="87"/>
      <c r="KMB5" s="87"/>
      <c r="KMC5" s="87"/>
      <c r="KMD5" s="87"/>
      <c r="KME5" s="87"/>
      <c r="KMF5" s="87"/>
      <c r="KMG5" s="87"/>
      <c r="KMH5" s="87"/>
      <c r="KMI5" s="87"/>
      <c r="KMJ5" s="87"/>
      <c r="KMK5" s="87"/>
      <c r="KML5" s="87"/>
      <c r="KMM5" s="87"/>
      <c r="KMN5" s="87"/>
      <c r="KMO5" s="87"/>
      <c r="KMP5" s="87"/>
      <c r="KMQ5" s="87"/>
      <c r="KMR5" s="87"/>
      <c r="KMS5" s="87"/>
      <c r="KMT5" s="87"/>
      <c r="KMU5" s="87"/>
      <c r="KMV5" s="87"/>
      <c r="KMW5" s="87"/>
      <c r="KMX5" s="87"/>
      <c r="KMY5" s="87"/>
      <c r="KMZ5" s="87"/>
      <c r="KNA5" s="87"/>
      <c r="KNB5" s="87"/>
      <c r="KNC5" s="87"/>
      <c r="KND5" s="87"/>
      <c r="KNE5" s="87"/>
      <c r="KNF5" s="87"/>
      <c r="KNG5" s="87"/>
      <c r="KNH5" s="87"/>
      <c r="KNI5" s="87"/>
      <c r="KNJ5" s="87"/>
      <c r="KNK5" s="87"/>
      <c r="KNL5" s="87"/>
      <c r="KNM5" s="87"/>
      <c r="KNN5" s="87"/>
      <c r="KNO5" s="87"/>
      <c r="KNP5" s="87"/>
      <c r="KNQ5" s="87"/>
      <c r="KNR5" s="87"/>
      <c r="KNS5" s="87"/>
      <c r="KNT5" s="87"/>
      <c r="KNU5" s="87"/>
      <c r="KNV5" s="87"/>
      <c r="KNW5" s="87"/>
      <c r="KNX5" s="87"/>
      <c r="KNY5" s="87"/>
      <c r="KNZ5" s="87"/>
      <c r="KOA5" s="87"/>
      <c r="KOB5" s="87"/>
      <c r="KOC5" s="87"/>
      <c r="KOD5" s="87"/>
      <c r="KOE5" s="87"/>
      <c r="KOF5" s="87"/>
      <c r="KOG5" s="87"/>
      <c r="KOH5" s="87"/>
      <c r="KOI5" s="87"/>
      <c r="KOJ5" s="87"/>
      <c r="KOK5" s="87"/>
      <c r="KOL5" s="87"/>
      <c r="KOM5" s="87"/>
      <c r="KON5" s="87"/>
      <c r="KOO5" s="87"/>
      <c r="KOP5" s="87"/>
      <c r="KOQ5" s="87"/>
      <c r="KOR5" s="87"/>
      <c r="KOS5" s="87"/>
      <c r="KOT5" s="87"/>
      <c r="KOU5" s="87"/>
      <c r="KOV5" s="87"/>
      <c r="KOW5" s="87"/>
      <c r="KOX5" s="87"/>
      <c r="KOY5" s="87"/>
      <c r="KOZ5" s="87"/>
      <c r="KPA5" s="87"/>
      <c r="KPB5" s="87"/>
      <c r="KPC5" s="87"/>
      <c r="KPD5" s="87"/>
      <c r="KPE5" s="87"/>
      <c r="KPF5" s="87"/>
      <c r="KPG5" s="87"/>
      <c r="KPH5" s="87"/>
      <c r="KPI5" s="87"/>
      <c r="KPJ5" s="87"/>
      <c r="KPK5" s="87"/>
      <c r="KPL5" s="87"/>
      <c r="KPM5" s="87"/>
      <c r="KPN5" s="87"/>
      <c r="KPO5" s="87"/>
      <c r="KPP5" s="87"/>
      <c r="KPQ5" s="87"/>
      <c r="KPR5" s="87"/>
      <c r="KPS5" s="87"/>
      <c r="KPT5" s="87"/>
      <c r="KPU5" s="87"/>
      <c r="KPV5" s="87"/>
      <c r="KPW5" s="87"/>
      <c r="KPX5" s="87"/>
      <c r="KPY5" s="87"/>
      <c r="KPZ5" s="87"/>
      <c r="KQA5" s="87"/>
      <c r="KQB5" s="87"/>
      <c r="KQC5" s="87"/>
      <c r="KQD5" s="87"/>
      <c r="KQE5" s="87"/>
      <c r="KQF5" s="87"/>
      <c r="KQG5" s="87"/>
      <c r="KQH5" s="87"/>
      <c r="KQI5" s="87"/>
      <c r="KQJ5" s="87"/>
      <c r="KQK5" s="87"/>
      <c r="KQL5" s="87"/>
      <c r="KQM5" s="87"/>
      <c r="KQN5" s="87"/>
      <c r="KQO5" s="87"/>
      <c r="KQP5" s="87"/>
      <c r="KQQ5" s="87"/>
      <c r="KQR5" s="87"/>
      <c r="KQS5" s="87"/>
      <c r="KQT5" s="87"/>
      <c r="KQU5" s="87"/>
      <c r="KQV5" s="87"/>
      <c r="KQW5" s="87"/>
      <c r="KQX5" s="87"/>
      <c r="KQY5" s="87"/>
      <c r="KQZ5" s="87"/>
      <c r="KRA5" s="87"/>
      <c r="KRB5" s="87"/>
      <c r="KRC5" s="87"/>
      <c r="KRD5" s="87"/>
      <c r="KRE5" s="87"/>
      <c r="KRF5" s="87"/>
      <c r="KRG5" s="87"/>
      <c r="KRH5" s="87"/>
      <c r="KRI5" s="87"/>
      <c r="KRJ5" s="87"/>
      <c r="KRK5" s="87"/>
      <c r="KRL5" s="87"/>
      <c r="KRM5" s="87"/>
      <c r="KRN5" s="87"/>
      <c r="KRO5" s="87"/>
      <c r="KRP5" s="87"/>
      <c r="KRQ5" s="87"/>
      <c r="KRR5" s="87"/>
      <c r="KRS5" s="87"/>
      <c r="KRT5" s="87"/>
      <c r="KRU5" s="87"/>
      <c r="KRV5" s="87"/>
      <c r="KRW5" s="87"/>
      <c r="KRX5" s="87"/>
      <c r="KRY5" s="87"/>
      <c r="KRZ5" s="87"/>
      <c r="KSA5" s="87"/>
      <c r="KSB5" s="87"/>
      <c r="KSC5" s="87"/>
      <c r="KSD5" s="87"/>
      <c r="KSE5" s="87"/>
      <c r="KSF5" s="87"/>
      <c r="KSG5" s="87"/>
      <c r="KSH5" s="87"/>
      <c r="KSI5" s="87"/>
      <c r="KSJ5" s="87"/>
      <c r="KSK5" s="87"/>
      <c r="KSL5" s="87"/>
      <c r="KSM5" s="87"/>
      <c r="KSN5" s="87"/>
      <c r="KSO5" s="87"/>
      <c r="KSP5" s="87"/>
      <c r="KSQ5" s="87"/>
      <c r="KSR5" s="87"/>
      <c r="KSS5" s="87"/>
      <c r="KST5" s="87"/>
      <c r="KSU5" s="87"/>
      <c r="KSV5" s="87"/>
      <c r="KSW5" s="87"/>
      <c r="KSX5" s="87"/>
      <c r="KSY5" s="87"/>
      <c r="KSZ5" s="87"/>
      <c r="KTA5" s="87"/>
      <c r="KTB5" s="87"/>
      <c r="KTC5" s="87"/>
      <c r="KTD5" s="87"/>
      <c r="KTE5" s="87"/>
      <c r="KTF5" s="87"/>
      <c r="KTG5" s="87"/>
      <c r="KTH5" s="87"/>
      <c r="KTI5" s="87"/>
      <c r="KTJ5" s="87"/>
      <c r="KTK5" s="87"/>
      <c r="KTL5" s="87"/>
      <c r="KTM5" s="87"/>
      <c r="KTN5" s="87"/>
      <c r="KTO5" s="87"/>
      <c r="KTP5" s="87"/>
      <c r="KTQ5" s="87"/>
      <c r="KTR5" s="87"/>
      <c r="KTS5" s="87"/>
      <c r="KTT5" s="87"/>
      <c r="KTU5" s="87"/>
      <c r="KTV5" s="87"/>
      <c r="KTW5" s="87"/>
      <c r="KTX5" s="87"/>
      <c r="KTY5" s="87"/>
      <c r="KTZ5" s="87"/>
      <c r="KUA5" s="87"/>
      <c r="KUB5" s="87"/>
      <c r="KUC5" s="87"/>
      <c r="KUD5" s="87"/>
      <c r="KUE5" s="87"/>
      <c r="KUF5" s="87"/>
      <c r="KUG5" s="87"/>
      <c r="KUH5" s="87"/>
      <c r="KUI5" s="87"/>
      <c r="KUJ5" s="87"/>
      <c r="KUK5" s="87"/>
      <c r="KUL5" s="87"/>
      <c r="KUM5" s="87"/>
      <c r="KUN5" s="87"/>
      <c r="KUO5" s="87"/>
      <c r="KUP5" s="87"/>
      <c r="KUQ5" s="87"/>
      <c r="KUR5" s="87"/>
      <c r="KUS5" s="87"/>
      <c r="KUT5" s="87"/>
      <c r="KUU5" s="87"/>
      <c r="KUV5" s="87"/>
      <c r="KUW5" s="87"/>
      <c r="KUX5" s="87"/>
      <c r="KUY5" s="87"/>
      <c r="KUZ5" s="87"/>
      <c r="KVA5" s="87"/>
      <c r="KVB5" s="87"/>
      <c r="KVC5" s="87"/>
      <c r="KVD5" s="87"/>
      <c r="KVE5" s="87"/>
      <c r="KVF5" s="87"/>
      <c r="KVG5" s="87"/>
      <c r="KVH5" s="87"/>
      <c r="KVI5" s="87"/>
      <c r="KVJ5" s="87"/>
      <c r="KVK5" s="87"/>
      <c r="KVL5" s="87"/>
      <c r="KVM5" s="87"/>
      <c r="KVN5" s="87"/>
      <c r="KVO5" s="87"/>
      <c r="KVP5" s="87"/>
      <c r="KVQ5" s="87"/>
      <c r="KVR5" s="87"/>
      <c r="KVS5" s="87"/>
      <c r="KVT5" s="87"/>
      <c r="KVU5" s="87"/>
      <c r="KVV5" s="87"/>
      <c r="KVW5" s="87"/>
      <c r="KVX5" s="87"/>
      <c r="KVY5" s="87"/>
      <c r="KVZ5" s="87"/>
      <c r="KWA5" s="87"/>
      <c r="KWB5" s="87"/>
      <c r="KWC5" s="87"/>
      <c r="KWD5" s="87"/>
      <c r="KWE5" s="87"/>
      <c r="KWF5" s="87"/>
      <c r="KWG5" s="87"/>
      <c r="KWH5" s="87"/>
      <c r="KWI5" s="87"/>
      <c r="KWJ5" s="87"/>
      <c r="KWK5" s="87"/>
      <c r="KWL5" s="87"/>
      <c r="KWM5" s="87"/>
      <c r="KWN5" s="87"/>
      <c r="KWO5" s="87"/>
      <c r="KWP5" s="87"/>
      <c r="KWQ5" s="87"/>
      <c r="KWR5" s="87"/>
      <c r="KWS5" s="87"/>
      <c r="KWT5" s="87"/>
      <c r="KWU5" s="87"/>
      <c r="KWV5" s="87"/>
      <c r="KWW5" s="87"/>
      <c r="KWX5" s="87"/>
      <c r="KWY5" s="87"/>
      <c r="KWZ5" s="87"/>
      <c r="KXA5" s="87"/>
      <c r="KXB5" s="87"/>
      <c r="KXC5" s="87"/>
      <c r="KXD5" s="87"/>
      <c r="KXE5" s="87"/>
      <c r="KXF5" s="87"/>
      <c r="KXG5" s="87"/>
      <c r="KXH5" s="87"/>
      <c r="KXI5" s="87"/>
      <c r="KXJ5" s="87"/>
      <c r="KXK5" s="87"/>
      <c r="KXL5" s="87"/>
      <c r="KXM5" s="87"/>
      <c r="KXN5" s="87"/>
      <c r="KXO5" s="87"/>
      <c r="KXP5" s="87"/>
      <c r="KXQ5" s="87"/>
      <c r="KXR5" s="87"/>
      <c r="KXS5" s="87"/>
      <c r="KXT5" s="87"/>
      <c r="KXU5" s="87"/>
      <c r="KXV5" s="87"/>
      <c r="KXW5" s="87"/>
      <c r="KXX5" s="87"/>
      <c r="KXY5" s="87"/>
      <c r="KXZ5" s="87"/>
      <c r="KYA5" s="87"/>
      <c r="KYB5" s="87"/>
      <c r="KYC5" s="87"/>
      <c r="KYD5" s="87"/>
      <c r="KYE5" s="87"/>
      <c r="KYF5" s="87"/>
      <c r="KYG5" s="87"/>
      <c r="KYH5" s="87"/>
      <c r="KYI5" s="87"/>
      <c r="KYJ5" s="87"/>
      <c r="KYK5" s="87"/>
      <c r="KYL5" s="87"/>
      <c r="KYM5" s="87"/>
      <c r="KYN5" s="87"/>
      <c r="KYO5" s="87"/>
      <c r="KYP5" s="87"/>
      <c r="KYQ5" s="87"/>
      <c r="KYR5" s="87"/>
      <c r="KYS5" s="87"/>
      <c r="KYT5" s="87"/>
      <c r="KYU5" s="87"/>
      <c r="KYV5" s="87"/>
      <c r="KYW5" s="87"/>
      <c r="KYX5" s="87"/>
      <c r="KYY5" s="87"/>
      <c r="KYZ5" s="87"/>
      <c r="KZA5" s="87"/>
      <c r="KZB5" s="87"/>
      <c r="KZC5" s="87"/>
      <c r="KZD5" s="87"/>
      <c r="KZE5" s="87"/>
      <c r="KZF5" s="87"/>
      <c r="KZG5" s="87"/>
      <c r="KZH5" s="87"/>
      <c r="KZI5" s="87"/>
      <c r="KZJ5" s="87"/>
      <c r="KZK5" s="87"/>
      <c r="KZL5" s="87"/>
      <c r="KZM5" s="87"/>
      <c r="KZN5" s="87"/>
      <c r="KZO5" s="87"/>
      <c r="KZP5" s="87"/>
      <c r="KZQ5" s="87"/>
      <c r="KZR5" s="87"/>
      <c r="KZS5" s="87"/>
      <c r="KZT5" s="87"/>
      <c r="KZU5" s="87"/>
      <c r="KZV5" s="87"/>
      <c r="KZW5" s="87"/>
      <c r="KZX5" s="87"/>
      <c r="KZY5" s="87"/>
      <c r="KZZ5" s="87"/>
      <c r="LAA5" s="87"/>
      <c r="LAB5" s="87"/>
      <c r="LAC5" s="87"/>
      <c r="LAD5" s="87"/>
      <c r="LAE5" s="87"/>
      <c r="LAF5" s="87"/>
      <c r="LAG5" s="87"/>
      <c r="LAH5" s="87"/>
      <c r="LAI5" s="87"/>
      <c r="LAJ5" s="87"/>
      <c r="LAK5" s="87"/>
      <c r="LAL5" s="87"/>
      <c r="LAM5" s="87"/>
      <c r="LAN5" s="87"/>
      <c r="LAO5" s="87"/>
      <c r="LAP5" s="87"/>
      <c r="LAQ5" s="87"/>
      <c r="LAR5" s="87"/>
      <c r="LAS5" s="87"/>
      <c r="LAT5" s="87"/>
      <c r="LAU5" s="87"/>
      <c r="LAV5" s="87"/>
      <c r="LAW5" s="87"/>
      <c r="LAX5" s="87"/>
      <c r="LAY5" s="87"/>
      <c r="LAZ5" s="87"/>
      <c r="LBA5" s="87"/>
      <c r="LBB5" s="87"/>
      <c r="LBC5" s="87"/>
      <c r="LBD5" s="87"/>
      <c r="LBE5" s="87"/>
      <c r="LBF5" s="87"/>
      <c r="LBG5" s="87"/>
      <c r="LBH5" s="87"/>
      <c r="LBI5" s="87"/>
      <c r="LBJ5" s="87"/>
      <c r="LBK5" s="87"/>
      <c r="LBL5" s="87"/>
      <c r="LBM5" s="87"/>
      <c r="LBN5" s="87"/>
      <c r="LBO5" s="87"/>
      <c r="LBP5" s="87"/>
      <c r="LBQ5" s="87"/>
      <c r="LBR5" s="87"/>
      <c r="LBS5" s="87"/>
      <c r="LBT5" s="87"/>
      <c r="LBU5" s="87"/>
      <c r="LBV5" s="87"/>
      <c r="LBW5" s="87"/>
      <c r="LBX5" s="87"/>
      <c r="LBY5" s="87"/>
      <c r="LBZ5" s="87"/>
      <c r="LCA5" s="87"/>
      <c r="LCB5" s="87"/>
      <c r="LCC5" s="87"/>
      <c r="LCD5" s="87"/>
      <c r="LCE5" s="87"/>
      <c r="LCF5" s="87"/>
      <c r="LCG5" s="87"/>
      <c r="LCH5" s="87"/>
      <c r="LCI5" s="87"/>
      <c r="LCJ5" s="87"/>
      <c r="LCK5" s="87"/>
      <c r="LCL5" s="87"/>
      <c r="LCM5" s="87"/>
      <c r="LCN5" s="87"/>
      <c r="LCO5" s="87"/>
      <c r="LCP5" s="87"/>
      <c r="LCQ5" s="87"/>
      <c r="LCR5" s="87"/>
      <c r="LCS5" s="87"/>
      <c r="LCT5" s="87"/>
      <c r="LCU5" s="87"/>
      <c r="LCV5" s="87"/>
      <c r="LCW5" s="87"/>
      <c r="LCX5" s="87"/>
      <c r="LCY5" s="87"/>
      <c r="LCZ5" s="87"/>
      <c r="LDA5" s="87"/>
      <c r="LDB5" s="87"/>
      <c r="LDC5" s="87"/>
      <c r="LDD5" s="87"/>
      <c r="LDE5" s="87"/>
      <c r="LDF5" s="87"/>
      <c r="LDG5" s="87"/>
      <c r="LDH5" s="87"/>
      <c r="LDI5" s="87"/>
      <c r="LDJ5" s="87"/>
      <c r="LDK5" s="87"/>
      <c r="LDL5" s="87"/>
      <c r="LDM5" s="87"/>
      <c r="LDN5" s="87"/>
      <c r="LDO5" s="87"/>
      <c r="LDP5" s="87"/>
      <c r="LDQ5" s="87"/>
      <c r="LDR5" s="87"/>
      <c r="LDS5" s="87"/>
      <c r="LDT5" s="87"/>
      <c r="LDU5" s="87"/>
      <c r="LDV5" s="87"/>
      <c r="LDW5" s="87"/>
      <c r="LDX5" s="87"/>
      <c r="LDY5" s="87"/>
      <c r="LDZ5" s="87"/>
      <c r="LEA5" s="87"/>
      <c r="LEB5" s="87"/>
      <c r="LEC5" s="87"/>
      <c r="LED5" s="87"/>
      <c r="LEE5" s="87"/>
      <c r="LEF5" s="87"/>
      <c r="LEG5" s="87"/>
      <c r="LEH5" s="87"/>
      <c r="LEI5" s="87"/>
      <c r="LEJ5" s="87"/>
      <c r="LEK5" s="87"/>
      <c r="LEL5" s="87"/>
      <c r="LEM5" s="87"/>
      <c r="LEN5" s="87"/>
      <c r="LEO5" s="87"/>
      <c r="LEP5" s="87"/>
      <c r="LEQ5" s="87"/>
      <c r="LER5" s="87"/>
      <c r="LES5" s="87"/>
      <c r="LET5" s="87"/>
      <c r="LEU5" s="87"/>
      <c r="LEV5" s="87"/>
      <c r="LEW5" s="87"/>
      <c r="LEX5" s="87"/>
      <c r="LEY5" s="87"/>
      <c r="LEZ5" s="87"/>
      <c r="LFA5" s="87"/>
      <c r="LFB5" s="87"/>
      <c r="LFC5" s="87"/>
      <c r="LFD5" s="87"/>
      <c r="LFE5" s="87"/>
      <c r="LFF5" s="87"/>
      <c r="LFG5" s="87"/>
      <c r="LFH5" s="87"/>
      <c r="LFI5" s="87"/>
      <c r="LFJ5" s="87"/>
      <c r="LFK5" s="87"/>
      <c r="LFL5" s="87"/>
      <c r="LFM5" s="87"/>
      <c r="LFN5" s="87"/>
      <c r="LFO5" s="87"/>
      <c r="LFP5" s="87"/>
      <c r="LFQ5" s="87"/>
      <c r="LFR5" s="87"/>
      <c r="LFS5" s="87"/>
      <c r="LFT5" s="87"/>
      <c r="LFU5" s="87"/>
      <c r="LFV5" s="87"/>
      <c r="LFW5" s="87"/>
      <c r="LFX5" s="87"/>
      <c r="LFY5" s="87"/>
      <c r="LFZ5" s="87"/>
      <c r="LGA5" s="87"/>
      <c r="LGB5" s="87"/>
      <c r="LGC5" s="87"/>
      <c r="LGD5" s="87"/>
      <c r="LGE5" s="87"/>
      <c r="LGF5" s="87"/>
      <c r="LGG5" s="87"/>
      <c r="LGH5" s="87"/>
      <c r="LGI5" s="87"/>
      <c r="LGJ5" s="87"/>
      <c r="LGK5" s="87"/>
      <c r="LGL5" s="87"/>
      <c r="LGM5" s="87"/>
      <c r="LGN5" s="87"/>
      <c r="LGO5" s="87"/>
      <c r="LGP5" s="87"/>
      <c r="LGQ5" s="87"/>
      <c r="LGR5" s="87"/>
      <c r="LGS5" s="87"/>
      <c r="LGT5" s="87"/>
      <c r="LGU5" s="87"/>
      <c r="LGV5" s="87"/>
      <c r="LGW5" s="87"/>
      <c r="LGX5" s="87"/>
      <c r="LGY5" s="87"/>
      <c r="LGZ5" s="87"/>
      <c r="LHA5" s="87"/>
      <c r="LHB5" s="87"/>
      <c r="LHC5" s="87"/>
      <c r="LHD5" s="87"/>
      <c r="LHE5" s="87"/>
      <c r="LHF5" s="87"/>
      <c r="LHG5" s="87"/>
      <c r="LHH5" s="87"/>
      <c r="LHI5" s="87"/>
      <c r="LHJ5" s="87"/>
      <c r="LHK5" s="87"/>
      <c r="LHL5" s="87"/>
      <c r="LHM5" s="87"/>
      <c r="LHN5" s="87"/>
      <c r="LHO5" s="87"/>
      <c r="LHP5" s="87"/>
      <c r="LHQ5" s="87"/>
      <c r="LHR5" s="87"/>
      <c r="LHS5" s="87"/>
      <c r="LHT5" s="87"/>
      <c r="LHU5" s="87"/>
      <c r="LHV5" s="87"/>
      <c r="LHW5" s="87"/>
      <c r="LHX5" s="87"/>
      <c r="LHY5" s="87"/>
      <c r="LHZ5" s="87"/>
      <c r="LIA5" s="87"/>
      <c r="LIB5" s="87"/>
      <c r="LIC5" s="87"/>
      <c r="LID5" s="87"/>
      <c r="LIE5" s="87"/>
      <c r="LIF5" s="87"/>
      <c r="LIG5" s="87"/>
      <c r="LIH5" s="87"/>
      <c r="LII5" s="87"/>
      <c r="LIJ5" s="87"/>
      <c r="LIK5" s="87"/>
      <c r="LIL5" s="87"/>
      <c r="LIM5" s="87"/>
      <c r="LIN5" s="87"/>
      <c r="LIO5" s="87"/>
      <c r="LIP5" s="87"/>
      <c r="LIQ5" s="87"/>
      <c r="LIR5" s="87"/>
      <c r="LIS5" s="87"/>
      <c r="LIT5" s="87"/>
      <c r="LIU5" s="87"/>
      <c r="LIV5" s="87"/>
      <c r="LIW5" s="87"/>
      <c r="LIX5" s="87"/>
      <c r="LIY5" s="87"/>
      <c r="LIZ5" s="87"/>
      <c r="LJA5" s="87"/>
      <c r="LJB5" s="87"/>
      <c r="LJC5" s="87"/>
      <c r="LJD5" s="87"/>
      <c r="LJE5" s="87"/>
      <c r="LJF5" s="87"/>
      <c r="LJG5" s="87"/>
      <c r="LJH5" s="87"/>
      <c r="LJI5" s="87"/>
      <c r="LJJ5" s="87"/>
      <c r="LJK5" s="87"/>
      <c r="LJL5" s="87"/>
      <c r="LJM5" s="87"/>
      <c r="LJN5" s="87"/>
      <c r="LJO5" s="87"/>
      <c r="LJP5" s="87"/>
      <c r="LJQ5" s="87"/>
      <c r="LJR5" s="87"/>
      <c r="LJS5" s="87"/>
      <c r="LJT5" s="87"/>
      <c r="LJU5" s="87"/>
      <c r="LJV5" s="87"/>
      <c r="LJW5" s="87"/>
      <c r="LJX5" s="87"/>
      <c r="LJY5" s="87"/>
      <c r="LJZ5" s="87"/>
      <c r="LKA5" s="87"/>
      <c r="LKB5" s="87"/>
      <c r="LKC5" s="87"/>
      <c r="LKD5" s="87"/>
      <c r="LKE5" s="87"/>
      <c r="LKF5" s="87"/>
      <c r="LKG5" s="87"/>
      <c r="LKH5" s="87"/>
      <c r="LKI5" s="87"/>
      <c r="LKJ5" s="87"/>
      <c r="LKK5" s="87"/>
      <c r="LKL5" s="87"/>
      <c r="LKM5" s="87"/>
      <c r="LKN5" s="87"/>
      <c r="LKO5" s="87"/>
      <c r="LKP5" s="87"/>
      <c r="LKQ5" s="87"/>
      <c r="LKR5" s="87"/>
      <c r="LKS5" s="87"/>
      <c r="LKT5" s="87"/>
      <c r="LKU5" s="87"/>
      <c r="LKV5" s="87"/>
      <c r="LKW5" s="87"/>
      <c r="LKX5" s="87"/>
      <c r="LKY5" s="87"/>
      <c r="LKZ5" s="87"/>
      <c r="LLA5" s="87"/>
      <c r="LLB5" s="87"/>
      <c r="LLC5" s="87"/>
      <c r="LLD5" s="87"/>
      <c r="LLE5" s="87"/>
      <c r="LLF5" s="87"/>
      <c r="LLG5" s="87"/>
      <c r="LLH5" s="87"/>
      <c r="LLI5" s="87"/>
      <c r="LLJ5" s="87"/>
      <c r="LLK5" s="87"/>
      <c r="LLL5" s="87"/>
      <c r="LLM5" s="87"/>
      <c r="LLN5" s="87"/>
      <c r="LLO5" s="87"/>
      <c r="LLP5" s="87"/>
      <c r="LLQ5" s="87"/>
      <c r="LLR5" s="87"/>
      <c r="LLS5" s="87"/>
      <c r="LLT5" s="87"/>
      <c r="LLU5" s="87"/>
      <c r="LLV5" s="87"/>
      <c r="LLW5" s="87"/>
      <c r="LLX5" s="87"/>
      <c r="LLY5" s="87"/>
      <c r="LLZ5" s="87"/>
      <c r="LMA5" s="87"/>
      <c r="LMB5" s="87"/>
      <c r="LMC5" s="87"/>
      <c r="LMD5" s="87"/>
      <c r="LME5" s="87"/>
      <c r="LMF5" s="87"/>
      <c r="LMG5" s="87"/>
      <c r="LMH5" s="87"/>
      <c r="LMI5" s="87"/>
      <c r="LMJ5" s="87"/>
      <c r="LMK5" s="87"/>
      <c r="LML5" s="87"/>
      <c r="LMM5" s="87"/>
      <c r="LMN5" s="87"/>
      <c r="LMO5" s="87"/>
      <c r="LMP5" s="87"/>
      <c r="LMQ5" s="87"/>
      <c r="LMR5" s="87"/>
      <c r="LMS5" s="87"/>
      <c r="LMT5" s="87"/>
      <c r="LMU5" s="87"/>
      <c r="LMV5" s="87"/>
      <c r="LMW5" s="87"/>
      <c r="LMX5" s="87"/>
      <c r="LMY5" s="87"/>
      <c r="LMZ5" s="87"/>
      <c r="LNA5" s="87"/>
      <c r="LNB5" s="87"/>
      <c r="LNC5" s="87"/>
      <c r="LND5" s="87"/>
      <c r="LNE5" s="87"/>
      <c r="LNF5" s="87"/>
      <c r="LNG5" s="87"/>
      <c r="LNH5" s="87"/>
      <c r="LNI5" s="87"/>
      <c r="LNJ5" s="87"/>
      <c r="LNK5" s="87"/>
      <c r="LNL5" s="87"/>
      <c r="LNM5" s="87"/>
      <c r="LNN5" s="87"/>
      <c r="LNO5" s="87"/>
      <c r="LNP5" s="87"/>
      <c r="LNQ5" s="87"/>
      <c r="LNR5" s="87"/>
      <c r="LNS5" s="87"/>
      <c r="LNT5" s="87"/>
      <c r="LNU5" s="87"/>
      <c r="LNV5" s="87"/>
      <c r="LNW5" s="87"/>
      <c r="LNX5" s="87"/>
      <c r="LNY5" s="87"/>
      <c r="LNZ5" s="87"/>
      <c r="LOA5" s="87"/>
      <c r="LOB5" s="87"/>
      <c r="LOC5" s="87"/>
      <c r="LOD5" s="87"/>
      <c r="LOE5" s="87"/>
      <c r="LOF5" s="87"/>
      <c r="LOG5" s="87"/>
      <c r="LOH5" s="87"/>
      <c r="LOI5" s="87"/>
      <c r="LOJ5" s="87"/>
      <c r="LOK5" s="87"/>
      <c r="LOL5" s="87"/>
      <c r="LOM5" s="87"/>
      <c r="LON5" s="87"/>
      <c r="LOO5" s="87"/>
      <c r="LOP5" s="87"/>
      <c r="LOQ5" s="87"/>
      <c r="LOR5" s="87"/>
      <c r="LOS5" s="87"/>
      <c r="LOT5" s="87"/>
      <c r="LOU5" s="87"/>
      <c r="LOV5" s="87"/>
      <c r="LOW5" s="87"/>
      <c r="LOX5" s="87"/>
      <c r="LOY5" s="87"/>
      <c r="LOZ5" s="87"/>
      <c r="LPA5" s="87"/>
      <c r="LPB5" s="87"/>
      <c r="LPC5" s="87"/>
      <c r="LPD5" s="87"/>
      <c r="LPE5" s="87"/>
      <c r="LPF5" s="87"/>
      <c r="LPG5" s="87"/>
      <c r="LPH5" s="87"/>
      <c r="LPI5" s="87"/>
      <c r="LPJ5" s="87"/>
      <c r="LPK5" s="87"/>
      <c r="LPL5" s="87"/>
      <c r="LPM5" s="87"/>
      <c r="LPN5" s="87"/>
      <c r="LPO5" s="87"/>
      <c r="LPP5" s="87"/>
      <c r="LPQ5" s="87"/>
      <c r="LPR5" s="87"/>
      <c r="LPS5" s="87"/>
      <c r="LPT5" s="87"/>
      <c r="LPU5" s="87"/>
      <c r="LPV5" s="87"/>
      <c r="LPW5" s="87"/>
      <c r="LPX5" s="87"/>
      <c r="LPY5" s="87"/>
      <c r="LPZ5" s="87"/>
      <c r="LQA5" s="87"/>
      <c r="LQB5" s="87"/>
      <c r="LQC5" s="87"/>
      <c r="LQD5" s="87"/>
      <c r="LQE5" s="87"/>
      <c r="LQF5" s="87"/>
      <c r="LQG5" s="87"/>
      <c r="LQH5" s="87"/>
      <c r="LQI5" s="87"/>
      <c r="LQJ5" s="87"/>
      <c r="LQK5" s="87"/>
      <c r="LQL5" s="87"/>
      <c r="LQM5" s="87"/>
      <c r="LQN5" s="87"/>
      <c r="LQO5" s="87"/>
      <c r="LQP5" s="87"/>
      <c r="LQQ5" s="87"/>
      <c r="LQR5" s="87"/>
      <c r="LQS5" s="87"/>
      <c r="LQT5" s="87"/>
      <c r="LQU5" s="87"/>
      <c r="LQV5" s="87"/>
      <c r="LQW5" s="87"/>
      <c r="LQX5" s="87"/>
      <c r="LQY5" s="87"/>
      <c r="LQZ5" s="87"/>
      <c r="LRA5" s="87"/>
      <c r="LRB5" s="87"/>
      <c r="LRC5" s="87"/>
      <c r="LRD5" s="87"/>
      <c r="LRE5" s="87"/>
      <c r="LRF5" s="87"/>
      <c r="LRG5" s="87"/>
      <c r="LRH5" s="87"/>
      <c r="LRI5" s="87"/>
      <c r="LRJ5" s="87"/>
      <c r="LRK5" s="87"/>
      <c r="LRL5" s="87"/>
      <c r="LRM5" s="87"/>
      <c r="LRN5" s="87"/>
      <c r="LRO5" s="87"/>
      <c r="LRP5" s="87"/>
      <c r="LRQ5" s="87"/>
      <c r="LRR5" s="87"/>
      <c r="LRS5" s="87"/>
      <c r="LRT5" s="87"/>
      <c r="LRU5" s="87"/>
      <c r="LRV5" s="87"/>
      <c r="LRW5" s="87"/>
      <c r="LRX5" s="87"/>
      <c r="LRY5" s="87"/>
      <c r="LRZ5" s="87"/>
      <c r="LSA5" s="87"/>
      <c r="LSB5" s="87"/>
      <c r="LSC5" s="87"/>
      <c r="LSD5" s="87"/>
      <c r="LSE5" s="87"/>
      <c r="LSF5" s="87"/>
      <c r="LSG5" s="87"/>
      <c r="LSH5" s="87"/>
      <c r="LSI5" s="87"/>
      <c r="LSJ5" s="87"/>
      <c r="LSK5" s="87"/>
      <c r="LSL5" s="87"/>
      <c r="LSM5" s="87"/>
      <c r="LSN5" s="87"/>
      <c r="LSO5" s="87"/>
      <c r="LSP5" s="87"/>
      <c r="LSQ5" s="87"/>
      <c r="LSR5" s="87"/>
      <c r="LSS5" s="87"/>
      <c r="LST5" s="87"/>
      <c r="LSU5" s="87"/>
      <c r="LSV5" s="87"/>
      <c r="LSW5" s="87"/>
      <c r="LSX5" s="87"/>
      <c r="LSY5" s="87"/>
      <c r="LSZ5" s="87"/>
      <c r="LTA5" s="87"/>
      <c r="LTB5" s="87"/>
      <c r="LTC5" s="87"/>
      <c r="LTD5" s="87"/>
      <c r="LTE5" s="87"/>
      <c r="LTF5" s="87"/>
      <c r="LTG5" s="87"/>
      <c r="LTH5" s="87"/>
      <c r="LTI5" s="87"/>
      <c r="LTJ5" s="87"/>
      <c r="LTK5" s="87"/>
      <c r="LTL5" s="87"/>
      <c r="LTM5" s="87"/>
      <c r="LTN5" s="87"/>
      <c r="LTO5" s="87"/>
      <c r="LTP5" s="87"/>
      <c r="LTQ5" s="87"/>
      <c r="LTR5" s="87"/>
      <c r="LTS5" s="87"/>
      <c r="LTT5" s="87"/>
      <c r="LTU5" s="87"/>
      <c r="LTV5" s="87"/>
      <c r="LTW5" s="87"/>
      <c r="LTX5" s="87"/>
      <c r="LTY5" s="87"/>
      <c r="LTZ5" s="87"/>
      <c r="LUA5" s="87"/>
      <c r="LUB5" s="87"/>
      <c r="LUC5" s="87"/>
      <c r="LUD5" s="87"/>
      <c r="LUE5" s="87"/>
      <c r="LUF5" s="87"/>
      <c r="LUG5" s="87"/>
      <c r="LUH5" s="87"/>
      <c r="LUI5" s="87"/>
      <c r="LUJ5" s="87"/>
      <c r="LUK5" s="87"/>
      <c r="LUL5" s="87"/>
      <c r="LUM5" s="87"/>
      <c r="LUN5" s="87"/>
      <c r="LUO5" s="87"/>
      <c r="LUP5" s="87"/>
      <c r="LUQ5" s="87"/>
      <c r="LUR5" s="87"/>
      <c r="LUS5" s="87"/>
      <c r="LUT5" s="87"/>
      <c r="LUU5" s="87"/>
      <c r="LUV5" s="87"/>
      <c r="LUW5" s="87"/>
      <c r="LUX5" s="87"/>
      <c r="LUY5" s="87"/>
      <c r="LUZ5" s="87"/>
      <c r="LVA5" s="87"/>
      <c r="LVB5" s="87"/>
      <c r="LVC5" s="87"/>
      <c r="LVD5" s="87"/>
      <c r="LVE5" s="87"/>
      <c r="LVF5" s="87"/>
      <c r="LVG5" s="87"/>
      <c r="LVH5" s="87"/>
      <c r="LVI5" s="87"/>
      <c r="LVJ5" s="87"/>
      <c r="LVK5" s="87"/>
      <c r="LVL5" s="87"/>
      <c r="LVM5" s="87"/>
      <c r="LVN5" s="87"/>
      <c r="LVO5" s="87"/>
      <c r="LVP5" s="87"/>
      <c r="LVQ5" s="87"/>
      <c r="LVR5" s="87"/>
      <c r="LVS5" s="87"/>
      <c r="LVT5" s="87"/>
      <c r="LVU5" s="87"/>
      <c r="LVV5" s="87"/>
      <c r="LVW5" s="87"/>
      <c r="LVX5" s="87"/>
      <c r="LVY5" s="87"/>
      <c r="LVZ5" s="87"/>
      <c r="LWA5" s="87"/>
      <c r="LWB5" s="87"/>
      <c r="LWC5" s="87"/>
      <c r="LWD5" s="87"/>
      <c r="LWE5" s="87"/>
      <c r="LWF5" s="87"/>
      <c r="LWG5" s="87"/>
      <c r="LWH5" s="87"/>
      <c r="LWI5" s="87"/>
      <c r="LWJ5" s="87"/>
      <c r="LWK5" s="87"/>
      <c r="LWL5" s="87"/>
      <c r="LWM5" s="87"/>
      <c r="LWN5" s="87"/>
      <c r="LWO5" s="87"/>
      <c r="LWP5" s="87"/>
      <c r="LWQ5" s="87"/>
      <c r="LWR5" s="87"/>
      <c r="LWS5" s="87"/>
      <c r="LWT5" s="87"/>
      <c r="LWU5" s="87"/>
      <c r="LWV5" s="87"/>
      <c r="LWW5" s="87"/>
      <c r="LWX5" s="87"/>
      <c r="LWY5" s="87"/>
      <c r="LWZ5" s="87"/>
      <c r="LXA5" s="87"/>
      <c r="LXB5" s="87"/>
      <c r="LXC5" s="87"/>
      <c r="LXD5" s="87"/>
      <c r="LXE5" s="87"/>
      <c r="LXF5" s="87"/>
      <c r="LXG5" s="87"/>
      <c r="LXH5" s="87"/>
      <c r="LXI5" s="87"/>
      <c r="LXJ5" s="87"/>
      <c r="LXK5" s="87"/>
      <c r="LXL5" s="87"/>
      <c r="LXM5" s="87"/>
      <c r="LXN5" s="87"/>
      <c r="LXO5" s="87"/>
      <c r="LXP5" s="87"/>
      <c r="LXQ5" s="87"/>
      <c r="LXR5" s="87"/>
      <c r="LXS5" s="87"/>
      <c r="LXT5" s="87"/>
      <c r="LXU5" s="87"/>
      <c r="LXV5" s="87"/>
      <c r="LXW5" s="87"/>
      <c r="LXX5" s="87"/>
      <c r="LXY5" s="87"/>
      <c r="LXZ5" s="87"/>
      <c r="LYA5" s="87"/>
      <c r="LYB5" s="87"/>
      <c r="LYC5" s="87"/>
      <c r="LYD5" s="87"/>
      <c r="LYE5" s="87"/>
      <c r="LYF5" s="87"/>
      <c r="LYG5" s="87"/>
      <c r="LYH5" s="87"/>
      <c r="LYI5" s="87"/>
      <c r="LYJ5" s="87"/>
      <c r="LYK5" s="87"/>
      <c r="LYL5" s="87"/>
      <c r="LYM5" s="87"/>
      <c r="LYN5" s="87"/>
      <c r="LYO5" s="87"/>
      <c r="LYP5" s="87"/>
      <c r="LYQ5" s="87"/>
      <c r="LYR5" s="87"/>
      <c r="LYS5" s="87"/>
      <c r="LYT5" s="87"/>
      <c r="LYU5" s="87"/>
      <c r="LYV5" s="87"/>
      <c r="LYW5" s="87"/>
      <c r="LYX5" s="87"/>
      <c r="LYY5" s="87"/>
      <c r="LYZ5" s="87"/>
      <c r="LZA5" s="87"/>
      <c r="LZB5" s="87"/>
      <c r="LZC5" s="87"/>
      <c r="LZD5" s="87"/>
      <c r="LZE5" s="87"/>
      <c r="LZF5" s="87"/>
      <c r="LZG5" s="87"/>
      <c r="LZH5" s="87"/>
      <c r="LZI5" s="87"/>
      <c r="LZJ5" s="87"/>
      <c r="LZK5" s="87"/>
      <c r="LZL5" s="87"/>
      <c r="LZM5" s="87"/>
      <c r="LZN5" s="87"/>
      <c r="LZO5" s="87"/>
      <c r="LZP5" s="87"/>
      <c r="LZQ5" s="87"/>
      <c r="LZR5" s="87"/>
      <c r="LZS5" s="87"/>
      <c r="LZT5" s="87"/>
      <c r="LZU5" s="87"/>
      <c r="LZV5" s="87"/>
      <c r="LZW5" s="87"/>
      <c r="LZX5" s="87"/>
      <c r="LZY5" s="87"/>
      <c r="LZZ5" s="87"/>
      <c r="MAA5" s="87"/>
      <c r="MAB5" s="87"/>
      <c r="MAC5" s="87"/>
      <c r="MAD5" s="87"/>
      <c r="MAE5" s="87"/>
      <c r="MAF5" s="87"/>
      <c r="MAG5" s="87"/>
      <c r="MAH5" s="87"/>
      <c r="MAI5" s="87"/>
      <c r="MAJ5" s="87"/>
      <c r="MAK5" s="87"/>
      <c r="MAL5" s="87"/>
      <c r="MAM5" s="87"/>
      <c r="MAN5" s="87"/>
      <c r="MAO5" s="87"/>
      <c r="MAP5" s="87"/>
      <c r="MAQ5" s="87"/>
      <c r="MAR5" s="87"/>
      <c r="MAS5" s="87"/>
      <c r="MAT5" s="87"/>
      <c r="MAU5" s="87"/>
      <c r="MAV5" s="87"/>
      <c r="MAW5" s="87"/>
      <c r="MAX5" s="87"/>
      <c r="MAY5" s="87"/>
      <c r="MAZ5" s="87"/>
      <c r="MBA5" s="87"/>
      <c r="MBB5" s="87"/>
      <c r="MBC5" s="87"/>
      <c r="MBD5" s="87"/>
      <c r="MBE5" s="87"/>
      <c r="MBF5" s="87"/>
      <c r="MBG5" s="87"/>
      <c r="MBH5" s="87"/>
      <c r="MBI5" s="87"/>
      <c r="MBJ5" s="87"/>
      <c r="MBK5" s="87"/>
      <c r="MBL5" s="87"/>
      <c r="MBM5" s="87"/>
      <c r="MBN5" s="87"/>
      <c r="MBO5" s="87"/>
      <c r="MBP5" s="87"/>
      <c r="MBQ5" s="87"/>
      <c r="MBR5" s="87"/>
      <c r="MBS5" s="87"/>
      <c r="MBT5" s="87"/>
      <c r="MBU5" s="87"/>
      <c r="MBV5" s="87"/>
      <c r="MBW5" s="87"/>
      <c r="MBX5" s="87"/>
      <c r="MBY5" s="87"/>
      <c r="MBZ5" s="87"/>
      <c r="MCA5" s="87"/>
      <c r="MCB5" s="87"/>
      <c r="MCC5" s="87"/>
      <c r="MCD5" s="87"/>
      <c r="MCE5" s="87"/>
      <c r="MCF5" s="87"/>
      <c r="MCG5" s="87"/>
      <c r="MCH5" s="87"/>
      <c r="MCI5" s="87"/>
      <c r="MCJ5" s="87"/>
      <c r="MCK5" s="87"/>
      <c r="MCL5" s="87"/>
      <c r="MCM5" s="87"/>
      <c r="MCN5" s="87"/>
      <c r="MCO5" s="87"/>
      <c r="MCP5" s="87"/>
      <c r="MCQ5" s="87"/>
      <c r="MCR5" s="87"/>
      <c r="MCS5" s="87"/>
      <c r="MCT5" s="87"/>
      <c r="MCU5" s="87"/>
      <c r="MCV5" s="87"/>
      <c r="MCW5" s="87"/>
      <c r="MCX5" s="87"/>
      <c r="MCY5" s="87"/>
      <c r="MCZ5" s="87"/>
      <c r="MDA5" s="87"/>
      <c r="MDB5" s="87"/>
      <c r="MDC5" s="87"/>
      <c r="MDD5" s="87"/>
      <c r="MDE5" s="87"/>
      <c r="MDF5" s="87"/>
      <c r="MDG5" s="87"/>
      <c r="MDH5" s="87"/>
      <c r="MDI5" s="87"/>
      <c r="MDJ5" s="87"/>
      <c r="MDK5" s="87"/>
      <c r="MDL5" s="87"/>
      <c r="MDM5" s="87"/>
      <c r="MDN5" s="87"/>
      <c r="MDO5" s="87"/>
      <c r="MDP5" s="87"/>
      <c r="MDQ5" s="87"/>
      <c r="MDR5" s="87"/>
      <c r="MDS5" s="87"/>
      <c r="MDT5" s="87"/>
      <c r="MDU5" s="87"/>
      <c r="MDV5" s="87"/>
      <c r="MDW5" s="87"/>
      <c r="MDX5" s="87"/>
      <c r="MDY5" s="87"/>
      <c r="MDZ5" s="87"/>
      <c r="MEA5" s="87"/>
      <c r="MEB5" s="87"/>
      <c r="MEC5" s="87"/>
      <c r="MED5" s="87"/>
      <c r="MEE5" s="87"/>
      <c r="MEF5" s="87"/>
      <c r="MEG5" s="87"/>
      <c r="MEH5" s="87"/>
      <c r="MEI5" s="87"/>
      <c r="MEJ5" s="87"/>
      <c r="MEK5" s="87"/>
      <c r="MEL5" s="87"/>
      <c r="MEM5" s="87"/>
      <c r="MEN5" s="87"/>
      <c r="MEO5" s="87"/>
      <c r="MEP5" s="87"/>
      <c r="MEQ5" s="87"/>
      <c r="MER5" s="87"/>
      <c r="MES5" s="87"/>
      <c r="MET5" s="87"/>
      <c r="MEU5" s="87"/>
      <c r="MEV5" s="87"/>
      <c r="MEW5" s="87"/>
      <c r="MEX5" s="87"/>
      <c r="MEY5" s="87"/>
      <c r="MEZ5" s="87"/>
      <c r="MFA5" s="87"/>
      <c r="MFB5" s="87"/>
      <c r="MFC5" s="87"/>
      <c r="MFD5" s="87"/>
      <c r="MFE5" s="87"/>
      <c r="MFF5" s="87"/>
      <c r="MFG5" s="87"/>
      <c r="MFH5" s="87"/>
      <c r="MFI5" s="87"/>
      <c r="MFJ5" s="87"/>
      <c r="MFK5" s="87"/>
      <c r="MFL5" s="87"/>
      <c r="MFM5" s="87"/>
      <c r="MFN5" s="87"/>
      <c r="MFO5" s="87"/>
      <c r="MFP5" s="87"/>
      <c r="MFQ5" s="87"/>
      <c r="MFR5" s="87"/>
      <c r="MFS5" s="87"/>
      <c r="MFT5" s="87"/>
      <c r="MFU5" s="87"/>
      <c r="MFV5" s="87"/>
      <c r="MFW5" s="87"/>
      <c r="MFX5" s="87"/>
      <c r="MFY5" s="87"/>
      <c r="MFZ5" s="87"/>
      <c r="MGA5" s="87"/>
      <c r="MGB5" s="87"/>
      <c r="MGC5" s="87"/>
      <c r="MGD5" s="87"/>
      <c r="MGE5" s="87"/>
      <c r="MGF5" s="87"/>
      <c r="MGG5" s="87"/>
      <c r="MGH5" s="87"/>
      <c r="MGI5" s="87"/>
      <c r="MGJ5" s="87"/>
      <c r="MGK5" s="87"/>
      <c r="MGL5" s="87"/>
      <c r="MGM5" s="87"/>
      <c r="MGN5" s="87"/>
      <c r="MGO5" s="87"/>
      <c r="MGP5" s="87"/>
      <c r="MGQ5" s="87"/>
      <c r="MGR5" s="87"/>
      <c r="MGS5" s="87"/>
      <c r="MGT5" s="87"/>
      <c r="MGU5" s="87"/>
      <c r="MGV5" s="87"/>
      <c r="MGW5" s="87"/>
      <c r="MGX5" s="87"/>
      <c r="MGY5" s="87"/>
      <c r="MGZ5" s="87"/>
      <c r="MHA5" s="87"/>
      <c r="MHB5" s="87"/>
      <c r="MHC5" s="87"/>
      <c r="MHD5" s="87"/>
      <c r="MHE5" s="87"/>
      <c r="MHF5" s="87"/>
      <c r="MHG5" s="87"/>
      <c r="MHH5" s="87"/>
      <c r="MHI5" s="87"/>
      <c r="MHJ5" s="87"/>
      <c r="MHK5" s="87"/>
      <c r="MHL5" s="87"/>
      <c r="MHM5" s="87"/>
      <c r="MHN5" s="87"/>
      <c r="MHO5" s="87"/>
      <c r="MHP5" s="87"/>
      <c r="MHQ5" s="87"/>
      <c r="MHR5" s="87"/>
      <c r="MHS5" s="87"/>
      <c r="MHT5" s="87"/>
      <c r="MHU5" s="87"/>
      <c r="MHV5" s="87"/>
      <c r="MHW5" s="87"/>
      <c r="MHX5" s="87"/>
      <c r="MHY5" s="87"/>
      <c r="MHZ5" s="87"/>
      <c r="MIA5" s="87"/>
      <c r="MIB5" s="87"/>
      <c r="MIC5" s="87"/>
      <c r="MID5" s="87"/>
      <c r="MIE5" s="87"/>
      <c r="MIF5" s="87"/>
      <c r="MIG5" s="87"/>
      <c r="MIH5" s="87"/>
      <c r="MII5" s="87"/>
      <c r="MIJ5" s="87"/>
      <c r="MIK5" s="87"/>
      <c r="MIL5" s="87"/>
      <c r="MIM5" s="87"/>
      <c r="MIN5" s="87"/>
      <c r="MIO5" s="87"/>
      <c r="MIP5" s="87"/>
      <c r="MIQ5" s="87"/>
      <c r="MIR5" s="87"/>
      <c r="MIS5" s="87"/>
      <c r="MIT5" s="87"/>
      <c r="MIU5" s="87"/>
      <c r="MIV5" s="87"/>
      <c r="MIW5" s="87"/>
      <c r="MIX5" s="87"/>
      <c r="MIY5" s="87"/>
      <c r="MIZ5" s="87"/>
      <c r="MJA5" s="87"/>
      <c r="MJB5" s="87"/>
      <c r="MJC5" s="87"/>
      <c r="MJD5" s="87"/>
      <c r="MJE5" s="87"/>
      <c r="MJF5" s="87"/>
      <c r="MJG5" s="87"/>
      <c r="MJH5" s="87"/>
      <c r="MJI5" s="87"/>
      <c r="MJJ5" s="87"/>
      <c r="MJK5" s="87"/>
      <c r="MJL5" s="87"/>
      <c r="MJM5" s="87"/>
      <c r="MJN5" s="87"/>
      <c r="MJO5" s="87"/>
      <c r="MJP5" s="87"/>
      <c r="MJQ5" s="87"/>
      <c r="MJR5" s="87"/>
      <c r="MJS5" s="87"/>
      <c r="MJT5" s="87"/>
      <c r="MJU5" s="87"/>
      <c r="MJV5" s="87"/>
      <c r="MJW5" s="87"/>
      <c r="MJX5" s="87"/>
      <c r="MJY5" s="87"/>
      <c r="MJZ5" s="87"/>
      <c r="MKA5" s="87"/>
      <c r="MKB5" s="87"/>
      <c r="MKC5" s="87"/>
      <c r="MKD5" s="87"/>
      <c r="MKE5" s="87"/>
      <c r="MKF5" s="87"/>
      <c r="MKG5" s="87"/>
      <c r="MKH5" s="87"/>
      <c r="MKI5" s="87"/>
      <c r="MKJ5" s="87"/>
      <c r="MKK5" s="87"/>
      <c r="MKL5" s="87"/>
      <c r="MKM5" s="87"/>
      <c r="MKN5" s="87"/>
      <c r="MKO5" s="87"/>
      <c r="MKP5" s="87"/>
      <c r="MKQ5" s="87"/>
      <c r="MKR5" s="87"/>
      <c r="MKS5" s="87"/>
      <c r="MKT5" s="87"/>
      <c r="MKU5" s="87"/>
      <c r="MKV5" s="87"/>
      <c r="MKW5" s="87"/>
      <c r="MKX5" s="87"/>
      <c r="MKY5" s="87"/>
      <c r="MKZ5" s="87"/>
      <c r="MLA5" s="87"/>
      <c r="MLB5" s="87"/>
      <c r="MLC5" s="87"/>
      <c r="MLD5" s="87"/>
      <c r="MLE5" s="87"/>
      <c r="MLF5" s="87"/>
      <c r="MLG5" s="87"/>
      <c r="MLH5" s="87"/>
      <c r="MLI5" s="87"/>
      <c r="MLJ5" s="87"/>
      <c r="MLK5" s="87"/>
      <c r="MLL5" s="87"/>
      <c r="MLM5" s="87"/>
      <c r="MLN5" s="87"/>
      <c r="MLO5" s="87"/>
      <c r="MLP5" s="87"/>
      <c r="MLQ5" s="87"/>
      <c r="MLR5" s="87"/>
      <c r="MLS5" s="87"/>
      <c r="MLT5" s="87"/>
      <c r="MLU5" s="87"/>
      <c r="MLV5" s="87"/>
      <c r="MLW5" s="87"/>
      <c r="MLX5" s="87"/>
      <c r="MLY5" s="87"/>
      <c r="MLZ5" s="87"/>
      <c r="MMA5" s="87"/>
      <c r="MMB5" s="87"/>
      <c r="MMC5" s="87"/>
      <c r="MMD5" s="87"/>
      <c r="MME5" s="87"/>
      <c r="MMF5" s="87"/>
      <c r="MMG5" s="87"/>
      <c r="MMH5" s="87"/>
      <c r="MMI5" s="87"/>
      <c r="MMJ5" s="87"/>
      <c r="MMK5" s="87"/>
      <c r="MML5" s="87"/>
      <c r="MMM5" s="87"/>
      <c r="MMN5" s="87"/>
      <c r="MMO5" s="87"/>
      <c r="MMP5" s="87"/>
      <c r="MMQ5" s="87"/>
      <c r="MMR5" s="87"/>
      <c r="MMS5" s="87"/>
      <c r="MMT5" s="87"/>
      <c r="MMU5" s="87"/>
      <c r="MMV5" s="87"/>
      <c r="MMW5" s="87"/>
      <c r="MMX5" s="87"/>
      <c r="MMY5" s="87"/>
      <c r="MMZ5" s="87"/>
      <c r="MNA5" s="87"/>
      <c r="MNB5" s="87"/>
      <c r="MNC5" s="87"/>
      <c r="MND5" s="87"/>
      <c r="MNE5" s="87"/>
      <c r="MNF5" s="87"/>
      <c r="MNG5" s="87"/>
      <c r="MNH5" s="87"/>
      <c r="MNI5" s="87"/>
      <c r="MNJ5" s="87"/>
      <c r="MNK5" s="87"/>
      <c r="MNL5" s="87"/>
      <c r="MNM5" s="87"/>
      <c r="MNN5" s="87"/>
      <c r="MNO5" s="87"/>
      <c r="MNP5" s="87"/>
      <c r="MNQ5" s="87"/>
      <c r="MNR5" s="87"/>
      <c r="MNS5" s="87"/>
      <c r="MNT5" s="87"/>
      <c r="MNU5" s="87"/>
      <c r="MNV5" s="87"/>
      <c r="MNW5" s="87"/>
      <c r="MNX5" s="87"/>
      <c r="MNY5" s="87"/>
      <c r="MNZ5" s="87"/>
      <c r="MOA5" s="87"/>
      <c r="MOB5" s="87"/>
      <c r="MOC5" s="87"/>
      <c r="MOD5" s="87"/>
      <c r="MOE5" s="87"/>
      <c r="MOF5" s="87"/>
      <c r="MOG5" s="87"/>
      <c r="MOH5" s="87"/>
      <c r="MOI5" s="87"/>
      <c r="MOJ5" s="87"/>
      <c r="MOK5" s="87"/>
      <c r="MOL5" s="87"/>
      <c r="MOM5" s="87"/>
      <c r="MON5" s="87"/>
      <c r="MOO5" s="87"/>
      <c r="MOP5" s="87"/>
      <c r="MOQ5" s="87"/>
      <c r="MOR5" s="87"/>
      <c r="MOS5" s="87"/>
      <c r="MOT5" s="87"/>
      <c r="MOU5" s="87"/>
      <c r="MOV5" s="87"/>
      <c r="MOW5" s="87"/>
      <c r="MOX5" s="87"/>
      <c r="MOY5" s="87"/>
      <c r="MOZ5" s="87"/>
      <c r="MPA5" s="87"/>
      <c r="MPB5" s="87"/>
      <c r="MPC5" s="87"/>
      <c r="MPD5" s="87"/>
      <c r="MPE5" s="87"/>
      <c r="MPF5" s="87"/>
      <c r="MPG5" s="87"/>
      <c r="MPH5" s="87"/>
      <c r="MPI5" s="87"/>
      <c r="MPJ5" s="87"/>
      <c r="MPK5" s="87"/>
      <c r="MPL5" s="87"/>
      <c r="MPM5" s="87"/>
      <c r="MPN5" s="87"/>
      <c r="MPO5" s="87"/>
      <c r="MPP5" s="87"/>
      <c r="MPQ5" s="87"/>
      <c r="MPR5" s="87"/>
      <c r="MPS5" s="87"/>
      <c r="MPT5" s="87"/>
      <c r="MPU5" s="87"/>
      <c r="MPV5" s="87"/>
      <c r="MPW5" s="87"/>
      <c r="MPX5" s="87"/>
      <c r="MPY5" s="87"/>
      <c r="MPZ5" s="87"/>
      <c r="MQA5" s="87"/>
      <c r="MQB5" s="87"/>
      <c r="MQC5" s="87"/>
      <c r="MQD5" s="87"/>
      <c r="MQE5" s="87"/>
      <c r="MQF5" s="87"/>
      <c r="MQG5" s="87"/>
      <c r="MQH5" s="87"/>
      <c r="MQI5" s="87"/>
      <c r="MQJ5" s="87"/>
      <c r="MQK5" s="87"/>
      <c r="MQL5" s="87"/>
      <c r="MQM5" s="87"/>
      <c r="MQN5" s="87"/>
      <c r="MQO5" s="87"/>
      <c r="MQP5" s="87"/>
      <c r="MQQ5" s="87"/>
      <c r="MQR5" s="87"/>
      <c r="MQS5" s="87"/>
      <c r="MQT5" s="87"/>
      <c r="MQU5" s="87"/>
      <c r="MQV5" s="87"/>
      <c r="MQW5" s="87"/>
      <c r="MQX5" s="87"/>
      <c r="MQY5" s="87"/>
      <c r="MQZ5" s="87"/>
      <c r="MRA5" s="87"/>
      <c r="MRB5" s="87"/>
      <c r="MRC5" s="87"/>
      <c r="MRD5" s="87"/>
      <c r="MRE5" s="87"/>
      <c r="MRF5" s="87"/>
      <c r="MRG5" s="87"/>
      <c r="MRH5" s="87"/>
      <c r="MRI5" s="87"/>
      <c r="MRJ5" s="87"/>
      <c r="MRK5" s="87"/>
      <c r="MRL5" s="87"/>
      <c r="MRM5" s="87"/>
      <c r="MRN5" s="87"/>
      <c r="MRO5" s="87"/>
      <c r="MRP5" s="87"/>
      <c r="MRQ5" s="87"/>
      <c r="MRR5" s="87"/>
      <c r="MRS5" s="87"/>
      <c r="MRT5" s="87"/>
      <c r="MRU5" s="87"/>
      <c r="MRV5" s="87"/>
      <c r="MRW5" s="87"/>
      <c r="MRX5" s="87"/>
      <c r="MRY5" s="87"/>
      <c r="MRZ5" s="87"/>
      <c r="MSA5" s="87"/>
      <c r="MSB5" s="87"/>
      <c r="MSC5" s="87"/>
      <c r="MSD5" s="87"/>
      <c r="MSE5" s="87"/>
      <c r="MSF5" s="87"/>
      <c r="MSG5" s="87"/>
      <c r="MSH5" s="87"/>
      <c r="MSI5" s="87"/>
      <c r="MSJ5" s="87"/>
      <c r="MSK5" s="87"/>
      <c r="MSL5" s="87"/>
      <c r="MSM5" s="87"/>
      <c r="MSN5" s="87"/>
      <c r="MSO5" s="87"/>
      <c r="MSP5" s="87"/>
      <c r="MSQ5" s="87"/>
      <c r="MSR5" s="87"/>
      <c r="MSS5" s="87"/>
      <c r="MST5" s="87"/>
      <c r="MSU5" s="87"/>
      <c r="MSV5" s="87"/>
      <c r="MSW5" s="87"/>
      <c r="MSX5" s="87"/>
      <c r="MSY5" s="87"/>
      <c r="MSZ5" s="87"/>
      <c r="MTA5" s="87"/>
      <c r="MTB5" s="87"/>
      <c r="MTC5" s="87"/>
      <c r="MTD5" s="87"/>
      <c r="MTE5" s="87"/>
      <c r="MTF5" s="87"/>
      <c r="MTG5" s="87"/>
      <c r="MTH5" s="87"/>
      <c r="MTI5" s="87"/>
      <c r="MTJ5" s="87"/>
      <c r="MTK5" s="87"/>
      <c r="MTL5" s="87"/>
      <c r="MTM5" s="87"/>
      <c r="MTN5" s="87"/>
      <c r="MTO5" s="87"/>
      <c r="MTP5" s="87"/>
      <c r="MTQ5" s="87"/>
      <c r="MTR5" s="87"/>
      <c r="MTS5" s="87"/>
      <c r="MTT5" s="87"/>
      <c r="MTU5" s="87"/>
      <c r="MTV5" s="87"/>
      <c r="MTW5" s="87"/>
      <c r="MTX5" s="87"/>
      <c r="MTY5" s="87"/>
      <c r="MTZ5" s="87"/>
      <c r="MUA5" s="87"/>
      <c r="MUB5" s="87"/>
      <c r="MUC5" s="87"/>
      <c r="MUD5" s="87"/>
      <c r="MUE5" s="87"/>
      <c r="MUF5" s="87"/>
      <c r="MUG5" s="87"/>
      <c r="MUH5" s="87"/>
      <c r="MUI5" s="87"/>
      <c r="MUJ5" s="87"/>
      <c r="MUK5" s="87"/>
      <c r="MUL5" s="87"/>
      <c r="MUM5" s="87"/>
      <c r="MUN5" s="87"/>
      <c r="MUO5" s="87"/>
      <c r="MUP5" s="87"/>
      <c r="MUQ5" s="87"/>
      <c r="MUR5" s="87"/>
      <c r="MUS5" s="87"/>
      <c r="MUT5" s="87"/>
      <c r="MUU5" s="87"/>
      <c r="MUV5" s="87"/>
      <c r="MUW5" s="87"/>
      <c r="MUX5" s="87"/>
      <c r="MUY5" s="87"/>
      <c r="MUZ5" s="87"/>
      <c r="MVA5" s="87"/>
      <c r="MVB5" s="87"/>
      <c r="MVC5" s="87"/>
      <c r="MVD5" s="87"/>
      <c r="MVE5" s="87"/>
      <c r="MVF5" s="87"/>
      <c r="MVG5" s="87"/>
      <c r="MVH5" s="87"/>
      <c r="MVI5" s="87"/>
      <c r="MVJ5" s="87"/>
      <c r="MVK5" s="87"/>
      <c r="MVL5" s="87"/>
      <c r="MVM5" s="87"/>
      <c r="MVN5" s="87"/>
      <c r="MVO5" s="87"/>
      <c r="MVP5" s="87"/>
      <c r="MVQ5" s="87"/>
      <c r="MVR5" s="87"/>
      <c r="MVS5" s="87"/>
      <c r="MVT5" s="87"/>
      <c r="MVU5" s="87"/>
      <c r="MVV5" s="87"/>
      <c r="MVW5" s="87"/>
      <c r="MVX5" s="87"/>
      <c r="MVY5" s="87"/>
      <c r="MVZ5" s="87"/>
      <c r="MWA5" s="87"/>
      <c r="MWB5" s="87"/>
      <c r="MWC5" s="87"/>
      <c r="MWD5" s="87"/>
      <c r="MWE5" s="87"/>
      <c r="MWF5" s="87"/>
      <c r="MWG5" s="87"/>
      <c r="MWH5" s="87"/>
      <c r="MWI5" s="87"/>
      <c r="MWJ5" s="87"/>
      <c r="MWK5" s="87"/>
      <c r="MWL5" s="87"/>
      <c r="MWM5" s="87"/>
      <c r="MWN5" s="87"/>
      <c r="MWO5" s="87"/>
      <c r="MWP5" s="87"/>
      <c r="MWQ5" s="87"/>
      <c r="MWR5" s="87"/>
      <c r="MWS5" s="87"/>
      <c r="MWT5" s="87"/>
      <c r="MWU5" s="87"/>
      <c r="MWV5" s="87"/>
      <c r="MWW5" s="87"/>
      <c r="MWX5" s="87"/>
      <c r="MWY5" s="87"/>
      <c r="MWZ5" s="87"/>
      <c r="MXA5" s="87"/>
      <c r="MXB5" s="87"/>
      <c r="MXC5" s="87"/>
      <c r="MXD5" s="87"/>
      <c r="MXE5" s="87"/>
      <c r="MXF5" s="87"/>
      <c r="MXG5" s="87"/>
      <c r="MXH5" s="87"/>
      <c r="MXI5" s="87"/>
      <c r="MXJ5" s="87"/>
      <c r="MXK5" s="87"/>
      <c r="MXL5" s="87"/>
      <c r="MXM5" s="87"/>
      <c r="MXN5" s="87"/>
      <c r="MXO5" s="87"/>
      <c r="MXP5" s="87"/>
      <c r="MXQ5" s="87"/>
      <c r="MXR5" s="87"/>
      <c r="MXS5" s="87"/>
      <c r="MXT5" s="87"/>
      <c r="MXU5" s="87"/>
      <c r="MXV5" s="87"/>
      <c r="MXW5" s="87"/>
      <c r="MXX5" s="87"/>
      <c r="MXY5" s="87"/>
      <c r="MXZ5" s="87"/>
      <c r="MYA5" s="87"/>
      <c r="MYB5" s="87"/>
      <c r="MYC5" s="87"/>
      <c r="MYD5" s="87"/>
      <c r="MYE5" s="87"/>
      <c r="MYF5" s="87"/>
      <c r="MYG5" s="87"/>
      <c r="MYH5" s="87"/>
      <c r="MYI5" s="87"/>
      <c r="MYJ5" s="87"/>
      <c r="MYK5" s="87"/>
      <c r="MYL5" s="87"/>
      <c r="MYM5" s="87"/>
      <c r="MYN5" s="87"/>
      <c r="MYO5" s="87"/>
      <c r="MYP5" s="87"/>
      <c r="MYQ5" s="87"/>
      <c r="MYR5" s="87"/>
      <c r="MYS5" s="87"/>
      <c r="MYT5" s="87"/>
      <c r="MYU5" s="87"/>
      <c r="MYV5" s="87"/>
      <c r="MYW5" s="87"/>
      <c r="MYX5" s="87"/>
      <c r="MYY5" s="87"/>
      <c r="MYZ5" s="87"/>
      <c r="MZA5" s="87"/>
      <c r="MZB5" s="87"/>
      <c r="MZC5" s="87"/>
      <c r="MZD5" s="87"/>
      <c r="MZE5" s="87"/>
      <c r="MZF5" s="87"/>
      <c r="MZG5" s="87"/>
      <c r="MZH5" s="87"/>
      <c r="MZI5" s="87"/>
      <c r="MZJ5" s="87"/>
      <c r="MZK5" s="87"/>
      <c r="MZL5" s="87"/>
      <c r="MZM5" s="87"/>
      <c r="MZN5" s="87"/>
      <c r="MZO5" s="87"/>
      <c r="MZP5" s="87"/>
      <c r="MZQ5" s="87"/>
      <c r="MZR5" s="87"/>
      <c r="MZS5" s="87"/>
      <c r="MZT5" s="87"/>
      <c r="MZU5" s="87"/>
      <c r="MZV5" s="87"/>
      <c r="MZW5" s="87"/>
      <c r="MZX5" s="87"/>
      <c r="MZY5" s="87"/>
      <c r="MZZ5" s="87"/>
      <c r="NAA5" s="87"/>
      <c r="NAB5" s="87"/>
      <c r="NAC5" s="87"/>
      <c r="NAD5" s="87"/>
      <c r="NAE5" s="87"/>
      <c r="NAF5" s="87"/>
      <c r="NAG5" s="87"/>
      <c r="NAH5" s="87"/>
      <c r="NAI5" s="87"/>
      <c r="NAJ5" s="87"/>
      <c r="NAK5" s="87"/>
      <c r="NAL5" s="87"/>
      <c r="NAM5" s="87"/>
      <c r="NAN5" s="87"/>
      <c r="NAO5" s="87"/>
      <c r="NAP5" s="87"/>
      <c r="NAQ5" s="87"/>
      <c r="NAR5" s="87"/>
      <c r="NAS5" s="87"/>
      <c r="NAT5" s="87"/>
      <c r="NAU5" s="87"/>
      <c r="NAV5" s="87"/>
      <c r="NAW5" s="87"/>
      <c r="NAX5" s="87"/>
      <c r="NAY5" s="87"/>
      <c r="NAZ5" s="87"/>
      <c r="NBA5" s="87"/>
      <c r="NBB5" s="87"/>
      <c r="NBC5" s="87"/>
      <c r="NBD5" s="87"/>
      <c r="NBE5" s="87"/>
      <c r="NBF5" s="87"/>
      <c r="NBG5" s="87"/>
      <c r="NBH5" s="87"/>
      <c r="NBI5" s="87"/>
      <c r="NBJ5" s="87"/>
      <c r="NBK5" s="87"/>
      <c r="NBL5" s="87"/>
      <c r="NBM5" s="87"/>
      <c r="NBN5" s="87"/>
      <c r="NBO5" s="87"/>
      <c r="NBP5" s="87"/>
      <c r="NBQ5" s="87"/>
      <c r="NBR5" s="87"/>
      <c r="NBS5" s="87"/>
      <c r="NBT5" s="87"/>
      <c r="NBU5" s="87"/>
      <c r="NBV5" s="87"/>
      <c r="NBW5" s="87"/>
      <c r="NBX5" s="87"/>
      <c r="NBY5" s="87"/>
      <c r="NBZ5" s="87"/>
      <c r="NCA5" s="87"/>
      <c r="NCB5" s="87"/>
      <c r="NCC5" s="87"/>
      <c r="NCD5" s="87"/>
      <c r="NCE5" s="87"/>
      <c r="NCF5" s="87"/>
      <c r="NCG5" s="87"/>
      <c r="NCH5" s="87"/>
      <c r="NCI5" s="87"/>
      <c r="NCJ5" s="87"/>
      <c r="NCK5" s="87"/>
      <c r="NCL5" s="87"/>
      <c r="NCM5" s="87"/>
      <c r="NCN5" s="87"/>
      <c r="NCO5" s="87"/>
      <c r="NCP5" s="87"/>
      <c r="NCQ5" s="87"/>
      <c r="NCR5" s="87"/>
      <c r="NCS5" s="87"/>
      <c r="NCT5" s="87"/>
      <c r="NCU5" s="87"/>
      <c r="NCV5" s="87"/>
      <c r="NCW5" s="87"/>
      <c r="NCX5" s="87"/>
      <c r="NCY5" s="87"/>
      <c r="NCZ5" s="87"/>
      <c r="NDA5" s="87"/>
      <c r="NDB5" s="87"/>
      <c r="NDC5" s="87"/>
      <c r="NDD5" s="87"/>
      <c r="NDE5" s="87"/>
      <c r="NDF5" s="87"/>
      <c r="NDG5" s="87"/>
      <c r="NDH5" s="87"/>
      <c r="NDI5" s="87"/>
      <c r="NDJ5" s="87"/>
      <c r="NDK5" s="87"/>
      <c r="NDL5" s="87"/>
      <c r="NDM5" s="87"/>
      <c r="NDN5" s="87"/>
      <c r="NDO5" s="87"/>
      <c r="NDP5" s="87"/>
      <c r="NDQ5" s="87"/>
      <c r="NDR5" s="87"/>
      <c r="NDS5" s="87"/>
      <c r="NDT5" s="87"/>
      <c r="NDU5" s="87"/>
      <c r="NDV5" s="87"/>
      <c r="NDW5" s="87"/>
      <c r="NDX5" s="87"/>
      <c r="NDY5" s="87"/>
      <c r="NDZ5" s="87"/>
      <c r="NEA5" s="87"/>
      <c r="NEB5" s="87"/>
      <c r="NEC5" s="87"/>
      <c r="NED5" s="87"/>
      <c r="NEE5" s="87"/>
      <c r="NEF5" s="87"/>
      <c r="NEG5" s="87"/>
      <c r="NEH5" s="87"/>
      <c r="NEI5" s="87"/>
      <c r="NEJ5" s="87"/>
      <c r="NEK5" s="87"/>
      <c r="NEL5" s="87"/>
      <c r="NEM5" s="87"/>
      <c r="NEN5" s="87"/>
      <c r="NEO5" s="87"/>
      <c r="NEP5" s="87"/>
      <c r="NEQ5" s="87"/>
      <c r="NER5" s="87"/>
      <c r="NES5" s="87"/>
      <c r="NET5" s="87"/>
      <c r="NEU5" s="87"/>
      <c r="NEV5" s="87"/>
      <c r="NEW5" s="87"/>
      <c r="NEX5" s="87"/>
      <c r="NEY5" s="87"/>
      <c r="NEZ5" s="87"/>
      <c r="NFA5" s="87"/>
      <c r="NFB5" s="87"/>
      <c r="NFC5" s="87"/>
      <c r="NFD5" s="87"/>
      <c r="NFE5" s="87"/>
      <c r="NFF5" s="87"/>
      <c r="NFG5" s="87"/>
      <c r="NFH5" s="87"/>
      <c r="NFI5" s="87"/>
      <c r="NFJ5" s="87"/>
      <c r="NFK5" s="87"/>
      <c r="NFL5" s="87"/>
      <c r="NFM5" s="87"/>
      <c r="NFN5" s="87"/>
      <c r="NFO5" s="87"/>
      <c r="NFP5" s="87"/>
      <c r="NFQ5" s="87"/>
      <c r="NFR5" s="87"/>
      <c r="NFS5" s="87"/>
      <c r="NFT5" s="87"/>
      <c r="NFU5" s="87"/>
      <c r="NFV5" s="87"/>
      <c r="NFW5" s="87"/>
      <c r="NFX5" s="87"/>
      <c r="NFY5" s="87"/>
      <c r="NFZ5" s="87"/>
      <c r="NGA5" s="87"/>
      <c r="NGB5" s="87"/>
      <c r="NGC5" s="87"/>
      <c r="NGD5" s="87"/>
      <c r="NGE5" s="87"/>
      <c r="NGF5" s="87"/>
      <c r="NGG5" s="87"/>
      <c r="NGH5" s="87"/>
      <c r="NGI5" s="87"/>
      <c r="NGJ5" s="87"/>
      <c r="NGK5" s="87"/>
      <c r="NGL5" s="87"/>
      <c r="NGM5" s="87"/>
      <c r="NGN5" s="87"/>
      <c r="NGO5" s="87"/>
      <c r="NGP5" s="87"/>
      <c r="NGQ5" s="87"/>
      <c r="NGR5" s="87"/>
      <c r="NGS5" s="87"/>
      <c r="NGT5" s="87"/>
      <c r="NGU5" s="87"/>
      <c r="NGV5" s="87"/>
      <c r="NGW5" s="87"/>
      <c r="NGX5" s="87"/>
      <c r="NGY5" s="87"/>
      <c r="NGZ5" s="87"/>
      <c r="NHA5" s="87"/>
      <c r="NHB5" s="87"/>
      <c r="NHC5" s="87"/>
      <c r="NHD5" s="87"/>
      <c r="NHE5" s="87"/>
      <c r="NHF5" s="87"/>
      <c r="NHG5" s="87"/>
      <c r="NHH5" s="87"/>
      <c r="NHI5" s="87"/>
      <c r="NHJ5" s="87"/>
      <c r="NHK5" s="87"/>
      <c r="NHL5" s="87"/>
      <c r="NHM5" s="87"/>
      <c r="NHN5" s="87"/>
      <c r="NHO5" s="87"/>
      <c r="NHP5" s="87"/>
      <c r="NHQ5" s="87"/>
      <c r="NHR5" s="87"/>
      <c r="NHS5" s="87"/>
      <c r="NHT5" s="87"/>
      <c r="NHU5" s="87"/>
      <c r="NHV5" s="87"/>
      <c r="NHW5" s="87"/>
      <c r="NHX5" s="87"/>
      <c r="NHY5" s="87"/>
      <c r="NHZ5" s="87"/>
      <c r="NIA5" s="87"/>
      <c r="NIB5" s="87"/>
      <c r="NIC5" s="87"/>
      <c r="NID5" s="87"/>
      <c r="NIE5" s="87"/>
      <c r="NIF5" s="87"/>
      <c r="NIG5" s="87"/>
      <c r="NIH5" s="87"/>
      <c r="NII5" s="87"/>
      <c r="NIJ5" s="87"/>
      <c r="NIK5" s="87"/>
      <c r="NIL5" s="87"/>
      <c r="NIM5" s="87"/>
      <c r="NIN5" s="87"/>
      <c r="NIO5" s="87"/>
      <c r="NIP5" s="87"/>
      <c r="NIQ5" s="87"/>
      <c r="NIR5" s="87"/>
      <c r="NIS5" s="87"/>
      <c r="NIT5" s="87"/>
      <c r="NIU5" s="87"/>
      <c r="NIV5" s="87"/>
      <c r="NIW5" s="87"/>
      <c r="NIX5" s="87"/>
      <c r="NIY5" s="87"/>
      <c r="NIZ5" s="87"/>
      <c r="NJA5" s="87"/>
      <c r="NJB5" s="87"/>
      <c r="NJC5" s="87"/>
      <c r="NJD5" s="87"/>
      <c r="NJE5" s="87"/>
      <c r="NJF5" s="87"/>
      <c r="NJG5" s="87"/>
      <c r="NJH5" s="87"/>
      <c r="NJI5" s="87"/>
      <c r="NJJ5" s="87"/>
      <c r="NJK5" s="87"/>
      <c r="NJL5" s="87"/>
      <c r="NJM5" s="87"/>
      <c r="NJN5" s="87"/>
      <c r="NJO5" s="87"/>
      <c r="NJP5" s="87"/>
      <c r="NJQ5" s="87"/>
      <c r="NJR5" s="87"/>
      <c r="NJS5" s="87"/>
      <c r="NJT5" s="87"/>
      <c r="NJU5" s="87"/>
      <c r="NJV5" s="87"/>
      <c r="NJW5" s="87"/>
      <c r="NJX5" s="87"/>
      <c r="NJY5" s="87"/>
      <c r="NJZ5" s="87"/>
      <c r="NKA5" s="87"/>
      <c r="NKB5" s="87"/>
      <c r="NKC5" s="87"/>
      <c r="NKD5" s="87"/>
      <c r="NKE5" s="87"/>
      <c r="NKF5" s="87"/>
      <c r="NKG5" s="87"/>
      <c r="NKH5" s="87"/>
      <c r="NKI5" s="87"/>
      <c r="NKJ5" s="87"/>
      <c r="NKK5" s="87"/>
      <c r="NKL5" s="87"/>
      <c r="NKM5" s="87"/>
      <c r="NKN5" s="87"/>
      <c r="NKO5" s="87"/>
      <c r="NKP5" s="87"/>
      <c r="NKQ5" s="87"/>
      <c r="NKR5" s="87"/>
      <c r="NKS5" s="87"/>
      <c r="NKT5" s="87"/>
      <c r="NKU5" s="87"/>
      <c r="NKV5" s="87"/>
      <c r="NKW5" s="87"/>
      <c r="NKX5" s="87"/>
      <c r="NKY5" s="87"/>
      <c r="NKZ5" s="87"/>
      <c r="NLA5" s="87"/>
      <c r="NLB5" s="87"/>
      <c r="NLC5" s="87"/>
      <c r="NLD5" s="87"/>
      <c r="NLE5" s="87"/>
      <c r="NLF5" s="87"/>
      <c r="NLG5" s="87"/>
      <c r="NLH5" s="87"/>
      <c r="NLI5" s="87"/>
      <c r="NLJ5" s="87"/>
      <c r="NLK5" s="87"/>
      <c r="NLL5" s="87"/>
      <c r="NLM5" s="87"/>
      <c r="NLN5" s="87"/>
      <c r="NLO5" s="87"/>
      <c r="NLP5" s="87"/>
      <c r="NLQ5" s="87"/>
      <c r="NLR5" s="87"/>
      <c r="NLS5" s="87"/>
      <c r="NLT5" s="87"/>
      <c r="NLU5" s="87"/>
      <c r="NLV5" s="87"/>
      <c r="NLW5" s="87"/>
      <c r="NLX5" s="87"/>
      <c r="NLY5" s="87"/>
      <c r="NLZ5" s="87"/>
      <c r="NMA5" s="87"/>
      <c r="NMB5" s="87"/>
      <c r="NMC5" s="87"/>
      <c r="NMD5" s="87"/>
      <c r="NME5" s="87"/>
      <c r="NMF5" s="87"/>
      <c r="NMG5" s="87"/>
      <c r="NMH5" s="87"/>
      <c r="NMI5" s="87"/>
      <c r="NMJ5" s="87"/>
      <c r="NMK5" s="87"/>
      <c r="NML5" s="87"/>
      <c r="NMM5" s="87"/>
      <c r="NMN5" s="87"/>
      <c r="NMO5" s="87"/>
      <c r="NMP5" s="87"/>
      <c r="NMQ5" s="87"/>
      <c r="NMR5" s="87"/>
      <c r="NMS5" s="87"/>
      <c r="NMT5" s="87"/>
      <c r="NMU5" s="87"/>
      <c r="NMV5" s="87"/>
      <c r="NMW5" s="87"/>
      <c r="NMX5" s="87"/>
      <c r="NMY5" s="87"/>
      <c r="NMZ5" s="87"/>
      <c r="NNA5" s="87"/>
      <c r="NNB5" s="87"/>
      <c r="NNC5" s="87"/>
      <c r="NND5" s="87"/>
      <c r="NNE5" s="87"/>
      <c r="NNF5" s="87"/>
      <c r="NNG5" s="87"/>
      <c r="NNH5" s="87"/>
      <c r="NNI5" s="87"/>
      <c r="NNJ5" s="87"/>
      <c r="NNK5" s="87"/>
      <c r="NNL5" s="87"/>
      <c r="NNM5" s="87"/>
      <c r="NNN5" s="87"/>
      <c r="NNO5" s="87"/>
      <c r="NNP5" s="87"/>
      <c r="NNQ5" s="87"/>
      <c r="NNR5" s="87"/>
      <c r="NNS5" s="87"/>
      <c r="NNT5" s="87"/>
      <c r="NNU5" s="87"/>
      <c r="NNV5" s="87"/>
      <c r="NNW5" s="87"/>
      <c r="NNX5" s="87"/>
      <c r="NNY5" s="87"/>
      <c r="NNZ5" s="87"/>
      <c r="NOA5" s="87"/>
      <c r="NOB5" s="87"/>
      <c r="NOC5" s="87"/>
      <c r="NOD5" s="87"/>
      <c r="NOE5" s="87"/>
      <c r="NOF5" s="87"/>
      <c r="NOG5" s="87"/>
      <c r="NOH5" s="87"/>
      <c r="NOI5" s="87"/>
      <c r="NOJ5" s="87"/>
      <c r="NOK5" s="87"/>
      <c r="NOL5" s="87"/>
      <c r="NOM5" s="87"/>
      <c r="NON5" s="87"/>
      <c r="NOO5" s="87"/>
      <c r="NOP5" s="87"/>
      <c r="NOQ5" s="87"/>
      <c r="NOR5" s="87"/>
      <c r="NOS5" s="87"/>
      <c r="NOT5" s="87"/>
      <c r="NOU5" s="87"/>
      <c r="NOV5" s="87"/>
      <c r="NOW5" s="87"/>
      <c r="NOX5" s="87"/>
      <c r="NOY5" s="87"/>
      <c r="NOZ5" s="87"/>
      <c r="NPA5" s="87"/>
      <c r="NPB5" s="87"/>
      <c r="NPC5" s="87"/>
      <c r="NPD5" s="87"/>
      <c r="NPE5" s="87"/>
      <c r="NPF5" s="87"/>
      <c r="NPG5" s="87"/>
      <c r="NPH5" s="87"/>
      <c r="NPI5" s="87"/>
      <c r="NPJ5" s="87"/>
      <c r="NPK5" s="87"/>
      <c r="NPL5" s="87"/>
      <c r="NPM5" s="87"/>
      <c r="NPN5" s="87"/>
      <c r="NPO5" s="87"/>
      <c r="NPP5" s="87"/>
      <c r="NPQ5" s="87"/>
      <c r="NPR5" s="87"/>
      <c r="NPS5" s="87"/>
      <c r="NPT5" s="87"/>
      <c r="NPU5" s="87"/>
      <c r="NPV5" s="87"/>
      <c r="NPW5" s="87"/>
      <c r="NPX5" s="87"/>
      <c r="NPY5" s="87"/>
      <c r="NPZ5" s="87"/>
      <c r="NQA5" s="87"/>
      <c r="NQB5" s="87"/>
      <c r="NQC5" s="87"/>
      <c r="NQD5" s="87"/>
      <c r="NQE5" s="87"/>
      <c r="NQF5" s="87"/>
      <c r="NQG5" s="87"/>
      <c r="NQH5" s="87"/>
      <c r="NQI5" s="87"/>
      <c r="NQJ5" s="87"/>
      <c r="NQK5" s="87"/>
      <c r="NQL5" s="87"/>
      <c r="NQM5" s="87"/>
      <c r="NQN5" s="87"/>
      <c r="NQO5" s="87"/>
      <c r="NQP5" s="87"/>
      <c r="NQQ5" s="87"/>
      <c r="NQR5" s="87"/>
      <c r="NQS5" s="87"/>
      <c r="NQT5" s="87"/>
      <c r="NQU5" s="87"/>
      <c r="NQV5" s="87"/>
      <c r="NQW5" s="87"/>
      <c r="NQX5" s="87"/>
      <c r="NQY5" s="87"/>
      <c r="NQZ5" s="87"/>
      <c r="NRA5" s="87"/>
      <c r="NRB5" s="87"/>
      <c r="NRC5" s="87"/>
      <c r="NRD5" s="87"/>
      <c r="NRE5" s="87"/>
      <c r="NRF5" s="87"/>
      <c r="NRG5" s="87"/>
      <c r="NRH5" s="87"/>
      <c r="NRI5" s="87"/>
      <c r="NRJ5" s="87"/>
      <c r="NRK5" s="87"/>
      <c r="NRL5" s="87"/>
      <c r="NRM5" s="87"/>
      <c r="NRN5" s="87"/>
      <c r="NRO5" s="87"/>
      <c r="NRP5" s="87"/>
      <c r="NRQ5" s="87"/>
      <c r="NRR5" s="87"/>
      <c r="NRS5" s="87"/>
      <c r="NRT5" s="87"/>
      <c r="NRU5" s="87"/>
      <c r="NRV5" s="87"/>
      <c r="NRW5" s="87"/>
      <c r="NRX5" s="87"/>
      <c r="NRY5" s="87"/>
      <c r="NRZ5" s="87"/>
      <c r="NSA5" s="87"/>
      <c r="NSB5" s="87"/>
      <c r="NSC5" s="87"/>
      <c r="NSD5" s="87"/>
      <c r="NSE5" s="87"/>
      <c r="NSF5" s="87"/>
      <c r="NSG5" s="87"/>
      <c r="NSH5" s="87"/>
      <c r="NSI5" s="87"/>
      <c r="NSJ5" s="87"/>
      <c r="NSK5" s="87"/>
      <c r="NSL5" s="87"/>
      <c r="NSM5" s="87"/>
      <c r="NSN5" s="87"/>
      <c r="NSO5" s="87"/>
      <c r="NSP5" s="87"/>
      <c r="NSQ5" s="87"/>
      <c r="NSR5" s="87"/>
      <c r="NSS5" s="87"/>
      <c r="NST5" s="87"/>
      <c r="NSU5" s="87"/>
      <c r="NSV5" s="87"/>
      <c r="NSW5" s="87"/>
      <c r="NSX5" s="87"/>
      <c r="NSY5" s="87"/>
      <c r="NSZ5" s="87"/>
      <c r="NTA5" s="87"/>
      <c r="NTB5" s="87"/>
      <c r="NTC5" s="87"/>
      <c r="NTD5" s="87"/>
      <c r="NTE5" s="87"/>
      <c r="NTF5" s="87"/>
      <c r="NTG5" s="87"/>
      <c r="NTH5" s="87"/>
      <c r="NTI5" s="87"/>
      <c r="NTJ5" s="87"/>
      <c r="NTK5" s="87"/>
      <c r="NTL5" s="87"/>
      <c r="NTM5" s="87"/>
      <c r="NTN5" s="87"/>
      <c r="NTO5" s="87"/>
      <c r="NTP5" s="87"/>
      <c r="NTQ5" s="87"/>
      <c r="NTR5" s="87"/>
      <c r="NTS5" s="87"/>
      <c r="NTT5" s="87"/>
      <c r="NTU5" s="87"/>
      <c r="NTV5" s="87"/>
      <c r="NTW5" s="87"/>
      <c r="NTX5" s="87"/>
      <c r="NTY5" s="87"/>
      <c r="NTZ5" s="87"/>
      <c r="NUA5" s="87"/>
      <c r="NUB5" s="87"/>
      <c r="NUC5" s="87"/>
      <c r="NUD5" s="87"/>
      <c r="NUE5" s="87"/>
      <c r="NUF5" s="87"/>
      <c r="NUG5" s="87"/>
      <c r="NUH5" s="87"/>
      <c r="NUI5" s="87"/>
      <c r="NUJ5" s="87"/>
      <c r="NUK5" s="87"/>
      <c r="NUL5" s="87"/>
      <c r="NUM5" s="87"/>
      <c r="NUN5" s="87"/>
      <c r="NUO5" s="87"/>
      <c r="NUP5" s="87"/>
      <c r="NUQ5" s="87"/>
      <c r="NUR5" s="87"/>
      <c r="NUS5" s="87"/>
      <c r="NUT5" s="87"/>
      <c r="NUU5" s="87"/>
      <c r="NUV5" s="87"/>
      <c r="NUW5" s="87"/>
      <c r="NUX5" s="87"/>
      <c r="NUY5" s="87"/>
      <c r="NUZ5" s="87"/>
      <c r="NVA5" s="87"/>
      <c r="NVB5" s="87"/>
      <c r="NVC5" s="87"/>
      <c r="NVD5" s="87"/>
      <c r="NVE5" s="87"/>
      <c r="NVF5" s="87"/>
      <c r="NVG5" s="87"/>
      <c r="NVH5" s="87"/>
      <c r="NVI5" s="87"/>
      <c r="NVJ5" s="87"/>
      <c r="NVK5" s="87"/>
      <c r="NVL5" s="87"/>
      <c r="NVM5" s="87"/>
      <c r="NVN5" s="87"/>
      <c r="NVO5" s="87"/>
      <c r="NVP5" s="87"/>
      <c r="NVQ5" s="87"/>
      <c r="NVR5" s="87"/>
      <c r="NVS5" s="87"/>
      <c r="NVT5" s="87"/>
      <c r="NVU5" s="87"/>
      <c r="NVV5" s="87"/>
      <c r="NVW5" s="87"/>
      <c r="NVX5" s="87"/>
      <c r="NVY5" s="87"/>
      <c r="NVZ5" s="87"/>
      <c r="NWA5" s="87"/>
      <c r="NWB5" s="87"/>
      <c r="NWC5" s="87"/>
      <c r="NWD5" s="87"/>
      <c r="NWE5" s="87"/>
      <c r="NWF5" s="87"/>
      <c r="NWG5" s="87"/>
      <c r="NWH5" s="87"/>
      <c r="NWI5" s="87"/>
      <c r="NWJ5" s="87"/>
      <c r="NWK5" s="87"/>
      <c r="NWL5" s="87"/>
      <c r="NWM5" s="87"/>
      <c r="NWN5" s="87"/>
      <c r="NWO5" s="87"/>
      <c r="NWP5" s="87"/>
      <c r="NWQ5" s="87"/>
      <c r="NWR5" s="87"/>
      <c r="NWS5" s="87"/>
      <c r="NWT5" s="87"/>
      <c r="NWU5" s="87"/>
      <c r="NWV5" s="87"/>
      <c r="NWW5" s="87"/>
      <c r="NWX5" s="87"/>
      <c r="NWY5" s="87"/>
      <c r="NWZ5" s="87"/>
      <c r="NXA5" s="87"/>
      <c r="NXB5" s="87"/>
      <c r="NXC5" s="87"/>
      <c r="NXD5" s="87"/>
      <c r="NXE5" s="87"/>
      <c r="NXF5" s="87"/>
      <c r="NXG5" s="87"/>
      <c r="NXH5" s="87"/>
      <c r="NXI5" s="87"/>
      <c r="NXJ5" s="87"/>
      <c r="NXK5" s="87"/>
      <c r="NXL5" s="87"/>
      <c r="NXM5" s="87"/>
      <c r="NXN5" s="87"/>
      <c r="NXO5" s="87"/>
      <c r="NXP5" s="87"/>
      <c r="NXQ5" s="87"/>
      <c r="NXR5" s="87"/>
      <c r="NXS5" s="87"/>
      <c r="NXT5" s="87"/>
      <c r="NXU5" s="87"/>
      <c r="NXV5" s="87"/>
      <c r="NXW5" s="87"/>
      <c r="NXX5" s="87"/>
      <c r="NXY5" s="87"/>
      <c r="NXZ5" s="87"/>
      <c r="NYA5" s="87"/>
      <c r="NYB5" s="87"/>
      <c r="NYC5" s="87"/>
      <c r="NYD5" s="87"/>
      <c r="NYE5" s="87"/>
      <c r="NYF5" s="87"/>
      <c r="NYG5" s="87"/>
      <c r="NYH5" s="87"/>
      <c r="NYI5" s="87"/>
      <c r="NYJ5" s="87"/>
      <c r="NYK5" s="87"/>
      <c r="NYL5" s="87"/>
      <c r="NYM5" s="87"/>
      <c r="NYN5" s="87"/>
      <c r="NYO5" s="87"/>
      <c r="NYP5" s="87"/>
      <c r="NYQ5" s="87"/>
      <c r="NYR5" s="87"/>
      <c r="NYS5" s="87"/>
      <c r="NYT5" s="87"/>
      <c r="NYU5" s="87"/>
      <c r="NYV5" s="87"/>
      <c r="NYW5" s="87"/>
      <c r="NYX5" s="87"/>
      <c r="NYY5" s="87"/>
      <c r="NYZ5" s="87"/>
      <c r="NZA5" s="87"/>
      <c r="NZB5" s="87"/>
      <c r="NZC5" s="87"/>
      <c r="NZD5" s="87"/>
      <c r="NZE5" s="87"/>
      <c r="NZF5" s="87"/>
      <c r="NZG5" s="87"/>
      <c r="NZH5" s="87"/>
      <c r="NZI5" s="87"/>
      <c r="NZJ5" s="87"/>
      <c r="NZK5" s="87"/>
      <c r="NZL5" s="87"/>
      <c r="NZM5" s="87"/>
      <c r="NZN5" s="87"/>
      <c r="NZO5" s="87"/>
      <c r="NZP5" s="87"/>
      <c r="NZQ5" s="87"/>
      <c r="NZR5" s="87"/>
      <c r="NZS5" s="87"/>
      <c r="NZT5" s="87"/>
      <c r="NZU5" s="87"/>
      <c r="NZV5" s="87"/>
      <c r="NZW5" s="87"/>
      <c r="NZX5" s="87"/>
      <c r="NZY5" s="87"/>
      <c r="NZZ5" s="87"/>
      <c r="OAA5" s="87"/>
      <c r="OAB5" s="87"/>
      <c r="OAC5" s="87"/>
      <c r="OAD5" s="87"/>
      <c r="OAE5" s="87"/>
      <c r="OAF5" s="87"/>
      <c r="OAG5" s="87"/>
      <c r="OAH5" s="87"/>
      <c r="OAI5" s="87"/>
      <c r="OAJ5" s="87"/>
      <c r="OAK5" s="87"/>
      <c r="OAL5" s="87"/>
      <c r="OAM5" s="87"/>
      <c r="OAN5" s="87"/>
      <c r="OAO5" s="87"/>
      <c r="OAP5" s="87"/>
      <c r="OAQ5" s="87"/>
      <c r="OAR5" s="87"/>
      <c r="OAS5" s="87"/>
      <c r="OAT5" s="87"/>
      <c r="OAU5" s="87"/>
      <c r="OAV5" s="87"/>
      <c r="OAW5" s="87"/>
      <c r="OAX5" s="87"/>
      <c r="OAY5" s="87"/>
      <c r="OAZ5" s="87"/>
      <c r="OBA5" s="87"/>
      <c r="OBB5" s="87"/>
      <c r="OBC5" s="87"/>
      <c r="OBD5" s="87"/>
      <c r="OBE5" s="87"/>
      <c r="OBF5" s="87"/>
      <c r="OBG5" s="87"/>
      <c r="OBH5" s="87"/>
      <c r="OBI5" s="87"/>
      <c r="OBJ5" s="87"/>
      <c r="OBK5" s="87"/>
      <c r="OBL5" s="87"/>
      <c r="OBM5" s="87"/>
      <c r="OBN5" s="87"/>
      <c r="OBO5" s="87"/>
      <c r="OBP5" s="87"/>
      <c r="OBQ5" s="87"/>
      <c r="OBR5" s="87"/>
      <c r="OBS5" s="87"/>
      <c r="OBT5" s="87"/>
      <c r="OBU5" s="87"/>
      <c r="OBV5" s="87"/>
      <c r="OBW5" s="87"/>
      <c r="OBX5" s="87"/>
      <c r="OBY5" s="87"/>
      <c r="OBZ5" s="87"/>
      <c r="OCA5" s="87"/>
      <c r="OCB5" s="87"/>
      <c r="OCC5" s="87"/>
      <c r="OCD5" s="87"/>
      <c r="OCE5" s="87"/>
      <c r="OCF5" s="87"/>
      <c r="OCG5" s="87"/>
      <c r="OCH5" s="87"/>
      <c r="OCI5" s="87"/>
      <c r="OCJ5" s="87"/>
      <c r="OCK5" s="87"/>
      <c r="OCL5" s="87"/>
      <c r="OCM5" s="87"/>
      <c r="OCN5" s="87"/>
      <c r="OCO5" s="87"/>
      <c r="OCP5" s="87"/>
      <c r="OCQ5" s="87"/>
      <c r="OCR5" s="87"/>
      <c r="OCS5" s="87"/>
      <c r="OCT5" s="87"/>
      <c r="OCU5" s="87"/>
      <c r="OCV5" s="87"/>
      <c r="OCW5" s="87"/>
      <c r="OCX5" s="87"/>
      <c r="OCY5" s="87"/>
      <c r="OCZ5" s="87"/>
      <c r="ODA5" s="87"/>
      <c r="ODB5" s="87"/>
      <c r="ODC5" s="87"/>
      <c r="ODD5" s="87"/>
      <c r="ODE5" s="87"/>
      <c r="ODF5" s="87"/>
      <c r="ODG5" s="87"/>
      <c r="ODH5" s="87"/>
      <c r="ODI5" s="87"/>
      <c r="ODJ5" s="87"/>
      <c r="ODK5" s="87"/>
      <c r="ODL5" s="87"/>
      <c r="ODM5" s="87"/>
      <c r="ODN5" s="87"/>
      <c r="ODO5" s="87"/>
      <c r="ODP5" s="87"/>
      <c r="ODQ5" s="87"/>
      <c r="ODR5" s="87"/>
      <c r="ODS5" s="87"/>
      <c r="ODT5" s="87"/>
      <c r="ODU5" s="87"/>
      <c r="ODV5" s="87"/>
      <c r="ODW5" s="87"/>
      <c r="ODX5" s="87"/>
      <c r="ODY5" s="87"/>
      <c r="ODZ5" s="87"/>
      <c r="OEA5" s="87"/>
      <c r="OEB5" s="87"/>
      <c r="OEC5" s="87"/>
      <c r="OED5" s="87"/>
      <c r="OEE5" s="87"/>
      <c r="OEF5" s="87"/>
      <c r="OEG5" s="87"/>
      <c r="OEH5" s="87"/>
      <c r="OEI5" s="87"/>
      <c r="OEJ5" s="87"/>
      <c r="OEK5" s="87"/>
      <c r="OEL5" s="87"/>
      <c r="OEM5" s="87"/>
      <c r="OEN5" s="87"/>
      <c r="OEO5" s="87"/>
      <c r="OEP5" s="87"/>
      <c r="OEQ5" s="87"/>
      <c r="OER5" s="87"/>
      <c r="OES5" s="87"/>
      <c r="OET5" s="87"/>
      <c r="OEU5" s="87"/>
      <c r="OEV5" s="87"/>
      <c r="OEW5" s="87"/>
      <c r="OEX5" s="87"/>
      <c r="OEY5" s="87"/>
      <c r="OEZ5" s="87"/>
      <c r="OFA5" s="87"/>
      <c r="OFB5" s="87"/>
      <c r="OFC5" s="87"/>
      <c r="OFD5" s="87"/>
      <c r="OFE5" s="87"/>
      <c r="OFF5" s="87"/>
      <c r="OFG5" s="87"/>
      <c r="OFH5" s="87"/>
      <c r="OFI5" s="87"/>
      <c r="OFJ5" s="87"/>
      <c r="OFK5" s="87"/>
      <c r="OFL5" s="87"/>
      <c r="OFM5" s="87"/>
      <c r="OFN5" s="87"/>
      <c r="OFO5" s="87"/>
      <c r="OFP5" s="87"/>
      <c r="OFQ5" s="87"/>
      <c r="OFR5" s="87"/>
      <c r="OFS5" s="87"/>
      <c r="OFT5" s="87"/>
      <c r="OFU5" s="87"/>
      <c r="OFV5" s="87"/>
      <c r="OFW5" s="87"/>
      <c r="OFX5" s="87"/>
      <c r="OFY5" s="87"/>
      <c r="OFZ5" s="87"/>
      <c r="OGA5" s="87"/>
      <c r="OGB5" s="87"/>
      <c r="OGC5" s="87"/>
      <c r="OGD5" s="87"/>
      <c r="OGE5" s="87"/>
      <c r="OGF5" s="87"/>
      <c r="OGG5" s="87"/>
      <c r="OGH5" s="87"/>
      <c r="OGI5" s="87"/>
      <c r="OGJ5" s="87"/>
      <c r="OGK5" s="87"/>
      <c r="OGL5" s="87"/>
      <c r="OGM5" s="87"/>
      <c r="OGN5" s="87"/>
      <c r="OGO5" s="87"/>
      <c r="OGP5" s="87"/>
      <c r="OGQ5" s="87"/>
      <c r="OGR5" s="87"/>
      <c r="OGS5" s="87"/>
      <c r="OGT5" s="87"/>
      <c r="OGU5" s="87"/>
      <c r="OGV5" s="87"/>
      <c r="OGW5" s="87"/>
      <c r="OGX5" s="87"/>
      <c r="OGY5" s="87"/>
      <c r="OGZ5" s="87"/>
      <c r="OHA5" s="87"/>
      <c r="OHB5" s="87"/>
      <c r="OHC5" s="87"/>
      <c r="OHD5" s="87"/>
      <c r="OHE5" s="87"/>
      <c r="OHF5" s="87"/>
      <c r="OHG5" s="87"/>
      <c r="OHH5" s="87"/>
      <c r="OHI5" s="87"/>
      <c r="OHJ5" s="87"/>
      <c r="OHK5" s="87"/>
      <c r="OHL5" s="87"/>
      <c r="OHM5" s="87"/>
      <c r="OHN5" s="87"/>
      <c r="OHO5" s="87"/>
      <c r="OHP5" s="87"/>
      <c r="OHQ5" s="87"/>
      <c r="OHR5" s="87"/>
      <c r="OHS5" s="87"/>
      <c r="OHT5" s="87"/>
      <c r="OHU5" s="87"/>
      <c r="OHV5" s="87"/>
      <c r="OHW5" s="87"/>
      <c r="OHX5" s="87"/>
      <c r="OHY5" s="87"/>
      <c r="OHZ5" s="87"/>
      <c r="OIA5" s="87"/>
      <c r="OIB5" s="87"/>
      <c r="OIC5" s="87"/>
      <c r="OID5" s="87"/>
      <c r="OIE5" s="87"/>
      <c r="OIF5" s="87"/>
      <c r="OIG5" s="87"/>
      <c r="OIH5" s="87"/>
      <c r="OII5" s="87"/>
      <c r="OIJ5" s="87"/>
      <c r="OIK5" s="87"/>
      <c r="OIL5" s="87"/>
      <c r="OIM5" s="87"/>
      <c r="OIN5" s="87"/>
      <c r="OIO5" s="87"/>
      <c r="OIP5" s="87"/>
      <c r="OIQ5" s="87"/>
      <c r="OIR5" s="87"/>
      <c r="OIS5" s="87"/>
      <c r="OIT5" s="87"/>
      <c r="OIU5" s="87"/>
      <c r="OIV5" s="87"/>
      <c r="OIW5" s="87"/>
      <c r="OIX5" s="87"/>
      <c r="OIY5" s="87"/>
      <c r="OIZ5" s="87"/>
      <c r="OJA5" s="87"/>
      <c r="OJB5" s="87"/>
      <c r="OJC5" s="87"/>
      <c r="OJD5" s="87"/>
      <c r="OJE5" s="87"/>
      <c r="OJF5" s="87"/>
      <c r="OJG5" s="87"/>
      <c r="OJH5" s="87"/>
      <c r="OJI5" s="87"/>
      <c r="OJJ5" s="87"/>
      <c r="OJK5" s="87"/>
      <c r="OJL5" s="87"/>
      <c r="OJM5" s="87"/>
      <c r="OJN5" s="87"/>
      <c r="OJO5" s="87"/>
      <c r="OJP5" s="87"/>
      <c r="OJQ5" s="87"/>
      <c r="OJR5" s="87"/>
      <c r="OJS5" s="87"/>
      <c r="OJT5" s="87"/>
      <c r="OJU5" s="87"/>
      <c r="OJV5" s="87"/>
      <c r="OJW5" s="87"/>
      <c r="OJX5" s="87"/>
      <c r="OJY5" s="87"/>
      <c r="OJZ5" s="87"/>
      <c r="OKA5" s="87"/>
      <c r="OKB5" s="87"/>
      <c r="OKC5" s="87"/>
      <c r="OKD5" s="87"/>
      <c r="OKE5" s="87"/>
      <c r="OKF5" s="87"/>
      <c r="OKG5" s="87"/>
      <c r="OKH5" s="87"/>
      <c r="OKI5" s="87"/>
      <c r="OKJ5" s="87"/>
      <c r="OKK5" s="87"/>
      <c r="OKL5" s="87"/>
      <c r="OKM5" s="87"/>
      <c r="OKN5" s="87"/>
      <c r="OKO5" s="87"/>
      <c r="OKP5" s="87"/>
      <c r="OKQ5" s="87"/>
      <c r="OKR5" s="87"/>
      <c r="OKS5" s="87"/>
      <c r="OKT5" s="87"/>
      <c r="OKU5" s="87"/>
      <c r="OKV5" s="87"/>
      <c r="OKW5" s="87"/>
      <c r="OKX5" s="87"/>
      <c r="OKY5" s="87"/>
      <c r="OKZ5" s="87"/>
      <c r="OLA5" s="87"/>
      <c r="OLB5" s="87"/>
      <c r="OLC5" s="87"/>
      <c r="OLD5" s="87"/>
      <c r="OLE5" s="87"/>
      <c r="OLF5" s="87"/>
      <c r="OLG5" s="87"/>
      <c r="OLH5" s="87"/>
      <c r="OLI5" s="87"/>
      <c r="OLJ5" s="87"/>
      <c r="OLK5" s="87"/>
      <c r="OLL5" s="87"/>
      <c r="OLM5" s="87"/>
      <c r="OLN5" s="87"/>
      <c r="OLO5" s="87"/>
      <c r="OLP5" s="87"/>
      <c r="OLQ5" s="87"/>
      <c r="OLR5" s="87"/>
      <c r="OLS5" s="87"/>
      <c r="OLT5" s="87"/>
      <c r="OLU5" s="87"/>
      <c r="OLV5" s="87"/>
      <c r="OLW5" s="87"/>
      <c r="OLX5" s="87"/>
      <c r="OLY5" s="87"/>
      <c r="OLZ5" s="87"/>
      <c r="OMA5" s="87"/>
      <c r="OMB5" s="87"/>
      <c r="OMC5" s="87"/>
      <c r="OMD5" s="87"/>
      <c r="OME5" s="87"/>
      <c r="OMF5" s="87"/>
      <c r="OMG5" s="87"/>
      <c r="OMH5" s="87"/>
      <c r="OMI5" s="87"/>
      <c r="OMJ5" s="87"/>
      <c r="OMK5" s="87"/>
      <c r="OML5" s="87"/>
      <c r="OMM5" s="87"/>
      <c r="OMN5" s="87"/>
      <c r="OMO5" s="87"/>
      <c r="OMP5" s="87"/>
      <c r="OMQ5" s="87"/>
      <c r="OMR5" s="87"/>
      <c r="OMS5" s="87"/>
      <c r="OMT5" s="87"/>
      <c r="OMU5" s="87"/>
      <c r="OMV5" s="87"/>
      <c r="OMW5" s="87"/>
      <c r="OMX5" s="87"/>
      <c r="OMY5" s="87"/>
      <c r="OMZ5" s="87"/>
      <c r="ONA5" s="87"/>
      <c r="ONB5" s="87"/>
      <c r="ONC5" s="87"/>
      <c r="OND5" s="87"/>
      <c r="ONE5" s="87"/>
      <c r="ONF5" s="87"/>
      <c r="ONG5" s="87"/>
      <c r="ONH5" s="87"/>
      <c r="ONI5" s="87"/>
      <c r="ONJ5" s="87"/>
      <c r="ONK5" s="87"/>
      <c r="ONL5" s="87"/>
      <c r="ONM5" s="87"/>
      <c r="ONN5" s="87"/>
      <c r="ONO5" s="87"/>
      <c r="ONP5" s="87"/>
      <c r="ONQ5" s="87"/>
      <c r="ONR5" s="87"/>
      <c r="ONS5" s="87"/>
      <c r="ONT5" s="87"/>
      <c r="ONU5" s="87"/>
      <c r="ONV5" s="87"/>
      <c r="ONW5" s="87"/>
      <c r="ONX5" s="87"/>
      <c r="ONY5" s="87"/>
      <c r="ONZ5" s="87"/>
      <c r="OOA5" s="87"/>
      <c r="OOB5" s="87"/>
      <c r="OOC5" s="87"/>
      <c r="OOD5" s="87"/>
      <c r="OOE5" s="87"/>
      <c r="OOF5" s="87"/>
      <c r="OOG5" s="87"/>
      <c r="OOH5" s="87"/>
      <c r="OOI5" s="87"/>
      <c r="OOJ5" s="87"/>
      <c r="OOK5" s="87"/>
      <c r="OOL5" s="87"/>
      <c r="OOM5" s="87"/>
      <c r="OON5" s="87"/>
      <c r="OOO5" s="87"/>
      <c r="OOP5" s="87"/>
      <c r="OOQ5" s="87"/>
      <c r="OOR5" s="87"/>
      <c r="OOS5" s="87"/>
      <c r="OOT5" s="87"/>
      <c r="OOU5" s="87"/>
      <c r="OOV5" s="87"/>
      <c r="OOW5" s="87"/>
      <c r="OOX5" s="87"/>
      <c r="OOY5" s="87"/>
      <c r="OOZ5" s="87"/>
      <c r="OPA5" s="87"/>
      <c r="OPB5" s="87"/>
      <c r="OPC5" s="87"/>
      <c r="OPD5" s="87"/>
      <c r="OPE5" s="87"/>
      <c r="OPF5" s="87"/>
      <c r="OPG5" s="87"/>
      <c r="OPH5" s="87"/>
      <c r="OPI5" s="87"/>
      <c r="OPJ5" s="87"/>
      <c r="OPK5" s="87"/>
      <c r="OPL5" s="87"/>
      <c r="OPM5" s="87"/>
      <c r="OPN5" s="87"/>
      <c r="OPO5" s="87"/>
      <c r="OPP5" s="87"/>
      <c r="OPQ5" s="87"/>
      <c r="OPR5" s="87"/>
      <c r="OPS5" s="87"/>
      <c r="OPT5" s="87"/>
      <c r="OPU5" s="87"/>
      <c r="OPV5" s="87"/>
      <c r="OPW5" s="87"/>
      <c r="OPX5" s="87"/>
      <c r="OPY5" s="87"/>
      <c r="OPZ5" s="87"/>
      <c r="OQA5" s="87"/>
      <c r="OQB5" s="87"/>
      <c r="OQC5" s="87"/>
      <c r="OQD5" s="87"/>
      <c r="OQE5" s="87"/>
      <c r="OQF5" s="87"/>
      <c r="OQG5" s="87"/>
      <c r="OQH5" s="87"/>
      <c r="OQI5" s="87"/>
      <c r="OQJ5" s="87"/>
      <c r="OQK5" s="87"/>
      <c r="OQL5" s="87"/>
      <c r="OQM5" s="87"/>
      <c r="OQN5" s="87"/>
      <c r="OQO5" s="87"/>
      <c r="OQP5" s="87"/>
      <c r="OQQ5" s="87"/>
      <c r="OQR5" s="87"/>
      <c r="OQS5" s="87"/>
      <c r="OQT5" s="87"/>
      <c r="OQU5" s="87"/>
      <c r="OQV5" s="87"/>
      <c r="OQW5" s="87"/>
      <c r="OQX5" s="87"/>
      <c r="OQY5" s="87"/>
      <c r="OQZ5" s="87"/>
      <c r="ORA5" s="87"/>
      <c r="ORB5" s="87"/>
      <c r="ORC5" s="87"/>
      <c r="ORD5" s="87"/>
      <c r="ORE5" s="87"/>
      <c r="ORF5" s="87"/>
      <c r="ORG5" s="87"/>
      <c r="ORH5" s="87"/>
      <c r="ORI5" s="87"/>
      <c r="ORJ5" s="87"/>
      <c r="ORK5" s="87"/>
      <c r="ORL5" s="87"/>
      <c r="ORM5" s="87"/>
      <c r="ORN5" s="87"/>
      <c r="ORO5" s="87"/>
      <c r="ORP5" s="87"/>
      <c r="ORQ5" s="87"/>
      <c r="ORR5" s="87"/>
      <c r="ORS5" s="87"/>
      <c r="ORT5" s="87"/>
      <c r="ORU5" s="87"/>
      <c r="ORV5" s="87"/>
      <c r="ORW5" s="87"/>
      <c r="ORX5" s="87"/>
      <c r="ORY5" s="87"/>
      <c r="ORZ5" s="87"/>
      <c r="OSA5" s="87"/>
      <c r="OSB5" s="87"/>
      <c r="OSC5" s="87"/>
      <c r="OSD5" s="87"/>
      <c r="OSE5" s="87"/>
      <c r="OSF5" s="87"/>
      <c r="OSG5" s="87"/>
      <c r="OSH5" s="87"/>
      <c r="OSI5" s="87"/>
      <c r="OSJ5" s="87"/>
      <c r="OSK5" s="87"/>
      <c r="OSL5" s="87"/>
      <c r="OSM5" s="87"/>
      <c r="OSN5" s="87"/>
      <c r="OSO5" s="87"/>
      <c r="OSP5" s="87"/>
      <c r="OSQ5" s="87"/>
      <c r="OSR5" s="87"/>
      <c r="OSS5" s="87"/>
      <c r="OST5" s="87"/>
      <c r="OSU5" s="87"/>
      <c r="OSV5" s="87"/>
      <c r="OSW5" s="87"/>
      <c r="OSX5" s="87"/>
      <c r="OSY5" s="87"/>
      <c r="OSZ5" s="87"/>
      <c r="OTA5" s="87"/>
      <c r="OTB5" s="87"/>
      <c r="OTC5" s="87"/>
      <c r="OTD5" s="87"/>
      <c r="OTE5" s="87"/>
      <c r="OTF5" s="87"/>
      <c r="OTG5" s="87"/>
      <c r="OTH5" s="87"/>
      <c r="OTI5" s="87"/>
      <c r="OTJ5" s="87"/>
      <c r="OTK5" s="87"/>
      <c r="OTL5" s="87"/>
      <c r="OTM5" s="87"/>
      <c r="OTN5" s="87"/>
      <c r="OTO5" s="87"/>
      <c r="OTP5" s="87"/>
      <c r="OTQ5" s="87"/>
      <c r="OTR5" s="87"/>
      <c r="OTS5" s="87"/>
      <c r="OTT5" s="87"/>
      <c r="OTU5" s="87"/>
      <c r="OTV5" s="87"/>
      <c r="OTW5" s="87"/>
      <c r="OTX5" s="87"/>
      <c r="OTY5" s="87"/>
      <c r="OTZ5" s="87"/>
      <c r="OUA5" s="87"/>
      <c r="OUB5" s="87"/>
      <c r="OUC5" s="87"/>
      <c r="OUD5" s="87"/>
      <c r="OUE5" s="87"/>
      <c r="OUF5" s="87"/>
      <c r="OUG5" s="87"/>
      <c r="OUH5" s="87"/>
      <c r="OUI5" s="87"/>
      <c r="OUJ5" s="87"/>
      <c r="OUK5" s="87"/>
      <c r="OUL5" s="87"/>
      <c r="OUM5" s="87"/>
      <c r="OUN5" s="87"/>
      <c r="OUO5" s="87"/>
      <c r="OUP5" s="87"/>
      <c r="OUQ5" s="87"/>
      <c r="OUR5" s="87"/>
      <c r="OUS5" s="87"/>
      <c r="OUT5" s="87"/>
      <c r="OUU5" s="87"/>
      <c r="OUV5" s="87"/>
      <c r="OUW5" s="87"/>
      <c r="OUX5" s="87"/>
      <c r="OUY5" s="87"/>
      <c r="OUZ5" s="87"/>
      <c r="OVA5" s="87"/>
      <c r="OVB5" s="87"/>
      <c r="OVC5" s="87"/>
      <c r="OVD5" s="87"/>
      <c r="OVE5" s="87"/>
      <c r="OVF5" s="87"/>
      <c r="OVG5" s="87"/>
      <c r="OVH5" s="87"/>
      <c r="OVI5" s="87"/>
      <c r="OVJ5" s="87"/>
      <c r="OVK5" s="87"/>
      <c r="OVL5" s="87"/>
      <c r="OVM5" s="87"/>
      <c r="OVN5" s="87"/>
      <c r="OVO5" s="87"/>
      <c r="OVP5" s="87"/>
      <c r="OVQ5" s="87"/>
      <c r="OVR5" s="87"/>
      <c r="OVS5" s="87"/>
      <c r="OVT5" s="87"/>
      <c r="OVU5" s="87"/>
      <c r="OVV5" s="87"/>
      <c r="OVW5" s="87"/>
      <c r="OVX5" s="87"/>
      <c r="OVY5" s="87"/>
      <c r="OVZ5" s="87"/>
      <c r="OWA5" s="87"/>
      <c r="OWB5" s="87"/>
      <c r="OWC5" s="87"/>
      <c r="OWD5" s="87"/>
      <c r="OWE5" s="87"/>
      <c r="OWF5" s="87"/>
      <c r="OWG5" s="87"/>
      <c r="OWH5" s="87"/>
      <c r="OWI5" s="87"/>
      <c r="OWJ5" s="87"/>
      <c r="OWK5" s="87"/>
      <c r="OWL5" s="87"/>
      <c r="OWM5" s="87"/>
      <c r="OWN5" s="87"/>
      <c r="OWO5" s="87"/>
      <c r="OWP5" s="87"/>
      <c r="OWQ5" s="87"/>
      <c r="OWR5" s="87"/>
      <c r="OWS5" s="87"/>
      <c r="OWT5" s="87"/>
      <c r="OWU5" s="87"/>
      <c r="OWV5" s="87"/>
      <c r="OWW5" s="87"/>
      <c r="OWX5" s="87"/>
      <c r="OWY5" s="87"/>
      <c r="OWZ5" s="87"/>
      <c r="OXA5" s="87"/>
      <c r="OXB5" s="87"/>
      <c r="OXC5" s="87"/>
      <c r="OXD5" s="87"/>
      <c r="OXE5" s="87"/>
      <c r="OXF5" s="87"/>
      <c r="OXG5" s="87"/>
      <c r="OXH5" s="87"/>
      <c r="OXI5" s="87"/>
      <c r="OXJ5" s="87"/>
      <c r="OXK5" s="87"/>
      <c r="OXL5" s="87"/>
      <c r="OXM5" s="87"/>
      <c r="OXN5" s="87"/>
      <c r="OXO5" s="87"/>
      <c r="OXP5" s="87"/>
      <c r="OXQ5" s="87"/>
      <c r="OXR5" s="87"/>
      <c r="OXS5" s="87"/>
      <c r="OXT5" s="87"/>
      <c r="OXU5" s="87"/>
      <c r="OXV5" s="87"/>
      <c r="OXW5" s="87"/>
      <c r="OXX5" s="87"/>
      <c r="OXY5" s="87"/>
      <c r="OXZ5" s="87"/>
      <c r="OYA5" s="87"/>
      <c r="OYB5" s="87"/>
      <c r="OYC5" s="87"/>
      <c r="OYD5" s="87"/>
      <c r="OYE5" s="87"/>
      <c r="OYF5" s="87"/>
      <c r="OYG5" s="87"/>
      <c r="OYH5" s="87"/>
      <c r="OYI5" s="87"/>
      <c r="OYJ5" s="87"/>
      <c r="OYK5" s="87"/>
      <c r="OYL5" s="87"/>
      <c r="OYM5" s="87"/>
      <c r="OYN5" s="87"/>
      <c r="OYO5" s="87"/>
      <c r="OYP5" s="87"/>
      <c r="OYQ5" s="87"/>
      <c r="OYR5" s="87"/>
      <c r="OYS5" s="87"/>
      <c r="OYT5" s="87"/>
      <c r="OYU5" s="87"/>
      <c r="OYV5" s="87"/>
      <c r="OYW5" s="87"/>
      <c r="OYX5" s="87"/>
      <c r="OYY5" s="87"/>
      <c r="OYZ5" s="87"/>
      <c r="OZA5" s="87"/>
      <c r="OZB5" s="87"/>
      <c r="OZC5" s="87"/>
      <c r="OZD5" s="87"/>
      <c r="OZE5" s="87"/>
      <c r="OZF5" s="87"/>
      <c r="OZG5" s="87"/>
      <c r="OZH5" s="87"/>
      <c r="OZI5" s="87"/>
      <c r="OZJ5" s="87"/>
      <c r="OZK5" s="87"/>
      <c r="OZL5" s="87"/>
      <c r="OZM5" s="87"/>
      <c r="OZN5" s="87"/>
      <c r="OZO5" s="87"/>
      <c r="OZP5" s="87"/>
      <c r="OZQ5" s="87"/>
      <c r="OZR5" s="87"/>
      <c r="OZS5" s="87"/>
      <c r="OZT5" s="87"/>
      <c r="OZU5" s="87"/>
      <c r="OZV5" s="87"/>
      <c r="OZW5" s="87"/>
      <c r="OZX5" s="87"/>
      <c r="OZY5" s="87"/>
      <c r="OZZ5" s="87"/>
      <c r="PAA5" s="87"/>
      <c r="PAB5" s="87"/>
      <c r="PAC5" s="87"/>
      <c r="PAD5" s="87"/>
      <c r="PAE5" s="87"/>
      <c r="PAF5" s="87"/>
      <c r="PAG5" s="87"/>
      <c r="PAH5" s="87"/>
      <c r="PAI5" s="87"/>
      <c r="PAJ5" s="87"/>
      <c r="PAK5" s="87"/>
      <c r="PAL5" s="87"/>
      <c r="PAM5" s="87"/>
      <c r="PAN5" s="87"/>
      <c r="PAO5" s="87"/>
      <c r="PAP5" s="87"/>
      <c r="PAQ5" s="87"/>
      <c r="PAR5" s="87"/>
      <c r="PAS5" s="87"/>
      <c r="PAT5" s="87"/>
      <c r="PAU5" s="87"/>
      <c r="PAV5" s="87"/>
      <c r="PAW5" s="87"/>
      <c r="PAX5" s="87"/>
      <c r="PAY5" s="87"/>
      <c r="PAZ5" s="87"/>
      <c r="PBA5" s="87"/>
      <c r="PBB5" s="87"/>
      <c r="PBC5" s="87"/>
      <c r="PBD5" s="87"/>
      <c r="PBE5" s="87"/>
      <c r="PBF5" s="87"/>
      <c r="PBG5" s="87"/>
      <c r="PBH5" s="87"/>
      <c r="PBI5" s="87"/>
      <c r="PBJ5" s="87"/>
      <c r="PBK5" s="87"/>
      <c r="PBL5" s="87"/>
      <c r="PBM5" s="87"/>
      <c r="PBN5" s="87"/>
      <c r="PBO5" s="87"/>
      <c r="PBP5" s="87"/>
      <c r="PBQ5" s="87"/>
      <c r="PBR5" s="87"/>
      <c r="PBS5" s="87"/>
      <c r="PBT5" s="87"/>
      <c r="PBU5" s="87"/>
      <c r="PBV5" s="87"/>
      <c r="PBW5" s="87"/>
      <c r="PBX5" s="87"/>
      <c r="PBY5" s="87"/>
      <c r="PBZ5" s="87"/>
      <c r="PCA5" s="87"/>
      <c r="PCB5" s="87"/>
      <c r="PCC5" s="87"/>
      <c r="PCD5" s="87"/>
      <c r="PCE5" s="87"/>
      <c r="PCF5" s="87"/>
      <c r="PCG5" s="87"/>
      <c r="PCH5" s="87"/>
      <c r="PCI5" s="87"/>
      <c r="PCJ5" s="87"/>
      <c r="PCK5" s="87"/>
      <c r="PCL5" s="87"/>
      <c r="PCM5" s="87"/>
      <c r="PCN5" s="87"/>
      <c r="PCO5" s="87"/>
      <c r="PCP5" s="87"/>
      <c r="PCQ5" s="87"/>
      <c r="PCR5" s="87"/>
      <c r="PCS5" s="87"/>
      <c r="PCT5" s="87"/>
      <c r="PCU5" s="87"/>
      <c r="PCV5" s="87"/>
      <c r="PCW5" s="87"/>
      <c r="PCX5" s="87"/>
      <c r="PCY5" s="87"/>
      <c r="PCZ5" s="87"/>
      <c r="PDA5" s="87"/>
      <c r="PDB5" s="87"/>
      <c r="PDC5" s="87"/>
      <c r="PDD5" s="87"/>
      <c r="PDE5" s="87"/>
      <c r="PDF5" s="87"/>
      <c r="PDG5" s="87"/>
      <c r="PDH5" s="87"/>
      <c r="PDI5" s="87"/>
      <c r="PDJ5" s="87"/>
      <c r="PDK5" s="87"/>
      <c r="PDL5" s="87"/>
      <c r="PDM5" s="87"/>
      <c r="PDN5" s="87"/>
      <c r="PDO5" s="87"/>
      <c r="PDP5" s="87"/>
      <c r="PDQ5" s="87"/>
      <c r="PDR5" s="87"/>
      <c r="PDS5" s="87"/>
      <c r="PDT5" s="87"/>
      <c r="PDU5" s="87"/>
      <c r="PDV5" s="87"/>
      <c r="PDW5" s="87"/>
      <c r="PDX5" s="87"/>
      <c r="PDY5" s="87"/>
      <c r="PDZ5" s="87"/>
      <c r="PEA5" s="87"/>
      <c r="PEB5" s="87"/>
      <c r="PEC5" s="87"/>
      <c r="PED5" s="87"/>
      <c r="PEE5" s="87"/>
      <c r="PEF5" s="87"/>
      <c r="PEG5" s="87"/>
      <c r="PEH5" s="87"/>
      <c r="PEI5" s="87"/>
      <c r="PEJ5" s="87"/>
      <c r="PEK5" s="87"/>
      <c r="PEL5" s="87"/>
      <c r="PEM5" s="87"/>
      <c r="PEN5" s="87"/>
      <c r="PEO5" s="87"/>
      <c r="PEP5" s="87"/>
      <c r="PEQ5" s="87"/>
      <c r="PER5" s="87"/>
      <c r="PES5" s="87"/>
      <c r="PET5" s="87"/>
      <c r="PEU5" s="87"/>
      <c r="PEV5" s="87"/>
      <c r="PEW5" s="87"/>
      <c r="PEX5" s="87"/>
      <c r="PEY5" s="87"/>
      <c r="PEZ5" s="87"/>
      <c r="PFA5" s="87"/>
      <c r="PFB5" s="87"/>
      <c r="PFC5" s="87"/>
      <c r="PFD5" s="87"/>
      <c r="PFE5" s="87"/>
      <c r="PFF5" s="87"/>
      <c r="PFG5" s="87"/>
      <c r="PFH5" s="87"/>
      <c r="PFI5" s="87"/>
      <c r="PFJ5" s="87"/>
      <c r="PFK5" s="87"/>
      <c r="PFL5" s="87"/>
      <c r="PFM5" s="87"/>
      <c r="PFN5" s="87"/>
      <c r="PFO5" s="87"/>
      <c r="PFP5" s="87"/>
      <c r="PFQ5" s="87"/>
      <c r="PFR5" s="87"/>
      <c r="PFS5" s="87"/>
      <c r="PFT5" s="87"/>
      <c r="PFU5" s="87"/>
      <c r="PFV5" s="87"/>
      <c r="PFW5" s="87"/>
      <c r="PFX5" s="87"/>
      <c r="PFY5" s="87"/>
      <c r="PFZ5" s="87"/>
      <c r="PGA5" s="87"/>
      <c r="PGB5" s="87"/>
      <c r="PGC5" s="87"/>
      <c r="PGD5" s="87"/>
      <c r="PGE5" s="87"/>
      <c r="PGF5" s="87"/>
      <c r="PGG5" s="87"/>
      <c r="PGH5" s="87"/>
      <c r="PGI5" s="87"/>
      <c r="PGJ5" s="87"/>
      <c r="PGK5" s="87"/>
      <c r="PGL5" s="87"/>
      <c r="PGM5" s="87"/>
      <c r="PGN5" s="87"/>
      <c r="PGO5" s="87"/>
      <c r="PGP5" s="87"/>
      <c r="PGQ5" s="87"/>
      <c r="PGR5" s="87"/>
      <c r="PGS5" s="87"/>
      <c r="PGT5" s="87"/>
      <c r="PGU5" s="87"/>
      <c r="PGV5" s="87"/>
      <c r="PGW5" s="87"/>
      <c r="PGX5" s="87"/>
      <c r="PGY5" s="87"/>
      <c r="PGZ5" s="87"/>
      <c r="PHA5" s="87"/>
      <c r="PHB5" s="87"/>
      <c r="PHC5" s="87"/>
      <c r="PHD5" s="87"/>
      <c r="PHE5" s="87"/>
      <c r="PHF5" s="87"/>
      <c r="PHG5" s="87"/>
      <c r="PHH5" s="87"/>
      <c r="PHI5" s="87"/>
      <c r="PHJ5" s="87"/>
      <c r="PHK5" s="87"/>
      <c r="PHL5" s="87"/>
      <c r="PHM5" s="87"/>
      <c r="PHN5" s="87"/>
      <c r="PHO5" s="87"/>
      <c r="PHP5" s="87"/>
      <c r="PHQ5" s="87"/>
      <c r="PHR5" s="87"/>
      <c r="PHS5" s="87"/>
      <c r="PHT5" s="87"/>
      <c r="PHU5" s="87"/>
      <c r="PHV5" s="87"/>
      <c r="PHW5" s="87"/>
      <c r="PHX5" s="87"/>
      <c r="PHY5" s="87"/>
      <c r="PHZ5" s="87"/>
      <c r="PIA5" s="87"/>
      <c r="PIB5" s="87"/>
      <c r="PIC5" s="87"/>
      <c r="PID5" s="87"/>
      <c r="PIE5" s="87"/>
      <c r="PIF5" s="87"/>
      <c r="PIG5" s="87"/>
      <c r="PIH5" s="87"/>
      <c r="PII5" s="87"/>
      <c r="PIJ5" s="87"/>
      <c r="PIK5" s="87"/>
      <c r="PIL5" s="87"/>
      <c r="PIM5" s="87"/>
      <c r="PIN5" s="87"/>
      <c r="PIO5" s="87"/>
      <c r="PIP5" s="87"/>
      <c r="PIQ5" s="87"/>
      <c r="PIR5" s="87"/>
      <c r="PIS5" s="87"/>
      <c r="PIT5" s="87"/>
      <c r="PIU5" s="87"/>
      <c r="PIV5" s="87"/>
      <c r="PIW5" s="87"/>
      <c r="PIX5" s="87"/>
      <c r="PIY5" s="87"/>
      <c r="PIZ5" s="87"/>
      <c r="PJA5" s="87"/>
      <c r="PJB5" s="87"/>
      <c r="PJC5" s="87"/>
      <c r="PJD5" s="87"/>
      <c r="PJE5" s="87"/>
      <c r="PJF5" s="87"/>
      <c r="PJG5" s="87"/>
      <c r="PJH5" s="87"/>
      <c r="PJI5" s="87"/>
      <c r="PJJ5" s="87"/>
      <c r="PJK5" s="87"/>
      <c r="PJL5" s="87"/>
      <c r="PJM5" s="87"/>
      <c r="PJN5" s="87"/>
      <c r="PJO5" s="87"/>
      <c r="PJP5" s="87"/>
      <c r="PJQ5" s="87"/>
      <c r="PJR5" s="87"/>
      <c r="PJS5" s="87"/>
      <c r="PJT5" s="87"/>
      <c r="PJU5" s="87"/>
      <c r="PJV5" s="87"/>
      <c r="PJW5" s="87"/>
      <c r="PJX5" s="87"/>
      <c r="PJY5" s="87"/>
      <c r="PJZ5" s="87"/>
      <c r="PKA5" s="87"/>
      <c r="PKB5" s="87"/>
      <c r="PKC5" s="87"/>
      <c r="PKD5" s="87"/>
      <c r="PKE5" s="87"/>
      <c r="PKF5" s="87"/>
      <c r="PKG5" s="87"/>
      <c r="PKH5" s="87"/>
      <c r="PKI5" s="87"/>
      <c r="PKJ5" s="87"/>
      <c r="PKK5" s="87"/>
      <c r="PKL5" s="87"/>
      <c r="PKM5" s="87"/>
      <c r="PKN5" s="87"/>
      <c r="PKO5" s="87"/>
      <c r="PKP5" s="87"/>
      <c r="PKQ5" s="87"/>
      <c r="PKR5" s="87"/>
      <c r="PKS5" s="87"/>
      <c r="PKT5" s="87"/>
      <c r="PKU5" s="87"/>
      <c r="PKV5" s="87"/>
      <c r="PKW5" s="87"/>
      <c r="PKX5" s="87"/>
      <c r="PKY5" s="87"/>
      <c r="PKZ5" s="87"/>
      <c r="PLA5" s="87"/>
      <c r="PLB5" s="87"/>
      <c r="PLC5" s="87"/>
      <c r="PLD5" s="87"/>
      <c r="PLE5" s="87"/>
      <c r="PLF5" s="87"/>
      <c r="PLG5" s="87"/>
      <c r="PLH5" s="87"/>
      <c r="PLI5" s="87"/>
      <c r="PLJ5" s="87"/>
      <c r="PLK5" s="87"/>
      <c r="PLL5" s="87"/>
      <c r="PLM5" s="87"/>
      <c r="PLN5" s="87"/>
      <c r="PLO5" s="87"/>
      <c r="PLP5" s="87"/>
      <c r="PLQ5" s="87"/>
      <c r="PLR5" s="87"/>
      <c r="PLS5" s="87"/>
      <c r="PLT5" s="87"/>
      <c r="PLU5" s="87"/>
      <c r="PLV5" s="87"/>
      <c r="PLW5" s="87"/>
      <c r="PLX5" s="87"/>
      <c r="PLY5" s="87"/>
      <c r="PLZ5" s="87"/>
      <c r="PMA5" s="87"/>
      <c r="PMB5" s="87"/>
      <c r="PMC5" s="87"/>
      <c r="PMD5" s="87"/>
      <c r="PME5" s="87"/>
      <c r="PMF5" s="87"/>
      <c r="PMG5" s="87"/>
      <c r="PMH5" s="87"/>
      <c r="PMI5" s="87"/>
      <c r="PMJ5" s="87"/>
      <c r="PMK5" s="87"/>
      <c r="PML5" s="87"/>
      <c r="PMM5" s="87"/>
      <c r="PMN5" s="87"/>
      <c r="PMO5" s="87"/>
      <c r="PMP5" s="87"/>
      <c r="PMQ5" s="87"/>
      <c r="PMR5" s="87"/>
      <c r="PMS5" s="87"/>
      <c r="PMT5" s="87"/>
      <c r="PMU5" s="87"/>
      <c r="PMV5" s="87"/>
      <c r="PMW5" s="87"/>
      <c r="PMX5" s="87"/>
      <c r="PMY5" s="87"/>
      <c r="PMZ5" s="87"/>
      <c r="PNA5" s="87"/>
      <c r="PNB5" s="87"/>
      <c r="PNC5" s="87"/>
      <c r="PND5" s="87"/>
      <c r="PNE5" s="87"/>
      <c r="PNF5" s="87"/>
      <c r="PNG5" s="87"/>
      <c r="PNH5" s="87"/>
      <c r="PNI5" s="87"/>
      <c r="PNJ5" s="87"/>
      <c r="PNK5" s="87"/>
      <c r="PNL5" s="87"/>
      <c r="PNM5" s="87"/>
      <c r="PNN5" s="87"/>
      <c r="PNO5" s="87"/>
      <c r="PNP5" s="87"/>
      <c r="PNQ5" s="87"/>
      <c r="PNR5" s="87"/>
      <c r="PNS5" s="87"/>
      <c r="PNT5" s="87"/>
      <c r="PNU5" s="87"/>
      <c r="PNV5" s="87"/>
      <c r="PNW5" s="87"/>
      <c r="PNX5" s="87"/>
      <c r="PNY5" s="87"/>
      <c r="PNZ5" s="87"/>
      <c r="POA5" s="87"/>
      <c r="POB5" s="87"/>
      <c r="POC5" s="87"/>
      <c r="POD5" s="87"/>
      <c r="POE5" s="87"/>
      <c r="POF5" s="87"/>
      <c r="POG5" s="87"/>
      <c r="POH5" s="87"/>
      <c r="POI5" s="87"/>
      <c r="POJ5" s="87"/>
      <c r="POK5" s="87"/>
      <c r="POL5" s="87"/>
      <c r="POM5" s="87"/>
      <c r="PON5" s="87"/>
      <c r="POO5" s="87"/>
      <c r="POP5" s="87"/>
      <c r="POQ5" s="87"/>
      <c r="POR5" s="87"/>
      <c r="POS5" s="87"/>
      <c r="POT5" s="87"/>
      <c r="POU5" s="87"/>
      <c r="POV5" s="87"/>
      <c r="POW5" s="87"/>
      <c r="POX5" s="87"/>
      <c r="POY5" s="87"/>
      <c r="POZ5" s="87"/>
      <c r="PPA5" s="87"/>
      <c r="PPB5" s="87"/>
      <c r="PPC5" s="87"/>
      <c r="PPD5" s="87"/>
      <c r="PPE5" s="87"/>
      <c r="PPF5" s="87"/>
      <c r="PPG5" s="87"/>
      <c r="PPH5" s="87"/>
      <c r="PPI5" s="87"/>
      <c r="PPJ5" s="87"/>
      <c r="PPK5" s="87"/>
      <c r="PPL5" s="87"/>
      <c r="PPM5" s="87"/>
      <c r="PPN5" s="87"/>
      <c r="PPO5" s="87"/>
      <c r="PPP5" s="87"/>
      <c r="PPQ5" s="87"/>
      <c r="PPR5" s="87"/>
      <c r="PPS5" s="87"/>
      <c r="PPT5" s="87"/>
      <c r="PPU5" s="87"/>
      <c r="PPV5" s="87"/>
      <c r="PPW5" s="87"/>
      <c r="PPX5" s="87"/>
      <c r="PPY5" s="87"/>
      <c r="PPZ5" s="87"/>
      <c r="PQA5" s="87"/>
      <c r="PQB5" s="87"/>
      <c r="PQC5" s="87"/>
      <c r="PQD5" s="87"/>
      <c r="PQE5" s="87"/>
      <c r="PQF5" s="87"/>
      <c r="PQG5" s="87"/>
      <c r="PQH5" s="87"/>
      <c r="PQI5" s="87"/>
      <c r="PQJ5" s="87"/>
      <c r="PQK5" s="87"/>
      <c r="PQL5" s="87"/>
      <c r="PQM5" s="87"/>
      <c r="PQN5" s="87"/>
      <c r="PQO5" s="87"/>
      <c r="PQP5" s="87"/>
      <c r="PQQ5" s="87"/>
      <c r="PQR5" s="87"/>
      <c r="PQS5" s="87"/>
      <c r="PQT5" s="87"/>
      <c r="PQU5" s="87"/>
      <c r="PQV5" s="87"/>
      <c r="PQW5" s="87"/>
      <c r="PQX5" s="87"/>
      <c r="PQY5" s="87"/>
      <c r="PQZ5" s="87"/>
      <c r="PRA5" s="87"/>
      <c r="PRB5" s="87"/>
      <c r="PRC5" s="87"/>
      <c r="PRD5" s="87"/>
      <c r="PRE5" s="87"/>
      <c r="PRF5" s="87"/>
      <c r="PRG5" s="87"/>
      <c r="PRH5" s="87"/>
      <c r="PRI5" s="87"/>
      <c r="PRJ5" s="87"/>
      <c r="PRK5" s="87"/>
      <c r="PRL5" s="87"/>
      <c r="PRM5" s="87"/>
      <c r="PRN5" s="87"/>
      <c r="PRO5" s="87"/>
      <c r="PRP5" s="87"/>
      <c r="PRQ5" s="87"/>
      <c r="PRR5" s="87"/>
      <c r="PRS5" s="87"/>
      <c r="PRT5" s="87"/>
      <c r="PRU5" s="87"/>
      <c r="PRV5" s="87"/>
      <c r="PRW5" s="87"/>
      <c r="PRX5" s="87"/>
      <c r="PRY5" s="87"/>
      <c r="PRZ5" s="87"/>
      <c r="PSA5" s="87"/>
      <c r="PSB5" s="87"/>
      <c r="PSC5" s="87"/>
      <c r="PSD5" s="87"/>
      <c r="PSE5" s="87"/>
      <c r="PSF5" s="87"/>
      <c r="PSG5" s="87"/>
      <c r="PSH5" s="87"/>
      <c r="PSI5" s="87"/>
      <c r="PSJ5" s="87"/>
      <c r="PSK5" s="87"/>
      <c r="PSL5" s="87"/>
      <c r="PSM5" s="87"/>
      <c r="PSN5" s="87"/>
      <c r="PSO5" s="87"/>
      <c r="PSP5" s="87"/>
      <c r="PSQ5" s="87"/>
      <c r="PSR5" s="87"/>
      <c r="PSS5" s="87"/>
      <c r="PST5" s="87"/>
      <c r="PSU5" s="87"/>
      <c r="PSV5" s="87"/>
      <c r="PSW5" s="87"/>
      <c r="PSX5" s="87"/>
      <c r="PSY5" s="87"/>
      <c r="PSZ5" s="87"/>
      <c r="PTA5" s="87"/>
      <c r="PTB5" s="87"/>
      <c r="PTC5" s="87"/>
      <c r="PTD5" s="87"/>
      <c r="PTE5" s="87"/>
      <c r="PTF5" s="87"/>
      <c r="PTG5" s="87"/>
      <c r="PTH5" s="87"/>
      <c r="PTI5" s="87"/>
      <c r="PTJ5" s="87"/>
      <c r="PTK5" s="87"/>
      <c r="PTL5" s="87"/>
      <c r="PTM5" s="87"/>
      <c r="PTN5" s="87"/>
      <c r="PTO5" s="87"/>
      <c r="PTP5" s="87"/>
      <c r="PTQ5" s="87"/>
      <c r="PTR5" s="87"/>
      <c r="PTS5" s="87"/>
      <c r="PTT5" s="87"/>
      <c r="PTU5" s="87"/>
      <c r="PTV5" s="87"/>
      <c r="PTW5" s="87"/>
      <c r="PTX5" s="87"/>
      <c r="PTY5" s="87"/>
      <c r="PTZ5" s="87"/>
      <c r="PUA5" s="87"/>
      <c r="PUB5" s="87"/>
      <c r="PUC5" s="87"/>
      <c r="PUD5" s="87"/>
      <c r="PUE5" s="87"/>
      <c r="PUF5" s="87"/>
      <c r="PUG5" s="87"/>
      <c r="PUH5" s="87"/>
      <c r="PUI5" s="87"/>
      <c r="PUJ5" s="87"/>
      <c r="PUK5" s="87"/>
      <c r="PUL5" s="87"/>
      <c r="PUM5" s="87"/>
      <c r="PUN5" s="87"/>
      <c r="PUO5" s="87"/>
      <c r="PUP5" s="87"/>
      <c r="PUQ5" s="87"/>
      <c r="PUR5" s="87"/>
      <c r="PUS5" s="87"/>
      <c r="PUT5" s="87"/>
      <c r="PUU5" s="87"/>
      <c r="PUV5" s="87"/>
      <c r="PUW5" s="87"/>
      <c r="PUX5" s="87"/>
      <c r="PUY5" s="87"/>
      <c r="PUZ5" s="87"/>
      <c r="PVA5" s="87"/>
      <c r="PVB5" s="87"/>
      <c r="PVC5" s="87"/>
      <c r="PVD5" s="87"/>
      <c r="PVE5" s="87"/>
      <c r="PVF5" s="87"/>
      <c r="PVG5" s="87"/>
      <c r="PVH5" s="87"/>
      <c r="PVI5" s="87"/>
      <c r="PVJ5" s="87"/>
      <c r="PVK5" s="87"/>
      <c r="PVL5" s="87"/>
      <c r="PVM5" s="87"/>
      <c r="PVN5" s="87"/>
      <c r="PVO5" s="87"/>
      <c r="PVP5" s="87"/>
      <c r="PVQ5" s="87"/>
      <c r="PVR5" s="87"/>
      <c r="PVS5" s="87"/>
      <c r="PVT5" s="87"/>
      <c r="PVU5" s="87"/>
      <c r="PVV5" s="87"/>
      <c r="PVW5" s="87"/>
      <c r="PVX5" s="87"/>
      <c r="PVY5" s="87"/>
      <c r="PVZ5" s="87"/>
      <c r="PWA5" s="87"/>
      <c r="PWB5" s="87"/>
      <c r="PWC5" s="87"/>
      <c r="PWD5" s="87"/>
      <c r="PWE5" s="87"/>
      <c r="PWF5" s="87"/>
      <c r="PWG5" s="87"/>
      <c r="PWH5" s="87"/>
      <c r="PWI5" s="87"/>
      <c r="PWJ5" s="87"/>
      <c r="PWK5" s="87"/>
      <c r="PWL5" s="87"/>
      <c r="PWM5" s="87"/>
      <c r="PWN5" s="87"/>
      <c r="PWO5" s="87"/>
      <c r="PWP5" s="87"/>
      <c r="PWQ5" s="87"/>
      <c r="PWR5" s="87"/>
      <c r="PWS5" s="87"/>
      <c r="PWT5" s="87"/>
      <c r="PWU5" s="87"/>
      <c r="PWV5" s="87"/>
      <c r="PWW5" s="87"/>
      <c r="PWX5" s="87"/>
      <c r="PWY5" s="87"/>
      <c r="PWZ5" s="87"/>
      <c r="PXA5" s="87"/>
      <c r="PXB5" s="87"/>
      <c r="PXC5" s="87"/>
      <c r="PXD5" s="87"/>
      <c r="PXE5" s="87"/>
      <c r="PXF5" s="87"/>
      <c r="PXG5" s="87"/>
      <c r="PXH5" s="87"/>
      <c r="PXI5" s="87"/>
      <c r="PXJ5" s="87"/>
      <c r="PXK5" s="87"/>
      <c r="PXL5" s="87"/>
      <c r="PXM5" s="87"/>
      <c r="PXN5" s="87"/>
      <c r="PXO5" s="87"/>
      <c r="PXP5" s="87"/>
      <c r="PXQ5" s="87"/>
      <c r="PXR5" s="87"/>
      <c r="PXS5" s="87"/>
      <c r="PXT5" s="87"/>
      <c r="PXU5" s="87"/>
      <c r="PXV5" s="87"/>
      <c r="PXW5" s="87"/>
      <c r="PXX5" s="87"/>
      <c r="PXY5" s="87"/>
      <c r="PXZ5" s="87"/>
      <c r="PYA5" s="87"/>
      <c r="PYB5" s="87"/>
      <c r="PYC5" s="87"/>
      <c r="PYD5" s="87"/>
      <c r="PYE5" s="87"/>
      <c r="PYF5" s="87"/>
      <c r="PYG5" s="87"/>
      <c r="PYH5" s="87"/>
      <c r="PYI5" s="87"/>
      <c r="PYJ5" s="87"/>
      <c r="PYK5" s="87"/>
      <c r="PYL5" s="87"/>
      <c r="PYM5" s="87"/>
      <c r="PYN5" s="87"/>
      <c r="PYO5" s="87"/>
      <c r="PYP5" s="87"/>
      <c r="PYQ5" s="87"/>
      <c r="PYR5" s="87"/>
      <c r="PYS5" s="87"/>
      <c r="PYT5" s="87"/>
      <c r="PYU5" s="87"/>
      <c r="PYV5" s="87"/>
      <c r="PYW5" s="87"/>
      <c r="PYX5" s="87"/>
      <c r="PYY5" s="87"/>
      <c r="PYZ5" s="87"/>
      <c r="PZA5" s="87"/>
      <c r="PZB5" s="87"/>
      <c r="PZC5" s="87"/>
      <c r="PZD5" s="87"/>
      <c r="PZE5" s="87"/>
      <c r="PZF5" s="87"/>
      <c r="PZG5" s="87"/>
      <c r="PZH5" s="87"/>
      <c r="PZI5" s="87"/>
      <c r="PZJ5" s="87"/>
      <c r="PZK5" s="87"/>
      <c r="PZL5" s="87"/>
      <c r="PZM5" s="87"/>
      <c r="PZN5" s="87"/>
      <c r="PZO5" s="87"/>
      <c r="PZP5" s="87"/>
      <c r="PZQ5" s="87"/>
      <c r="PZR5" s="87"/>
      <c r="PZS5" s="87"/>
      <c r="PZT5" s="87"/>
      <c r="PZU5" s="87"/>
      <c r="PZV5" s="87"/>
      <c r="PZW5" s="87"/>
      <c r="PZX5" s="87"/>
      <c r="PZY5" s="87"/>
      <c r="PZZ5" s="87"/>
      <c r="QAA5" s="87"/>
      <c r="QAB5" s="87"/>
      <c r="QAC5" s="87"/>
      <c r="QAD5" s="87"/>
      <c r="QAE5" s="87"/>
      <c r="QAF5" s="87"/>
      <c r="QAG5" s="87"/>
      <c r="QAH5" s="87"/>
      <c r="QAI5" s="87"/>
      <c r="QAJ5" s="87"/>
      <c r="QAK5" s="87"/>
      <c r="QAL5" s="87"/>
      <c r="QAM5" s="87"/>
      <c r="QAN5" s="87"/>
      <c r="QAO5" s="87"/>
      <c r="QAP5" s="87"/>
      <c r="QAQ5" s="87"/>
      <c r="QAR5" s="87"/>
      <c r="QAS5" s="87"/>
      <c r="QAT5" s="87"/>
      <c r="QAU5" s="87"/>
      <c r="QAV5" s="87"/>
      <c r="QAW5" s="87"/>
      <c r="QAX5" s="87"/>
      <c r="QAY5" s="87"/>
      <c r="QAZ5" s="87"/>
      <c r="QBA5" s="87"/>
      <c r="QBB5" s="87"/>
      <c r="QBC5" s="87"/>
      <c r="QBD5" s="87"/>
      <c r="QBE5" s="87"/>
      <c r="QBF5" s="87"/>
      <c r="QBG5" s="87"/>
      <c r="QBH5" s="87"/>
      <c r="QBI5" s="87"/>
      <c r="QBJ5" s="87"/>
      <c r="QBK5" s="87"/>
      <c r="QBL5" s="87"/>
      <c r="QBM5" s="87"/>
      <c r="QBN5" s="87"/>
      <c r="QBO5" s="87"/>
      <c r="QBP5" s="87"/>
      <c r="QBQ5" s="87"/>
      <c r="QBR5" s="87"/>
      <c r="QBS5" s="87"/>
      <c r="QBT5" s="87"/>
      <c r="QBU5" s="87"/>
      <c r="QBV5" s="87"/>
      <c r="QBW5" s="87"/>
      <c r="QBX5" s="87"/>
      <c r="QBY5" s="87"/>
      <c r="QBZ5" s="87"/>
      <c r="QCA5" s="87"/>
      <c r="QCB5" s="87"/>
      <c r="QCC5" s="87"/>
      <c r="QCD5" s="87"/>
      <c r="QCE5" s="87"/>
      <c r="QCF5" s="87"/>
      <c r="QCG5" s="87"/>
      <c r="QCH5" s="87"/>
      <c r="QCI5" s="87"/>
      <c r="QCJ5" s="87"/>
      <c r="QCK5" s="87"/>
      <c r="QCL5" s="87"/>
      <c r="QCM5" s="87"/>
      <c r="QCN5" s="87"/>
      <c r="QCO5" s="87"/>
      <c r="QCP5" s="87"/>
      <c r="QCQ5" s="87"/>
      <c r="QCR5" s="87"/>
      <c r="QCS5" s="87"/>
      <c r="QCT5" s="87"/>
      <c r="QCU5" s="87"/>
      <c r="QCV5" s="87"/>
      <c r="QCW5" s="87"/>
      <c r="QCX5" s="87"/>
      <c r="QCY5" s="87"/>
      <c r="QCZ5" s="87"/>
      <c r="QDA5" s="87"/>
      <c r="QDB5" s="87"/>
      <c r="QDC5" s="87"/>
      <c r="QDD5" s="87"/>
      <c r="QDE5" s="87"/>
      <c r="QDF5" s="87"/>
      <c r="QDG5" s="87"/>
      <c r="QDH5" s="87"/>
      <c r="QDI5" s="87"/>
      <c r="QDJ5" s="87"/>
      <c r="QDK5" s="87"/>
      <c r="QDL5" s="87"/>
      <c r="QDM5" s="87"/>
      <c r="QDN5" s="87"/>
      <c r="QDO5" s="87"/>
      <c r="QDP5" s="87"/>
      <c r="QDQ5" s="87"/>
      <c r="QDR5" s="87"/>
      <c r="QDS5" s="87"/>
      <c r="QDT5" s="87"/>
      <c r="QDU5" s="87"/>
      <c r="QDV5" s="87"/>
      <c r="QDW5" s="87"/>
      <c r="QDX5" s="87"/>
      <c r="QDY5" s="87"/>
      <c r="QDZ5" s="87"/>
      <c r="QEA5" s="87"/>
      <c r="QEB5" s="87"/>
      <c r="QEC5" s="87"/>
      <c r="QED5" s="87"/>
      <c r="QEE5" s="87"/>
      <c r="QEF5" s="87"/>
      <c r="QEG5" s="87"/>
      <c r="QEH5" s="87"/>
      <c r="QEI5" s="87"/>
      <c r="QEJ5" s="87"/>
      <c r="QEK5" s="87"/>
      <c r="QEL5" s="87"/>
      <c r="QEM5" s="87"/>
      <c r="QEN5" s="87"/>
      <c r="QEO5" s="87"/>
      <c r="QEP5" s="87"/>
      <c r="QEQ5" s="87"/>
      <c r="QER5" s="87"/>
      <c r="QES5" s="87"/>
      <c r="QET5" s="87"/>
      <c r="QEU5" s="87"/>
      <c r="QEV5" s="87"/>
      <c r="QEW5" s="87"/>
      <c r="QEX5" s="87"/>
      <c r="QEY5" s="87"/>
      <c r="QEZ5" s="87"/>
      <c r="QFA5" s="87"/>
      <c r="QFB5" s="87"/>
      <c r="QFC5" s="87"/>
      <c r="QFD5" s="87"/>
      <c r="QFE5" s="87"/>
      <c r="QFF5" s="87"/>
      <c r="QFG5" s="87"/>
      <c r="QFH5" s="87"/>
      <c r="QFI5" s="87"/>
      <c r="QFJ5" s="87"/>
      <c r="QFK5" s="87"/>
      <c r="QFL5" s="87"/>
      <c r="QFM5" s="87"/>
      <c r="QFN5" s="87"/>
      <c r="QFO5" s="87"/>
      <c r="QFP5" s="87"/>
      <c r="QFQ5" s="87"/>
      <c r="QFR5" s="87"/>
      <c r="QFS5" s="87"/>
      <c r="QFT5" s="87"/>
      <c r="QFU5" s="87"/>
      <c r="QFV5" s="87"/>
      <c r="QFW5" s="87"/>
      <c r="QFX5" s="87"/>
      <c r="QFY5" s="87"/>
      <c r="QFZ5" s="87"/>
      <c r="QGA5" s="87"/>
      <c r="QGB5" s="87"/>
      <c r="QGC5" s="87"/>
      <c r="QGD5" s="87"/>
      <c r="QGE5" s="87"/>
      <c r="QGF5" s="87"/>
      <c r="QGG5" s="87"/>
      <c r="QGH5" s="87"/>
      <c r="QGI5" s="87"/>
      <c r="QGJ5" s="87"/>
      <c r="QGK5" s="87"/>
      <c r="QGL5" s="87"/>
      <c r="QGM5" s="87"/>
      <c r="QGN5" s="87"/>
      <c r="QGO5" s="87"/>
      <c r="QGP5" s="87"/>
      <c r="QGQ5" s="87"/>
      <c r="QGR5" s="87"/>
      <c r="QGS5" s="87"/>
      <c r="QGT5" s="87"/>
      <c r="QGU5" s="87"/>
      <c r="QGV5" s="87"/>
      <c r="QGW5" s="87"/>
      <c r="QGX5" s="87"/>
      <c r="QGY5" s="87"/>
      <c r="QGZ5" s="87"/>
      <c r="QHA5" s="87"/>
      <c r="QHB5" s="87"/>
      <c r="QHC5" s="87"/>
      <c r="QHD5" s="87"/>
      <c r="QHE5" s="87"/>
      <c r="QHF5" s="87"/>
      <c r="QHG5" s="87"/>
      <c r="QHH5" s="87"/>
      <c r="QHI5" s="87"/>
      <c r="QHJ5" s="87"/>
      <c r="QHK5" s="87"/>
      <c r="QHL5" s="87"/>
      <c r="QHM5" s="87"/>
      <c r="QHN5" s="87"/>
      <c r="QHO5" s="87"/>
      <c r="QHP5" s="87"/>
      <c r="QHQ5" s="87"/>
      <c r="QHR5" s="87"/>
      <c r="QHS5" s="87"/>
      <c r="QHT5" s="87"/>
      <c r="QHU5" s="87"/>
      <c r="QHV5" s="87"/>
      <c r="QHW5" s="87"/>
      <c r="QHX5" s="87"/>
      <c r="QHY5" s="87"/>
      <c r="QHZ5" s="87"/>
      <c r="QIA5" s="87"/>
      <c r="QIB5" s="87"/>
      <c r="QIC5" s="87"/>
      <c r="QID5" s="87"/>
      <c r="QIE5" s="87"/>
      <c r="QIF5" s="87"/>
      <c r="QIG5" s="87"/>
      <c r="QIH5" s="87"/>
      <c r="QII5" s="87"/>
      <c r="QIJ5" s="87"/>
      <c r="QIK5" s="87"/>
      <c r="QIL5" s="87"/>
      <c r="QIM5" s="87"/>
      <c r="QIN5" s="87"/>
      <c r="QIO5" s="87"/>
      <c r="QIP5" s="87"/>
      <c r="QIQ5" s="87"/>
      <c r="QIR5" s="87"/>
      <c r="QIS5" s="87"/>
      <c r="QIT5" s="87"/>
      <c r="QIU5" s="87"/>
      <c r="QIV5" s="87"/>
      <c r="QIW5" s="87"/>
      <c r="QIX5" s="87"/>
      <c r="QIY5" s="87"/>
      <c r="QIZ5" s="87"/>
      <c r="QJA5" s="87"/>
      <c r="QJB5" s="87"/>
      <c r="QJC5" s="87"/>
      <c r="QJD5" s="87"/>
      <c r="QJE5" s="87"/>
      <c r="QJF5" s="87"/>
      <c r="QJG5" s="87"/>
      <c r="QJH5" s="87"/>
      <c r="QJI5" s="87"/>
      <c r="QJJ5" s="87"/>
      <c r="QJK5" s="87"/>
      <c r="QJL5" s="87"/>
      <c r="QJM5" s="87"/>
      <c r="QJN5" s="87"/>
      <c r="QJO5" s="87"/>
      <c r="QJP5" s="87"/>
      <c r="QJQ5" s="87"/>
      <c r="QJR5" s="87"/>
      <c r="QJS5" s="87"/>
      <c r="QJT5" s="87"/>
      <c r="QJU5" s="87"/>
      <c r="QJV5" s="87"/>
      <c r="QJW5" s="87"/>
      <c r="QJX5" s="87"/>
      <c r="QJY5" s="87"/>
      <c r="QJZ5" s="87"/>
      <c r="QKA5" s="87"/>
      <c r="QKB5" s="87"/>
      <c r="QKC5" s="87"/>
      <c r="QKD5" s="87"/>
      <c r="QKE5" s="87"/>
      <c r="QKF5" s="87"/>
      <c r="QKG5" s="87"/>
      <c r="QKH5" s="87"/>
      <c r="QKI5" s="87"/>
      <c r="QKJ5" s="87"/>
      <c r="QKK5" s="87"/>
      <c r="QKL5" s="87"/>
      <c r="QKM5" s="87"/>
      <c r="QKN5" s="87"/>
      <c r="QKO5" s="87"/>
      <c r="QKP5" s="87"/>
      <c r="QKQ5" s="87"/>
      <c r="QKR5" s="87"/>
      <c r="QKS5" s="87"/>
      <c r="QKT5" s="87"/>
      <c r="QKU5" s="87"/>
      <c r="QKV5" s="87"/>
      <c r="QKW5" s="87"/>
      <c r="QKX5" s="87"/>
      <c r="QKY5" s="87"/>
      <c r="QKZ5" s="87"/>
      <c r="QLA5" s="87"/>
      <c r="QLB5" s="87"/>
      <c r="QLC5" s="87"/>
      <c r="QLD5" s="87"/>
      <c r="QLE5" s="87"/>
      <c r="QLF5" s="87"/>
      <c r="QLG5" s="87"/>
      <c r="QLH5" s="87"/>
      <c r="QLI5" s="87"/>
      <c r="QLJ5" s="87"/>
      <c r="QLK5" s="87"/>
      <c r="QLL5" s="87"/>
      <c r="QLM5" s="87"/>
      <c r="QLN5" s="87"/>
      <c r="QLO5" s="87"/>
      <c r="QLP5" s="87"/>
      <c r="QLQ5" s="87"/>
      <c r="QLR5" s="87"/>
      <c r="QLS5" s="87"/>
      <c r="QLT5" s="87"/>
      <c r="QLU5" s="87"/>
      <c r="QLV5" s="87"/>
      <c r="QLW5" s="87"/>
      <c r="QLX5" s="87"/>
      <c r="QLY5" s="87"/>
      <c r="QLZ5" s="87"/>
      <c r="QMA5" s="87"/>
      <c r="QMB5" s="87"/>
      <c r="QMC5" s="87"/>
      <c r="QMD5" s="87"/>
      <c r="QME5" s="87"/>
      <c r="QMF5" s="87"/>
      <c r="QMG5" s="87"/>
      <c r="QMH5" s="87"/>
      <c r="QMI5" s="87"/>
      <c r="QMJ5" s="87"/>
      <c r="QMK5" s="87"/>
      <c r="QML5" s="87"/>
      <c r="QMM5" s="87"/>
      <c r="QMN5" s="87"/>
      <c r="QMO5" s="87"/>
      <c r="QMP5" s="87"/>
      <c r="QMQ5" s="87"/>
      <c r="QMR5" s="87"/>
      <c r="QMS5" s="87"/>
      <c r="QMT5" s="87"/>
      <c r="QMU5" s="87"/>
      <c r="QMV5" s="87"/>
      <c r="QMW5" s="87"/>
      <c r="QMX5" s="87"/>
      <c r="QMY5" s="87"/>
      <c r="QMZ5" s="87"/>
      <c r="QNA5" s="87"/>
      <c r="QNB5" s="87"/>
      <c r="QNC5" s="87"/>
      <c r="QND5" s="87"/>
      <c r="QNE5" s="87"/>
      <c r="QNF5" s="87"/>
      <c r="QNG5" s="87"/>
      <c r="QNH5" s="87"/>
      <c r="QNI5" s="87"/>
      <c r="QNJ5" s="87"/>
      <c r="QNK5" s="87"/>
      <c r="QNL5" s="87"/>
      <c r="QNM5" s="87"/>
      <c r="QNN5" s="87"/>
      <c r="QNO5" s="87"/>
      <c r="QNP5" s="87"/>
      <c r="QNQ5" s="87"/>
      <c r="QNR5" s="87"/>
      <c r="QNS5" s="87"/>
      <c r="QNT5" s="87"/>
      <c r="QNU5" s="87"/>
      <c r="QNV5" s="87"/>
      <c r="QNW5" s="87"/>
      <c r="QNX5" s="87"/>
      <c r="QNY5" s="87"/>
      <c r="QNZ5" s="87"/>
      <c r="QOA5" s="87"/>
      <c r="QOB5" s="87"/>
      <c r="QOC5" s="87"/>
      <c r="QOD5" s="87"/>
      <c r="QOE5" s="87"/>
      <c r="QOF5" s="87"/>
      <c r="QOG5" s="87"/>
      <c r="QOH5" s="87"/>
      <c r="QOI5" s="87"/>
      <c r="QOJ5" s="87"/>
      <c r="QOK5" s="87"/>
      <c r="QOL5" s="87"/>
      <c r="QOM5" s="87"/>
      <c r="QON5" s="87"/>
      <c r="QOO5" s="87"/>
      <c r="QOP5" s="87"/>
      <c r="QOQ5" s="87"/>
      <c r="QOR5" s="87"/>
      <c r="QOS5" s="87"/>
      <c r="QOT5" s="87"/>
      <c r="QOU5" s="87"/>
      <c r="QOV5" s="87"/>
      <c r="QOW5" s="87"/>
      <c r="QOX5" s="87"/>
      <c r="QOY5" s="87"/>
      <c r="QOZ5" s="87"/>
      <c r="QPA5" s="87"/>
      <c r="QPB5" s="87"/>
      <c r="QPC5" s="87"/>
      <c r="QPD5" s="87"/>
      <c r="QPE5" s="87"/>
      <c r="QPF5" s="87"/>
      <c r="QPG5" s="87"/>
      <c r="QPH5" s="87"/>
      <c r="QPI5" s="87"/>
      <c r="QPJ5" s="87"/>
      <c r="QPK5" s="87"/>
      <c r="QPL5" s="87"/>
      <c r="QPM5" s="87"/>
      <c r="QPN5" s="87"/>
      <c r="QPO5" s="87"/>
      <c r="QPP5" s="87"/>
      <c r="QPQ5" s="87"/>
      <c r="QPR5" s="87"/>
      <c r="QPS5" s="87"/>
      <c r="QPT5" s="87"/>
      <c r="QPU5" s="87"/>
      <c r="QPV5" s="87"/>
      <c r="QPW5" s="87"/>
      <c r="QPX5" s="87"/>
      <c r="QPY5" s="87"/>
      <c r="QPZ5" s="87"/>
      <c r="QQA5" s="87"/>
      <c r="QQB5" s="87"/>
      <c r="QQC5" s="87"/>
      <c r="QQD5" s="87"/>
      <c r="QQE5" s="87"/>
      <c r="QQF5" s="87"/>
      <c r="QQG5" s="87"/>
      <c r="QQH5" s="87"/>
      <c r="QQI5" s="87"/>
      <c r="QQJ5" s="87"/>
      <c r="QQK5" s="87"/>
      <c r="QQL5" s="87"/>
      <c r="QQM5" s="87"/>
      <c r="QQN5" s="87"/>
      <c r="QQO5" s="87"/>
      <c r="QQP5" s="87"/>
      <c r="QQQ5" s="87"/>
      <c r="QQR5" s="87"/>
      <c r="QQS5" s="87"/>
      <c r="QQT5" s="87"/>
      <c r="QQU5" s="87"/>
      <c r="QQV5" s="87"/>
      <c r="QQW5" s="87"/>
      <c r="QQX5" s="87"/>
      <c r="QQY5" s="87"/>
      <c r="QQZ5" s="87"/>
      <c r="QRA5" s="87"/>
      <c r="QRB5" s="87"/>
      <c r="QRC5" s="87"/>
      <c r="QRD5" s="87"/>
      <c r="QRE5" s="87"/>
      <c r="QRF5" s="87"/>
      <c r="QRG5" s="87"/>
      <c r="QRH5" s="87"/>
      <c r="QRI5" s="87"/>
      <c r="QRJ5" s="87"/>
      <c r="QRK5" s="87"/>
      <c r="QRL5" s="87"/>
      <c r="QRM5" s="87"/>
      <c r="QRN5" s="87"/>
      <c r="QRO5" s="87"/>
      <c r="QRP5" s="87"/>
      <c r="QRQ5" s="87"/>
      <c r="QRR5" s="87"/>
      <c r="QRS5" s="87"/>
      <c r="QRT5" s="87"/>
      <c r="QRU5" s="87"/>
      <c r="QRV5" s="87"/>
      <c r="QRW5" s="87"/>
      <c r="QRX5" s="87"/>
      <c r="QRY5" s="87"/>
      <c r="QRZ5" s="87"/>
      <c r="QSA5" s="87"/>
      <c r="QSB5" s="87"/>
      <c r="QSC5" s="87"/>
      <c r="QSD5" s="87"/>
      <c r="QSE5" s="87"/>
      <c r="QSF5" s="87"/>
      <c r="QSG5" s="87"/>
      <c r="QSH5" s="87"/>
      <c r="QSI5" s="87"/>
      <c r="QSJ5" s="87"/>
      <c r="QSK5" s="87"/>
      <c r="QSL5" s="87"/>
      <c r="QSM5" s="87"/>
      <c r="QSN5" s="87"/>
      <c r="QSO5" s="87"/>
      <c r="QSP5" s="87"/>
      <c r="QSQ5" s="87"/>
      <c r="QSR5" s="87"/>
      <c r="QSS5" s="87"/>
      <c r="QST5" s="87"/>
      <c r="QSU5" s="87"/>
      <c r="QSV5" s="87"/>
      <c r="QSW5" s="87"/>
      <c r="QSX5" s="87"/>
      <c r="QSY5" s="87"/>
      <c r="QSZ5" s="87"/>
      <c r="QTA5" s="87"/>
      <c r="QTB5" s="87"/>
      <c r="QTC5" s="87"/>
      <c r="QTD5" s="87"/>
      <c r="QTE5" s="87"/>
      <c r="QTF5" s="87"/>
      <c r="QTG5" s="87"/>
      <c r="QTH5" s="87"/>
      <c r="QTI5" s="87"/>
      <c r="QTJ5" s="87"/>
      <c r="QTK5" s="87"/>
      <c r="QTL5" s="87"/>
      <c r="QTM5" s="87"/>
      <c r="QTN5" s="87"/>
      <c r="QTO5" s="87"/>
      <c r="QTP5" s="87"/>
      <c r="QTQ5" s="87"/>
      <c r="QTR5" s="87"/>
      <c r="QTS5" s="87"/>
      <c r="QTT5" s="87"/>
      <c r="QTU5" s="87"/>
      <c r="QTV5" s="87"/>
      <c r="QTW5" s="87"/>
      <c r="QTX5" s="87"/>
      <c r="QTY5" s="87"/>
      <c r="QTZ5" s="87"/>
      <c r="QUA5" s="87"/>
      <c r="QUB5" s="87"/>
      <c r="QUC5" s="87"/>
      <c r="QUD5" s="87"/>
      <c r="QUE5" s="87"/>
      <c r="QUF5" s="87"/>
      <c r="QUG5" s="87"/>
      <c r="QUH5" s="87"/>
      <c r="QUI5" s="87"/>
      <c r="QUJ5" s="87"/>
      <c r="QUK5" s="87"/>
      <c r="QUL5" s="87"/>
      <c r="QUM5" s="87"/>
      <c r="QUN5" s="87"/>
      <c r="QUO5" s="87"/>
      <c r="QUP5" s="87"/>
      <c r="QUQ5" s="87"/>
      <c r="QUR5" s="87"/>
      <c r="QUS5" s="87"/>
      <c r="QUT5" s="87"/>
      <c r="QUU5" s="87"/>
      <c r="QUV5" s="87"/>
      <c r="QUW5" s="87"/>
      <c r="QUX5" s="87"/>
      <c r="QUY5" s="87"/>
      <c r="QUZ5" s="87"/>
      <c r="QVA5" s="87"/>
      <c r="QVB5" s="87"/>
      <c r="QVC5" s="87"/>
      <c r="QVD5" s="87"/>
      <c r="QVE5" s="87"/>
      <c r="QVF5" s="87"/>
      <c r="QVG5" s="87"/>
      <c r="QVH5" s="87"/>
      <c r="QVI5" s="87"/>
      <c r="QVJ5" s="87"/>
      <c r="QVK5" s="87"/>
      <c r="QVL5" s="87"/>
      <c r="QVM5" s="87"/>
      <c r="QVN5" s="87"/>
      <c r="QVO5" s="87"/>
      <c r="QVP5" s="87"/>
      <c r="QVQ5" s="87"/>
      <c r="QVR5" s="87"/>
      <c r="QVS5" s="87"/>
      <c r="QVT5" s="87"/>
      <c r="QVU5" s="87"/>
      <c r="QVV5" s="87"/>
      <c r="QVW5" s="87"/>
      <c r="QVX5" s="87"/>
      <c r="QVY5" s="87"/>
      <c r="QVZ5" s="87"/>
      <c r="QWA5" s="87"/>
      <c r="QWB5" s="87"/>
      <c r="QWC5" s="87"/>
      <c r="QWD5" s="87"/>
      <c r="QWE5" s="87"/>
      <c r="QWF5" s="87"/>
      <c r="QWG5" s="87"/>
      <c r="QWH5" s="87"/>
      <c r="QWI5" s="87"/>
      <c r="QWJ5" s="87"/>
      <c r="QWK5" s="87"/>
      <c r="QWL5" s="87"/>
      <c r="QWM5" s="87"/>
      <c r="QWN5" s="87"/>
      <c r="QWO5" s="87"/>
      <c r="QWP5" s="87"/>
      <c r="QWQ5" s="87"/>
      <c r="QWR5" s="87"/>
      <c r="QWS5" s="87"/>
      <c r="QWT5" s="87"/>
      <c r="QWU5" s="87"/>
      <c r="QWV5" s="87"/>
      <c r="QWW5" s="87"/>
      <c r="QWX5" s="87"/>
      <c r="QWY5" s="87"/>
      <c r="QWZ5" s="87"/>
      <c r="QXA5" s="87"/>
      <c r="QXB5" s="87"/>
      <c r="QXC5" s="87"/>
      <c r="QXD5" s="87"/>
      <c r="QXE5" s="87"/>
      <c r="QXF5" s="87"/>
      <c r="QXG5" s="87"/>
      <c r="QXH5" s="87"/>
      <c r="QXI5" s="87"/>
      <c r="QXJ5" s="87"/>
      <c r="QXK5" s="87"/>
      <c r="QXL5" s="87"/>
      <c r="QXM5" s="87"/>
      <c r="QXN5" s="87"/>
      <c r="QXO5" s="87"/>
      <c r="QXP5" s="87"/>
      <c r="QXQ5" s="87"/>
      <c r="QXR5" s="87"/>
      <c r="QXS5" s="87"/>
      <c r="QXT5" s="87"/>
      <c r="QXU5" s="87"/>
      <c r="QXV5" s="87"/>
      <c r="QXW5" s="87"/>
      <c r="QXX5" s="87"/>
      <c r="QXY5" s="87"/>
      <c r="QXZ5" s="87"/>
      <c r="QYA5" s="87"/>
      <c r="QYB5" s="87"/>
      <c r="QYC5" s="87"/>
      <c r="QYD5" s="87"/>
      <c r="QYE5" s="87"/>
      <c r="QYF5" s="87"/>
      <c r="QYG5" s="87"/>
      <c r="QYH5" s="87"/>
      <c r="QYI5" s="87"/>
      <c r="QYJ5" s="87"/>
      <c r="QYK5" s="87"/>
      <c r="QYL5" s="87"/>
      <c r="QYM5" s="87"/>
      <c r="QYN5" s="87"/>
      <c r="QYO5" s="87"/>
      <c r="QYP5" s="87"/>
      <c r="QYQ5" s="87"/>
      <c r="QYR5" s="87"/>
      <c r="QYS5" s="87"/>
      <c r="QYT5" s="87"/>
      <c r="QYU5" s="87"/>
      <c r="QYV5" s="87"/>
      <c r="QYW5" s="87"/>
      <c r="QYX5" s="87"/>
      <c r="QYY5" s="87"/>
      <c r="QYZ5" s="87"/>
      <c r="QZA5" s="87"/>
      <c r="QZB5" s="87"/>
      <c r="QZC5" s="87"/>
      <c r="QZD5" s="87"/>
      <c r="QZE5" s="87"/>
      <c r="QZF5" s="87"/>
      <c r="QZG5" s="87"/>
      <c r="QZH5" s="87"/>
      <c r="QZI5" s="87"/>
      <c r="QZJ5" s="87"/>
      <c r="QZK5" s="87"/>
      <c r="QZL5" s="87"/>
      <c r="QZM5" s="87"/>
      <c r="QZN5" s="87"/>
      <c r="QZO5" s="87"/>
      <c r="QZP5" s="87"/>
      <c r="QZQ5" s="87"/>
      <c r="QZR5" s="87"/>
      <c r="QZS5" s="87"/>
      <c r="QZT5" s="87"/>
      <c r="QZU5" s="87"/>
      <c r="QZV5" s="87"/>
      <c r="QZW5" s="87"/>
      <c r="QZX5" s="87"/>
      <c r="QZY5" s="87"/>
      <c r="QZZ5" s="87"/>
      <c r="RAA5" s="87"/>
      <c r="RAB5" s="87"/>
      <c r="RAC5" s="87"/>
      <c r="RAD5" s="87"/>
      <c r="RAE5" s="87"/>
      <c r="RAF5" s="87"/>
      <c r="RAG5" s="87"/>
      <c r="RAH5" s="87"/>
      <c r="RAI5" s="87"/>
      <c r="RAJ5" s="87"/>
      <c r="RAK5" s="87"/>
      <c r="RAL5" s="87"/>
      <c r="RAM5" s="87"/>
      <c r="RAN5" s="87"/>
      <c r="RAO5" s="87"/>
      <c r="RAP5" s="87"/>
      <c r="RAQ5" s="87"/>
      <c r="RAR5" s="87"/>
      <c r="RAS5" s="87"/>
      <c r="RAT5" s="87"/>
      <c r="RAU5" s="87"/>
      <c r="RAV5" s="87"/>
      <c r="RAW5" s="87"/>
      <c r="RAX5" s="87"/>
      <c r="RAY5" s="87"/>
      <c r="RAZ5" s="87"/>
      <c r="RBA5" s="87"/>
      <c r="RBB5" s="87"/>
      <c r="RBC5" s="87"/>
      <c r="RBD5" s="87"/>
      <c r="RBE5" s="87"/>
      <c r="RBF5" s="87"/>
      <c r="RBG5" s="87"/>
      <c r="RBH5" s="87"/>
      <c r="RBI5" s="87"/>
      <c r="RBJ5" s="87"/>
      <c r="RBK5" s="87"/>
      <c r="RBL5" s="87"/>
      <c r="RBM5" s="87"/>
      <c r="RBN5" s="87"/>
      <c r="RBO5" s="87"/>
      <c r="RBP5" s="87"/>
      <c r="RBQ5" s="87"/>
      <c r="RBR5" s="87"/>
      <c r="RBS5" s="87"/>
      <c r="RBT5" s="87"/>
      <c r="RBU5" s="87"/>
      <c r="RBV5" s="87"/>
      <c r="RBW5" s="87"/>
      <c r="RBX5" s="87"/>
      <c r="RBY5" s="87"/>
      <c r="RBZ5" s="87"/>
      <c r="RCA5" s="87"/>
      <c r="RCB5" s="87"/>
      <c r="RCC5" s="87"/>
      <c r="RCD5" s="87"/>
      <c r="RCE5" s="87"/>
      <c r="RCF5" s="87"/>
      <c r="RCG5" s="87"/>
      <c r="RCH5" s="87"/>
      <c r="RCI5" s="87"/>
      <c r="RCJ5" s="87"/>
      <c r="RCK5" s="87"/>
      <c r="RCL5" s="87"/>
      <c r="RCM5" s="87"/>
      <c r="RCN5" s="87"/>
      <c r="RCO5" s="87"/>
      <c r="RCP5" s="87"/>
      <c r="RCQ5" s="87"/>
      <c r="RCR5" s="87"/>
      <c r="RCS5" s="87"/>
      <c r="RCT5" s="87"/>
      <c r="RCU5" s="87"/>
      <c r="RCV5" s="87"/>
      <c r="RCW5" s="87"/>
      <c r="RCX5" s="87"/>
      <c r="RCY5" s="87"/>
      <c r="RCZ5" s="87"/>
      <c r="RDA5" s="87"/>
      <c r="RDB5" s="87"/>
      <c r="RDC5" s="87"/>
      <c r="RDD5" s="87"/>
      <c r="RDE5" s="87"/>
      <c r="RDF5" s="87"/>
      <c r="RDG5" s="87"/>
      <c r="RDH5" s="87"/>
      <c r="RDI5" s="87"/>
      <c r="RDJ5" s="87"/>
      <c r="RDK5" s="87"/>
      <c r="RDL5" s="87"/>
      <c r="RDM5" s="87"/>
      <c r="RDN5" s="87"/>
      <c r="RDO5" s="87"/>
      <c r="RDP5" s="87"/>
      <c r="RDQ5" s="87"/>
      <c r="RDR5" s="87"/>
      <c r="RDS5" s="87"/>
      <c r="RDT5" s="87"/>
      <c r="RDU5" s="87"/>
      <c r="RDV5" s="87"/>
      <c r="RDW5" s="87"/>
      <c r="RDX5" s="87"/>
      <c r="RDY5" s="87"/>
      <c r="RDZ5" s="87"/>
      <c r="REA5" s="87"/>
      <c r="REB5" s="87"/>
      <c r="REC5" s="87"/>
      <c r="RED5" s="87"/>
      <c r="REE5" s="87"/>
      <c r="REF5" s="87"/>
      <c r="REG5" s="87"/>
      <c r="REH5" s="87"/>
      <c r="REI5" s="87"/>
      <c r="REJ5" s="87"/>
      <c r="REK5" s="87"/>
      <c r="REL5" s="87"/>
      <c r="REM5" s="87"/>
      <c r="REN5" s="87"/>
      <c r="REO5" s="87"/>
      <c r="REP5" s="87"/>
      <c r="REQ5" s="87"/>
      <c r="RER5" s="87"/>
      <c r="RES5" s="87"/>
      <c r="RET5" s="87"/>
      <c r="REU5" s="87"/>
      <c r="REV5" s="87"/>
      <c r="REW5" s="87"/>
      <c r="REX5" s="87"/>
      <c r="REY5" s="87"/>
      <c r="REZ5" s="87"/>
      <c r="RFA5" s="87"/>
      <c r="RFB5" s="87"/>
      <c r="RFC5" s="87"/>
      <c r="RFD5" s="87"/>
      <c r="RFE5" s="87"/>
      <c r="RFF5" s="87"/>
      <c r="RFG5" s="87"/>
      <c r="RFH5" s="87"/>
      <c r="RFI5" s="87"/>
      <c r="RFJ5" s="87"/>
      <c r="RFK5" s="87"/>
      <c r="RFL5" s="87"/>
      <c r="RFM5" s="87"/>
      <c r="RFN5" s="87"/>
      <c r="RFO5" s="87"/>
      <c r="RFP5" s="87"/>
      <c r="RFQ5" s="87"/>
      <c r="RFR5" s="87"/>
      <c r="RFS5" s="87"/>
      <c r="RFT5" s="87"/>
      <c r="RFU5" s="87"/>
      <c r="RFV5" s="87"/>
      <c r="RFW5" s="87"/>
      <c r="RFX5" s="87"/>
      <c r="RFY5" s="87"/>
      <c r="RFZ5" s="87"/>
      <c r="RGA5" s="87"/>
      <c r="RGB5" s="87"/>
      <c r="RGC5" s="87"/>
      <c r="RGD5" s="87"/>
      <c r="RGE5" s="87"/>
      <c r="RGF5" s="87"/>
      <c r="RGG5" s="87"/>
      <c r="RGH5" s="87"/>
      <c r="RGI5" s="87"/>
      <c r="RGJ5" s="87"/>
      <c r="RGK5" s="87"/>
      <c r="RGL5" s="87"/>
      <c r="RGM5" s="87"/>
      <c r="RGN5" s="87"/>
      <c r="RGO5" s="87"/>
      <c r="RGP5" s="87"/>
      <c r="RGQ5" s="87"/>
      <c r="RGR5" s="87"/>
      <c r="RGS5" s="87"/>
      <c r="RGT5" s="87"/>
      <c r="RGU5" s="87"/>
      <c r="RGV5" s="87"/>
      <c r="RGW5" s="87"/>
      <c r="RGX5" s="87"/>
      <c r="RGY5" s="87"/>
      <c r="RGZ5" s="87"/>
      <c r="RHA5" s="87"/>
      <c r="RHB5" s="87"/>
      <c r="RHC5" s="87"/>
      <c r="RHD5" s="87"/>
      <c r="RHE5" s="87"/>
      <c r="RHF5" s="87"/>
      <c r="RHG5" s="87"/>
      <c r="RHH5" s="87"/>
      <c r="RHI5" s="87"/>
      <c r="RHJ5" s="87"/>
      <c r="RHK5" s="87"/>
      <c r="RHL5" s="87"/>
      <c r="RHM5" s="87"/>
      <c r="RHN5" s="87"/>
      <c r="RHO5" s="87"/>
      <c r="RHP5" s="87"/>
      <c r="RHQ5" s="87"/>
      <c r="RHR5" s="87"/>
      <c r="RHS5" s="87"/>
      <c r="RHT5" s="87"/>
      <c r="RHU5" s="87"/>
      <c r="RHV5" s="87"/>
      <c r="RHW5" s="87"/>
      <c r="RHX5" s="87"/>
      <c r="RHY5" s="87"/>
      <c r="RHZ5" s="87"/>
      <c r="RIA5" s="87"/>
      <c r="RIB5" s="87"/>
      <c r="RIC5" s="87"/>
      <c r="RID5" s="87"/>
      <c r="RIE5" s="87"/>
      <c r="RIF5" s="87"/>
      <c r="RIG5" s="87"/>
      <c r="RIH5" s="87"/>
      <c r="RII5" s="87"/>
      <c r="RIJ5" s="87"/>
      <c r="RIK5" s="87"/>
      <c r="RIL5" s="87"/>
      <c r="RIM5" s="87"/>
      <c r="RIN5" s="87"/>
      <c r="RIO5" s="87"/>
      <c r="RIP5" s="87"/>
      <c r="RIQ5" s="87"/>
      <c r="RIR5" s="87"/>
      <c r="RIS5" s="87"/>
      <c r="RIT5" s="87"/>
      <c r="RIU5" s="87"/>
      <c r="RIV5" s="87"/>
      <c r="RIW5" s="87"/>
      <c r="RIX5" s="87"/>
      <c r="RIY5" s="87"/>
      <c r="RIZ5" s="87"/>
      <c r="RJA5" s="87"/>
      <c r="RJB5" s="87"/>
      <c r="RJC5" s="87"/>
      <c r="RJD5" s="87"/>
      <c r="RJE5" s="87"/>
      <c r="RJF5" s="87"/>
      <c r="RJG5" s="87"/>
      <c r="RJH5" s="87"/>
      <c r="RJI5" s="87"/>
      <c r="RJJ5" s="87"/>
      <c r="RJK5" s="87"/>
      <c r="RJL5" s="87"/>
      <c r="RJM5" s="87"/>
      <c r="RJN5" s="87"/>
      <c r="RJO5" s="87"/>
      <c r="RJP5" s="87"/>
      <c r="RJQ5" s="87"/>
      <c r="RJR5" s="87"/>
      <c r="RJS5" s="87"/>
      <c r="RJT5" s="87"/>
      <c r="RJU5" s="87"/>
      <c r="RJV5" s="87"/>
      <c r="RJW5" s="87"/>
      <c r="RJX5" s="87"/>
      <c r="RJY5" s="87"/>
      <c r="RJZ5" s="87"/>
      <c r="RKA5" s="87"/>
      <c r="RKB5" s="87"/>
      <c r="RKC5" s="87"/>
      <c r="RKD5" s="87"/>
      <c r="RKE5" s="87"/>
      <c r="RKF5" s="87"/>
      <c r="RKG5" s="87"/>
      <c r="RKH5" s="87"/>
      <c r="RKI5" s="87"/>
      <c r="RKJ5" s="87"/>
      <c r="RKK5" s="87"/>
      <c r="RKL5" s="87"/>
      <c r="RKM5" s="87"/>
      <c r="RKN5" s="87"/>
      <c r="RKO5" s="87"/>
      <c r="RKP5" s="87"/>
      <c r="RKQ5" s="87"/>
      <c r="RKR5" s="87"/>
      <c r="RKS5" s="87"/>
      <c r="RKT5" s="87"/>
      <c r="RKU5" s="87"/>
      <c r="RKV5" s="87"/>
      <c r="RKW5" s="87"/>
      <c r="RKX5" s="87"/>
      <c r="RKY5" s="87"/>
      <c r="RKZ5" s="87"/>
      <c r="RLA5" s="87"/>
      <c r="RLB5" s="87"/>
      <c r="RLC5" s="87"/>
      <c r="RLD5" s="87"/>
      <c r="RLE5" s="87"/>
      <c r="RLF5" s="87"/>
      <c r="RLG5" s="87"/>
      <c r="RLH5" s="87"/>
      <c r="RLI5" s="87"/>
      <c r="RLJ5" s="87"/>
      <c r="RLK5" s="87"/>
      <c r="RLL5" s="87"/>
      <c r="RLM5" s="87"/>
      <c r="RLN5" s="87"/>
      <c r="RLO5" s="87"/>
      <c r="RLP5" s="87"/>
      <c r="RLQ5" s="87"/>
      <c r="RLR5" s="87"/>
      <c r="RLS5" s="87"/>
      <c r="RLT5" s="87"/>
      <c r="RLU5" s="87"/>
      <c r="RLV5" s="87"/>
      <c r="RLW5" s="87"/>
      <c r="RLX5" s="87"/>
      <c r="RLY5" s="87"/>
      <c r="RLZ5" s="87"/>
      <c r="RMA5" s="87"/>
      <c r="RMB5" s="87"/>
      <c r="RMC5" s="87"/>
      <c r="RMD5" s="87"/>
      <c r="RME5" s="87"/>
      <c r="RMF5" s="87"/>
      <c r="RMG5" s="87"/>
      <c r="RMH5" s="87"/>
      <c r="RMI5" s="87"/>
      <c r="RMJ5" s="87"/>
      <c r="RMK5" s="87"/>
      <c r="RML5" s="87"/>
      <c r="RMM5" s="87"/>
      <c r="RMN5" s="87"/>
      <c r="RMO5" s="87"/>
      <c r="RMP5" s="87"/>
      <c r="RMQ5" s="87"/>
      <c r="RMR5" s="87"/>
      <c r="RMS5" s="87"/>
      <c r="RMT5" s="87"/>
      <c r="RMU5" s="87"/>
      <c r="RMV5" s="87"/>
      <c r="RMW5" s="87"/>
      <c r="RMX5" s="87"/>
      <c r="RMY5" s="87"/>
      <c r="RMZ5" s="87"/>
      <c r="RNA5" s="87"/>
      <c r="RNB5" s="87"/>
      <c r="RNC5" s="87"/>
      <c r="RND5" s="87"/>
      <c r="RNE5" s="87"/>
      <c r="RNF5" s="87"/>
      <c r="RNG5" s="87"/>
      <c r="RNH5" s="87"/>
      <c r="RNI5" s="87"/>
      <c r="RNJ5" s="87"/>
      <c r="RNK5" s="87"/>
      <c r="RNL5" s="87"/>
      <c r="RNM5" s="87"/>
      <c r="RNN5" s="87"/>
      <c r="RNO5" s="87"/>
      <c r="RNP5" s="87"/>
      <c r="RNQ5" s="87"/>
      <c r="RNR5" s="87"/>
      <c r="RNS5" s="87"/>
      <c r="RNT5" s="87"/>
      <c r="RNU5" s="87"/>
      <c r="RNV5" s="87"/>
      <c r="RNW5" s="87"/>
      <c r="RNX5" s="87"/>
      <c r="RNY5" s="87"/>
      <c r="RNZ5" s="87"/>
      <c r="ROA5" s="87"/>
      <c r="ROB5" s="87"/>
      <c r="ROC5" s="87"/>
      <c r="ROD5" s="87"/>
      <c r="ROE5" s="87"/>
      <c r="ROF5" s="87"/>
      <c r="ROG5" s="87"/>
      <c r="ROH5" s="87"/>
      <c r="ROI5" s="87"/>
      <c r="ROJ5" s="87"/>
      <c r="ROK5" s="87"/>
      <c r="ROL5" s="87"/>
      <c r="ROM5" s="87"/>
      <c r="RON5" s="87"/>
      <c r="ROO5" s="87"/>
      <c r="ROP5" s="87"/>
      <c r="ROQ5" s="87"/>
      <c r="ROR5" s="87"/>
      <c r="ROS5" s="87"/>
      <c r="ROT5" s="87"/>
      <c r="ROU5" s="87"/>
      <c r="ROV5" s="87"/>
      <c r="ROW5" s="87"/>
      <c r="ROX5" s="87"/>
      <c r="ROY5" s="87"/>
      <c r="ROZ5" s="87"/>
      <c r="RPA5" s="87"/>
      <c r="RPB5" s="87"/>
      <c r="RPC5" s="87"/>
      <c r="RPD5" s="87"/>
      <c r="RPE5" s="87"/>
      <c r="RPF5" s="87"/>
      <c r="RPG5" s="87"/>
      <c r="RPH5" s="87"/>
      <c r="RPI5" s="87"/>
      <c r="RPJ5" s="87"/>
      <c r="RPK5" s="87"/>
      <c r="RPL5" s="87"/>
      <c r="RPM5" s="87"/>
      <c r="RPN5" s="87"/>
      <c r="RPO5" s="87"/>
      <c r="RPP5" s="87"/>
      <c r="RPQ5" s="87"/>
      <c r="RPR5" s="87"/>
      <c r="RPS5" s="87"/>
      <c r="RPT5" s="87"/>
      <c r="RPU5" s="87"/>
      <c r="RPV5" s="87"/>
      <c r="RPW5" s="87"/>
      <c r="RPX5" s="87"/>
      <c r="RPY5" s="87"/>
      <c r="RPZ5" s="87"/>
      <c r="RQA5" s="87"/>
      <c r="RQB5" s="87"/>
      <c r="RQC5" s="87"/>
      <c r="RQD5" s="87"/>
      <c r="RQE5" s="87"/>
      <c r="RQF5" s="87"/>
      <c r="RQG5" s="87"/>
      <c r="RQH5" s="87"/>
      <c r="RQI5" s="87"/>
      <c r="RQJ5" s="87"/>
      <c r="RQK5" s="87"/>
      <c r="RQL5" s="87"/>
      <c r="RQM5" s="87"/>
      <c r="RQN5" s="87"/>
      <c r="RQO5" s="87"/>
      <c r="RQP5" s="87"/>
      <c r="RQQ5" s="87"/>
      <c r="RQR5" s="87"/>
      <c r="RQS5" s="87"/>
      <c r="RQT5" s="87"/>
      <c r="RQU5" s="87"/>
      <c r="RQV5" s="87"/>
      <c r="RQW5" s="87"/>
      <c r="RQX5" s="87"/>
      <c r="RQY5" s="87"/>
      <c r="RQZ5" s="87"/>
      <c r="RRA5" s="87"/>
      <c r="RRB5" s="87"/>
      <c r="RRC5" s="87"/>
      <c r="RRD5" s="87"/>
      <c r="RRE5" s="87"/>
      <c r="RRF5" s="87"/>
      <c r="RRG5" s="87"/>
      <c r="RRH5" s="87"/>
      <c r="RRI5" s="87"/>
      <c r="RRJ5" s="87"/>
      <c r="RRK5" s="87"/>
      <c r="RRL5" s="87"/>
      <c r="RRM5" s="87"/>
      <c r="RRN5" s="87"/>
      <c r="RRO5" s="87"/>
      <c r="RRP5" s="87"/>
      <c r="RRQ5" s="87"/>
      <c r="RRR5" s="87"/>
      <c r="RRS5" s="87"/>
      <c r="RRT5" s="87"/>
      <c r="RRU5" s="87"/>
      <c r="RRV5" s="87"/>
      <c r="RRW5" s="87"/>
      <c r="RRX5" s="87"/>
      <c r="RRY5" s="87"/>
      <c r="RRZ5" s="87"/>
      <c r="RSA5" s="87"/>
      <c r="RSB5" s="87"/>
      <c r="RSC5" s="87"/>
      <c r="RSD5" s="87"/>
      <c r="RSE5" s="87"/>
      <c r="RSF5" s="87"/>
      <c r="RSG5" s="87"/>
      <c r="RSH5" s="87"/>
      <c r="RSI5" s="87"/>
      <c r="RSJ5" s="87"/>
      <c r="RSK5" s="87"/>
      <c r="RSL5" s="87"/>
      <c r="RSM5" s="87"/>
      <c r="RSN5" s="87"/>
      <c r="RSO5" s="87"/>
      <c r="RSP5" s="87"/>
      <c r="RSQ5" s="87"/>
      <c r="RSR5" s="87"/>
      <c r="RSS5" s="87"/>
      <c r="RST5" s="87"/>
      <c r="RSU5" s="87"/>
      <c r="RSV5" s="87"/>
      <c r="RSW5" s="87"/>
      <c r="RSX5" s="87"/>
      <c r="RSY5" s="87"/>
      <c r="RSZ5" s="87"/>
      <c r="RTA5" s="87"/>
      <c r="RTB5" s="87"/>
      <c r="RTC5" s="87"/>
      <c r="RTD5" s="87"/>
      <c r="RTE5" s="87"/>
      <c r="RTF5" s="87"/>
      <c r="RTG5" s="87"/>
      <c r="RTH5" s="87"/>
      <c r="RTI5" s="87"/>
      <c r="RTJ5" s="87"/>
      <c r="RTK5" s="87"/>
      <c r="RTL5" s="87"/>
      <c r="RTM5" s="87"/>
      <c r="RTN5" s="87"/>
      <c r="RTO5" s="87"/>
      <c r="RTP5" s="87"/>
      <c r="RTQ5" s="87"/>
      <c r="RTR5" s="87"/>
      <c r="RTS5" s="87"/>
      <c r="RTT5" s="87"/>
      <c r="RTU5" s="87"/>
      <c r="RTV5" s="87"/>
      <c r="RTW5" s="87"/>
      <c r="RTX5" s="87"/>
      <c r="RTY5" s="87"/>
      <c r="RTZ5" s="87"/>
      <c r="RUA5" s="87"/>
      <c r="RUB5" s="87"/>
      <c r="RUC5" s="87"/>
      <c r="RUD5" s="87"/>
      <c r="RUE5" s="87"/>
      <c r="RUF5" s="87"/>
      <c r="RUG5" s="87"/>
      <c r="RUH5" s="87"/>
      <c r="RUI5" s="87"/>
      <c r="RUJ5" s="87"/>
      <c r="RUK5" s="87"/>
      <c r="RUL5" s="87"/>
      <c r="RUM5" s="87"/>
      <c r="RUN5" s="87"/>
      <c r="RUO5" s="87"/>
      <c r="RUP5" s="87"/>
      <c r="RUQ5" s="87"/>
      <c r="RUR5" s="87"/>
      <c r="RUS5" s="87"/>
      <c r="RUT5" s="87"/>
      <c r="RUU5" s="87"/>
      <c r="RUV5" s="87"/>
      <c r="RUW5" s="87"/>
      <c r="RUX5" s="87"/>
      <c r="RUY5" s="87"/>
      <c r="RUZ5" s="87"/>
      <c r="RVA5" s="87"/>
      <c r="RVB5" s="87"/>
      <c r="RVC5" s="87"/>
      <c r="RVD5" s="87"/>
      <c r="RVE5" s="87"/>
      <c r="RVF5" s="87"/>
      <c r="RVG5" s="87"/>
      <c r="RVH5" s="87"/>
      <c r="RVI5" s="87"/>
      <c r="RVJ5" s="87"/>
      <c r="RVK5" s="87"/>
      <c r="RVL5" s="87"/>
      <c r="RVM5" s="87"/>
      <c r="RVN5" s="87"/>
      <c r="RVO5" s="87"/>
      <c r="RVP5" s="87"/>
      <c r="RVQ5" s="87"/>
      <c r="RVR5" s="87"/>
      <c r="RVS5" s="87"/>
      <c r="RVT5" s="87"/>
      <c r="RVU5" s="87"/>
      <c r="RVV5" s="87"/>
      <c r="RVW5" s="87"/>
      <c r="RVX5" s="87"/>
      <c r="RVY5" s="87"/>
      <c r="RVZ5" s="87"/>
      <c r="RWA5" s="87"/>
      <c r="RWB5" s="87"/>
      <c r="RWC5" s="87"/>
      <c r="RWD5" s="87"/>
      <c r="RWE5" s="87"/>
      <c r="RWF5" s="87"/>
      <c r="RWG5" s="87"/>
      <c r="RWH5" s="87"/>
      <c r="RWI5" s="87"/>
      <c r="RWJ5" s="87"/>
      <c r="RWK5" s="87"/>
      <c r="RWL5" s="87"/>
      <c r="RWM5" s="87"/>
      <c r="RWN5" s="87"/>
      <c r="RWO5" s="87"/>
      <c r="RWP5" s="87"/>
      <c r="RWQ5" s="87"/>
      <c r="RWR5" s="87"/>
      <c r="RWS5" s="87"/>
      <c r="RWT5" s="87"/>
      <c r="RWU5" s="87"/>
      <c r="RWV5" s="87"/>
      <c r="RWW5" s="87"/>
      <c r="RWX5" s="87"/>
      <c r="RWY5" s="87"/>
      <c r="RWZ5" s="87"/>
      <c r="RXA5" s="87"/>
      <c r="RXB5" s="87"/>
      <c r="RXC5" s="87"/>
      <c r="RXD5" s="87"/>
      <c r="RXE5" s="87"/>
      <c r="RXF5" s="87"/>
      <c r="RXG5" s="87"/>
      <c r="RXH5" s="87"/>
      <c r="RXI5" s="87"/>
      <c r="RXJ5" s="87"/>
      <c r="RXK5" s="87"/>
      <c r="RXL5" s="87"/>
      <c r="RXM5" s="87"/>
      <c r="RXN5" s="87"/>
      <c r="RXO5" s="87"/>
      <c r="RXP5" s="87"/>
      <c r="RXQ5" s="87"/>
      <c r="RXR5" s="87"/>
      <c r="RXS5" s="87"/>
      <c r="RXT5" s="87"/>
      <c r="RXU5" s="87"/>
      <c r="RXV5" s="87"/>
      <c r="RXW5" s="87"/>
      <c r="RXX5" s="87"/>
      <c r="RXY5" s="87"/>
      <c r="RXZ5" s="87"/>
      <c r="RYA5" s="87"/>
      <c r="RYB5" s="87"/>
      <c r="RYC5" s="87"/>
      <c r="RYD5" s="87"/>
      <c r="RYE5" s="87"/>
      <c r="RYF5" s="87"/>
      <c r="RYG5" s="87"/>
      <c r="RYH5" s="87"/>
      <c r="RYI5" s="87"/>
      <c r="RYJ5" s="87"/>
      <c r="RYK5" s="87"/>
      <c r="RYL5" s="87"/>
      <c r="RYM5" s="87"/>
      <c r="RYN5" s="87"/>
      <c r="RYO5" s="87"/>
      <c r="RYP5" s="87"/>
      <c r="RYQ5" s="87"/>
      <c r="RYR5" s="87"/>
      <c r="RYS5" s="87"/>
      <c r="RYT5" s="87"/>
      <c r="RYU5" s="87"/>
      <c r="RYV5" s="87"/>
      <c r="RYW5" s="87"/>
      <c r="RYX5" s="87"/>
      <c r="RYY5" s="87"/>
      <c r="RYZ5" s="87"/>
      <c r="RZA5" s="87"/>
      <c r="RZB5" s="87"/>
      <c r="RZC5" s="87"/>
      <c r="RZD5" s="87"/>
      <c r="RZE5" s="87"/>
      <c r="RZF5" s="87"/>
      <c r="RZG5" s="87"/>
      <c r="RZH5" s="87"/>
      <c r="RZI5" s="87"/>
      <c r="RZJ5" s="87"/>
      <c r="RZK5" s="87"/>
      <c r="RZL5" s="87"/>
      <c r="RZM5" s="87"/>
      <c r="RZN5" s="87"/>
      <c r="RZO5" s="87"/>
      <c r="RZP5" s="87"/>
      <c r="RZQ5" s="87"/>
      <c r="RZR5" s="87"/>
      <c r="RZS5" s="87"/>
      <c r="RZT5" s="87"/>
      <c r="RZU5" s="87"/>
      <c r="RZV5" s="87"/>
      <c r="RZW5" s="87"/>
      <c r="RZX5" s="87"/>
      <c r="RZY5" s="87"/>
      <c r="RZZ5" s="87"/>
      <c r="SAA5" s="87"/>
      <c r="SAB5" s="87"/>
      <c r="SAC5" s="87"/>
      <c r="SAD5" s="87"/>
      <c r="SAE5" s="87"/>
      <c r="SAF5" s="87"/>
      <c r="SAG5" s="87"/>
      <c r="SAH5" s="87"/>
      <c r="SAI5" s="87"/>
      <c r="SAJ5" s="87"/>
      <c r="SAK5" s="87"/>
      <c r="SAL5" s="87"/>
      <c r="SAM5" s="87"/>
      <c r="SAN5" s="87"/>
      <c r="SAO5" s="87"/>
      <c r="SAP5" s="87"/>
      <c r="SAQ5" s="87"/>
      <c r="SAR5" s="87"/>
      <c r="SAS5" s="87"/>
      <c r="SAT5" s="87"/>
      <c r="SAU5" s="87"/>
      <c r="SAV5" s="87"/>
      <c r="SAW5" s="87"/>
      <c r="SAX5" s="87"/>
      <c r="SAY5" s="87"/>
      <c r="SAZ5" s="87"/>
      <c r="SBA5" s="87"/>
      <c r="SBB5" s="87"/>
      <c r="SBC5" s="87"/>
      <c r="SBD5" s="87"/>
      <c r="SBE5" s="87"/>
      <c r="SBF5" s="87"/>
      <c r="SBG5" s="87"/>
      <c r="SBH5" s="87"/>
      <c r="SBI5" s="87"/>
      <c r="SBJ5" s="87"/>
      <c r="SBK5" s="87"/>
      <c r="SBL5" s="87"/>
      <c r="SBM5" s="87"/>
      <c r="SBN5" s="87"/>
      <c r="SBO5" s="87"/>
      <c r="SBP5" s="87"/>
      <c r="SBQ5" s="87"/>
      <c r="SBR5" s="87"/>
      <c r="SBS5" s="87"/>
      <c r="SBT5" s="87"/>
      <c r="SBU5" s="87"/>
      <c r="SBV5" s="87"/>
      <c r="SBW5" s="87"/>
      <c r="SBX5" s="87"/>
      <c r="SBY5" s="87"/>
      <c r="SBZ5" s="87"/>
      <c r="SCA5" s="87"/>
      <c r="SCB5" s="87"/>
      <c r="SCC5" s="87"/>
      <c r="SCD5" s="87"/>
      <c r="SCE5" s="87"/>
      <c r="SCF5" s="87"/>
      <c r="SCG5" s="87"/>
      <c r="SCH5" s="87"/>
      <c r="SCI5" s="87"/>
      <c r="SCJ5" s="87"/>
      <c r="SCK5" s="87"/>
      <c r="SCL5" s="87"/>
      <c r="SCM5" s="87"/>
      <c r="SCN5" s="87"/>
      <c r="SCO5" s="87"/>
      <c r="SCP5" s="87"/>
      <c r="SCQ5" s="87"/>
      <c r="SCR5" s="87"/>
      <c r="SCS5" s="87"/>
      <c r="SCT5" s="87"/>
      <c r="SCU5" s="87"/>
      <c r="SCV5" s="87"/>
      <c r="SCW5" s="87"/>
      <c r="SCX5" s="87"/>
      <c r="SCY5" s="87"/>
      <c r="SCZ5" s="87"/>
      <c r="SDA5" s="87"/>
      <c r="SDB5" s="87"/>
      <c r="SDC5" s="87"/>
      <c r="SDD5" s="87"/>
      <c r="SDE5" s="87"/>
      <c r="SDF5" s="87"/>
      <c r="SDG5" s="87"/>
      <c r="SDH5" s="87"/>
      <c r="SDI5" s="87"/>
      <c r="SDJ5" s="87"/>
      <c r="SDK5" s="87"/>
      <c r="SDL5" s="87"/>
      <c r="SDM5" s="87"/>
      <c r="SDN5" s="87"/>
      <c r="SDO5" s="87"/>
      <c r="SDP5" s="87"/>
      <c r="SDQ5" s="87"/>
      <c r="SDR5" s="87"/>
      <c r="SDS5" s="87"/>
      <c r="SDT5" s="87"/>
      <c r="SDU5" s="87"/>
      <c r="SDV5" s="87"/>
      <c r="SDW5" s="87"/>
      <c r="SDX5" s="87"/>
      <c r="SDY5" s="87"/>
      <c r="SDZ5" s="87"/>
      <c r="SEA5" s="87"/>
      <c r="SEB5" s="87"/>
      <c r="SEC5" s="87"/>
      <c r="SED5" s="87"/>
      <c r="SEE5" s="87"/>
      <c r="SEF5" s="87"/>
      <c r="SEG5" s="87"/>
      <c r="SEH5" s="87"/>
      <c r="SEI5" s="87"/>
      <c r="SEJ5" s="87"/>
      <c r="SEK5" s="87"/>
      <c r="SEL5" s="87"/>
      <c r="SEM5" s="87"/>
      <c r="SEN5" s="87"/>
      <c r="SEO5" s="87"/>
      <c r="SEP5" s="87"/>
      <c r="SEQ5" s="87"/>
      <c r="SER5" s="87"/>
      <c r="SES5" s="87"/>
      <c r="SET5" s="87"/>
      <c r="SEU5" s="87"/>
      <c r="SEV5" s="87"/>
      <c r="SEW5" s="87"/>
      <c r="SEX5" s="87"/>
      <c r="SEY5" s="87"/>
      <c r="SEZ5" s="87"/>
      <c r="SFA5" s="87"/>
      <c r="SFB5" s="87"/>
      <c r="SFC5" s="87"/>
      <c r="SFD5" s="87"/>
      <c r="SFE5" s="87"/>
      <c r="SFF5" s="87"/>
      <c r="SFG5" s="87"/>
      <c r="SFH5" s="87"/>
      <c r="SFI5" s="87"/>
      <c r="SFJ5" s="87"/>
      <c r="SFK5" s="87"/>
      <c r="SFL5" s="87"/>
      <c r="SFM5" s="87"/>
      <c r="SFN5" s="87"/>
      <c r="SFO5" s="87"/>
      <c r="SFP5" s="87"/>
      <c r="SFQ5" s="87"/>
      <c r="SFR5" s="87"/>
      <c r="SFS5" s="87"/>
      <c r="SFT5" s="87"/>
      <c r="SFU5" s="87"/>
      <c r="SFV5" s="87"/>
      <c r="SFW5" s="87"/>
      <c r="SFX5" s="87"/>
      <c r="SFY5" s="87"/>
      <c r="SFZ5" s="87"/>
      <c r="SGA5" s="87"/>
      <c r="SGB5" s="87"/>
      <c r="SGC5" s="87"/>
      <c r="SGD5" s="87"/>
      <c r="SGE5" s="87"/>
      <c r="SGF5" s="87"/>
      <c r="SGG5" s="87"/>
      <c r="SGH5" s="87"/>
      <c r="SGI5" s="87"/>
      <c r="SGJ5" s="87"/>
      <c r="SGK5" s="87"/>
      <c r="SGL5" s="87"/>
      <c r="SGM5" s="87"/>
      <c r="SGN5" s="87"/>
      <c r="SGO5" s="87"/>
      <c r="SGP5" s="87"/>
      <c r="SGQ5" s="87"/>
      <c r="SGR5" s="87"/>
      <c r="SGS5" s="87"/>
      <c r="SGT5" s="87"/>
      <c r="SGU5" s="87"/>
      <c r="SGV5" s="87"/>
      <c r="SGW5" s="87"/>
      <c r="SGX5" s="87"/>
      <c r="SGY5" s="87"/>
      <c r="SGZ5" s="87"/>
      <c r="SHA5" s="87"/>
      <c r="SHB5" s="87"/>
      <c r="SHC5" s="87"/>
      <c r="SHD5" s="87"/>
      <c r="SHE5" s="87"/>
      <c r="SHF5" s="87"/>
      <c r="SHG5" s="87"/>
      <c r="SHH5" s="87"/>
      <c r="SHI5" s="87"/>
      <c r="SHJ5" s="87"/>
      <c r="SHK5" s="87"/>
      <c r="SHL5" s="87"/>
      <c r="SHM5" s="87"/>
      <c r="SHN5" s="87"/>
      <c r="SHO5" s="87"/>
      <c r="SHP5" s="87"/>
      <c r="SHQ5" s="87"/>
      <c r="SHR5" s="87"/>
      <c r="SHS5" s="87"/>
      <c r="SHT5" s="87"/>
      <c r="SHU5" s="87"/>
      <c r="SHV5" s="87"/>
      <c r="SHW5" s="87"/>
      <c r="SHX5" s="87"/>
      <c r="SHY5" s="87"/>
      <c r="SHZ5" s="87"/>
      <c r="SIA5" s="87"/>
      <c r="SIB5" s="87"/>
      <c r="SIC5" s="87"/>
      <c r="SID5" s="87"/>
      <c r="SIE5" s="87"/>
      <c r="SIF5" s="87"/>
      <c r="SIG5" s="87"/>
      <c r="SIH5" s="87"/>
      <c r="SII5" s="87"/>
      <c r="SIJ5" s="87"/>
      <c r="SIK5" s="87"/>
      <c r="SIL5" s="87"/>
      <c r="SIM5" s="87"/>
      <c r="SIN5" s="87"/>
      <c r="SIO5" s="87"/>
      <c r="SIP5" s="87"/>
      <c r="SIQ5" s="87"/>
      <c r="SIR5" s="87"/>
      <c r="SIS5" s="87"/>
      <c r="SIT5" s="87"/>
      <c r="SIU5" s="87"/>
      <c r="SIV5" s="87"/>
      <c r="SIW5" s="87"/>
      <c r="SIX5" s="87"/>
      <c r="SIY5" s="87"/>
      <c r="SIZ5" s="87"/>
      <c r="SJA5" s="87"/>
      <c r="SJB5" s="87"/>
      <c r="SJC5" s="87"/>
      <c r="SJD5" s="87"/>
      <c r="SJE5" s="87"/>
      <c r="SJF5" s="87"/>
      <c r="SJG5" s="87"/>
      <c r="SJH5" s="87"/>
      <c r="SJI5" s="87"/>
      <c r="SJJ5" s="87"/>
      <c r="SJK5" s="87"/>
      <c r="SJL5" s="87"/>
      <c r="SJM5" s="87"/>
      <c r="SJN5" s="87"/>
      <c r="SJO5" s="87"/>
      <c r="SJP5" s="87"/>
      <c r="SJQ5" s="87"/>
      <c r="SJR5" s="87"/>
      <c r="SJS5" s="87"/>
      <c r="SJT5" s="87"/>
      <c r="SJU5" s="87"/>
      <c r="SJV5" s="87"/>
      <c r="SJW5" s="87"/>
      <c r="SJX5" s="87"/>
      <c r="SJY5" s="87"/>
      <c r="SJZ5" s="87"/>
      <c r="SKA5" s="87"/>
      <c r="SKB5" s="87"/>
      <c r="SKC5" s="87"/>
      <c r="SKD5" s="87"/>
      <c r="SKE5" s="87"/>
      <c r="SKF5" s="87"/>
      <c r="SKG5" s="87"/>
      <c r="SKH5" s="87"/>
      <c r="SKI5" s="87"/>
      <c r="SKJ5" s="87"/>
      <c r="SKK5" s="87"/>
      <c r="SKL5" s="87"/>
      <c r="SKM5" s="87"/>
      <c r="SKN5" s="87"/>
      <c r="SKO5" s="87"/>
      <c r="SKP5" s="87"/>
      <c r="SKQ5" s="87"/>
      <c r="SKR5" s="87"/>
      <c r="SKS5" s="87"/>
      <c r="SKT5" s="87"/>
      <c r="SKU5" s="87"/>
      <c r="SKV5" s="87"/>
      <c r="SKW5" s="87"/>
      <c r="SKX5" s="87"/>
      <c r="SKY5" s="87"/>
      <c r="SKZ5" s="87"/>
      <c r="SLA5" s="87"/>
      <c r="SLB5" s="87"/>
      <c r="SLC5" s="87"/>
      <c r="SLD5" s="87"/>
      <c r="SLE5" s="87"/>
      <c r="SLF5" s="87"/>
      <c r="SLG5" s="87"/>
      <c r="SLH5" s="87"/>
      <c r="SLI5" s="87"/>
      <c r="SLJ5" s="87"/>
      <c r="SLK5" s="87"/>
      <c r="SLL5" s="87"/>
      <c r="SLM5" s="87"/>
      <c r="SLN5" s="87"/>
      <c r="SLO5" s="87"/>
      <c r="SLP5" s="87"/>
      <c r="SLQ5" s="87"/>
      <c r="SLR5" s="87"/>
      <c r="SLS5" s="87"/>
      <c r="SLT5" s="87"/>
      <c r="SLU5" s="87"/>
      <c r="SLV5" s="87"/>
      <c r="SLW5" s="87"/>
      <c r="SLX5" s="87"/>
      <c r="SLY5" s="87"/>
      <c r="SLZ5" s="87"/>
      <c r="SMA5" s="87"/>
      <c r="SMB5" s="87"/>
      <c r="SMC5" s="87"/>
      <c r="SMD5" s="87"/>
      <c r="SME5" s="87"/>
      <c r="SMF5" s="87"/>
      <c r="SMG5" s="87"/>
      <c r="SMH5" s="87"/>
      <c r="SMI5" s="87"/>
      <c r="SMJ5" s="87"/>
      <c r="SMK5" s="87"/>
      <c r="SML5" s="87"/>
      <c r="SMM5" s="87"/>
      <c r="SMN5" s="87"/>
      <c r="SMO5" s="87"/>
      <c r="SMP5" s="87"/>
      <c r="SMQ5" s="87"/>
      <c r="SMR5" s="87"/>
      <c r="SMS5" s="87"/>
      <c r="SMT5" s="87"/>
      <c r="SMU5" s="87"/>
      <c r="SMV5" s="87"/>
      <c r="SMW5" s="87"/>
      <c r="SMX5" s="87"/>
      <c r="SMY5" s="87"/>
      <c r="SMZ5" s="87"/>
      <c r="SNA5" s="87"/>
      <c r="SNB5" s="87"/>
      <c r="SNC5" s="87"/>
      <c r="SND5" s="87"/>
      <c r="SNE5" s="87"/>
      <c r="SNF5" s="87"/>
      <c r="SNG5" s="87"/>
      <c r="SNH5" s="87"/>
      <c r="SNI5" s="87"/>
      <c r="SNJ5" s="87"/>
      <c r="SNK5" s="87"/>
      <c r="SNL5" s="87"/>
      <c r="SNM5" s="87"/>
      <c r="SNN5" s="87"/>
      <c r="SNO5" s="87"/>
      <c r="SNP5" s="87"/>
      <c r="SNQ5" s="87"/>
      <c r="SNR5" s="87"/>
      <c r="SNS5" s="87"/>
      <c r="SNT5" s="87"/>
      <c r="SNU5" s="87"/>
      <c r="SNV5" s="87"/>
      <c r="SNW5" s="87"/>
      <c r="SNX5" s="87"/>
      <c r="SNY5" s="87"/>
      <c r="SNZ5" s="87"/>
      <c r="SOA5" s="87"/>
      <c r="SOB5" s="87"/>
      <c r="SOC5" s="87"/>
      <c r="SOD5" s="87"/>
      <c r="SOE5" s="87"/>
      <c r="SOF5" s="87"/>
      <c r="SOG5" s="87"/>
      <c r="SOH5" s="87"/>
      <c r="SOI5" s="87"/>
      <c r="SOJ5" s="87"/>
      <c r="SOK5" s="87"/>
      <c r="SOL5" s="87"/>
      <c r="SOM5" s="87"/>
      <c r="SON5" s="87"/>
      <c r="SOO5" s="87"/>
      <c r="SOP5" s="87"/>
      <c r="SOQ5" s="87"/>
      <c r="SOR5" s="87"/>
      <c r="SOS5" s="87"/>
      <c r="SOT5" s="87"/>
      <c r="SOU5" s="87"/>
      <c r="SOV5" s="87"/>
      <c r="SOW5" s="87"/>
      <c r="SOX5" s="87"/>
      <c r="SOY5" s="87"/>
      <c r="SOZ5" s="87"/>
      <c r="SPA5" s="87"/>
      <c r="SPB5" s="87"/>
      <c r="SPC5" s="87"/>
      <c r="SPD5" s="87"/>
      <c r="SPE5" s="87"/>
      <c r="SPF5" s="87"/>
      <c r="SPG5" s="87"/>
      <c r="SPH5" s="87"/>
      <c r="SPI5" s="87"/>
      <c r="SPJ5" s="87"/>
      <c r="SPK5" s="87"/>
      <c r="SPL5" s="87"/>
      <c r="SPM5" s="87"/>
      <c r="SPN5" s="87"/>
      <c r="SPO5" s="87"/>
      <c r="SPP5" s="87"/>
      <c r="SPQ5" s="87"/>
      <c r="SPR5" s="87"/>
      <c r="SPS5" s="87"/>
      <c r="SPT5" s="87"/>
      <c r="SPU5" s="87"/>
      <c r="SPV5" s="87"/>
      <c r="SPW5" s="87"/>
      <c r="SPX5" s="87"/>
      <c r="SPY5" s="87"/>
      <c r="SPZ5" s="87"/>
      <c r="SQA5" s="87"/>
      <c r="SQB5" s="87"/>
      <c r="SQC5" s="87"/>
      <c r="SQD5" s="87"/>
      <c r="SQE5" s="87"/>
      <c r="SQF5" s="87"/>
      <c r="SQG5" s="87"/>
      <c r="SQH5" s="87"/>
      <c r="SQI5" s="87"/>
      <c r="SQJ5" s="87"/>
      <c r="SQK5" s="87"/>
      <c r="SQL5" s="87"/>
      <c r="SQM5" s="87"/>
      <c r="SQN5" s="87"/>
      <c r="SQO5" s="87"/>
      <c r="SQP5" s="87"/>
      <c r="SQQ5" s="87"/>
      <c r="SQR5" s="87"/>
      <c r="SQS5" s="87"/>
      <c r="SQT5" s="87"/>
      <c r="SQU5" s="87"/>
      <c r="SQV5" s="87"/>
      <c r="SQW5" s="87"/>
      <c r="SQX5" s="87"/>
      <c r="SQY5" s="87"/>
      <c r="SQZ5" s="87"/>
      <c r="SRA5" s="87"/>
      <c r="SRB5" s="87"/>
      <c r="SRC5" s="87"/>
      <c r="SRD5" s="87"/>
      <c r="SRE5" s="87"/>
      <c r="SRF5" s="87"/>
      <c r="SRG5" s="87"/>
      <c r="SRH5" s="87"/>
      <c r="SRI5" s="87"/>
      <c r="SRJ5" s="87"/>
      <c r="SRK5" s="87"/>
      <c r="SRL5" s="87"/>
      <c r="SRM5" s="87"/>
      <c r="SRN5" s="87"/>
      <c r="SRO5" s="87"/>
      <c r="SRP5" s="87"/>
      <c r="SRQ5" s="87"/>
      <c r="SRR5" s="87"/>
      <c r="SRS5" s="87"/>
      <c r="SRT5" s="87"/>
      <c r="SRU5" s="87"/>
      <c r="SRV5" s="87"/>
      <c r="SRW5" s="87"/>
      <c r="SRX5" s="87"/>
      <c r="SRY5" s="87"/>
      <c r="SRZ5" s="87"/>
      <c r="SSA5" s="87"/>
      <c r="SSB5" s="87"/>
      <c r="SSC5" s="87"/>
      <c r="SSD5" s="87"/>
      <c r="SSE5" s="87"/>
      <c r="SSF5" s="87"/>
      <c r="SSG5" s="87"/>
      <c r="SSH5" s="87"/>
      <c r="SSI5" s="87"/>
      <c r="SSJ5" s="87"/>
      <c r="SSK5" s="87"/>
      <c r="SSL5" s="87"/>
      <c r="SSM5" s="87"/>
      <c r="SSN5" s="87"/>
      <c r="SSO5" s="87"/>
      <c r="SSP5" s="87"/>
      <c r="SSQ5" s="87"/>
      <c r="SSR5" s="87"/>
      <c r="SSS5" s="87"/>
      <c r="SST5" s="87"/>
      <c r="SSU5" s="87"/>
      <c r="SSV5" s="87"/>
      <c r="SSW5" s="87"/>
      <c r="SSX5" s="87"/>
      <c r="SSY5" s="87"/>
      <c r="SSZ5" s="87"/>
      <c r="STA5" s="87"/>
      <c r="STB5" s="87"/>
      <c r="STC5" s="87"/>
      <c r="STD5" s="87"/>
      <c r="STE5" s="87"/>
      <c r="STF5" s="87"/>
      <c r="STG5" s="87"/>
      <c r="STH5" s="87"/>
      <c r="STI5" s="87"/>
      <c r="STJ5" s="87"/>
      <c r="STK5" s="87"/>
      <c r="STL5" s="87"/>
      <c r="STM5" s="87"/>
      <c r="STN5" s="87"/>
      <c r="STO5" s="87"/>
      <c r="STP5" s="87"/>
      <c r="STQ5" s="87"/>
      <c r="STR5" s="87"/>
      <c r="STS5" s="87"/>
      <c r="STT5" s="87"/>
      <c r="STU5" s="87"/>
      <c r="STV5" s="87"/>
      <c r="STW5" s="87"/>
      <c r="STX5" s="87"/>
      <c r="STY5" s="87"/>
      <c r="STZ5" s="87"/>
      <c r="SUA5" s="87"/>
      <c r="SUB5" s="87"/>
      <c r="SUC5" s="87"/>
      <c r="SUD5" s="87"/>
      <c r="SUE5" s="87"/>
      <c r="SUF5" s="87"/>
      <c r="SUG5" s="87"/>
      <c r="SUH5" s="87"/>
      <c r="SUI5" s="87"/>
      <c r="SUJ5" s="87"/>
      <c r="SUK5" s="87"/>
      <c r="SUL5" s="87"/>
      <c r="SUM5" s="87"/>
      <c r="SUN5" s="87"/>
      <c r="SUO5" s="87"/>
      <c r="SUP5" s="87"/>
      <c r="SUQ5" s="87"/>
      <c r="SUR5" s="87"/>
      <c r="SUS5" s="87"/>
      <c r="SUT5" s="87"/>
      <c r="SUU5" s="87"/>
      <c r="SUV5" s="87"/>
      <c r="SUW5" s="87"/>
      <c r="SUX5" s="87"/>
      <c r="SUY5" s="87"/>
      <c r="SUZ5" s="87"/>
      <c r="SVA5" s="87"/>
      <c r="SVB5" s="87"/>
      <c r="SVC5" s="87"/>
      <c r="SVD5" s="87"/>
      <c r="SVE5" s="87"/>
      <c r="SVF5" s="87"/>
      <c r="SVG5" s="87"/>
      <c r="SVH5" s="87"/>
      <c r="SVI5" s="87"/>
      <c r="SVJ5" s="87"/>
      <c r="SVK5" s="87"/>
      <c r="SVL5" s="87"/>
      <c r="SVM5" s="87"/>
      <c r="SVN5" s="87"/>
      <c r="SVO5" s="87"/>
      <c r="SVP5" s="87"/>
      <c r="SVQ5" s="87"/>
      <c r="SVR5" s="87"/>
      <c r="SVS5" s="87"/>
      <c r="SVT5" s="87"/>
      <c r="SVU5" s="87"/>
      <c r="SVV5" s="87"/>
      <c r="SVW5" s="87"/>
      <c r="SVX5" s="87"/>
      <c r="SVY5" s="87"/>
      <c r="SVZ5" s="87"/>
      <c r="SWA5" s="87"/>
      <c r="SWB5" s="87"/>
      <c r="SWC5" s="87"/>
      <c r="SWD5" s="87"/>
      <c r="SWE5" s="87"/>
      <c r="SWF5" s="87"/>
      <c r="SWG5" s="87"/>
      <c r="SWH5" s="87"/>
      <c r="SWI5" s="87"/>
      <c r="SWJ5" s="87"/>
      <c r="SWK5" s="87"/>
      <c r="SWL5" s="87"/>
      <c r="SWM5" s="87"/>
      <c r="SWN5" s="87"/>
      <c r="SWO5" s="87"/>
      <c r="SWP5" s="87"/>
      <c r="SWQ5" s="87"/>
      <c r="SWR5" s="87"/>
      <c r="SWS5" s="87"/>
      <c r="SWT5" s="87"/>
      <c r="SWU5" s="87"/>
      <c r="SWV5" s="87"/>
      <c r="SWW5" s="87"/>
      <c r="SWX5" s="87"/>
      <c r="SWY5" s="87"/>
      <c r="SWZ5" s="87"/>
      <c r="SXA5" s="87"/>
      <c r="SXB5" s="87"/>
      <c r="SXC5" s="87"/>
      <c r="SXD5" s="87"/>
      <c r="SXE5" s="87"/>
      <c r="SXF5" s="87"/>
      <c r="SXG5" s="87"/>
      <c r="SXH5" s="87"/>
      <c r="SXI5" s="87"/>
      <c r="SXJ5" s="87"/>
      <c r="SXK5" s="87"/>
      <c r="SXL5" s="87"/>
      <c r="SXM5" s="87"/>
      <c r="SXN5" s="87"/>
      <c r="SXO5" s="87"/>
      <c r="SXP5" s="87"/>
      <c r="SXQ5" s="87"/>
      <c r="SXR5" s="87"/>
      <c r="SXS5" s="87"/>
      <c r="SXT5" s="87"/>
      <c r="SXU5" s="87"/>
      <c r="SXV5" s="87"/>
      <c r="SXW5" s="87"/>
      <c r="SXX5" s="87"/>
      <c r="SXY5" s="87"/>
      <c r="SXZ5" s="87"/>
      <c r="SYA5" s="87"/>
      <c r="SYB5" s="87"/>
      <c r="SYC5" s="87"/>
      <c r="SYD5" s="87"/>
      <c r="SYE5" s="87"/>
      <c r="SYF5" s="87"/>
      <c r="SYG5" s="87"/>
      <c r="SYH5" s="87"/>
      <c r="SYI5" s="87"/>
      <c r="SYJ5" s="87"/>
      <c r="SYK5" s="87"/>
      <c r="SYL5" s="87"/>
      <c r="SYM5" s="87"/>
      <c r="SYN5" s="87"/>
      <c r="SYO5" s="87"/>
      <c r="SYP5" s="87"/>
      <c r="SYQ5" s="87"/>
      <c r="SYR5" s="87"/>
      <c r="SYS5" s="87"/>
      <c r="SYT5" s="87"/>
      <c r="SYU5" s="87"/>
      <c r="SYV5" s="87"/>
      <c r="SYW5" s="87"/>
      <c r="SYX5" s="87"/>
      <c r="SYY5" s="87"/>
      <c r="SYZ5" s="87"/>
      <c r="SZA5" s="87"/>
      <c r="SZB5" s="87"/>
      <c r="SZC5" s="87"/>
      <c r="SZD5" s="87"/>
      <c r="SZE5" s="87"/>
      <c r="SZF5" s="87"/>
      <c r="SZG5" s="87"/>
      <c r="SZH5" s="87"/>
      <c r="SZI5" s="87"/>
      <c r="SZJ5" s="87"/>
      <c r="SZK5" s="87"/>
      <c r="SZL5" s="87"/>
      <c r="SZM5" s="87"/>
      <c r="SZN5" s="87"/>
      <c r="SZO5" s="87"/>
      <c r="SZP5" s="87"/>
      <c r="SZQ5" s="87"/>
      <c r="SZR5" s="87"/>
      <c r="SZS5" s="87"/>
      <c r="SZT5" s="87"/>
      <c r="SZU5" s="87"/>
      <c r="SZV5" s="87"/>
      <c r="SZW5" s="87"/>
      <c r="SZX5" s="87"/>
      <c r="SZY5" s="87"/>
      <c r="SZZ5" s="87"/>
      <c r="TAA5" s="87"/>
      <c r="TAB5" s="87"/>
      <c r="TAC5" s="87"/>
      <c r="TAD5" s="87"/>
      <c r="TAE5" s="87"/>
      <c r="TAF5" s="87"/>
      <c r="TAG5" s="87"/>
      <c r="TAH5" s="87"/>
      <c r="TAI5" s="87"/>
      <c r="TAJ5" s="87"/>
      <c r="TAK5" s="87"/>
      <c r="TAL5" s="87"/>
      <c r="TAM5" s="87"/>
      <c r="TAN5" s="87"/>
      <c r="TAO5" s="87"/>
      <c r="TAP5" s="87"/>
      <c r="TAQ5" s="87"/>
      <c r="TAR5" s="87"/>
      <c r="TAS5" s="87"/>
      <c r="TAT5" s="87"/>
      <c r="TAU5" s="87"/>
      <c r="TAV5" s="87"/>
      <c r="TAW5" s="87"/>
      <c r="TAX5" s="87"/>
      <c r="TAY5" s="87"/>
      <c r="TAZ5" s="87"/>
      <c r="TBA5" s="87"/>
      <c r="TBB5" s="87"/>
      <c r="TBC5" s="87"/>
      <c r="TBD5" s="87"/>
      <c r="TBE5" s="87"/>
      <c r="TBF5" s="87"/>
      <c r="TBG5" s="87"/>
      <c r="TBH5" s="87"/>
      <c r="TBI5" s="87"/>
      <c r="TBJ5" s="87"/>
      <c r="TBK5" s="87"/>
      <c r="TBL5" s="87"/>
      <c r="TBM5" s="87"/>
      <c r="TBN5" s="87"/>
      <c r="TBO5" s="87"/>
      <c r="TBP5" s="87"/>
      <c r="TBQ5" s="87"/>
      <c r="TBR5" s="87"/>
      <c r="TBS5" s="87"/>
      <c r="TBT5" s="87"/>
      <c r="TBU5" s="87"/>
      <c r="TBV5" s="87"/>
      <c r="TBW5" s="87"/>
      <c r="TBX5" s="87"/>
      <c r="TBY5" s="87"/>
      <c r="TBZ5" s="87"/>
      <c r="TCA5" s="87"/>
      <c r="TCB5" s="87"/>
      <c r="TCC5" s="87"/>
      <c r="TCD5" s="87"/>
      <c r="TCE5" s="87"/>
      <c r="TCF5" s="87"/>
      <c r="TCG5" s="87"/>
      <c r="TCH5" s="87"/>
      <c r="TCI5" s="87"/>
      <c r="TCJ5" s="87"/>
      <c r="TCK5" s="87"/>
      <c r="TCL5" s="87"/>
      <c r="TCM5" s="87"/>
      <c r="TCN5" s="87"/>
      <c r="TCO5" s="87"/>
      <c r="TCP5" s="87"/>
      <c r="TCQ5" s="87"/>
      <c r="TCR5" s="87"/>
      <c r="TCS5" s="87"/>
      <c r="TCT5" s="87"/>
      <c r="TCU5" s="87"/>
      <c r="TCV5" s="87"/>
      <c r="TCW5" s="87"/>
      <c r="TCX5" s="87"/>
      <c r="TCY5" s="87"/>
      <c r="TCZ5" s="87"/>
      <c r="TDA5" s="87"/>
      <c r="TDB5" s="87"/>
      <c r="TDC5" s="87"/>
      <c r="TDD5" s="87"/>
      <c r="TDE5" s="87"/>
      <c r="TDF5" s="87"/>
      <c r="TDG5" s="87"/>
      <c r="TDH5" s="87"/>
      <c r="TDI5" s="87"/>
      <c r="TDJ5" s="87"/>
      <c r="TDK5" s="87"/>
      <c r="TDL5" s="87"/>
      <c r="TDM5" s="87"/>
      <c r="TDN5" s="87"/>
      <c r="TDO5" s="87"/>
      <c r="TDP5" s="87"/>
      <c r="TDQ5" s="87"/>
      <c r="TDR5" s="87"/>
      <c r="TDS5" s="87"/>
      <c r="TDT5" s="87"/>
      <c r="TDU5" s="87"/>
      <c r="TDV5" s="87"/>
      <c r="TDW5" s="87"/>
      <c r="TDX5" s="87"/>
      <c r="TDY5" s="87"/>
      <c r="TDZ5" s="87"/>
      <c r="TEA5" s="87"/>
      <c r="TEB5" s="87"/>
      <c r="TEC5" s="87"/>
      <c r="TED5" s="87"/>
      <c r="TEE5" s="87"/>
      <c r="TEF5" s="87"/>
      <c r="TEG5" s="87"/>
      <c r="TEH5" s="87"/>
      <c r="TEI5" s="87"/>
      <c r="TEJ5" s="87"/>
      <c r="TEK5" s="87"/>
      <c r="TEL5" s="87"/>
      <c r="TEM5" s="87"/>
      <c r="TEN5" s="87"/>
      <c r="TEO5" s="87"/>
      <c r="TEP5" s="87"/>
      <c r="TEQ5" s="87"/>
      <c r="TER5" s="87"/>
      <c r="TES5" s="87"/>
      <c r="TET5" s="87"/>
      <c r="TEU5" s="87"/>
      <c r="TEV5" s="87"/>
      <c r="TEW5" s="87"/>
      <c r="TEX5" s="87"/>
      <c r="TEY5" s="87"/>
      <c r="TEZ5" s="87"/>
      <c r="TFA5" s="87"/>
      <c r="TFB5" s="87"/>
      <c r="TFC5" s="87"/>
      <c r="TFD5" s="87"/>
      <c r="TFE5" s="87"/>
      <c r="TFF5" s="87"/>
      <c r="TFG5" s="87"/>
      <c r="TFH5" s="87"/>
      <c r="TFI5" s="87"/>
      <c r="TFJ5" s="87"/>
      <c r="TFK5" s="87"/>
      <c r="TFL5" s="87"/>
      <c r="TFM5" s="87"/>
      <c r="TFN5" s="87"/>
      <c r="TFO5" s="87"/>
      <c r="TFP5" s="87"/>
      <c r="TFQ5" s="87"/>
      <c r="TFR5" s="87"/>
      <c r="TFS5" s="87"/>
      <c r="TFT5" s="87"/>
      <c r="TFU5" s="87"/>
      <c r="TFV5" s="87"/>
      <c r="TFW5" s="87"/>
      <c r="TFX5" s="87"/>
      <c r="TFY5" s="87"/>
      <c r="TFZ5" s="87"/>
      <c r="TGA5" s="87"/>
      <c r="TGB5" s="87"/>
      <c r="TGC5" s="87"/>
      <c r="TGD5" s="87"/>
      <c r="TGE5" s="87"/>
      <c r="TGF5" s="87"/>
      <c r="TGG5" s="87"/>
      <c r="TGH5" s="87"/>
      <c r="TGI5" s="87"/>
      <c r="TGJ5" s="87"/>
      <c r="TGK5" s="87"/>
      <c r="TGL5" s="87"/>
      <c r="TGM5" s="87"/>
      <c r="TGN5" s="87"/>
      <c r="TGO5" s="87"/>
      <c r="TGP5" s="87"/>
      <c r="TGQ5" s="87"/>
      <c r="TGR5" s="87"/>
      <c r="TGS5" s="87"/>
      <c r="TGT5" s="87"/>
      <c r="TGU5" s="87"/>
      <c r="TGV5" s="87"/>
      <c r="TGW5" s="87"/>
      <c r="TGX5" s="87"/>
      <c r="TGY5" s="87"/>
      <c r="TGZ5" s="87"/>
      <c r="THA5" s="87"/>
      <c r="THB5" s="87"/>
      <c r="THC5" s="87"/>
      <c r="THD5" s="87"/>
      <c r="THE5" s="87"/>
      <c r="THF5" s="87"/>
      <c r="THG5" s="87"/>
      <c r="THH5" s="87"/>
      <c r="THI5" s="87"/>
      <c r="THJ5" s="87"/>
      <c r="THK5" s="87"/>
      <c r="THL5" s="87"/>
      <c r="THM5" s="87"/>
      <c r="THN5" s="87"/>
      <c r="THO5" s="87"/>
      <c r="THP5" s="87"/>
      <c r="THQ5" s="87"/>
      <c r="THR5" s="87"/>
      <c r="THS5" s="87"/>
      <c r="THT5" s="87"/>
      <c r="THU5" s="87"/>
      <c r="THV5" s="87"/>
      <c r="THW5" s="87"/>
      <c r="THX5" s="87"/>
      <c r="THY5" s="87"/>
      <c r="THZ5" s="87"/>
      <c r="TIA5" s="87"/>
      <c r="TIB5" s="87"/>
      <c r="TIC5" s="87"/>
      <c r="TID5" s="87"/>
      <c r="TIE5" s="87"/>
      <c r="TIF5" s="87"/>
      <c r="TIG5" s="87"/>
      <c r="TIH5" s="87"/>
      <c r="TII5" s="87"/>
      <c r="TIJ5" s="87"/>
      <c r="TIK5" s="87"/>
      <c r="TIL5" s="87"/>
      <c r="TIM5" s="87"/>
      <c r="TIN5" s="87"/>
      <c r="TIO5" s="87"/>
      <c r="TIP5" s="87"/>
      <c r="TIQ5" s="87"/>
      <c r="TIR5" s="87"/>
      <c r="TIS5" s="87"/>
      <c r="TIT5" s="87"/>
      <c r="TIU5" s="87"/>
      <c r="TIV5" s="87"/>
      <c r="TIW5" s="87"/>
      <c r="TIX5" s="87"/>
      <c r="TIY5" s="87"/>
      <c r="TIZ5" s="87"/>
      <c r="TJA5" s="87"/>
      <c r="TJB5" s="87"/>
      <c r="TJC5" s="87"/>
      <c r="TJD5" s="87"/>
      <c r="TJE5" s="87"/>
      <c r="TJF5" s="87"/>
      <c r="TJG5" s="87"/>
      <c r="TJH5" s="87"/>
      <c r="TJI5" s="87"/>
      <c r="TJJ5" s="87"/>
      <c r="TJK5" s="87"/>
      <c r="TJL5" s="87"/>
      <c r="TJM5" s="87"/>
      <c r="TJN5" s="87"/>
      <c r="TJO5" s="87"/>
      <c r="TJP5" s="87"/>
      <c r="TJQ5" s="87"/>
      <c r="TJR5" s="87"/>
      <c r="TJS5" s="87"/>
      <c r="TJT5" s="87"/>
      <c r="TJU5" s="87"/>
      <c r="TJV5" s="87"/>
      <c r="TJW5" s="87"/>
      <c r="TJX5" s="87"/>
      <c r="TJY5" s="87"/>
      <c r="TJZ5" s="87"/>
      <c r="TKA5" s="87"/>
      <c r="TKB5" s="87"/>
      <c r="TKC5" s="87"/>
      <c r="TKD5" s="87"/>
      <c r="TKE5" s="87"/>
      <c r="TKF5" s="87"/>
      <c r="TKG5" s="87"/>
      <c r="TKH5" s="87"/>
      <c r="TKI5" s="87"/>
      <c r="TKJ5" s="87"/>
      <c r="TKK5" s="87"/>
      <c r="TKL5" s="87"/>
      <c r="TKM5" s="87"/>
      <c r="TKN5" s="87"/>
      <c r="TKO5" s="87"/>
      <c r="TKP5" s="87"/>
      <c r="TKQ5" s="87"/>
      <c r="TKR5" s="87"/>
      <c r="TKS5" s="87"/>
      <c r="TKT5" s="87"/>
      <c r="TKU5" s="87"/>
      <c r="TKV5" s="87"/>
      <c r="TKW5" s="87"/>
      <c r="TKX5" s="87"/>
      <c r="TKY5" s="87"/>
      <c r="TKZ5" s="87"/>
      <c r="TLA5" s="87"/>
      <c r="TLB5" s="87"/>
      <c r="TLC5" s="87"/>
      <c r="TLD5" s="87"/>
      <c r="TLE5" s="87"/>
      <c r="TLF5" s="87"/>
      <c r="TLG5" s="87"/>
      <c r="TLH5" s="87"/>
      <c r="TLI5" s="87"/>
      <c r="TLJ5" s="87"/>
      <c r="TLK5" s="87"/>
      <c r="TLL5" s="87"/>
      <c r="TLM5" s="87"/>
      <c r="TLN5" s="87"/>
      <c r="TLO5" s="87"/>
      <c r="TLP5" s="87"/>
      <c r="TLQ5" s="87"/>
      <c r="TLR5" s="87"/>
      <c r="TLS5" s="87"/>
      <c r="TLT5" s="87"/>
      <c r="TLU5" s="87"/>
      <c r="TLV5" s="87"/>
      <c r="TLW5" s="87"/>
      <c r="TLX5" s="87"/>
      <c r="TLY5" s="87"/>
      <c r="TLZ5" s="87"/>
      <c r="TMA5" s="87"/>
      <c r="TMB5" s="87"/>
      <c r="TMC5" s="87"/>
      <c r="TMD5" s="87"/>
      <c r="TME5" s="87"/>
      <c r="TMF5" s="87"/>
      <c r="TMG5" s="87"/>
      <c r="TMH5" s="87"/>
      <c r="TMI5" s="87"/>
      <c r="TMJ5" s="87"/>
      <c r="TMK5" s="87"/>
      <c r="TML5" s="87"/>
      <c r="TMM5" s="87"/>
      <c r="TMN5" s="87"/>
      <c r="TMO5" s="87"/>
      <c r="TMP5" s="87"/>
      <c r="TMQ5" s="87"/>
      <c r="TMR5" s="87"/>
      <c r="TMS5" s="87"/>
      <c r="TMT5" s="87"/>
      <c r="TMU5" s="87"/>
      <c r="TMV5" s="87"/>
      <c r="TMW5" s="87"/>
      <c r="TMX5" s="87"/>
      <c r="TMY5" s="87"/>
      <c r="TMZ5" s="87"/>
      <c r="TNA5" s="87"/>
      <c r="TNB5" s="87"/>
      <c r="TNC5" s="87"/>
      <c r="TND5" s="87"/>
      <c r="TNE5" s="87"/>
      <c r="TNF5" s="87"/>
      <c r="TNG5" s="87"/>
      <c r="TNH5" s="87"/>
      <c r="TNI5" s="87"/>
      <c r="TNJ5" s="87"/>
      <c r="TNK5" s="87"/>
      <c r="TNL5" s="87"/>
      <c r="TNM5" s="87"/>
      <c r="TNN5" s="87"/>
      <c r="TNO5" s="87"/>
      <c r="TNP5" s="87"/>
      <c r="TNQ5" s="87"/>
      <c r="TNR5" s="87"/>
      <c r="TNS5" s="87"/>
      <c r="TNT5" s="87"/>
      <c r="TNU5" s="87"/>
      <c r="TNV5" s="87"/>
      <c r="TNW5" s="87"/>
      <c r="TNX5" s="87"/>
      <c r="TNY5" s="87"/>
      <c r="TNZ5" s="87"/>
      <c r="TOA5" s="87"/>
      <c r="TOB5" s="87"/>
      <c r="TOC5" s="87"/>
      <c r="TOD5" s="87"/>
      <c r="TOE5" s="87"/>
      <c r="TOF5" s="87"/>
      <c r="TOG5" s="87"/>
      <c r="TOH5" s="87"/>
      <c r="TOI5" s="87"/>
      <c r="TOJ5" s="87"/>
      <c r="TOK5" s="87"/>
      <c r="TOL5" s="87"/>
      <c r="TOM5" s="87"/>
      <c r="TON5" s="87"/>
      <c r="TOO5" s="87"/>
      <c r="TOP5" s="87"/>
      <c r="TOQ5" s="87"/>
      <c r="TOR5" s="87"/>
      <c r="TOS5" s="87"/>
      <c r="TOT5" s="87"/>
      <c r="TOU5" s="87"/>
      <c r="TOV5" s="87"/>
      <c r="TOW5" s="87"/>
      <c r="TOX5" s="87"/>
      <c r="TOY5" s="87"/>
      <c r="TOZ5" s="87"/>
      <c r="TPA5" s="87"/>
      <c r="TPB5" s="87"/>
      <c r="TPC5" s="87"/>
      <c r="TPD5" s="87"/>
      <c r="TPE5" s="87"/>
      <c r="TPF5" s="87"/>
      <c r="TPG5" s="87"/>
      <c r="TPH5" s="87"/>
      <c r="TPI5" s="87"/>
      <c r="TPJ5" s="87"/>
      <c r="TPK5" s="87"/>
      <c r="TPL5" s="87"/>
      <c r="TPM5" s="87"/>
      <c r="TPN5" s="87"/>
      <c r="TPO5" s="87"/>
      <c r="TPP5" s="87"/>
      <c r="TPQ5" s="87"/>
      <c r="TPR5" s="87"/>
      <c r="TPS5" s="87"/>
      <c r="TPT5" s="87"/>
      <c r="TPU5" s="87"/>
      <c r="TPV5" s="87"/>
      <c r="TPW5" s="87"/>
      <c r="TPX5" s="87"/>
      <c r="TPY5" s="87"/>
      <c r="TPZ5" s="87"/>
      <c r="TQA5" s="87"/>
      <c r="TQB5" s="87"/>
      <c r="TQC5" s="87"/>
      <c r="TQD5" s="87"/>
      <c r="TQE5" s="87"/>
      <c r="TQF5" s="87"/>
      <c r="TQG5" s="87"/>
      <c r="TQH5" s="87"/>
      <c r="TQI5" s="87"/>
      <c r="TQJ5" s="87"/>
      <c r="TQK5" s="87"/>
      <c r="TQL5" s="87"/>
      <c r="TQM5" s="87"/>
      <c r="TQN5" s="87"/>
      <c r="TQO5" s="87"/>
      <c r="TQP5" s="87"/>
      <c r="TQQ5" s="87"/>
      <c r="TQR5" s="87"/>
      <c r="TQS5" s="87"/>
      <c r="TQT5" s="87"/>
      <c r="TQU5" s="87"/>
      <c r="TQV5" s="87"/>
      <c r="TQW5" s="87"/>
      <c r="TQX5" s="87"/>
      <c r="TQY5" s="87"/>
      <c r="TQZ5" s="87"/>
      <c r="TRA5" s="87"/>
      <c r="TRB5" s="87"/>
      <c r="TRC5" s="87"/>
      <c r="TRD5" s="87"/>
      <c r="TRE5" s="87"/>
      <c r="TRF5" s="87"/>
      <c r="TRG5" s="87"/>
      <c r="TRH5" s="87"/>
      <c r="TRI5" s="87"/>
      <c r="TRJ5" s="87"/>
      <c r="TRK5" s="87"/>
      <c r="TRL5" s="87"/>
      <c r="TRM5" s="87"/>
      <c r="TRN5" s="87"/>
      <c r="TRO5" s="87"/>
      <c r="TRP5" s="87"/>
      <c r="TRQ5" s="87"/>
      <c r="TRR5" s="87"/>
      <c r="TRS5" s="87"/>
      <c r="TRT5" s="87"/>
      <c r="TRU5" s="87"/>
      <c r="TRV5" s="87"/>
      <c r="TRW5" s="87"/>
      <c r="TRX5" s="87"/>
      <c r="TRY5" s="87"/>
      <c r="TRZ5" s="87"/>
      <c r="TSA5" s="87"/>
      <c r="TSB5" s="87"/>
      <c r="TSC5" s="87"/>
      <c r="TSD5" s="87"/>
      <c r="TSE5" s="87"/>
      <c r="TSF5" s="87"/>
      <c r="TSG5" s="87"/>
      <c r="TSH5" s="87"/>
      <c r="TSI5" s="87"/>
      <c r="TSJ5" s="87"/>
      <c r="TSK5" s="87"/>
      <c r="TSL5" s="87"/>
      <c r="TSM5" s="87"/>
      <c r="TSN5" s="87"/>
      <c r="TSO5" s="87"/>
      <c r="TSP5" s="87"/>
      <c r="TSQ5" s="87"/>
      <c r="TSR5" s="87"/>
      <c r="TSS5" s="87"/>
      <c r="TST5" s="87"/>
      <c r="TSU5" s="87"/>
      <c r="TSV5" s="87"/>
      <c r="TSW5" s="87"/>
      <c r="TSX5" s="87"/>
      <c r="TSY5" s="87"/>
      <c r="TSZ5" s="87"/>
      <c r="TTA5" s="87"/>
      <c r="TTB5" s="87"/>
      <c r="TTC5" s="87"/>
      <c r="TTD5" s="87"/>
      <c r="TTE5" s="87"/>
      <c r="TTF5" s="87"/>
      <c r="TTG5" s="87"/>
      <c r="TTH5" s="87"/>
      <c r="TTI5" s="87"/>
      <c r="TTJ5" s="87"/>
      <c r="TTK5" s="87"/>
      <c r="TTL5" s="87"/>
      <c r="TTM5" s="87"/>
      <c r="TTN5" s="87"/>
      <c r="TTO5" s="87"/>
      <c r="TTP5" s="87"/>
      <c r="TTQ5" s="87"/>
      <c r="TTR5" s="87"/>
      <c r="TTS5" s="87"/>
      <c r="TTT5" s="87"/>
      <c r="TTU5" s="87"/>
      <c r="TTV5" s="87"/>
      <c r="TTW5" s="87"/>
      <c r="TTX5" s="87"/>
      <c r="TTY5" s="87"/>
      <c r="TTZ5" s="87"/>
      <c r="TUA5" s="87"/>
      <c r="TUB5" s="87"/>
      <c r="TUC5" s="87"/>
      <c r="TUD5" s="87"/>
      <c r="TUE5" s="87"/>
      <c r="TUF5" s="87"/>
      <c r="TUG5" s="87"/>
      <c r="TUH5" s="87"/>
      <c r="TUI5" s="87"/>
      <c r="TUJ5" s="87"/>
      <c r="TUK5" s="87"/>
      <c r="TUL5" s="87"/>
      <c r="TUM5" s="87"/>
      <c r="TUN5" s="87"/>
      <c r="TUO5" s="87"/>
      <c r="TUP5" s="87"/>
      <c r="TUQ5" s="87"/>
      <c r="TUR5" s="87"/>
      <c r="TUS5" s="87"/>
      <c r="TUT5" s="87"/>
      <c r="TUU5" s="87"/>
      <c r="TUV5" s="87"/>
      <c r="TUW5" s="87"/>
      <c r="TUX5" s="87"/>
      <c r="TUY5" s="87"/>
      <c r="TUZ5" s="87"/>
      <c r="TVA5" s="87"/>
      <c r="TVB5" s="87"/>
      <c r="TVC5" s="87"/>
      <c r="TVD5" s="87"/>
      <c r="TVE5" s="87"/>
      <c r="TVF5" s="87"/>
      <c r="TVG5" s="87"/>
      <c r="TVH5" s="87"/>
      <c r="TVI5" s="87"/>
      <c r="TVJ5" s="87"/>
      <c r="TVK5" s="87"/>
      <c r="TVL5" s="87"/>
      <c r="TVM5" s="87"/>
      <c r="TVN5" s="87"/>
      <c r="TVO5" s="87"/>
      <c r="TVP5" s="87"/>
      <c r="TVQ5" s="87"/>
      <c r="TVR5" s="87"/>
      <c r="TVS5" s="87"/>
      <c r="TVT5" s="87"/>
      <c r="TVU5" s="87"/>
      <c r="TVV5" s="87"/>
      <c r="TVW5" s="87"/>
      <c r="TVX5" s="87"/>
      <c r="TVY5" s="87"/>
      <c r="TVZ5" s="87"/>
      <c r="TWA5" s="87"/>
      <c r="TWB5" s="87"/>
      <c r="TWC5" s="87"/>
      <c r="TWD5" s="87"/>
      <c r="TWE5" s="87"/>
      <c r="TWF5" s="87"/>
      <c r="TWG5" s="87"/>
      <c r="TWH5" s="87"/>
      <c r="TWI5" s="87"/>
      <c r="TWJ5" s="87"/>
      <c r="TWK5" s="87"/>
      <c r="TWL5" s="87"/>
      <c r="TWM5" s="87"/>
      <c r="TWN5" s="87"/>
      <c r="TWO5" s="87"/>
      <c r="TWP5" s="87"/>
      <c r="TWQ5" s="87"/>
      <c r="TWR5" s="87"/>
      <c r="TWS5" s="87"/>
      <c r="TWT5" s="87"/>
      <c r="TWU5" s="87"/>
      <c r="TWV5" s="87"/>
      <c r="TWW5" s="87"/>
      <c r="TWX5" s="87"/>
      <c r="TWY5" s="87"/>
      <c r="TWZ5" s="87"/>
      <c r="TXA5" s="87"/>
      <c r="TXB5" s="87"/>
      <c r="TXC5" s="87"/>
      <c r="TXD5" s="87"/>
      <c r="TXE5" s="87"/>
      <c r="TXF5" s="87"/>
      <c r="TXG5" s="87"/>
      <c r="TXH5" s="87"/>
      <c r="TXI5" s="87"/>
      <c r="TXJ5" s="87"/>
      <c r="TXK5" s="87"/>
      <c r="TXL5" s="87"/>
      <c r="TXM5" s="87"/>
      <c r="TXN5" s="87"/>
      <c r="TXO5" s="87"/>
      <c r="TXP5" s="87"/>
      <c r="TXQ5" s="87"/>
      <c r="TXR5" s="87"/>
      <c r="TXS5" s="87"/>
      <c r="TXT5" s="87"/>
      <c r="TXU5" s="87"/>
      <c r="TXV5" s="87"/>
      <c r="TXW5" s="87"/>
      <c r="TXX5" s="87"/>
      <c r="TXY5" s="87"/>
      <c r="TXZ5" s="87"/>
      <c r="TYA5" s="87"/>
      <c r="TYB5" s="87"/>
      <c r="TYC5" s="87"/>
      <c r="TYD5" s="87"/>
      <c r="TYE5" s="87"/>
      <c r="TYF5" s="87"/>
      <c r="TYG5" s="87"/>
      <c r="TYH5" s="87"/>
      <c r="TYI5" s="87"/>
      <c r="TYJ5" s="87"/>
      <c r="TYK5" s="87"/>
      <c r="TYL5" s="87"/>
      <c r="TYM5" s="87"/>
      <c r="TYN5" s="87"/>
      <c r="TYO5" s="87"/>
      <c r="TYP5" s="87"/>
      <c r="TYQ5" s="87"/>
      <c r="TYR5" s="87"/>
      <c r="TYS5" s="87"/>
      <c r="TYT5" s="87"/>
      <c r="TYU5" s="87"/>
      <c r="TYV5" s="87"/>
      <c r="TYW5" s="87"/>
      <c r="TYX5" s="87"/>
      <c r="TYY5" s="87"/>
      <c r="TYZ5" s="87"/>
      <c r="TZA5" s="87"/>
      <c r="TZB5" s="87"/>
      <c r="TZC5" s="87"/>
      <c r="TZD5" s="87"/>
      <c r="TZE5" s="87"/>
      <c r="TZF5" s="87"/>
      <c r="TZG5" s="87"/>
      <c r="TZH5" s="87"/>
      <c r="TZI5" s="87"/>
      <c r="TZJ5" s="87"/>
      <c r="TZK5" s="87"/>
      <c r="TZL5" s="87"/>
      <c r="TZM5" s="87"/>
      <c r="TZN5" s="87"/>
      <c r="TZO5" s="87"/>
      <c r="TZP5" s="87"/>
      <c r="TZQ5" s="87"/>
      <c r="TZR5" s="87"/>
      <c r="TZS5" s="87"/>
      <c r="TZT5" s="87"/>
      <c r="TZU5" s="87"/>
      <c r="TZV5" s="87"/>
      <c r="TZW5" s="87"/>
      <c r="TZX5" s="87"/>
      <c r="TZY5" s="87"/>
      <c r="TZZ5" s="87"/>
      <c r="UAA5" s="87"/>
      <c r="UAB5" s="87"/>
      <c r="UAC5" s="87"/>
      <c r="UAD5" s="87"/>
      <c r="UAE5" s="87"/>
      <c r="UAF5" s="87"/>
      <c r="UAG5" s="87"/>
      <c r="UAH5" s="87"/>
      <c r="UAI5" s="87"/>
      <c r="UAJ5" s="87"/>
      <c r="UAK5" s="87"/>
      <c r="UAL5" s="87"/>
      <c r="UAM5" s="87"/>
      <c r="UAN5" s="87"/>
      <c r="UAO5" s="87"/>
      <c r="UAP5" s="87"/>
      <c r="UAQ5" s="87"/>
      <c r="UAR5" s="87"/>
      <c r="UAS5" s="87"/>
      <c r="UAT5" s="87"/>
      <c r="UAU5" s="87"/>
      <c r="UAV5" s="87"/>
      <c r="UAW5" s="87"/>
      <c r="UAX5" s="87"/>
      <c r="UAY5" s="87"/>
      <c r="UAZ5" s="87"/>
      <c r="UBA5" s="87"/>
      <c r="UBB5" s="87"/>
      <c r="UBC5" s="87"/>
      <c r="UBD5" s="87"/>
      <c r="UBE5" s="87"/>
      <c r="UBF5" s="87"/>
      <c r="UBG5" s="87"/>
      <c r="UBH5" s="87"/>
      <c r="UBI5" s="87"/>
      <c r="UBJ5" s="87"/>
      <c r="UBK5" s="87"/>
      <c r="UBL5" s="87"/>
      <c r="UBM5" s="87"/>
      <c r="UBN5" s="87"/>
      <c r="UBO5" s="87"/>
      <c r="UBP5" s="87"/>
      <c r="UBQ5" s="87"/>
      <c r="UBR5" s="87"/>
      <c r="UBS5" s="87"/>
      <c r="UBT5" s="87"/>
      <c r="UBU5" s="87"/>
      <c r="UBV5" s="87"/>
      <c r="UBW5" s="87"/>
      <c r="UBX5" s="87"/>
      <c r="UBY5" s="87"/>
      <c r="UBZ5" s="87"/>
      <c r="UCA5" s="87"/>
      <c r="UCB5" s="87"/>
      <c r="UCC5" s="87"/>
      <c r="UCD5" s="87"/>
      <c r="UCE5" s="87"/>
      <c r="UCF5" s="87"/>
      <c r="UCG5" s="87"/>
      <c r="UCH5" s="87"/>
      <c r="UCI5" s="87"/>
      <c r="UCJ5" s="87"/>
      <c r="UCK5" s="87"/>
      <c r="UCL5" s="87"/>
      <c r="UCM5" s="87"/>
      <c r="UCN5" s="87"/>
      <c r="UCO5" s="87"/>
      <c r="UCP5" s="87"/>
      <c r="UCQ5" s="87"/>
      <c r="UCR5" s="87"/>
      <c r="UCS5" s="87"/>
      <c r="UCT5" s="87"/>
      <c r="UCU5" s="87"/>
      <c r="UCV5" s="87"/>
      <c r="UCW5" s="87"/>
      <c r="UCX5" s="87"/>
      <c r="UCY5" s="87"/>
      <c r="UCZ5" s="87"/>
      <c r="UDA5" s="87"/>
      <c r="UDB5" s="87"/>
      <c r="UDC5" s="87"/>
      <c r="UDD5" s="87"/>
      <c r="UDE5" s="87"/>
      <c r="UDF5" s="87"/>
      <c r="UDG5" s="87"/>
      <c r="UDH5" s="87"/>
      <c r="UDI5" s="87"/>
      <c r="UDJ5" s="87"/>
      <c r="UDK5" s="87"/>
      <c r="UDL5" s="87"/>
      <c r="UDM5" s="87"/>
      <c r="UDN5" s="87"/>
      <c r="UDO5" s="87"/>
      <c r="UDP5" s="87"/>
      <c r="UDQ5" s="87"/>
      <c r="UDR5" s="87"/>
      <c r="UDS5" s="87"/>
      <c r="UDT5" s="87"/>
      <c r="UDU5" s="87"/>
      <c r="UDV5" s="87"/>
      <c r="UDW5" s="87"/>
      <c r="UDX5" s="87"/>
      <c r="UDY5" s="87"/>
      <c r="UDZ5" s="87"/>
      <c r="UEA5" s="87"/>
      <c r="UEB5" s="87"/>
      <c r="UEC5" s="87"/>
      <c r="UED5" s="87"/>
      <c r="UEE5" s="87"/>
      <c r="UEF5" s="87"/>
      <c r="UEG5" s="87"/>
      <c r="UEH5" s="87"/>
      <c r="UEI5" s="87"/>
      <c r="UEJ5" s="87"/>
      <c r="UEK5" s="87"/>
      <c r="UEL5" s="87"/>
      <c r="UEM5" s="87"/>
      <c r="UEN5" s="87"/>
      <c r="UEO5" s="87"/>
      <c r="UEP5" s="87"/>
      <c r="UEQ5" s="87"/>
      <c r="UER5" s="87"/>
      <c r="UES5" s="87"/>
      <c r="UET5" s="87"/>
      <c r="UEU5" s="87"/>
      <c r="UEV5" s="87"/>
      <c r="UEW5" s="87"/>
      <c r="UEX5" s="87"/>
      <c r="UEY5" s="87"/>
      <c r="UEZ5" s="87"/>
      <c r="UFA5" s="87"/>
      <c r="UFB5" s="87"/>
      <c r="UFC5" s="87"/>
      <c r="UFD5" s="87"/>
      <c r="UFE5" s="87"/>
      <c r="UFF5" s="87"/>
      <c r="UFG5" s="87"/>
      <c r="UFH5" s="87"/>
      <c r="UFI5" s="87"/>
      <c r="UFJ5" s="87"/>
      <c r="UFK5" s="87"/>
      <c r="UFL5" s="87"/>
      <c r="UFM5" s="87"/>
      <c r="UFN5" s="87"/>
      <c r="UFO5" s="87"/>
      <c r="UFP5" s="87"/>
      <c r="UFQ5" s="87"/>
      <c r="UFR5" s="87"/>
      <c r="UFS5" s="87"/>
      <c r="UFT5" s="87"/>
      <c r="UFU5" s="87"/>
      <c r="UFV5" s="87"/>
      <c r="UFW5" s="87"/>
      <c r="UFX5" s="87"/>
      <c r="UFY5" s="87"/>
      <c r="UFZ5" s="87"/>
      <c r="UGA5" s="87"/>
      <c r="UGB5" s="87"/>
      <c r="UGC5" s="87"/>
      <c r="UGD5" s="87"/>
      <c r="UGE5" s="87"/>
      <c r="UGF5" s="87"/>
      <c r="UGG5" s="87"/>
      <c r="UGH5" s="87"/>
      <c r="UGI5" s="87"/>
      <c r="UGJ5" s="87"/>
      <c r="UGK5" s="87"/>
      <c r="UGL5" s="87"/>
      <c r="UGM5" s="87"/>
      <c r="UGN5" s="87"/>
      <c r="UGO5" s="87"/>
      <c r="UGP5" s="87"/>
      <c r="UGQ5" s="87"/>
      <c r="UGR5" s="87"/>
      <c r="UGS5" s="87"/>
      <c r="UGT5" s="87"/>
      <c r="UGU5" s="87"/>
      <c r="UGV5" s="87"/>
      <c r="UGW5" s="87"/>
      <c r="UGX5" s="87"/>
      <c r="UGY5" s="87"/>
      <c r="UGZ5" s="87"/>
      <c r="UHA5" s="87"/>
      <c r="UHB5" s="87"/>
      <c r="UHC5" s="87"/>
      <c r="UHD5" s="87"/>
      <c r="UHE5" s="87"/>
      <c r="UHF5" s="87"/>
      <c r="UHG5" s="87"/>
      <c r="UHH5" s="87"/>
      <c r="UHI5" s="87"/>
      <c r="UHJ5" s="87"/>
      <c r="UHK5" s="87"/>
      <c r="UHL5" s="87"/>
      <c r="UHM5" s="87"/>
      <c r="UHN5" s="87"/>
      <c r="UHO5" s="87"/>
      <c r="UHP5" s="87"/>
      <c r="UHQ5" s="87"/>
      <c r="UHR5" s="87"/>
      <c r="UHS5" s="87"/>
      <c r="UHT5" s="87"/>
      <c r="UHU5" s="87"/>
      <c r="UHV5" s="87"/>
      <c r="UHW5" s="87"/>
      <c r="UHX5" s="87"/>
      <c r="UHY5" s="87"/>
      <c r="UHZ5" s="87"/>
      <c r="UIA5" s="87"/>
      <c r="UIB5" s="87"/>
      <c r="UIC5" s="87"/>
      <c r="UID5" s="87"/>
      <c r="UIE5" s="87"/>
      <c r="UIF5" s="87"/>
      <c r="UIG5" s="87"/>
      <c r="UIH5" s="87"/>
      <c r="UII5" s="87"/>
      <c r="UIJ5" s="87"/>
      <c r="UIK5" s="87"/>
      <c r="UIL5" s="87"/>
      <c r="UIM5" s="87"/>
      <c r="UIN5" s="87"/>
      <c r="UIO5" s="87"/>
      <c r="UIP5" s="87"/>
      <c r="UIQ5" s="87"/>
      <c r="UIR5" s="87"/>
      <c r="UIS5" s="87"/>
      <c r="UIT5" s="87"/>
      <c r="UIU5" s="87"/>
      <c r="UIV5" s="87"/>
      <c r="UIW5" s="87"/>
      <c r="UIX5" s="87"/>
      <c r="UIY5" s="87"/>
      <c r="UIZ5" s="87"/>
      <c r="UJA5" s="87"/>
      <c r="UJB5" s="87"/>
      <c r="UJC5" s="87"/>
      <c r="UJD5" s="87"/>
      <c r="UJE5" s="87"/>
      <c r="UJF5" s="87"/>
      <c r="UJG5" s="87"/>
      <c r="UJH5" s="87"/>
      <c r="UJI5" s="87"/>
      <c r="UJJ5" s="87"/>
      <c r="UJK5" s="87"/>
      <c r="UJL5" s="87"/>
      <c r="UJM5" s="87"/>
      <c r="UJN5" s="87"/>
      <c r="UJO5" s="87"/>
      <c r="UJP5" s="87"/>
      <c r="UJQ5" s="87"/>
      <c r="UJR5" s="87"/>
      <c r="UJS5" s="87"/>
      <c r="UJT5" s="87"/>
      <c r="UJU5" s="87"/>
      <c r="UJV5" s="87"/>
      <c r="UJW5" s="87"/>
      <c r="UJX5" s="87"/>
      <c r="UJY5" s="87"/>
      <c r="UJZ5" s="87"/>
      <c r="UKA5" s="87"/>
      <c r="UKB5" s="87"/>
      <c r="UKC5" s="87"/>
      <c r="UKD5" s="87"/>
      <c r="UKE5" s="87"/>
      <c r="UKF5" s="87"/>
      <c r="UKG5" s="87"/>
      <c r="UKH5" s="87"/>
      <c r="UKI5" s="87"/>
      <c r="UKJ5" s="87"/>
      <c r="UKK5" s="87"/>
      <c r="UKL5" s="87"/>
      <c r="UKM5" s="87"/>
      <c r="UKN5" s="87"/>
      <c r="UKO5" s="87"/>
      <c r="UKP5" s="87"/>
      <c r="UKQ5" s="87"/>
      <c r="UKR5" s="87"/>
      <c r="UKS5" s="87"/>
      <c r="UKT5" s="87"/>
      <c r="UKU5" s="87"/>
      <c r="UKV5" s="87"/>
      <c r="UKW5" s="87"/>
      <c r="UKX5" s="87"/>
      <c r="UKY5" s="87"/>
      <c r="UKZ5" s="87"/>
      <c r="ULA5" s="87"/>
      <c r="ULB5" s="87"/>
      <c r="ULC5" s="87"/>
      <c r="ULD5" s="87"/>
      <c r="ULE5" s="87"/>
      <c r="ULF5" s="87"/>
      <c r="ULG5" s="87"/>
      <c r="ULH5" s="87"/>
      <c r="ULI5" s="87"/>
      <c r="ULJ5" s="87"/>
      <c r="ULK5" s="87"/>
      <c r="ULL5" s="87"/>
      <c r="ULM5" s="87"/>
      <c r="ULN5" s="87"/>
      <c r="ULO5" s="87"/>
      <c r="ULP5" s="87"/>
      <c r="ULQ5" s="87"/>
      <c r="ULR5" s="87"/>
      <c r="ULS5" s="87"/>
      <c r="ULT5" s="87"/>
      <c r="ULU5" s="87"/>
      <c r="ULV5" s="87"/>
      <c r="ULW5" s="87"/>
      <c r="ULX5" s="87"/>
      <c r="ULY5" s="87"/>
      <c r="ULZ5" s="87"/>
      <c r="UMA5" s="87"/>
      <c r="UMB5" s="87"/>
      <c r="UMC5" s="87"/>
      <c r="UMD5" s="87"/>
      <c r="UME5" s="87"/>
      <c r="UMF5" s="87"/>
      <c r="UMG5" s="87"/>
      <c r="UMH5" s="87"/>
      <c r="UMI5" s="87"/>
      <c r="UMJ5" s="87"/>
      <c r="UMK5" s="87"/>
      <c r="UML5" s="87"/>
      <c r="UMM5" s="87"/>
      <c r="UMN5" s="87"/>
      <c r="UMO5" s="87"/>
      <c r="UMP5" s="87"/>
      <c r="UMQ5" s="87"/>
      <c r="UMR5" s="87"/>
      <c r="UMS5" s="87"/>
      <c r="UMT5" s="87"/>
      <c r="UMU5" s="87"/>
      <c r="UMV5" s="87"/>
      <c r="UMW5" s="87"/>
      <c r="UMX5" s="87"/>
      <c r="UMY5" s="87"/>
      <c r="UMZ5" s="87"/>
      <c r="UNA5" s="87"/>
      <c r="UNB5" s="87"/>
      <c r="UNC5" s="87"/>
      <c r="UND5" s="87"/>
      <c r="UNE5" s="87"/>
      <c r="UNF5" s="87"/>
      <c r="UNG5" s="87"/>
      <c r="UNH5" s="87"/>
      <c r="UNI5" s="87"/>
      <c r="UNJ5" s="87"/>
      <c r="UNK5" s="87"/>
      <c r="UNL5" s="87"/>
      <c r="UNM5" s="87"/>
      <c r="UNN5" s="87"/>
      <c r="UNO5" s="87"/>
      <c r="UNP5" s="87"/>
      <c r="UNQ5" s="87"/>
      <c r="UNR5" s="87"/>
      <c r="UNS5" s="87"/>
      <c r="UNT5" s="87"/>
      <c r="UNU5" s="87"/>
      <c r="UNV5" s="87"/>
      <c r="UNW5" s="87"/>
      <c r="UNX5" s="87"/>
      <c r="UNY5" s="87"/>
      <c r="UNZ5" s="87"/>
      <c r="UOA5" s="87"/>
      <c r="UOB5" s="87"/>
      <c r="UOC5" s="87"/>
      <c r="UOD5" s="87"/>
      <c r="UOE5" s="87"/>
      <c r="UOF5" s="87"/>
      <c r="UOG5" s="87"/>
      <c r="UOH5" s="87"/>
      <c r="UOI5" s="87"/>
      <c r="UOJ5" s="87"/>
      <c r="UOK5" s="87"/>
      <c r="UOL5" s="87"/>
      <c r="UOM5" s="87"/>
      <c r="UON5" s="87"/>
      <c r="UOO5" s="87"/>
      <c r="UOP5" s="87"/>
      <c r="UOQ5" s="87"/>
      <c r="UOR5" s="87"/>
      <c r="UOS5" s="87"/>
      <c r="UOT5" s="87"/>
      <c r="UOU5" s="87"/>
      <c r="UOV5" s="87"/>
      <c r="UOW5" s="87"/>
      <c r="UOX5" s="87"/>
      <c r="UOY5" s="87"/>
      <c r="UOZ5" s="87"/>
      <c r="UPA5" s="87"/>
      <c r="UPB5" s="87"/>
      <c r="UPC5" s="87"/>
      <c r="UPD5" s="87"/>
      <c r="UPE5" s="87"/>
      <c r="UPF5" s="87"/>
      <c r="UPG5" s="87"/>
      <c r="UPH5" s="87"/>
      <c r="UPI5" s="87"/>
      <c r="UPJ5" s="87"/>
      <c r="UPK5" s="87"/>
      <c r="UPL5" s="87"/>
      <c r="UPM5" s="87"/>
      <c r="UPN5" s="87"/>
      <c r="UPO5" s="87"/>
      <c r="UPP5" s="87"/>
      <c r="UPQ5" s="87"/>
      <c r="UPR5" s="87"/>
      <c r="UPS5" s="87"/>
      <c r="UPT5" s="87"/>
      <c r="UPU5" s="87"/>
      <c r="UPV5" s="87"/>
      <c r="UPW5" s="87"/>
      <c r="UPX5" s="87"/>
      <c r="UPY5" s="87"/>
      <c r="UPZ5" s="87"/>
      <c r="UQA5" s="87"/>
      <c r="UQB5" s="87"/>
      <c r="UQC5" s="87"/>
      <c r="UQD5" s="87"/>
      <c r="UQE5" s="87"/>
      <c r="UQF5" s="87"/>
      <c r="UQG5" s="87"/>
      <c r="UQH5" s="87"/>
      <c r="UQI5" s="87"/>
      <c r="UQJ5" s="87"/>
      <c r="UQK5" s="87"/>
      <c r="UQL5" s="87"/>
      <c r="UQM5" s="87"/>
      <c r="UQN5" s="87"/>
      <c r="UQO5" s="87"/>
      <c r="UQP5" s="87"/>
      <c r="UQQ5" s="87"/>
      <c r="UQR5" s="87"/>
      <c r="UQS5" s="87"/>
      <c r="UQT5" s="87"/>
      <c r="UQU5" s="87"/>
      <c r="UQV5" s="87"/>
      <c r="UQW5" s="87"/>
      <c r="UQX5" s="87"/>
      <c r="UQY5" s="87"/>
      <c r="UQZ5" s="87"/>
      <c r="URA5" s="87"/>
      <c r="URB5" s="87"/>
      <c r="URC5" s="87"/>
      <c r="URD5" s="87"/>
      <c r="URE5" s="87"/>
      <c r="URF5" s="87"/>
      <c r="URG5" s="87"/>
      <c r="URH5" s="87"/>
      <c r="URI5" s="87"/>
      <c r="URJ5" s="87"/>
      <c r="URK5" s="87"/>
      <c r="URL5" s="87"/>
      <c r="URM5" s="87"/>
      <c r="URN5" s="87"/>
      <c r="URO5" s="87"/>
      <c r="URP5" s="87"/>
      <c r="URQ5" s="87"/>
      <c r="URR5" s="87"/>
      <c r="URS5" s="87"/>
      <c r="URT5" s="87"/>
      <c r="URU5" s="87"/>
      <c r="URV5" s="87"/>
      <c r="URW5" s="87"/>
      <c r="URX5" s="87"/>
      <c r="URY5" s="87"/>
      <c r="URZ5" s="87"/>
      <c r="USA5" s="87"/>
      <c r="USB5" s="87"/>
      <c r="USC5" s="87"/>
      <c r="USD5" s="87"/>
      <c r="USE5" s="87"/>
      <c r="USF5" s="87"/>
      <c r="USG5" s="87"/>
      <c r="USH5" s="87"/>
      <c r="USI5" s="87"/>
      <c r="USJ5" s="87"/>
      <c r="USK5" s="87"/>
      <c r="USL5" s="87"/>
      <c r="USM5" s="87"/>
      <c r="USN5" s="87"/>
      <c r="USO5" s="87"/>
      <c r="USP5" s="87"/>
      <c r="USQ5" s="87"/>
      <c r="USR5" s="87"/>
      <c r="USS5" s="87"/>
      <c r="UST5" s="87"/>
      <c r="USU5" s="87"/>
      <c r="USV5" s="87"/>
      <c r="USW5" s="87"/>
      <c r="USX5" s="87"/>
      <c r="USY5" s="87"/>
      <c r="USZ5" s="87"/>
      <c r="UTA5" s="87"/>
      <c r="UTB5" s="87"/>
      <c r="UTC5" s="87"/>
      <c r="UTD5" s="87"/>
      <c r="UTE5" s="87"/>
      <c r="UTF5" s="87"/>
      <c r="UTG5" s="87"/>
      <c r="UTH5" s="87"/>
      <c r="UTI5" s="87"/>
      <c r="UTJ5" s="87"/>
      <c r="UTK5" s="87"/>
      <c r="UTL5" s="87"/>
      <c r="UTM5" s="87"/>
      <c r="UTN5" s="87"/>
      <c r="UTO5" s="87"/>
      <c r="UTP5" s="87"/>
      <c r="UTQ5" s="87"/>
      <c r="UTR5" s="87"/>
      <c r="UTS5" s="87"/>
      <c r="UTT5" s="87"/>
      <c r="UTU5" s="87"/>
      <c r="UTV5" s="87"/>
      <c r="UTW5" s="87"/>
      <c r="UTX5" s="87"/>
      <c r="UTY5" s="87"/>
      <c r="UTZ5" s="87"/>
      <c r="UUA5" s="87"/>
      <c r="UUB5" s="87"/>
      <c r="UUC5" s="87"/>
      <c r="UUD5" s="87"/>
      <c r="UUE5" s="87"/>
      <c r="UUF5" s="87"/>
      <c r="UUG5" s="87"/>
      <c r="UUH5" s="87"/>
      <c r="UUI5" s="87"/>
      <c r="UUJ5" s="87"/>
      <c r="UUK5" s="87"/>
      <c r="UUL5" s="87"/>
      <c r="UUM5" s="87"/>
      <c r="UUN5" s="87"/>
      <c r="UUO5" s="87"/>
      <c r="UUP5" s="87"/>
      <c r="UUQ5" s="87"/>
      <c r="UUR5" s="87"/>
      <c r="UUS5" s="87"/>
      <c r="UUT5" s="87"/>
      <c r="UUU5" s="87"/>
      <c r="UUV5" s="87"/>
      <c r="UUW5" s="87"/>
      <c r="UUX5" s="87"/>
      <c r="UUY5" s="87"/>
      <c r="UUZ5" s="87"/>
      <c r="UVA5" s="87"/>
      <c r="UVB5" s="87"/>
      <c r="UVC5" s="87"/>
      <c r="UVD5" s="87"/>
      <c r="UVE5" s="87"/>
      <c r="UVF5" s="87"/>
      <c r="UVG5" s="87"/>
      <c r="UVH5" s="87"/>
      <c r="UVI5" s="87"/>
      <c r="UVJ5" s="87"/>
      <c r="UVK5" s="87"/>
      <c r="UVL5" s="87"/>
      <c r="UVM5" s="87"/>
      <c r="UVN5" s="87"/>
      <c r="UVO5" s="87"/>
      <c r="UVP5" s="87"/>
      <c r="UVQ5" s="87"/>
      <c r="UVR5" s="87"/>
      <c r="UVS5" s="87"/>
      <c r="UVT5" s="87"/>
      <c r="UVU5" s="87"/>
      <c r="UVV5" s="87"/>
      <c r="UVW5" s="87"/>
      <c r="UVX5" s="87"/>
      <c r="UVY5" s="87"/>
      <c r="UVZ5" s="87"/>
      <c r="UWA5" s="87"/>
      <c r="UWB5" s="87"/>
      <c r="UWC5" s="87"/>
      <c r="UWD5" s="87"/>
      <c r="UWE5" s="87"/>
      <c r="UWF5" s="87"/>
      <c r="UWG5" s="87"/>
      <c r="UWH5" s="87"/>
      <c r="UWI5" s="87"/>
      <c r="UWJ5" s="87"/>
      <c r="UWK5" s="87"/>
      <c r="UWL5" s="87"/>
      <c r="UWM5" s="87"/>
      <c r="UWN5" s="87"/>
      <c r="UWO5" s="87"/>
      <c r="UWP5" s="87"/>
      <c r="UWQ5" s="87"/>
      <c r="UWR5" s="87"/>
      <c r="UWS5" s="87"/>
      <c r="UWT5" s="87"/>
      <c r="UWU5" s="87"/>
      <c r="UWV5" s="87"/>
      <c r="UWW5" s="87"/>
      <c r="UWX5" s="87"/>
      <c r="UWY5" s="87"/>
      <c r="UWZ5" s="87"/>
      <c r="UXA5" s="87"/>
      <c r="UXB5" s="87"/>
      <c r="UXC5" s="87"/>
      <c r="UXD5" s="87"/>
      <c r="UXE5" s="87"/>
      <c r="UXF5" s="87"/>
      <c r="UXG5" s="87"/>
      <c r="UXH5" s="87"/>
      <c r="UXI5" s="87"/>
      <c r="UXJ5" s="87"/>
      <c r="UXK5" s="87"/>
      <c r="UXL5" s="87"/>
      <c r="UXM5" s="87"/>
      <c r="UXN5" s="87"/>
      <c r="UXO5" s="87"/>
      <c r="UXP5" s="87"/>
      <c r="UXQ5" s="87"/>
      <c r="UXR5" s="87"/>
      <c r="UXS5" s="87"/>
      <c r="UXT5" s="87"/>
      <c r="UXU5" s="87"/>
      <c r="UXV5" s="87"/>
      <c r="UXW5" s="87"/>
      <c r="UXX5" s="87"/>
      <c r="UXY5" s="87"/>
      <c r="UXZ5" s="87"/>
      <c r="UYA5" s="87"/>
      <c r="UYB5" s="87"/>
      <c r="UYC5" s="87"/>
      <c r="UYD5" s="87"/>
      <c r="UYE5" s="87"/>
      <c r="UYF5" s="87"/>
      <c r="UYG5" s="87"/>
      <c r="UYH5" s="87"/>
      <c r="UYI5" s="87"/>
      <c r="UYJ5" s="87"/>
      <c r="UYK5" s="87"/>
      <c r="UYL5" s="87"/>
      <c r="UYM5" s="87"/>
      <c r="UYN5" s="87"/>
      <c r="UYO5" s="87"/>
      <c r="UYP5" s="87"/>
      <c r="UYQ5" s="87"/>
      <c r="UYR5" s="87"/>
      <c r="UYS5" s="87"/>
      <c r="UYT5" s="87"/>
      <c r="UYU5" s="87"/>
      <c r="UYV5" s="87"/>
      <c r="UYW5" s="87"/>
      <c r="UYX5" s="87"/>
      <c r="UYY5" s="87"/>
      <c r="UYZ5" s="87"/>
      <c r="UZA5" s="87"/>
      <c r="UZB5" s="87"/>
      <c r="UZC5" s="87"/>
      <c r="UZD5" s="87"/>
      <c r="UZE5" s="87"/>
      <c r="UZF5" s="87"/>
      <c r="UZG5" s="87"/>
      <c r="UZH5" s="87"/>
      <c r="UZI5" s="87"/>
      <c r="UZJ5" s="87"/>
      <c r="UZK5" s="87"/>
      <c r="UZL5" s="87"/>
      <c r="UZM5" s="87"/>
      <c r="UZN5" s="87"/>
      <c r="UZO5" s="87"/>
      <c r="UZP5" s="87"/>
      <c r="UZQ5" s="87"/>
      <c r="UZR5" s="87"/>
      <c r="UZS5" s="87"/>
      <c r="UZT5" s="87"/>
      <c r="UZU5" s="87"/>
      <c r="UZV5" s="87"/>
      <c r="UZW5" s="87"/>
      <c r="UZX5" s="87"/>
      <c r="UZY5" s="87"/>
      <c r="UZZ5" s="87"/>
      <c r="VAA5" s="87"/>
      <c r="VAB5" s="87"/>
      <c r="VAC5" s="87"/>
      <c r="VAD5" s="87"/>
      <c r="VAE5" s="87"/>
      <c r="VAF5" s="87"/>
      <c r="VAG5" s="87"/>
      <c r="VAH5" s="87"/>
      <c r="VAI5" s="87"/>
      <c r="VAJ5" s="87"/>
      <c r="VAK5" s="87"/>
      <c r="VAL5" s="87"/>
      <c r="VAM5" s="87"/>
      <c r="VAN5" s="87"/>
      <c r="VAO5" s="87"/>
      <c r="VAP5" s="87"/>
      <c r="VAQ5" s="87"/>
      <c r="VAR5" s="87"/>
      <c r="VAS5" s="87"/>
      <c r="VAT5" s="87"/>
      <c r="VAU5" s="87"/>
      <c r="VAV5" s="87"/>
      <c r="VAW5" s="87"/>
      <c r="VAX5" s="87"/>
      <c r="VAY5" s="87"/>
      <c r="VAZ5" s="87"/>
      <c r="VBA5" s="87"/>
      <c r="VBB5" s="87"/>
      <c r="VBC5" s="87"/>
      <c r="VBD5" s="87"/>
      <c r="VBE5" s="87"/>
      <c r="VBF5" s="87"/>
      <c r="VBG5" s="87"/>
      <c r="VBH5" s="87"/>
      <c r="VBI5" s="87"/>
      <c r="VBJ5" s="87"/>
      <c r="VBK5" s="87"/>
      <c r="VBL5" s="87"/>
      <c r="VBM5" s="87"/>
      <c r="VBN5" s="87"/>
      <c r="VBO5" s="87"/>
      <c r="VBP5" s="87"/>
      <c r="VBQ5" s="87"/>
      <c r="VBR5" s="87"/>
      <c r="VBS5" s="87"/>
      <c r="VBT5" s="87"/>
      <c r="VBU5" s="87"/>
      <c r="VBV5" s="87"/>
      <c r="VBW5" s="87"/>
      <c r="VBX5" s="87"/>
      <c r="VBY5" s="87"/>
      <c r="VBZ5" s="87"/>
      <c r="VCA5" s="87"/>
      <c r="VCB5" s="87"/>
      <c r="VCC5" s="87"/>
      <c r="VCD5" s="87"/>
      <c r="VCE5" s="87"/>
      <c r="VCF5" s="87"/>
      <c r="VCG5" s="87"/>
      <c r="VCH5" s="87"/>
      <c r="VCI5" s="87"/>
      <c r="VCJ5" s="87"/>
      <c r="VCK5" s="87"/>
      <c r="VCL5" s="87"/>
      <c r="VCM5" s="87"/>
      <c r="VCN5" s="87"/>
      <c r="VCO5" s="87"/>
      <c r="VCP5" s="87"/>
      <c r="VCQ5" s="87"/>
      <c r="VCR5" s="87"/>
      <c r="VCS5" s="87"/>
      <c r="VCT5" s="87"/>
      <c r="VCU5" s="87"/>
      <c r="VCV5" s="87"/>
      <c r="VCW5" s="87"/>
      <c r="VCX5" s="87"/>
      <c r="VCY5" s="87"/>
      <c r="VCZ5" s="87"/>
      <c r="VDA5" s="87"/>
      <c r="VDB5" s="87"/>
      <c r="VDC5" s="87"/>
      <c r="VDD5" s="87"/>
      <c r="VDE5" s="87"/>
      <c r="VDF5" s="87"/>
      <c r="VDG5" s="87"/>
      <c r="VDH5" s="87"/>
      <c r="VDI5" s="87"/>
      <c r="VDJ5" s="87"/>
      <c r="VDK5" s="87"/>
      <c r="VDL5" s="87"/>
      <c r="VDM5" s="87"/>
      <c r="VDN5" s="87"/>
      <c r="VDO5" s="87"/>
      <c r="VDP5" s="87"/>
      <c r="VDQ5" s="87"/>
      <c r="VDR5" s="87"/>
      <c r="VDS5" s="87"/>
      <c r="VDT5" s="87"/>
      <c r="VDU5" s="87"/>
      <c r="VDV5" s="87"/>
      <c r="VDW5" s="87"/>
      <c r="VDX5" s="87"/>
      <c r="VDY5" s="87"/>
      <c r="VDZ5" s="87"/>
      <c r="VEA5" s="87"/>
      <c r="VEB5" s="87"/>
      <c r="VEC5" s="87"/>
      <c r="VED5" s="87"/>
      <c r="VEE5" s="87"/>
      <c r="VEF5" s="87"/>
      <c r="VEG5" s="87"/>
      <c r="VEH5" s="87"/>
      <c r="VEI5" s="87"/>
      <c r="VEJ5" s="87"/>
      <c r="VEK5" s="87"/>
      <c r="VEL5" s="87"/>
      <c r="VEM5" s="87"/>
      <c r="VEN5" s="87"/>
      <c r="VEO5" s="87"/>
      <c r="VEP5" s="87"/>
      <c r="VEQ5" s="87"/>
      <c r="VER5" s="87"/>
      <c r="VES5" s="87"/>
      <c r="VET5" s="87"/>
      <c r="VEU5" s="87"/>
      <c r="VEV5" s="87"/>
      <c r="VEW5" s="87"/>
      <c r="VEX5" s="87"/>
      <c r="VEY5" s="87"/>
      <c r="VEZ5" s="87"/>
      <c r="VFA5" s="87"/>
      <c r="VFB5" s="87"/>
      <c r="VFC5" s="87"/>
      <c r="VFD5" s="87"/>
      <c r="VFE5" s="87"/>
      <c r="VFF5" s="87"/>
      <c r="VFG5" s="87"/>
      <c r="VFH5" s="87"/>
      <c r="VFI5" s="87"/>
      <c r="VFJ5" s="87"/>
      <c r="VFK5" s="87"/>
      <c r="VFL5" s="87"/>
      <c r="VFM5" s="87"/>
      <c r="VFN5" s="87"/>
      <c r="VFO5" s="87"/>
      <c r="VFP5" s="87"/>
      <c r="VFQ5" s="87"/>
      <c r="VFR5" s="87"/>
      <c r="VFS5" s="87"/>
      <c r="VFT5" s="87"/>
      <c r="VFU5" s="87"/>
      <c r="VFV5" s="87"/>
      <c r="VFW5" s="87"/>
      <c r="VFX5" s="87"/>
      <c r="VFY5" s="87"/>
      <c r="VFZ5" s="87"/>
      <c r="VGA5" s="87"/>
      <c r="VGB5" s="87"/>
      <c r="VGC5" s="87"/>
      <c r="VGD5" s="87"/>
      <c r="VGE5" s="87"/>
      <c r="VGF5" s="87"/>
      <c r="VGG5" s="87"/>
      <c r="VGH5" s="87"/>
      <c r="VGI5" s="87"/>
      <c r="VGJ5" s="87"/>
      <c r="VGK5" s="87"/>
      <c r="VGL5" s="87"/>
      <c r="VGM5" s="87"/>
      <c r="VGN5" s="87"/>
      <c r="VGO5" s="87"/>
      <c r="VGP5" s="87"/>
      <c r="VGQ5" s="87"/>
      <c r="VGR5" s="87"/>
      <c r="VGS5" s="87"/>
      <c r="VGT5" s="87"/>
      <c r="VGU5" s="87"/>
      <c r="VGV5" s="87"/>
      <c r="VGW5" s="87"/>
      <c r="VGX5" s="87"/>
      <c r="VGY5" s="87"/>
      <c r="VGZ5" s="87"/>
      <c r="VHA5" s="87"/>
      <c r="VHB5" s="87"/>
      <c r="VHC5" s="87"/>
      <c r="VHD5" s="87"/>
      <c r="VHE5" s="87"/>
      <c r="VHF5" s="87"/>
      <c r="VHG5" s="87"/>
      <c r="VHH5" s="87"/>
      <c r="VHI5" s="87"/>
      <c r="VHJ5" s="87"/>
      <c r="VHK5" s="87"/>
      <c r="VHL5" s="87"/>
      <c r="VHM5" s="87"/>
      <c r="VHN5" s="87"/>
      <c r="VHO5" s="87"/>
      <c r="VHP5" s="87"/>
      <c r="VHQ5" s="87"/>
      <c r="VHR5" s="87"/>
      <c r="VHS5" s="87"/>
      <c r="VHT5" s="87"/>
      <c r="VHU5" s="87"/>
      <c r="VHV5" s="87"/>
      <c r="VHW5" s="87"/>
      <c r="VHX5" s="87"/>
      <c r="VHY5" s="87"/>
      <c r="VHZ5" s="87"/>
      <c r="VIA5" s="87"/>
      <c r="VIB5" s="87"/>
      <c r="VIC5" s="87"/>
      <c r="VID5" s="87"/>
      <c r="VIE5" s="87"/>
      <c r="VIF5" s="87"/>
      <c r="VIG5" s="87"/>
      <c r="VIH5" s="87"/>
      <c r="VII5" s="87"/>
      <c r="VIJ5" s="87"/>
      <c r="VIK5" s="87"/>
      <c r="VIL5" s="87"/>
      <c r="VIM5" s="87"/>
      <c r="VIN5" s="87"/>
      <c r="VIO5" s="87"/>
      <c r="VIP5" s="87"/>
      <c r="VIQ5" s="87"/>
      <c r="VIR5" s="87"/>
      <c r="VIS5" s="87"/>
      <c r="VIT5" s="87"/>
      <c r="VIU5" s="87"/>
      <c r="VIV5" s="87"/>
      <c r="VIW5" s="87"/>
      <c r="VIX5" s="87"/>
      <c r="VIY5" s="87"/>
      <c r="VIZ5" s="87"/>
      <c r="VJA5" s="87"/>
      <c r="VJB5" s="87"/>
      <c r="VJC5" s="87"/>
      <c r="VJD5" s="87"/>
      <c r="VJE5" s="87"/>
      <c r="VJF5" s="87"/>
      <c r="VJG5" s="87"/>
      <c r="VJH5" s="87"/>
      <c r="VJI5" s="87"/>
      <c r="VJJ5" s="87"/>
      <c r="VJK5" s="87"/>
      <c r="VJL5" s="87"/>
      <c r="VJM5" s="87"/>
      <c r="VJN5" s="87"/>
      <c r="VJO5" s="87"/>
      <c r="VJP5" s="87"/>
      <c r="VJQ5" s="87"/>
      <c r="VJR5" s="87"/>
      <c r="VJS5" s="87"/>
      <c r="VJT5" s="87"/>
      <c r="VJU5" s="87"/>
      <c r="VJV5" s="87"/>
      <c r="VJW5" s="87"/>
      <c r="VJX5" s="87"/>
      <c r="VJY5" s="87"/>
      <c r="VJZ5" s="87"/>
      <c r="VKA5" s="87"/>
      <c r="VKB5" s="87"/>
      <c r="VKC5" s="87"/>
      <c r="VKD5" s="87"/>
      <c r="VKE5" s="87"/>
      <c r="VKF5" s="87"/>
      <c r="VKG5" s="87"/>
      <c r="VKH5" s="87"/>
      <c r="VKI5" s="87"/>
      <c r="VKJ5" s="87"/>
      <c r="VKK5" s="87"/>
      <c r="VKL5" s="87"/>
      <c r="VKM5" s="87"/>
      <c r="VKN5" s="87"/>
      <c r="VKO5" s="87"/>
      <c r="VKP5" s="87"/>
      <c r="VKQ5" s="87"/>
      <c r="VKR5" s="87"/>
      <c r="VKS5" s="87"/>
      <c r="VKT5" s="87"/>
      <c r="VKU5" s="87"/>
      <c r="VKV5" s="87"/>
      <c r="VKW5" s="87"/>
      <c r="VKX5" s="87"/>
      <c r="VKY5" s="87"/>
      <c r="VKZ5" s="87"/>
      <c r="VLA5" s="87"/>
      <c r="VLB5" s="87"/>
      <c r="VLC5" s="87"/>
      <c r="VLD5" s="87"/>
      <c r="VLE5" s="87"/>
      <c r="VLF5" s="87"/>
      <c r="VLG5" s="87"/>
      <c r="VLH5" s="87"/>
      <c r="VLI5" s="87"/>
      <c r="VLJ5" s="87"/>
      <c r="VLK5" s="87"/>
      <c r="VLL5" s="87"/>
      <c r="VLM5" s="87"/>
      <c r="VLN5" s="87"/>
      <c r="VLO5" s="87"/>
      <c r="VLP5" s="87"/>
      <c r="VLQ5" s="87"/>
      <c r="VLR5" s="87"/>
      <c r="VLS5" s="87"/>
      <c r="VLT5" s="87"/>
      <c r="VLU5" s="87"/>
      <c r="VLV5" s="87"/>
      <c r="VLW5" s="87"/>
      <c r="VLX5" s="87"/>
      <c r="VLY5" s="87"/>
      <c r="VLZ5" s="87"/>
      <c r="VMA5" s="87"/>
      <c r="VMB5" s="87"/>
      <c r="VMC5" s="87"/>
      <c r="VMD5" s="87"/>
      <c r="VME5" s="87"/>
      <c r="VMF5" s="87"/>
      <c r="VMG5" s="87"/>
      <c r="VMH5" s="87"/>
      <c r="VMI5" s="87"/>
      <c r="VMJ5" s="87"/>
      <c r="VMK5" s="87"/>
      <c r="VML5" s="87"/>
      <c r="VMM5" s="87"/>
      <c r="VMN5" s="87"/>
      <c r="VMO5" s="87"/>
      <c r="VMP5" s="87"/>
      <c r="VMQ5" s="87"/>
      <c r="VMR5" s="87"/>
      <c r="VMS5" s="87"/>
      <c r="VMT5" s="87"/>
      <c r="VMU5" s="87"/>
      <c r="VMV5" s="87"/>
      <c r="VMW5" s="87"/>
      <c r="VMX5" s="87"/>
      <c r="VMY5" s="87"/>
      <c r="VMZ5" s="87"/>
      <c r="VNA5" s="87"/>
      <c r="VNB5" s="87"/>
      <c r="VNC5" s="87"/>
      <c r="VND5" s="87"/>
      <c r="VNE5" s="87"/>
      <c r="VNF5" s="87"/>
      <c r="VNG5" s="87"/>
      <c r="VNH5" s="87"/>
      <c r="VNI5" s="87"/>
      <c r="VNJ5" s="87"/>
      <c r="VNK5" s="87"/>
      <c r="VNL5" s="87"/>
      <c r="VNM5" s="87"/>
      <c r="VNN5" s="87"/>
      <c r="VNO5" s="87"/>
      <c r="VNP5" s="87"/>
      <c r="VNQ5" s="87"/>
      <c r="VNR5" s="87"/>
      <c r="VNS5" s="87"/>
      <c r="VNT5" s="87"/>
      <c r="VNU5" s="87"/>
      <c r="VNV5" s="87"/>
      <c r="VNW5" s="87"/>
      <c r="VNX5" s="87"/>
      <c r="VNY5" s="87"/>
      <c r="VNZ5" s="87"/>
      <c r="VOA5" s="87"/>
      <c r="VOB5" s="87"/>
      <c r="VOC5" s="87"/>
      <c r="VOD5" s="87"/>
      <c r="VOE5" s="87"/>
      <c r="VOF5" s="87"/>
      <c r="VOG5" s="87"/>
      <c r="VOH5" s="87"/>
      <c r="VOI5" s="87"/>
      <c r="VOJ5" s="87"/>
      <c r="VOK5" s="87"/>
      <c r="VOL5" s="87"/>
      <c r="VOM5" s="87"/>
      <c r="VON5" s="87"/>
      <c r="VOO5" s="87"/>
      <c r="VOP5" s="87"/>
      <c r="VOQ5" s="87"/>
      <c r="VOR5" s="87"/>
      <c r="VOS5" s="87"/>
      <c r="VOT5" s="87"/>
      <c r="VOU5" s="87"/>
      <c r="VOV5" s="87"/>
      <c r="VOW5" s="87"/>
      <c r="VOX5" s="87"/>
      <c r="VOY5" s="87"/>
      <c r="VOZ5" s="87"/>
      <c r="VPA5" s="87"/>
      <c r="VPB5" s="87"/>
      <c r="VPC5" s="87"/>
      <c r="VPD5" s="87"/>
      <c r="VPE5" s="87"/>
      <c r="VPF5" s="87"/>
      <c r="VPG5" s="87"/>
      <c r="VPH5" s="87"/>
      <c r="VPI5" s="87"/>
      <c r="VPJ5" s="87"/>
      <c r="VPK5" s="87"/>
      <c r="VPL5" s="87"/>
      <c r="VPM5" s="87"/>
      <c r="VPN5" s="87"/>
      <c r="VPO5" s="87"/>
      <c r="VPP5" s="87"/>
      <c r="VPQ5" s="87"/>
      <c r="VPR5" s="87"/>
      <c r="VPS5" s="87"/>
      <c r="VPT5" s="87"/>
      <c r="VPU5" s="87"/>
      <c r="VPV5" s="87"/>
      <c r="VPW5" s="87"/>
      <c r="VPX5" s="87"/>
      <c r="VPY5" s="87"/>
      <c r="VPZ5" s="87"/>
      <c r="VQA5" s="87"/>
      <c r="VQB5" s="87"/>
      <c r="VQC5" s="87"/>
      <c r="VQD5" s="87"/>
      <c r="VQE5" s="87"/>
      <c r="VQF5" s="87"/>
      <c r="VQG5" s="87"/>
      <c r="VQH5" s="87"/>
      <c r="VQI5" s="87"/>
      <c r="VQJ5" s="87"/>
      <c r="VQK5" s="87"/>
      <c r="VQL5" s="87"/>
      <c r="VQM5" s="87"/>
      <c r="VQN5" s="87"/>
      <c r="VQO5" s="87"/>
      <c r="VQP5" s="87"/>
      <c r="VQQ5" s="87"/>
      <c r="VQR5" s="87"/>
      <c r="VQS5" s="87"/>
      <c r="VQT5" s="87"/>
      <c r="VQU5" s="87"/>
      <c r="VQV5" s="87"/>
      <c r="VQW5" s="87"/>
      <c r="VQX5" s="87"/>
      <c r="VQY5" s="87"/>
      <c r="VQZ5" s="87"/>
      <c r="VRA5" s="87"/>
      <c r="VRB5" s="87"/>
      <c r="VRC5" s="87"/>
      <c r="VRD5" s="87"/>
      <c r="VRE5" s="87"/>
      <c r="VRF5" s="87"/>
      <c r="VRG5" s="87"/>
      <c r="VRH5" s="87"/>
      <c r="VRI5" s="87"/>
      <c r="VRJ5" s="87"/>
      <c r="VRK5" s="87"/>
      <c r="VRL5" s="87"/>
      <c r="VRM5" s="87"/>
      <c r="VRN5" s="87"/>
      <c r="VRO5" s="87"/>
      <c r="VRP5" s="87"/>
      <c r="VRQ5" s="87"/>
      <c r="VRR5" s="87"/>
      <c r="VRS5" s="87"/>
      <c r="VRT5" s="87"/>
      <c r="VRU5" s="87"/>
      <c r="VRV5" s="87"/>
      <c r="VRW5" s="87"/>
      <c r="VRX5" s="87"/>
      <c r="VRY5" s="87"/>
      <c r="VRZ5" s="87"/>
      <c r="VSA5" s="87"/>
      <c r="VSB5" s="87"/>
      <c r="VSC5" s="87"/>
      <c r="VSD5" s="87"/>
      <c r="VSE5" s="87"/>
      <c r="VSF5" s="87"/>
      <c r="VSG5" s="87"/>
      <c r="VSH5" s="87"/>
      <c r="VSI5" s="87"/>
      <c r="VSJ5" s="87"/>
      <c r="VSK5" s="87"/>
      <c r="VSL5" s="87"/>
      <c r="VSM5" s="87"/>
      <c r="VSN5" s="87"/>
      <c r="VSO5" s="87"/>
      <c r="VSP5" s="87"/>
      <c r="VSQ5" s="87"/>
      <c r="VSR5" s="87"/>
      <c r="VSS5" s="87"/>
      <c r="VST5" s="87"/>
      <c r="VSU5" s="87"/>
      <c r="VSV5" s="87"/>
      <c r="VSW5" s="87"/>
      <c r="VSX5" s="87"/>
      <c r="VSY5" s="87"/>
      <c r="VSZ5" s="87"/>
      <c r="VTA5" s="87"/>
      <c r="VTB5" s="87"/>
      <c r="VTC5" s="87"/>
      <c r="VTD5" s="87"/>
      <c r="VTE5" s="87"/>
      <c r="VTF5" s="87"/>
      <c r="VTG5" s="87"/>
      <c r="VTH5" s="87"/>
      <c r="VTI5" s="87"/>
      <c r="VTJ5" s="87"/>
      <c r="VTK5" s="87"/>
      <c r="VTL5" s="87"/>
      <c r="VTM5" s="87"/>
      <c r="VTN5" s="87"/>
      <c r="VTO5" s="87"/>
      <c r="VTP5" s="87"/>
      <c r="VTQ5" s="87"/>
      <c r="VTR5" s="87"/>
      <c r="VTS5" s="87"/>
      <c r="VTT5" s="87"/>
      <c r="VTU5" s="87"/>
      <c r="VTV5" s="87"/>
      <c r="VTW5" s="87"/>
      <c r="VTX5" s="87"/>
      <c r="VTY5" s="87"/>
      <c r="VTZ5" s="87"/>
      <c r="VUA5" s="87"/>
      <c r="VUB5" s="87"/>
      <c r="VUC5" s="87"/>
      <c r="VUD5" s="87"/>
      <c r="VUE5" s="87"/>
      <c r="VUF5" s="87"/>
      <c r="VUG5" s="87"/>
      <c r="VUH5" s="87"/>
      <c r="VUI5" s="87"/>
      <c r="VUJ5" s="87"/>
      <c r="VUK5" s="87"/>
      <c r="VUL5" s="87"/>
      <c r="VUM5" s="87"/>
      <c r="VUN5" s="87"/>
      <c r="VUO5" s="87"/>
      <c r="VUP5" s="87"/>
      <c r="VUQ5" s="87"/>
      <c r="VUR5" s="87"/>
      <c r="VUS5" s="87"/>
      <c r="VUT5" s="87"/>
      <c r="VUU5" s="87"/>
      <c r="VUV5" s="87"/>
      <c r="VUW5" s="87"/>
      <c r="VUX5" s="87"/>
      <c r="VUY5" s="87"/>
      <c r="VUZ5" s="87"/>
      <c r="VVA5" s="87"/>
      <c r="VVB5" s="87"/>
      <c r="VVC5" s="87"/>
      <c r="VVD5" s="87"/>
      <c r="VVE5" s="87"/>
      <c r="VVF5" s="87"/>
      <c r="VVG5" s="87"/>
      <c r="VVH5" s="87"/>
      <c r="VVI5" s="87"/>
      <c r="VVJ5" s="87"/>
      <c r="VVK5" s="87"/>
      <c r="VVL5" s="87"/>
      <c r="VVM5" s="87"/>
      <c r="VVN5" s="87"/>
      <c r="VVO5" s="87"/>
      <c r="VVP5" s="87"/>
      <c r="VVQ5" s="87"/>
      <c r="VVR5" s="87"/>
      <c r="VVS5" s="87"/>
      <c r="VVT5" s="87"/>
      <c r="VVU5" s="87"/>
      <c r="VVV5" s="87"/>
      <c r="VVW5" s="87"/>
      <c r="VVX5" s="87"/>
      <c r="VVY5" s="87"/>
      <c r="VVZ5" s="87"/>
      <c r="VWA5" s="87"/>
      <c r="VWB5" s="87"/>
      <c r="VWC5" s="87"/>
      <c r="VWD5" s="87"/>
      <c r="VWE5" s="87"/>
      <c r="VWF5" s="87"/>
      <c r="VWG5" s="87"/>
      <c r="VWH5" s="87"/>
      <c r="VWI5" s="87"/>
      <c r="VWJ5" s="87"/>
      <c r="VWK5" s="87"/>
      <c r="VWL5" s="87"/>
      <c r="VWM5" s="87"/>
      <c r="VWN5" s="87"/>
      <c r="VWO5" s="87"/>
      <c r="VWP5" s="87"/>
      <c r="VWQ5" s="87"/>
      <c r="VWR5" s="87"/>
      <c r="VWS5" s="87"/>
      <c r="VWT5" s="87"/>
      <c r="VWU5" s="87"/>
      <c r="VWV5" s="87"/>
      <c r="VWW5" s="87"/>
      <c r="VWX5" s="87"/>
      <c r="VWY5" s="87"/>
      <c r="VWZ5" s="87"/>
      <c r="VXA5" s="87"/>
      <c r="VXB5" s="87"/>
      <c r="VXC5" s="87"/>
      <c r="VXD5" s="87"/>
      <c r="VXE5" s="87"/>
      <c r="VXF5" s="87"/>
      <c r="VXG5" s="87"/>
      <c r="VXH5" s="87"/>
      <c r="VXI5" s="87"/>
      <c r="VXJ5" s="87"/>
      <c r="VXK5" s="87"/>
      <c r="VXL5" s="87"/>
      <c r="VXM5" s="87"/>
      <c r="VXN5" s="87"/>
      <c r="VXO5" s="87"/>
      <c r="VXP5" s="87"/>
      <c r="VXQ5" s="87"/>
      <c r="VXR5" s="87"/>
      <c r="VXS5" s="87"/>
      <c r="VXT5" s="87"/>
      <c r="VXU5" s="87"/>
      <c r="VXV5" s="87"/>
      <c r="VXW5" s="87"/>
      <c r="VXX5" s="87"/>
      <c r="VXY5" s="87"/>
      <c r="VXZ5" s="87"/>
      <c r="VYA5" s="87"/>
      <c r="VYB5" s="87"/>
      <c r="VYC5" s="87"/>
      <c r="VYD5" s="87"/>
      <c r="VYE5" s="87"/>
      <c r="VYF5" s="87"/>
      <c r="VYG5" s="87"/>
      <c r="VYH5" s="87"/>
      <c r="VYI5" s="87"/>
      <c r="VYJ5" s="87"/>
      <c r="VYK5" s="87"/>
      <c r="VYL5" s="87"/>
      <c r="VYM5" s="87"/>
      <c r="VYN5" s="87"/>
      <c r="VYO5" s="87"/>
      <c r="VYP5" s="87"/>
      <c r="VYQ5" s="87"/>
      <c r="VYR5" s="87"/>
      <c r="VYS5" s="87"/>
      <c r="VYT5" s="87"/>
      <c r="VYU5" s="87"/>
      <c r="VYV5" s="87"/>
      <c r="VYW5" s="87"/>
      <c r="VYX5" s="87"/>
      <c r="VYY5" s="87"/>
      <c r="VYZ5" s="87"/>
      <c r="VZA5" s="87"/>
      <c r="VZB5" s="87"/>
      <c r="VZC5" s="87"/>
      <c r="VZD5" s="87"/>
      <c r="VZE5" s="87"/>
      <c r="VZF5" s="87"/>
      <c r="VZG5" s="87"/>
      <c r="VZH5" s="87"/>
      <c r="VZI5" s="87"/>
      <c r="VZJ5" s="87"/>
      <c r="VZK5" s="87"/>
      <c r="VZL5" s="87"/>
      <c r="VZM5" s="87"/>
      <c r="VZN5" s="87"/>
      <c r="VZO5" s="87"/>
      <c r="VZP5" s="87"/>
      <c r="VZQ5" s="87"/>
      <c r="VZR5" s="87"/>
      <c r="VZS5" s="87"/>
      <c r="VZT5" s="87"/>
      <c r="VZU5" s="87"/>
      <c r="VZV5" s="87"/>
      <c r="VZW5" s="87"/>
      <c r="VZX5" s="87"/>
      <c r="VZY5" s="87"/>
      <c r="VZZ5" s="87"/>
      <c r="WAA5" s="87"/>
      <c r="WAB5" s="87"/>
      <c r="WAC5" s="87"/>
      <c r="WAD5" s="87"/>
      <c r="WAE5" s="87"/>
      <c r="WAF5" s="87"/>
      <c r="WAG5" s="87"/>
      <c r="WAH5" s="87"/>
      <c r="WAI5" s="87"/>
      <c r="WAJ5" s="87"/>
      <c r="WAK5" s="87"/>
      <c r="WAL5" s="87"/>
      <c r="WAM5" s="87"/>
      <c r="WAN5" s="87"/>
      <c r="WAO5" s="87"/>
      <c r="WAP5" s="87"/>
      <c r="WAQ5" s="87"/>
      <c r="WAR5" s="87"/>
      <c r="WAS5" s="87"/>
      <c r="WAT5" s="87"/>
      <c r="WAU5" s="87"/>
      <c r="WAV5" s="87"/>
      <c r="WAW5" s="87"/>
      <c r="WAX5" s="87"/>
      <c r="WAY5" s="87"/>
      <c r="WAZ5" s="87"/>
      <c r="WBA5" s="87"/>
      <c r="WBB5" s="87"/>
      <c r="WBC5" s="87"/>
      <c r="WBD5" s="87"/>
      <c r="WBE5" s="87"/>
      <c r="WBF5" s="87"/>
      <c r="WBG5" s="87"/>
      <c r="WBH5" s="87"/>
      <c r="WBI5" s="87"/>
      <c r="WBJ5" s="87"/>
      <c r="WBK5" s="87"/>
      <c r="WBL5" s="87"/>
      <c r="WBM5" s="87"/>
      <c r="WBN5" s="87"/>
      <c r="WBO5" s="87"/>
      <c r="WBP5" s="87"/>
      <c r="WBQ5" s="87"/>
      <c r="WBR5" s="87"/>
      <c r="WBS5" s="87"/>
      <c r="WBT5" s="87"/>
      <c r="WBU5" s="87"/>
      <c r="WBV5" s="87"/>
      <c r="WBW5" s="87"/>
      <c r="WBX5" s="87"/>
      <c r="WBY5" s="87"/>
      <c r="WBZ5" s="87"/>
      <c r="WCA5" s="87"/>
      <c r="WCB5" s="87"/>
      <c r="WCC5" s="87"/>
      <c r="WCD5" s="87"/>
      <c r="WCE5" s="87"/>
      <c r="WCF5" s="87"/>
      <c r="WCG5" s="87"/>
      <c r="WCH5" s="87"/>
      <c r="WCI5" s="87"/>
      <c r="WCJ5" s="87"/>
      <c r="WCK5" s="87"/>
      <c r="WCL5" s="87"/>
      <c r="WCM5" s="87"/>
      <c r="WCN5" s="87"/>
      <c r="WCO5" s="87"/>
      <c r="WCP5" s="87"/>
      <c r="WCQ5" s="87"/>
      <c r="WCR5" s="87"/>
      <c r="WCS5" s="87"/>
      <c r="WCT5" s="87"/>
      <c r="WCU5" s="87"/>
      <c r="WCV5" s="87"/>
      <c r="WCW5" s="87"/>
      <c r="WCX5" s="87"/>
      <c r="WCY5" s="87"/>
      <c r="WCZ5" s="87"/>
      <c r="WDA5" s="87"/>
      <c r="WDB5" s="87"/>
      <c r="WDC5" s="87"/>
      <c r="WDD5" s="87"/>
      <c r="WDE5" s="87"/>
      <c r="WDF5" s="87"/>
      <c r="WDG5" s="87"/>
      <c r="WDH5" s="87"/>
      <c r="WDI5" s="87"/>
      <c r="WDJ5" s="87"/>
      <c r="WDK5" s="87"/>
      <c r="WDL5" s="87"/>
      <c r="WDM5" s="87"/>
      <c r="WDN5" s="87"/>
      <c r="WDO5" s="87"/>
      <c r="WDP5" s="87"/>
      <c r="WDQ5" s="87"/>
      <c r="WDR5" s="87"/>
      <c r="WDS5" s="87"/>
      <c r="WDT5" s="87"/>
      <c r="WDU5" s="87"/>
      <c r="WDV5" s="87"/>
      <c r="WDW5" s="87"/>
      <c r="WDX5" s="87"/>
      <c r="WDY5" s="87"/>
      <c r="WDZ5" s="87"/>
      <c r="WEA5" s="87"/>
      <c r="WEB5" s="87"/>
      <c r="WEC5" s="87"/>
      <c r="WED5" s="87"/>
      <c r="WEE5" s="87"/>
      <c r="WEF5" s="87"/>
      <c r="WEG5" s="87"/>
      <c r="WEH5" s="87"/>
      <c r="WEI5" s="87"/>
      <c r="WEJ5" s="87"/>
      <c r="WEK5" s="87"/>
      <c r="WEL5" s="87"/>
      <c r="WEM5" s="87"/>
      <c r="WEN5" s="87"/>
      <c r="WEO5" s="87"/>
      <c r="WEP5" s="87"/>
      <c r="WEQ5" s="87"/>
      <c r="WER5" s="87"/>
      <c r="WES5" s="87"/>
      <c r="WET5" s="87"/>
      <c r="WEU5" s="87"/>
      <c r="WEV5" s="87"/>
      <c r="WEW5" s="87"/>
      <c r="WEX5" s="87"/>
      <c r="WEY5" s="87"/>
      <c r="WEZ5" s="87"/>
      <c r="WFA5" s="87"/>
      <c r="WFB5" s="87"/>
      <c r="WFC5" s="87"/>
      <c r="WFD5" s="87"/>
      <c r="WFE5" s="87"/>
      <c r="WFF5" s="87"/>
      <c r="WFG5" s="87"/>
      <c r="WFH5" s="87"/>
      <c r="WFI5" s="87"/>
      <c r="WFJ5" s="87"/>
      <c r="WFK5" s="87"/>
      <c r="WFL5" s="87"/>
      <c r="WFM5" s="87"/>
      <c r="WFN5" s="87"/>
      <c r="WFO5" s="87"/>
      <c r="WFP5" s="87"/>
      <c r="WFQ5" s="87"/>
      <c r="WFR5" s="87"/>
      <c r="WFS5" s="87"/>
      <c r="WFT5" s="87"/>
      <c r="WFU5" s="87"/>
      <c r="WFV5" s="87"/>
      <c r="WFW5" s="87"/>
      <c r="WFX5" s="87"/>
      <c r="WFY5" s="87"/>
      <c r="WFZ5" s="87"/>
      <c r="WGA5" s="87"/>
      <c r="WGB5" s="87"/>
      <c r="WGC5" s="87"/>
      <c r="WGD5" s="87"/>
      <c r="WGE5" s="87"/>
      <c r="WGF5" s="87"/>
      <c r="WGG5" s="87"/>
      <c r="WGH5" s="87"/>
      <c r="WGI5" s="87"/>
      <c r="WGJ5" s="87"/>
      <c r="WGK5" s="87"/>
      <c r="WGL5" s="87"/>
      <c r="WGM5" s="87"/>
      <c r="WGN5" s="87"/>
      <c r="WGO5" s="87"/>
      <c r="WGP5" s="87"/>
      <c r="WGQ5" s="87"/>
      <c r="WGR5" s="87"/>
      <c r="WGS5" s="87"/>
      <c r="WGT5" s="87"/>
      <c r="WGU5" s="87"/>
      <c r="WGV5" s="87"/>
      <c r="WGW5" s="87"/>
      <c r="WGX5" s="87"/>
      <c r="WGY5" s="87"/>
      <c r="WGZ5" s="87"/>
      <c r="WHA5" s="87"/>
      <c r="WHB5" s="87"/>
      <c r="WHC5" s="87"/>
      <c r="WHD5" s="87"/>
      <c r="WHE5" s="87"/>
      <c r="WHF5" s="87"/>
      <c r="WHG5" s="87"/>
      <c r="WHH5" s="87"/>
      <c r="WHI5" s="87"/>
      <c r="WHJ5" s="87"/>
      <c r="WHK5" s="87"/>
      <c r="WHL5" s="87"/>
      <c r="WHM5" s="87"/>
      <c r="WHN5" s="87"/>
      <c r="WHO5" s="87"/>
      <c r="WHP5" s="87"/>
      <c r="WHQ5" s="87"/>
      <c r="WHR5" s="87"/>
      <c r="WHS5" s="87"/>
      <c r="WHT5" s="87"/>
      <c r="WHU5" s="87"/>
      <c r="WHV5" s="87"/>
      <c r="WHW5" s="87"/>
      <c r="WHX5" s="87"/>
      <c r="WHY5" s="87"/>
      <c r="WHZ5" s="87"/>
      <c r="WIA5" s="87"/>
      <c r="WIB5" s="87"/>
      <c r="WIC5" s="87"/>
      <c r="WID5" s="87"/>
      <c r="WIE5" s="87"/>
      <c r="WIF5" s="87"/>
      <c r="WIG5" s="87"/>
      <c r="WIH5" s="87"/>
      <c r="WII5" s="87"/>
      <c r="WIJ5" s="87"/>
      <c r="WIK5" s="87"/>
      <c r="WIL5" s="87"/>
      <c r="WIM5" s="87"/>
      <c r="WIN5" s="87"/>
      <c r="WIO5" s="87"/>
      <c r="WIP5" s="87"/>
      <c r="WIQ5" s="87"/>
      <c r="WIR5" s="87"/>
      <c r="WIS5" s="87"/>
      <c r="WIT5" s="87"/>
      <c r="WIU5" s="87"/>
      <c r="WIV5" s="87"/>
      <c r="WIW5" s="87"/>
      <c r="WIX5" s="87"/>
      <c r="WIY5" s="87"/>
      <c r="WIZ5" s="87"/>
      <c r="WJA5" s="87"/>
      <c r="WJB5" s="87"/>
      <c r="WJC5" s="87"/>
      <c r="WJD5" s="87"/>
      <c r="WJE5" s="87"/>
      <c r="WJF5" s="87"/>
      <c r="WJG5" s="87"/>
      <c r="WJH5" s="87"/>
      <c r="WJI5" s="87"/>
      <c r="WJJ5" s="87"/>
      <c r="WJK5" s="87"/>
      <c r="WJL5" s="87"/>
      <c r="WJM5" s="87"/>
      <c r="WJN5" s="87"/>
      <c r="WJO5" s="87"/>
      <c r="WJP5" s="87"/>
      <c r="WJQ5" s="87"/>
      <c r="WJR5" s="87"/>
      <c r="WJS5" s="87"/>
      <c r="WJT5" s="87"/>
      <c r="WJU5" s="87"/>
      <c r="WJV5" s="87"/>
      <c r="WJW5" s="87"/>
      <c r="WJX5" s="87"/>
      <c r="WJY5" s="87"/>
      <c r="WJZ5" s="87"/>
      <c r="WKA5" s="87"/>
      <c r="WKB5" s="87"/>
      <c r="WKC5" s="87"/>
      <c r="WKD5" s="87"/>
      <c r="WKE5" s="87"/>
      <c r="WKF5" s="87"/>
      <c r="WKG5" s="87"/>
      <c r="WKH5" s="87"/>
      <c r="WKI5" s="87"/>
      <c r="WKJ5" s="87"/>
      <c r="WKK5" s="87"/>
      <c r="WKL5" s="87"/>
      <c r="WKM5" s="87"/>
      <c r="WKN5" s="87"/>
      <c r="WKO5" s="87"/>
      <c r="WKP5" s="87"/>
      <c r="WKQ5" s="87"/>
      <c r="WKR5" s="87"/>
      <c r="WKS5" s="87"/>
      <c r="WKT5" s="87"/>
      <c r="WKU5" s="87"/>
      <c r="WKV5" s="87"/>
      <c r="WKW5" s="87"/>
      <c r="WKX5" s="87"/>
      <c r="WKY5" s="87"/>
      <c r="WKZ5" s="87"/>
      <c r="WLA5" s="87"/>
      <c r="WLB5" s="87"/>
      <c r="WLC5" s="87"/>
      <c r="WLD5" s="87"/>
      <c r="WLE5" s="87"/>
      <c r="WLF5" s="87"/>
      <c r="WLG5" s="87"/>
      <c r="WLH5" s="87"/>
      <c r="WLI5" s="87"/>
      <c r="WLJ5" s="87"/>
      <c r="WLK5" s="87"/>
      <c r="WLL5" s="87"/>
      <c r="WLM5" s="87"/>
      <c r="WLN5" s="87"/>
      <c r="WLO5" s="87"/>
      <c r="WLP5" s="87"/>
      <c r="WLQ5" s="87"/>
      <c r="WLR5" s="87"/>
      <c r="WLS5" s="87"/>
      <c r="WLT5" s="87"/>
      <c r="WLU5" s="87"/>
      <c r="WLV5" s="87"/>
      <c r="WLW5" s="87"/>
      <c r="WLX5" s="87"/>
      <c r="WLY5" s="87"/>
      <c r="WLZ5" s="87"/>
      <c r="WMA5" s="87"/>
      <c r="WMB5" s="87"/>
      <c r="WMC5" s="87"/>
      <c r="WMD5" s="87"/>
      <c r="WME5" s="87"/>
      <c r="WMF5" s="87"/>
      <c r="WMG5" s="87"/>
      <c r="WMH5" s="87"/>
      <c r="WMI5" s="87"/>
      <c r="WMJ5" s="87"/>
      <c r="WMK5" s="87"/>
      <c r="WML5" s="87"/>
      <c r="WMM5" s="87"/>
      <c r="WMN5" s="87"/>
      <c r="WMO5" s="87"/>
      <c r="WMP5" s="87"/>
      <c r="WMQ5" s="87"/>
      <c r="WMR5" s="87"/>
      <c r="WMS5" s="87"/>
      <c r="WMT5" s="87"/>
      <c r="WMU5" s="87"/>
      <c r="WMV5" s="87"/>
      <c r="WMW5" s="87"/>
      <c r="WMX5" s="87"/>
      <c r="WMY5" s="87"/>
      <c r="WMZ5" s="87"/>
      <c r="WNA5" s="87"/>
      <c r="WNB5" s="87"/>
      <c r="WNC5" s="87"/>
      <c r="WND5" s="87"/>
      <c r="WNE5" s="87"/>
      <c r="WNF5" s="87"/>
      <c r="WNG5" s="87"/>
      <c r="WNH5" s="87"/>
      <c r="WNI5" s="87"/>
      <c r="WNJ5" s="87"/>
      <c r="WNK5" s="87"/>
      <c r="WNL5" s="87"/>
      <c r="WNM5" s="87"/>
      <c r="WNN5" s="87"/>
      <c r="WNO5" s="87"/>
      <c r="WNP5" s="87"/>
      <c r="WNQ5" s="87"/>
      <c r="WNR5" s="87"/>
      <c r="WNS5" s="87"/>
      <c r="WNT5" s="87"/>
      <c r="WNU5" s="87"/>
      <c r="WNV5" s="87"/>
      <c r="WNW5" s="87"/>
      <c r="WNX5" s="87"/>
      <c r="WNY5" s="87"/>
      <c r="WNZ5" s="87"/>
      <c r="WOA5" s="87"/>
      <c r="WOB5" s="87"/>
      <c r="WOC5" s="87"/>
      <c r="WOD5" s="87"/>
      <c r="WOE5" s="87"/>
      <c r="WOF5" s="87"/>
      <c r="WOG5" s="87"/>
      <c r="WOH5" s="87"/>
      <c r="WOI5" s="87"/>
      <c r="WOJ5" s="87"/>
      <c r="WOK5" s="87"/>
      <c r="WOL5" s="87"/>
      <c r="WOM5" s="87"/>
      <c r="WON5" s="87"/>
      <c r="WOO5" s="87"/>
      <c r="WOP5" s="87"/>
      <c r="WOQ5" s="87"/>
      <c r="WOR5" s="87"/>
      <c r="WOS5" s="87"/>
      <c r="WOT5" s="87"/>
      <c r="WOU5" s="87"/>
      <c r="WOV5" s="87"/>
      <c r="WOW5" s="87"/>
      <c r="WOX5" s="87"/>
      <c r="WOY5" s="87"/>
      <c r="WOZ5" s="87"/>
      <c r="WPA5" s="87"/>
      <c r="WPB5" s="87"/>
      <c r="WPC5" s="87"/>
      <c r="WPD5" s="87"/>
      <c r="WPE5" s="87"/>
      <c r="WPF5" s="87"/>
      <c r="WPG5" s="87"/>
      <c r="WPH5" s="87"/>
      <c r="WPI5" s="87"/>
      <c r="WPJ5" s="87"/>
      <c r="WPK5" s="87"/>
      <c r="WPL5" s="87"/>
      <c r="WPM5" s="87"/>
      <c r="WPN5" s="87"/>
      <c r="WPO5" s="87"/>
      <c r="WPP5" s="87"/>
      <c r="WPQ5" s="87"/>
      <c r="WPR5" s="87"/>
      <c r="WPS5" s="87"/>
      <c r="WPT5" s="87"/>
      <c r="WPU5" s="87"/>
      <c r="WPV5" s="87"/>
      <c r="WPW5" s="87"/>
      <c r="WPX5" s="87"/>
      <c r="WPY5" s="87"/>
      <c r="WPZ5" s="87"/>
      <c r="WQA5" s="87"/>
      <c r="WQB5" s="87"/>
      <c r="WQC5" s="87"/>
      <c r="WQD5" s="87"/>
      <c r="WQE5" s="87"/>
      <c r="WQF5" s="87"/>
      <c r="WQG5" s="87"/>
      <c r="WQH5" s="87"/>
      <c r="WQI5" s="87"/>
      <c r="WQJ5" s="87"/>
      <c r="WQK5" s="87"/>
      <c r="WQL5" s="87"/>
      <c r="WQM5" s="87"/>
      <c r="WQN5" s="87"/>
      <c r="WQO5" s="87"/>
      <c r="WQP5" s="87"/>
      <c r="WQQ5" s="87"/>
      <c r="WQR5" s="87"/>
      <c r="WQS5" s="87"/>
      <c r="WQT5" s="87"/>
      <c r="WQU5" s="87"/>
      <c r="WQV5" s="87"/>
      <c r="WQW5" s="87"/>
      <c r="WQX5" s="87"/>
      <c r="WQY5" s="87"/>
      <c r="WQZ5" s="87"/>
      <c r="WRA5" s="87"/>
      <c r="WRB5" s="87"/>
      <c r="WRC5" s="87"/>
      <c r="WRD5" s="87"/>
      <c r="WRE5" s="87"/>
      <c r="WRF5" s="87"/>
      <c r="WRG5" s="87"/>
      <c r="WRH5" s="87"/>
      <c r="WRI5" s="87"/>
      <c r="WRJ5" s="87"/>
      <c r="WRK5" s="87"/>
      <c r="WRL5" s="87"/>
      <c r="WRM5" s="87"/>
      <c r="WRN5" s="87"/>
      <c r="WRO5" s="87"/>
      <c r="WRP5" s="87"/>
      <c r="WRQ5" s="87"/>
      <c r="WRR5" s="87"/>
      <c r="WRS5" s="87"/>
      <c r="WRT5" s="87"/>
      <c r="WRU5" s="87"/>
      <c r="WRV5" s="87"/>
      <c r="WRW5" s="87"/>
      <c r="WRX5" s="87"/>
      <c r="WRY5" s="87"/>
      <c r="WRZ5" s="87"/>
      <c r="WSA5" s="87"/>
      <c r="WSB5" s="87"/>
      <c r="WSC5" s="87"/>
      <c r="WSD5" s="87"/>
      <c r="WSE5" s="87"/>
      <c r="WSF5" s="87"/>
      <c r="WSG5" s="87"/>
      <c r="WSH5" s="87"/>
      <c r="WSI5" s="87"/>
      <c r="WSJ5" s="87"/>
      <c r="WSK5" s="87"/>
      <c r="WSL5" s="87"/>
      <c r="WSM5" s="87"/>
      <c r="WSN5" s="87"/>
      <c r="WSO5" s="87"/>
      <c r="WSP5" s="87"/>
      <c r="WSQ5" s="87"/>
      <c r="WSR5" s="87"/>
      <c r="WSS5" s="87"/>
      <c r="WST5" s="87"/>
      <c r="WSU5" s="87"/>
      <c r="WSV5" s="87"/>
      <c r="WSW5" s="87"/>
      <c r="WSX5" s="87"/>
      <c r="WSY5" s="87"/>
      <c r="WSZ5" s="87"/>
      <c r="WTA5" s="87"/>
      <c r="WTB5" s="87"/>
      <c r="WTC5" s="87"/>
      <c r="WTD5" s="87"/>
      <c r="WTE5" s="87"/>
      <c r="WTF5" s="87"/>
      <c r="WTG5" s="87"/>
      <c r="WTH5" s="87"/>
      <c r="WTI5" s="87"/>
      <c r="WTJ5" s="87"/>
      <c r="WTK5" s="87"/>
      <c r="WTL5" s="87"/>
      <c r="WTM5" s="87"/>
      <c r="WTN5" s="87"/>
      <c r="WTO5" s="87"/>
      <c r="WTP5" s="87"/>
      <c r="WTQ5" s="87"/>
      <c r="WTR5" s="87"/>
      <c r="WTS5" s="87"/>
      <c r="WTT5" s="87"/>
      <c r="WTU5" s="87"/>
      <c r="WTV5" s="87"/>
      <c r="WTW5" s="87"/>
      <c r="WTX5" s="87"/>
      <c r="WTY5" s="87"/>
      <c r="WTZ5" s="87"/>
      <c r="WUA5" s="87"/>
      <c r="WUB5" s="87"/>
      <c r="WUC5" s="87"/>
      <c r="WUD5" s="87"/>
      <c r="WUE5" s="87"/>
      <c r="WUF5" s="87"/>
      <c r="WUG5" s="87"/>
      <c r="WUH5" s="87"/>
      <c r="WUI5" s="87"/>
      <c r="WUJ5" s="87"/>
      <c r="WUK5" s="87"/>
      <c r="WUL5" s="87"/>
      <c r="WUM5" s="87"/>
      <c r="WUN5" s="87"/>
      <c r="WUO5" s="87"/>
      <c r="WUP5" s="87"/>
      <c r="WUQ5" s="87"/>
      <c r="WUR5" s="87"/>
      <c r="WUS5" s="87"/>
      <c r="WUT5" s="87"/>
      <c r="WUU5" s="87"/>
      <c r="WUV5" s="87"/>
      <c r="WUW5" s="87"/>
      <c r="WUX5" s="87"/>
      <c r="WUY5" s="87"/>
      <c r="WUZ5" s="87"/>
      <c r="WVA5" s="87"/>
      <c r="WVB5" s="87"/>
      <c r="WVC5" s="87"/>
      <c r="WVD5" s="87"/>
      <c r="WVE5" s="87"/>
      <c r="WVF5" s="87"/>
      <c r="WVG5" s="87"/>
      <c r="WVH5" s="87"/>
      <c r="WVI5" s="87"/>
      <c r="WVJ5" s="87"/>
      <c r="WVK5" s="87"/>
      <c r="WVL5" s="87"/>
      <c r="WVM5" s="87"/>
      <c r="WVN5" s="87"/>
      <c r="WVO5" s="87"/>
      <c r="WVP5" s="87"/>
      <c r="WVQ5" s="87"/>
      <c r="WVR5" s="87"/>
      <c r="WVS5" s="87"/>
      <c r="WVT5" s="87"/>
      <c r="WVU5" s="87"/>
      <c r="WVV5" s="87"/>
      <c r="WVW5" s="87"/>
      <c r="WVX5" s="87"/>
      <c r="WVY5" s="87"/>
      <c r="WVZ5" s="87"/>
      <c r="WWA5" s="87"/>
      <c r="WWB5" s="87"/>
      <c r="WWC5" s="87"/>
      <c r="WWD5" s="87"/>
      <c r="WWE5" s="87"/>
      <c r="WWF5" s="87"/>
      <c r="WWG5" s="87"/>
      <c r="WWH5" s="87"/>
      <c r="WWI5" s="87"/>
      <c r="WWJ5" s="87"/>
      <c r="WWK5" s="87"/>
      <c r="WWL5" s="87"/>
      <c r="WWM5" s="87"/>
      <c r="WWN5" s="87"/>
      <c r="WWO5" s="87"/>
      <c r="WWP5" s="87"/>
      <c r="WWQ5" s="87"/>
      <c r="WWR5" s="87"/>
      <c r="WWS5" s="87"/>
      <c r="WWT5" s="87"/>
      <c r="WWU5" s="87"/>
      <c r="WWV5" s="87"/>
      <c r="WWW5" s="87"/>
      <c r="WWX5" s="87"/>
      <c r="WWY5" s="87"/>
      <c r="WWZ5" s="87"/>
      <c r="WXA5" s="87"/>
      <c r="WXB5" s="87"/>
      <c r="WXC5" s="87"/>
      <c r="WXD5" s="87"/>
      <c r="WXE5" s="87"/>
      <c r="WXF5" s="87"/>
      <c r="WXG5" s="87"/>
      <c r="WXH5" s="87"/>
      <c r="WXI5" s="87"/>
      <c r="WXJ5" s="87"/>
      <c r="WXK5" s="87"/>
      <c r="WXL5" s="87"/>
      <c r="WXM5" s="87"/>
      <c r="WXN5" s="87"/>
      <c r="WXO5" s="87"/>
      <c r="WXP5" s="87"/>
      <c r="WXQ5" s="87"/>
      <c r="WXR5" s="87"/>
      <c r="WXS5" s="87"/>
      <c r="WXT5" s="87"/>
      <c r="WXU5" s="87"/>
      <c r="WXV5" s="87"/>
      <c r="WXW5" s="87"/>
      <c r="WXX5" s="87"/>
      <c r="WXY5" s="87"/>
      <c r="WXZ5" s="87"/>
      <c r="WYA5" s="87"/>
      <c r="WYB5" s="87"/>
      <c r="WYC5" s="87"/>
      <c r="WYD5" s="87"/>
      <c r="WYE5" s="87"/>
      <c r="WYF5" s="87"/>
      <c r="WYG5" s="87"/>
      <c r="WYH5" s="87"/>
      <c r="WYI5" s="87"/>
      <c r="WYJ5" s="87"/>
      <c r="WYK5" s="87"/>
      <c r="WYL5" s="87"/>
      <c r="WYM5" s="87"/>
      <c r="WYN5" s="87"/>
      <c r="WYO5" s="87"/>
      <c r="WYP5" s="87"/>
      <c r="WYQ5" s="87"/>
      <c r="WYR5" s="87"/>
      <c r="WYS5" s="87"/>
      <c r="WYT5" s="87"/>
      <c r="WYU5" s="87"/>
      <c r="WYV5" s="87"/>
      <c r="WYW5" s="87"/>
      <c r="WYX5" s="87"/>
      <c r="WYY5" s="87"/>
      <c r="WYZ5" s="87"/>
      <c r="WZA5" s="87"/>
      <c r="WZB5" s="87"/>
      <c r="WZC5" s="87"/>
      <c r="WZD5" s="87"/>
      <c r="WZE5" s="87"/>
      <c r="WZF5" s="87"/>
      <c r="WZG5" s="87"/>
      <c r="WZH5" s="87"/>
      <c r="WZI5" s="87"/>
      <c r="WZJ5" s="87"/>
      <c r="WZK5" s="87"/>
      <c r="WZL5" s="87"/>
      <c r="WZM5" s="87"/>
      <c r="WZN5" s="87"/>
      <c r="WZO5" s="87"/>
      <c r="WZP5" s="87"/>
      <c r="WZQ5" s="87"/>
      <c r="WZR5" s="87"/>
      <c r="WZS5" s="87"/>
      <c r="WZT5" s="87"/>
      <c r="WZU5" s="87"/>
      <c r="WZV5" s="87"/>
      <c r="WZW5" s="87"/>
      <c r="WZX5" s="87"/>
      <c r="WZY5" s="87"/>
      <c r="WZZ5" s="87"/>
      <c r="XAA5" s="87"/>
      <c r="XAB5" s="87"/>
      <c r="XAC5" s="87"/>
      <c r="XAD5" s="87"/>
      <c r="XAE5" s="87"/>
      <c r="XAF5" s="87"/>
      <c r="XAG5" s="87"/>
      <c r="XAH5" s="87"/>
      <c r="XAI5" s="87"/>
      <c r="XAJ5" s="87"/>
      <c r="XAK5" s="87"/>
      <c r="XAL5" s="87"/>
      <c r="XAM5" s="87"/>
      <c r="XAN5" s="87"/>
      <c r="XAO5" s="87"/>
      <c r="XAP5" s="87"/>
      <c r="XAQ5" s="87"/>
      <c r="XAR5" s="87"/>
      <c r="XAS5" s="87"/>
      <c r="XAT5" s="87"/>
      <c r="XAU5" s="87"/>
      <c r="XAV5" s="87"/>
      <c r="XAW5" s="87"/>
      <c r="XAX5" s="87"/>
      <c r="XAY5" s="87"/>
      <c r="XAZ5" s="87"/>
      <c r="XBA5" s="87"/>
      <c r="XBB5" s="87"/>
      <c r="XBC5" s="87"/>
      <c r="XBD5" s="87"/>
      <c r="XBE5" s="87"/>
      <c r="XBF5" s="87"/>
      <c r="XBG5" s="87"/>
      <c r="XBH5" s="87"/>
      <c r="XBI5" s="87"/>
      <c r="XBJ5" s="87"/>
      <c r="XBK5" s="87"/>
      <c r="XBL5" s="87"/>
      <c r="XBM5" s="87"/>
      <c r="XBN5" s="87"/>
      <c r="XBO5" s="87"/>
      <c r="XBP5" s="87"/>
      <c r="XBQ5" s="87"/>
      <c r="XBR5" s="87"/>
      <c r="XBS5" s="87"/>
      <c r="XBT5" s="87"/>
      <c r="XBU5" s="87"/>
      <c r="XBV5" s="87"/>
      <c r="XBW5" s="87"/>
      <c r="XBX5" s="87"/>
      <c r="XBY5" s="87"/>
      <c r="XBZ5" s="87"/>
      <c r="XCA5" s="87"/>
      <c r="XCB5" s="87"/>
      <c r="XCC5" s="87"/>
      <c r="XCD5" s="87"/>
      <c r="XCE5" s="87"/>
      <c r="XCF5" s="87"/>
      <c r="XCG5" s="87"/>
      <c r="XCH5" s="87"/>
      <c r="XCI5" s="87"/>
      <c r="XCJ5" s="87"/>
      <c r="XCK5" s="87"/>
      <c r="XCL5" s="87"/>
      <c r="XCM5" s="87"/>
      <c r="XCN5" s="87"/>
      <c r="XCO5" s="87"/>
      <c r="XCP5" s="87"/>
      <c r="XCQ5" s="87"/>
      <c r="XCR5" s="87"/>
      <c r="XCS5" s="87"/>
      <c r="XCT5" s="87"/>
      <c r="XCU5" s="87"/>
      <c r="XCV5" s="87"/>
    </row>
    <row r="6" spans="1:16324" ht="14.5">
      <c r="A6" s="102">
        <v>11</v>
      </c>
      <c r="B6" s="94">
        <v>100</v>
      </c>
      <c r="C6" s="103" t="s">
        <v>884</v>
      </c>
      <c r="D6" s="100" t="s">
        <v>885</v>
      </c>
      <c r="E6" s="95">
        <v>220</v>
      </c>
      <c r="F6" s="19" t="s">
        <v>888</v>
      </c>
      <c r="G6" s="96">
        <v>1</v>
      </c>
      <c r="H6" s="96">
        <f t="shared" ref="H6:H42" si="0">IF(E6&lt;=230,(G6)/((E6/1000)*J6*(B6/100)),(G6)/(1.732*(E6/1000)*J6*(B6/100)))</f>
        <v>4.5454545454545459</v>
      </c>
      <c r="I6" s="95">
        <v>1</v>
      </c>
      <c r="J6" s="96">
        <v>1</v>
      </c>
      <c r="K6" s="96">
        <v>0</v>
      </c>
      <c r="L6" s="97">
        <f t="shared" ref="L6" si="1">I6*G6</f>
        <v>1</v>
      </c>
      <c r="M6" s="97">
        <f t="shared" ref="M6" si="2">I6*G6*K6</f>
        <v>0</v>
      </c>
      <c r="N6" s="97">
        <f t="shared" ref="N6" si="3">1*G6^2</f>
        <v>1</v>
      </c>
      <c r="O6" s="97"/>
      <c r="P6" s="97"/>
      <c r="Q6" s="97"/>
      <c r="R6" s="97"/>
      <c r="S6" s="97"/>
      <c r="T6" s="97"/>
      <c r="U6" s="86">
        <f>10*1.2</f>
        <v>12</v>
      </c>
      <c r="V6" s="86">
        <f t="shared" ref="V6" si="4">7*H6</f>
        <v>31.81818181818182</v>
      </c>
      <c r="W6" s="116" t="s">
        <v>872</v>
      </c>
      <c r="X6" s="87" t="s">
        <v>300</v>
      </c>
      <c r="Y6" s="87">
        <f t="shared" ref="Y6" si="5">IF(U6&lt;=6,6,IF(U6&lt;=10,10,IF(U6&lt;=16,16,IF(U6&lt;=20,20,IF(U6&lt;=25,25,IF(U6&lt;=32,32,IF(U6&lt;=40,40,IF(U6&lt;=50,50,IF(U6&lt;=63,63,"др.выкл")))))))))</f>
        <v>16</v>
      </c>
      <c r="Z6" s="87" t="str">
        <f>INDEX(автоматы!$B$3:$D$11,MATCH(Y6,автоматы!$A$3:$A$11,0),MATCH(X6,кол_пол,0))</f>
        <v>EZ9F34116</v>
      </c>
      <c r="AA6" s="87">
        <f t="shared" ref="AA6" si="6">IF(U6&lt;=0.16,0.16,IF(U6&lt;=0.25,0.25,IF(U6&lt;=0.4,0.4,IF(U6&lt;=0.63,0.63,IF(U6&lt;=1,1,IF(U6&lt;=1.6,1.6,IF(U6&lt;=2.5,2.5,IF(U6&lt;=4,4,IF(U6&lt;=6.3,6.3,IF(U6&lt;=10,10,IF(U6&lt;=14,14,IF(U6&lt;=18,18,IF(U6&lt;=23,23,IF(U6&lt;=25,25,IF(U6&lt;=32,32,"др.авт")))))))))))))))</f>
        <v>14</v>
      </c>
      <c r="AB6" s="87" t="str">
        <f>VLOOKUP(AA6,автоматы!$H$3:$I$17,2,0)</f>
        <v>GZ1 E16</v>
      </c>
      <c r="AC6" s="87">
        <f t="shared" ref="AC6" si="7">IF(U6&lt;=20,20,IF(U6&lt;=25,25,IF(U6&lt;=32,32,IF(U6&lt;=40,40,IF(U6&lt;=50,50,IF(U6&lt;=63,63,IF(U6&lt;=80,80,IF(U6&lt;=100,100,IF(U6&lt;=125,125,IF(U6&lt;=160,160,IF(U6&lt;=200,200,IF(U6&lt;=250,250,IF(U6&lt;=300,300,IF(U6&lt;=320,320,IF(U6&lt;=400,400,IF(U6&lt;=500,500,IF(U6&lt;=630,630,"др.авт")))))))))))))))))</f>
        <v>20</v>
      </c>
      <c r="AD6" s="87" t="str">
        <f>VLOOKUP(AC6,автоматы!$N$3:$O$19,2,0)</f>
        <v>LZMB1-A20-I</v>
      </c>
      <c r="AE6" s="88">
        <f t="shared" ref="AE6" si="8">IF(U6&lt;=6,6,IF(U6&lt;=10,10,IF(U6&lt;=16,16,IF(U6&lt;=20,20,IF(U6&lt;=25,25,IF(U6&lt;=32,32,IF(U6&lt;=40,40,IF(U6&lt;=50,50,IF(U6&lt;=63,63,"др.выкл")))))))))</f>
        <v>16</v>
      </c>
      <c r="AF6" s="87" t="str">
        <f>INDEX(автоматы!$T$2:$V$15,MATCH(AE6,автоматы!$S$2:$S$15,0),MATCH(X6,автоматы!$T$1:$V$1,0))</f>
        <v>iC60N C16 1P</v>
      </c>
      <c r="AG6" s="87">
        <f t="shared" ref="AG6" si="9">IF(U6&lt;=6,6,IF(U6&lt;=10,10,IF(U6&lt;=16,16,IF(U6&lt;=20,20,IF(U6&lt;=25,25,IF(U6&lt;=32,32,IF(U6&lt;=40,40,"др.выкл")))))))</f>
        <v>16</v>
      </c>
      <c r="AH6" s="87" t="str">
        <f>VLOOKUP(AG6,автоматы!$Z$3:$AA$9,2,0)</f>
        <v>A9D31616</v>
      </c>
      <c r="AI6" s="2">
        <f t="shared" ref="AI6" si="10">IF(U6&lt;=15,15,IF(U6&lt;=16,16,IF(U6&lt;=20,20,IF(U6&lt;=25,25,IF(U6&lt;=32,32,IF(U6&lt;=40,40,IF(U6&lt;=45,45,IF(U6&lt;=50,50,IF(U6&lt;=60,60,IF(U6&lt;=63,63,IF(U6&lt;=75,75,IF(U6&lt;=80,80,IF(U6&lt;=100,100,IF(U6&lt;=125,125,IF(U6&lt;=150,150,IF(U6&lt;=160,160,IF(U6&lt;=175,175,IF(U6&lt;=200,200,IF(U6&lt;=225,225,IF(U6&lt;=250,250,IF(U6&lt;=320,320,IF(U6&lt;=350,350,IF(U6&lt;=400,400,"др.выкл")))))))))))))))))))))))</f>
        <v>15</v>
      </c>
      <c r="AJ6" t="str">
        <f>VLOOKUP(AI6,автоматы!$AE$3:$AF$26,2,0)</f>
        <v>EZC100F3015</v>
      </c>
      <c r="AK6" s="3">
        <f t="shared" ref="AK6" si="11">IF(U6&lt;=0.16,0.16,IF(U6&lt;=0.25,0.25,IF(U6&lt;=0.4,0.4,IF(U6&lt;=0.63,0.63,IF(U6&lt;=1,1,IF(U6&lt;=1.6,1.6,IF(U6&lt;=2.5,2.5,IF(U6&lt;=4,4,IF(U6&lt;=6.3,6.3,IF(U6&lt;=10,10,IF(U6&lt;=14,14,IF(U6&lt;=18,18,IF(U6&lt;=23,23,IF(U6&lt;=25,25,IF(U6&lt;=32,32,"др.авт")))))))))))))))</f>
        <v>14</v>
      </c>
      <c r="AL6" t="str">
        <f>VLOOKUP(AK6,DEKraft!$I$2:$J$16,2,0)</f>
        <v>21230DEK</v>
      </c>
      <c r="AM6">
        <f t="shared" ref="AM6" si="12">IF(U6&lt;=0.16,0.16,IF(U6&lt;=0.25,0.25,IF(U6&lt;=0.4,0.4,IF(U6&lt;=0.63,0.63,IF(U6&lt;=1,1,IF(U6&lt;=1.6,1.6,IF(U6&lt;=2.5,2.5,IF(U6&lt;=4,4,IF(U6&lt;=6.3,6.3,IF(U6&lt;=10,10,IF(U6&lt;=14,14,IF(U6&lt;=18,18,IF(U6&lt;=23,23,IF(U6&lt;=25,25,IF(U6&lt;=32,32,"др.авт")))))))))))))))</f>
        <v>14</v>
      </c>
      <c r="AN6" t="str">
        <f>VLOOKUP(AM6,systeme!$A$33:$B$47,2,0)</f>
        <v>GM2ME16</v>
      </c>
      <c r="AO6">
        <f t="shared" ref="AO6" si="13">IF(U6&lt;=0.16,0.16,IF(U6&lt;=0.25,0.25,IF(U6&lt;=0.4,0.4,IF(U6&lt;=0.63,0.63,IF(U6&lt;=1,1,IF(U6&lt;=1.6,1.6,IF(U6&lt;=2.5,2.5,IF(U6&lt;=4,4,IF(U6&lt;=6.3,6.3,IF(U6&lt;=10,10,IF(U6&lt;=14,14,IF(U6&lt;=18,18,IF(U6&lt;=23,23,IF(U6&lt;=25,25,IF(U6&lt;=32,32,"др.авт")))))))))))))))</f>
        <v>14</v>
      </c>
      <c r="AP6">
        <f>VLOOKUP(AO6,chint!$A$34:$B$48,2,0)</f>
        <v>495082</v>
      </c>
      <c r="AQ6" s="3">
        <f t="shared" ref="AQ6" si="14">IF(U6&lt;=6,6,IF(U6&lt;=10,10,IF(U6&lt;=16,16,IF(U6&lt;=20,20,IF(U6&lt;=25,25,IF(U6&lt;=32,32,IF(U6&lt;=40,40,IF(U6&lt;=50,50,IF(U6&lt;=63,63,"др.выкл")))))))))</f>
        <v>16</v>
      </c>
      <c r="AR6" t="str">
        <f>INDEX(DEKraft!$B$2:$D$13,MATCH(AQ6,DEKraft!$A$2:$A$13,0),MATCH(X6,DEKraft!$B$1:$D$1,0))</f>
        <v>13153DEK</v>
      </c>
      <c r="AS6" t="str">
        <f>INDEX(DEKraft!$B$21:$D$32,MATCH(AQ6,DEKraft!$A$21:$A$32,0),MATCH(X6,DEKraft!$B$20:$D$20,0))</f>
        <v>12273DEK</v>
      </c>
      <c r="AT6" t="str">
        <f>INDEX(systeme!$B$2:$D$10,MATCH(AQ6,systeme!$A$2:$A$10,0),MATCH(X6,systeme!$B$1:$D$1,0))</f>
        <v>C9F36116</v>
      </c>
      <c r="AU6">
        <f>INDEX(chint!$B$2:$D$10,MATCH(AQ6,chint!$A$2:$A$10,0),MATCH(X6,chint!$B$1:$D$1,0))</f>
        <v>179616</v>
      </c>
      <c r="AV6" s="3">
        <f t="shared" ref="AV6" si="15">IF(U6&lt;=6,6,IF(U6&lt;=10,10,IF(U6&lt;=16,16,IF(U6&lt;=20,20,IF(U6&lt;=25,25,IF(U6&lt;=32,32,IF(U6&lt;=40,40,"др.выкл")))))))</f>
        <v>16</v>
      </c>
      <c r="AW6" t="str">
        <f>VLOOKUP(AV6,DEKraft!$A$41:$B$47,2,0)</f>
        <v>16204DEK</v>
      </c>
      <c r="AX6">
        <f t="shared" ref="AX6" si="16">IF(U6&lt;=10,10,IF(U6&lt;=16,16,IF(U6&lt;=20,20,IF(U6&lt;=25,25,IF(U6&lt;=32,32,IF(U6&lt;=40,40,"др.выкл"))))))</f>
        <v>16</v>
      </c>
      <c r="AY6" t="str">
        <f>VLOOKUP(AX6,systeme!$G$2:$H$7,2,0)</f>
        <v>C9D36616</v>
      </c>
      <c r="AZ6">
        <f t="shared" ref="AZ6" si="17">IF(U6&lt;=6,6,IF(U6&lt;=10,10,IF(U6&lt;=16,16,IF(U6&lt;=20,20,IF(U6&lt;=25,25,IF(U6&lt;=32,32,IF(U6&lt;=40,40,"др.выкл")))))))</f>
        <v>16</v>
      </c>
      <c r="BA6">
        <f>VLOOKUP(AV6,chint!$G$2:$H$8,2,0)</f>
        <v>689002</v>
      </c>
      <c r="BB6" s="3">
        <f t="shared" ref="BB6" si="18">IF(U6&lt;=25,25,IF(U6&lt;=32,32,IF(U6&lt;=40,40,IF(U6&lt;=50,50,IF(U6&lt;=63,63,IF(U6&lt;=80,80,IF(U6&lt;=100,100,IF(U6&lt;=125,125,IF(U6&lt;=140,140,IF(U6&lt;=160,160,IF(U6&lt;=200,200,IF(U6&lt;=250,250,IF(U6&lt;=320,320,IF(U6&lt;=400,400,IF(U6&lt;=500,500,IF(U6&lt;=630,630,"др.выкл"))))))))))))))))</f>
        <v>25</v>
      </c>
      <c r="BC6" t="str">
        <f>VLOOKUP(BB6,DEKraft!$I$21:$J$36,2,0)</f>
        <v>28100DEK</v>
      </c>
      <c r="BD6">
        <f t="shared" ref="BD6" si="19">IF(U6&lt;=16,16,IF(U6&lt;=25,25,IF(U6&lt;=32,32,IF(U6&lt;=40,40,IF(U6&lt;=50,50,IF(U6&lt;=63,63,IF(U6&lt;=80,80,IF(U6&lt;=100,100,IF(U6&lt;=125,125,IF(U6&lt;=160,160,IF(U6&lt;=200,200,IF(U6&lt;=250,250,IF(U6&lt;=400,400,IF(U6&lt;=500,500,IF(U6&lt;=600,600,"др.авт")))))))))))))))</f>
        <v>16</v>
      </c>
      <c r="BE6" t="str">
        <f>VLOOKUP(BD6,systeme!$A$16:$B$30,2,0)</f>
        <v>SPC100F016L3DF</v>
      </c>
      <c r="BF6">
        <f t="shared" ref="BF6" si="20">IF(U6&lt;=16,16,IF(U6&lt;=25,25,IF(U6&lt;=32,32,IF(U6&lt;=40,40,IF(U6&lt;=50,50,IF(U6&lt;=63,63,IF(U6&lt;=80,80,IF(U6&lt;=100,100,IF(U6&lt;=125,125,IF(U6&lt;=160,160,IF(U6&lt;=200,200,IF(U6&lt;=225,225,IF(U6&lt;=250,250,IF(U6&lt;=315,315,IF(U6&lt;=350,350,IF(U6&lt;=400,400,IF(U6&lt;=500,500,IF(U6&lt;=630,630,"др.выкл"))))))))))))))))))</f>
        <v>16</v>
      </c>
      <c r="BG6" s="4">
        <f>VLOOKUP(BF6,chint!$A$14:$B$31,2,0)</f>
        <v>271581</v>
      </c>
      <c r="BH6">
        <f t="shared" ref="BH6" si="21">IF(U6&lt;=6,6,IF(U6&lt;=10,10,IF(U6&lt;=16,16,IF(U6&lt;=20,20,IF(U6&lt;=25,25,IF(U6&lt;=32,32,IF(U6&lt;=40,40,IF(U6&lt;=50,50,IF(U6&lt;=63,63,"др.выкл")))))))))</f>
        <v>16</v>
      </c>
      <c r="BI6" t="str">
        <f>INDEX(КЭАЗ!$B$2:$E$14,MATCH(BH6,КЭАЗ!$A$2:$A$14,0),MATCH(X6,КЭАЗ!$B$1:$D$1,0))</f>
        <v>kea.341881</v>
      </c>
      <c r="BJ6">
        <f t="shared" ref="BJ6" si="22">IF(U6&lt;=6,6,IF(U6&lt;=10,10,IF(U6&lt;=16,16,IF(U6&lt;=20,20,IF(U6&lt;=25,25,IF(U6&lt;=32,32,IF(U6&lt;=40,40,IF(U6&lt;=50,50,IF(U6&lt;=63,63,IF(U6&lt;=80,80,IF(U6&lt;=100,100,IF(U6&lt;=125,125,"др.выкл"))))))))))))</f>
        <v>16</v>
      </c>
      <c r="BK6" t="str">
        <f>INDEX(hy!$B$2:$D$18,MATCH(BJ6,hy!$A$2:$A$18,0),MATCH(X6,hy!$B$1:$D$1,0))</f>
        <v>HGD63M 1PMCS0000C 00016</v>
      </c>
      <c r="BL6" t="str">
        <f>VLOOKUP(BJ6,hy!$G$2:$H$15,2,0)</f>
        <v>HRO63M 1NG4С0000C00016G</v>
      </c>
      <c r="BM6">
        <f t="shared" ref="BM6" si="23">IF(U6&lt;=0.16,0.16,IF(U6&lt;=0.25,0.25,IF(U6&lt;=0.4,0.4,IF(U6&lt;=0.63,0.63,IF(U6&lt;=1,1,IF(U6&lt;=1.6,1.6,IF(U6&lt;=2.5,2.5,IF(U6&lt;=4,4,IF(U6&lt;=6.3,6.3,IF(U6&lt;=10,10,IF(U6&lt;=14,14,IF(U6&lt;=18,18,IF(U6&lt;=23,23,IF(U6&lt;=25,25,IF(U6&lt;=32,32,"др.авт")))))))))))))))</f>
        <v>14</v>
      </c>
      <c r="BN6" t="str">
        <f>VLOOKUP(BM6,hy!$A$41:$B$55,2,0)</f>
        <v>MMS32K 0014</v>
      </c>
      <c r="BO6">
        <f t="shared" ref="BO6" si="24">IF(U6&lt;=100,100,IF(U6&lt;=125,125,IF(U6&lt;=150,150,IF(U6&lt;=160,160,IF(U6&lt;=175,175,IF(U6&lt;=200,200,IF(U6&lt;=225,225,IF(U6&lt;=250,250,IF(U6&lt;=300,300,IF(U6&lt;=350,350,IF(U6&lt;=400,400,IF(U6&lt;=500,500,IF(U6&lt;=630,630,IF(U6&lt;=700,700,IF(U6&lt;=800,800,"др.выкл")))))))))))))))</f>
        <v>100</v>
      </c>
      <c r="BP6" t="str">
        <f>VLOOKUP(BO6,hy!$A$21:$B$35,2,0)</f>
        <v>HGP100S-G 3PT4S0000C 00100H</v>
      </c>
      <c r="BQ6" s="89">
        <f>IF($W6=автоматы!$D$45,Z6,IF($W6=автоматы!$D$46,AF6,IF($W6=автоматы!$D$47,AH6,IF($W6=автоматы!$D$48,AB6,IF($W6=автоматы!$D$49,AJ6,IF($W6=автоматы!$D$50,AD6,IF($W6=автоматы!$D$51,BI6,IF($W6=автоматы!$D$52,AR6,IF($W6=автоматы!$D$53,AS6,IF($W6=автоматы!$D$54,AW6,IF($W6=автоматы!$D$55,AL6,IF($W6=автоматы!$D$56,BC6,IF($W6=автоматы!$D$57,AT6,IF($W6=автоматы!$D$58,AY6,IF($W6=автоматы!$D$59,AN6,IF($W6=автоматы!$D$60,BE6,IF($W6=автоматы!$D$61,AU6,IF($W6=автоматы!$D$62,BA6,IF($W6=автоматы!$D$63,AP6,IF($W6=автоматы!$D$64,BG6,IF($W6=автоматы!$D$65,BK6,IF($W6=автоматы!$D$66,BL6,IF($W6=автоматы!$D$67,BN6,IF($W6=автоматы!$D$68,BP6,"др"))))))))))))))))))))))))</f>
        <v>179616</v>
      </c>
      <c r="BR6" s="89">
        <f>IF($W6=автоматы!$D$45,Y6,IF($W6=автоматы!$D$46,AE6,IF($W6=автоматы!$D$47,AG6,IF($W6=автоматы!$D$48,AA6,IF($W6=автоматы!$D$49,AI6,IF($W6=автоматы!$D$50,AC6,IF($W6=автоматы!$D$51,BH6,IF($W6=автоматы!$D$52,AQ6,IF($W6=автоматы!$D$53,AQ6,IF($W6=автоматы!$D$54,AV6,IF($W6=автоматы!$D$55,AK6,IF($W6=автоматы!$D$56,BB6,IF($W6=автоматы!$D$57,AQ6,IF($W6=автоматы!$D$58,AX6,IF($W6=автоматы!$D$59,AM6,IF($W6=автоматы!$D$60,BD6,IF($W6=автоматы!$D$61,AQ6,IF($W6=автоматы!$D$62,AZ6,IF($W6=автоматы!$D$63,AO6,IF($W6=автоматы!$D$64,BF6,IF($W6=автоматы!$D$65,BJ6,IF($W6=автоматы!$D$66,BJ6,IF($W6=автоматы!$D$67,BM6,IF($W6=автоматы!$D$68,BO6,"др"))))))))))))))))))))))))</f>
        <v>16</v>
      </c>
      <c r="BS6" s="89" t="str">
        <f>CONCATENATE(IF($W6=автоматы!$A$1,Y6,IF($W6=автоматы!$H$1,VLOOKUP(AA6,автоматы!$H$3:$K$17,3,0),IF($W6=автоматы!$N$1,VLOOKUP(AC6,автоматы!$N$3:$Q$19,3,0),IF($W6=автоматы!$S$17,AE6,IF($W6=автоматы!$Z$1,AG6,IF($W6=автоматы!$AE$1,AI6,"др"))))))," А")</f>
        <v>др А</v>
      </c>
      <c r="BT6" s="89" t="str">
        <f>IF($W6=автоматы!$A$1,Y6*10,IF($W6=автоматы!$H$1,VLOOKUP(AA6,автоматы!$H$3:$K$17,4,0),IF($W6=автоматы!$N$1,VLOOKUP(AC6,автоматы!$N$3:$Q$19,4,0),IF($W6=автоматы!$S$17,AE6*10,IF($W6=автоматы!$Z$1,AG6*10,IF($W6=автоматы!$AE$1,AI6*10,"др"))))))</f>
        <v>др</v>
      </c>
      <c r="BU6" s="85"/>
      <c r="BV6" s="90" t="s">
        <v>147</v>
      </c>
      <c r="BW6" s="90">
        <v>1</v>
      </c>
      <c r="BX6" s="91">
        <v>3</v>
      </c>
      <c r="BY6" s="92">
        <v>2.5</v>
      </c>
      <c r="BZ6" s="91">
        <f>HLOOKUP(BV6,каталог!$CG$1:$CO$22,MATCH(BY6,каталог!$CF$1:$CF$22,0),0)*BW6</f>
        <v>25</v>
      </c>
      <c r="CA6" s="87" t="str">
        <f t="shared" ref="CA6" si="25">CONCATENATE("н",C6,"")</f>
        <v>нШУК</v>
      </c>
      <c r="CB6" s="87" t="str">
        <f t="shared" ref="CB6" si="26">CONCATENATE(BV6," ",BX6,"x",BY6)</f>
        <v>ВВГнг(А)-LS 3x2,5</v>
      </c>
      <c r="CC6" s="87"/>
      <c r="CD6" s="87"/>
      <c r="CE6" s="87"/>
      <c r="CF6" s="87"/>
      <c r="CG6" s="87"/>
      <c r="CH6" s="87"/>
      <c r="CI6" s="87"/>
      <c r="CJ6" s="87"/>
      <c r="CK6" s="87"/>
      <c r="CL6" s="87"/>
      <c r="CM6" s="87"/>
      <c r="CN6" s="87"/>
      <c r="CO6" s="87"/>
      <c r="CP6" s="87"/>
      <c r="CQ6" s="87"/>
      <c r="CR6" s="87"/>
      <c r="CS6" s="87"/>
      <c r="CT6" s="87"/>
      <c r="CU6" s="87"/>
      <c r="CV6" s="87"/>
      <c r="CW6" s="87"/>
      <c r="CX6" s="87"/>
      <c r="CY6" s="87"/>
      <c r="CZ6" s="87"/>
      <c r="DA6" s="87"/>
      <c r="DB6" s="87"/>
      <c r="DC6" s="87"/>
      <c r="DD6" s="87"/>
      <c r="DE6" s="87"/>
      <c r="DF6" s="87"/>
      <c r="DG6" s="87"/>
      <c r="DH6" s="87"/>
      <c r="DI6" s="87"/>
      <c r="DJ6" s="87"/>
      <c r="DK6" s="87"/>
      <c r="DL6" s="87"/>
      <c r="DM6" s="87"/>
      <c r="DN6" s="87"/>
      <c r="DO6" s="87"/>
      <c r="DP6" s="87"/>
      <c r="DQ6" s="87"/>
      <c r="DR6" s="87"/>
      <c r="DS6" s="87"/>
      <c r="DT6" s="87"/>
      <c r="DU6" s="87"/>
      <c r="DV6" s="87"/>
      <c r="DW6" s="87"/>
      <c r="DX6" s="87"/>
      <c r="DY6" s="87"/>
      <c r="DZ6" s="87"/>
      <c r="EA6" s="87"/>
      <c r="EB6" s="87"/>
      <c r="EC6" s="87"/>
      <c r="ED6" s="87"/>
      <c r="EE6" s="87"/>
      <c r="EF6" s="87"/>
      <c r="EG6" s="87"/>
      <c r="EH6" s="87"/>
      <c r="EI6" s="87"/>
      <c r="EJ6" s="87"/>
      <c r="EK6" s="87"/>
      <c r="EL6" s="87"/>
      <c r="EM6" s="87"/>
      <c r="EN6" s="87"/>
      <c r="EO6" s="87"/>
      <c r="EP6" s="87"/>
      <c r="EQ6" s="87"/>
      <c r="ER6" s="87"/>
      <c r="ES6" s="87"/>
      <c r="ET6" s="87"/>
      <c r="EU6" s="87"/>
      <c r="EV6" s="87"/>
      <c r="EW6" s="87"/>
      <c r="EX6" s="87"/>
      <c r="EY6" s="87"/>
      <c r="EZ6" s="87"/>
      <c r="FA6" s="87"/>
      <c r="FB6" s="87"/>
      <c r="FC6" s="87"/>
      <c r="FD6" s="87"/>
      <c r="FE6" s="87"/>
      <c r="FF6" s="87"/>
      <c r="FG6" s="87"/>
      <c r="FH6" s="87"/>
      <c r="FI6" s="87"/>
      <c r="FJ6" s="87"/>
      <c r="FK6" s="87"/>
      <c r="FL6" s="87"/>
      <c r="FM6" s="87"/>
      <c r="FN6" s="87"/>
      <c r="FO6" s="87"/>
      <c r="FP6" s="87"/>
      <c r="FQ6" s="87"/>
      <c r="FR6" s="87"/>
      <c r="FS6" s="87"/>
      <c r="FT6" s="87"/>
      <c r="FU6" s="87"/>
      <c r="FV6" s="87"/>
      <c r="FW6" s="87"/>
      <c r="FX6" s="87"/>
      <c r="FY6" s="87"/>
      <c r="FZ6" s="87"/>
      <c r="GA6" s="87"/>
      <c r="GB6" s="87"/>
      <c r="GC6" s="87"/>
      <c r="GD6" s="87"/>
      <c r="GE6" s="87"/>
      <c r="GF6" s="87"/>
      <c r="GG6" s="87"/>
      <c r="GH6" s="87"/>
      <c r="GI6" s="87"/>
      <c r="GJ6" s="87"/>
      <c r="GK6" s="87"/>
      <c r="GL6" s="87"/>
      <c r="GM6" s="87"/>
      <c r="GN6" s="87"/>
      <c r="GO6" s="87"/>
      <c r="GP6" s="87"/>
      <c r="GQ6" s="87"/>
      <c r="GR6" s="87"/>
      <c r="GS6" s="87"/>
      <c r="GT6" s="87"/>
      <c r="GU6" s="87"/>
      <c r="GV6" s="87"/>
      <c r="GW6" s="87"/>
      <c r="GX6" s="87"/>
      <c r="GY6" s="87"/>
      <c r="GZ6" s="87"/>
      <c r="HA6" s="87"/>
      <c r="HB6" s="87"/>
      <c r="HC6" s="87"/>
      <c r="HD6" s="87"/>
      <c r="HE6" s="87"/>
      <c r="HF6" s="87"/>
      <c r="HG6" s="87"/>
      <c r="HH6" s="87"/>
      <c r="HI6" s="87"/>
      <c r="HJ6" s="87"/>
      <c r="HK6" s="87"/>
      <c r="HL6" s="87"/>
      <c r="HM6" s="87"/>
      <c r="HN6" s="87"/>
      <c r="HO6" s="87"/>
      <c r="HP6" s="87"/>
      <c r="HQ6" s="87"/>
      <c r="HR6" s="87"/>
      <c r="HS6" s="87"/>
      <c r="HT6" s="87"/>
      <c r="HU6" s="87"/>
      <c r="HV6" s="87"/>
      <c r="HW6" s="87"/>
      <c r="HX6" s="87"/>
      <c r="HY6" s="87"/>
      <c r="HZ6" s="87"/>
      <c r="IA6" s="87"/>
      <c r="IB6" s="87"/>
      <c r="IC6" s="87"/>
      <c r="ID6" s="87"/>
      <c r="IE6" s="87"/>
      <c r="IF6" s="87"/>
      <c r="IG6" s="87"/>
      <c r="IH6" s="87"/>
      <c r="II6" s="87"/>
      <c r="IJ6" s="87"/>
      <c r="IK6" s="87"/>
      <c r="IL6" s="87"/>
      <c r="IM6" s="87"/>
      <c r="IN6" s="87"/>
      <c r="IO6" s="87"/>
      <c r="IP6" s="87"/>
      <c r="IQ6" s="87"/>
      <c r="IR6" s="87"/>
      <c r="IS6" s="87"/>
      <c r="IT6" s="87"/>
      <c r="IU6" s="87"/>
      <c r="IV6" s="87"/>
      <c r="IW6" s="87"/>
      <c r="IX6" s="87"/>
      <c r="IY6" s="87"/>
      <c r="IZ6" s="87"/>
      <c r="JA6" s="87"/>
      <c r="JB6" s="87"/>
      <c r="JC6" s="87"/>
      <c r="JD6" s="87"/>
      <c r="JE6" s="87"/>
      <c r="JF6" s="87"/>
      <c r="JG6" s="87"/>
      <c r="JH6" s="87"/>
      <c r="JI6" s="87"/>
      <c r="JJ6" s="87"/>
      <c r="JK6" s="87"/>
      <c r="JL6" s="87"/>
      <c r="JM6" s="87"/>
      <c r="JN6" s="87"/>
      <c r="JO6" s="87"/>
      <c r="JP6" s="87"/>
      <c r="JQ6" s="87"/>
      <c r="JR6" s="87"/>
      <c r="JS6" s="87"/>
      <c r="JT6" s="87"/>
      <c r="JU6" s="87"/>
      <c r="JV6" s="87"/>
      <c r="JW6" s="87"/>
      <c r="JX6" s="87"/>
      <c r="JY6" s="87"/>
      <c r="JZ6" s="87"/>
      <c r="KA6" s="87"/>
      <c r="KB6" s="87"/>
      <c r="KC6" s="87"/>
      <c r="KD6" s="87"/>
      <c r="KE6" s="87"/>
      <c r="KF6" s="87"/>
      <c r="KG6" s="87"/>
      <c r="KH6" s="87"/>
      <c r="KI6" s="87"/>
      <c r="KJ6" s="87"/>
      <c r="KK6" s="87"/>
      <c r="KL6" s="87"/>
      <c r="KM6" s="87"/>
      <c r="KN6" s="87"/>
      <c r="KO6" s="87"/>
      <c r="KP6" s="87"/>
      <c r="KQ6" s="87"/>
      <c r="KR6" s="87"/>
      <c r="KS6" s="87"/>
      <c r="KT6" s="87"/>
      <c r="KU6" s="87"/>
      <c r="KV6" s="87"/>
      <c r="KW6" s="87"/>
      <c r="KX6" s="87"/>
      <c r="KY6" s="87"/>
      <c r="KZ6" s="87"/>
      <c r="LA6" s="87"/>
      <c r="LB6" s="87"/>
      <c r="LC6" s="87"/>
      <c r="LD6" s="87"/>
      <c r="LE6" s="87"/>
      <c r="LF6" s="87"/>
      <c r="LG6" s="87"/>
      <c r="LH6" s="87"/>
      <c r="LI6" s="87"/>
      <c r="LJ6" s="87"/>
      <c r="LK6" s="87"/>
      <c r="LL6" s="87"/>
      <c r="LM6" s="87"/>
      <c r="LN6" s="87"/>
      <c r="LO6" s="87"/>
      <c r="LP6" s="87"/>
      <c r="LQ6" s="87"/>
      <c r="LR6" s="87"/>
      <c r="LS6" s="87"/>
      <c r="LT6" s="87"/>
      <c r="LU6" s="87"/>
      <c r="LV6" s="87"/>
      <c r="LW6" s="87"/>
      <c r="LX6" s="87"/>
      <c r="LY6" s="87"/>
      <c r="LZ6" s="87"/>
      <c r="MA6" s="87"/>
      <c r="MB6" s="87"/>
      <c r="MC6" s="87"/>
      <c r="MD6" s="87"/>
      <c r="ME6" s="87"/>
      <c r="MF6" s="87"/>
      <c r="MG6" s="87"/>
      <c r="MH6" s="87"/>
      <c r="MI6" s="87"/>
      <c r="MJ6" s="87"/>
      <c r="MK6" s="87"/>
      <c r="ML6" s="87"/>
      <c r="MM6" s="87"/>
      <c r="MN6" s="87"/>
      <c r="MO6" s="87"/>
      <c r="MP6" s="87"/>
      <c r="MQ6" s="87"/>
      <c r="MR6" s="87"/>
      <c r="MS6" s="87"/>
      <c r="MT6" s="87"/>
      <c r="MU6" s="87"/>
      <c r="MV6" s="87"/>
      <c r="MW6" s="87"/>
      <c r="MX6" s="87"/>
      <c r="MY6" s="87"/>
      <c r="MZ6" s="87"/>
      <c r="NA6" s="87"/>
      <c r="NB6" s="87"/>
      <c r="NC6" s="87"/>
      <c r="ND6" s="87"/>
      <c r="NE6" s="87"/>
      <c r="NF6" s="87"/>
      <c r="NG6" s="87"/>
      <c r="NH6" s="87"/>
      <c r="NI6" s="87"/>
      <c r="NJ6" s="87"/>
      <c r="NK6" s="87"/>
      <c r="NL6" s="87"/>
      <c r="NM6" s="87"/>
      <c r="NN6" s="87"/>
      <c r="NO6" s="87"/>
      <c r="NP6" s="87"/>
      <c r="NQ6" s="87"/>
      <c r="NR6" s="87"/>
      <c r="NS6" s="87"/>
      <c r="NT6" s="87"/>
      <c r="NU6" s="87"/>
      <c r="NV6" s="87"/>
      <c r="NW6" s="87"/>
      <c r="NX6" s="87"/>
      <c r="NY6" s="87"/>
      <c r="NZ6" s="87"/>
      <c r="OA6" s="87"/>
      <c r="OB6" s="87"/>
      <c r="OC6" s="87"/>
      <c r="OD6" s="87"/>
      <c r="OE6" s="87"/>
      <c r="OF6" s="87"/>
      <c r="OG6" s="87"/>
      <c r="OH6" s="87"/>
      <c r="OI6" s="87"/>
      <c r="OJ6" s="87"/>
      <c r="OK6" s="87"/>
      <c r="OL6" s="87"/>
      <c r="OM6" s="87"/>
      <c r="ON6" s="87"/>
      <c r="OO6" s="87"/>
      <c r="OP6" s="87"/>
      <c r="OQ6" s="87"/>
      <c r="OR6" s="87"/>
      <c r="OS6" s="87"/>
      <c r="OT6" s="87"/>
      <c r="OU6" s="87"/>
      <c r="OV6" s="87"/>
      <c r="OW6" s="87"/>
      <c r="OX6" s="87"/>
      <c r="OY6" s="87"/>
      <c r="OZ6" s="87"/>
      <c r="PA6" s="87"/>
      <c r="PB6" s="87"/>
      <c r="PC6" s="87"/>
      <c r="PD6" s="87"/>
      <c r="PE6" s="87"/>
      <c r="PF6" s="87"/>
      <c r="PG6" s="87"/>
      <c r="PH6" s="87"/>
      <c r="PI6" s="87"/>
      <c r="PJ6" s="87"/>
      <c r="PK6" s="87"/>
      <c r="PL6" s="87"/>
      <c r="PM6" s="87"/>
      <c r="PN6" s="87"/>
      <c r="PO6" s="87"/>
      <c r="PP6" s="87"/>
      <c r="PQ6" s="87"/>
      <c r="PR6" s="87"/>
      <c r="PS6" s="87"/>
      <c r="PT6" s="87"/>
      <c r="PU6" s="87"/>
      <c r="PV6" s="87"/>
      <c r="PW6" s="87"/>
      <c r="PX6" s="87"/>
      <c r="PY6" s="87"/>
      <c r="PZ6" s="87"/>
      <c r="QA6" s="87"/>
      <c r="QB6" s="87"/>
      <c r="QC6" s="87"/>
      <c r="QD6" s="87"/>
      <c r="QE6" s="87"/>
      <c r="QF6" s="87"/>
      <c r="QG6" s="87"/>
      <c r="QH6" s="87"/>
      <c r="QI6" s="87"/>
      <c r="QJ6" s="87"/>
      <c r="QK6" s="87"/>
      <c r="QL6" s="87"/>
      <c r="QM6" s="87"/>
      <c r="QN6" s="87"/>
      <c r="QO6" s="87"/>
      <c r="QP6" s="87"/>
      <c r="QQ6" s="87"/>
      <c r="QR6" s="87"/>
      <c r="QS6" s="87"/>
      <c r="QT6" s="87"/>
      <c r="QU6" s="87"/>
      <c r="QV6" s="87"/>
      <c r="QW6" s="87"/>
      <c r="QX6" s="87"/>
      <c r="QY6" s="87"/>
      <c r="QZ6" s="87"/>
      <c r="RA6" s="87"/>
      <c r="RB6" s="87"/>
      <c r="RC6" s="87"/>
      <c r="RD6" s="87"/>
      <c r="RE6" s="87"/>
      <c r="RF6" s="87"/>
      <c r="RG6" s="87"/>
      <c r="RH6" s="87"/>
      <c r="RI6" s="87"/>
      <c r="RJ6" s="87"/>
      <c r="RK6" s="87"/>
      <c r="RL6" s="87"/>
      <c r="RM6" s="87"/>
      <c r="RN6" s="87"/>
      <c r="RO6" s="87"/>
      <c r="RP6" s="87"/>
      <c r="RQ6" s="87"/>
      <c r="RR6" s="87"/>
      <c r="RS6" s="87"/>
      <c r="RT6" s="87"/>
      <c r="RU6" s="87"/>
      <c r="RV6" s="87"/>
      <c r="RW6" s="87"/>
      <c r="RX6" s="87"/>
      <c r="RY6" s="87"/>
      <c r="RZ6" s="87"/>
      <c r="SA6" s="87"/>
      <c r="SB6" s="87"/>
      <c r="SC6" s="87"/>
      <c r="SD6" s="87"/>
      <c r="SE6" s="87"/>
      <c r="SF6" s="87"/>
      <c r="SG6" s="87"/>
      <c r="SH6" s="87"/>
      <c r="SI6" s="87"/>
      <c r="SJ6" s="87"/>
      <c r="SK6" s="87"/>
      <c r="SL6" s="87"/>
      <c r="SM6" s="87"/>
      <c r="SN6" s="87"/>
      <c r="SO6" s="87"/>
      <c r="SP6" s="87"/>
      <c r="SQ6" s="87"/>
      <c r="SR6" s="87"/>
      <c r="SS6" s="87"/>
      <c r="ST6" s="87"/>
      <c r="SU6" s="87"/>
      <c r="SV6" s="87"/>
      <c r="SW6" s="87"/>
      <c r="SX6" s="87"/>
      <c r="SY6" s="87"/>
      <c r="SZ6" s="87"/>
      <c r="TA6" s="87"/>
      <c r="TB6" s="87"/>
      <c r="TC6" s="87"/>
      <c r="TD6" s="87"/>
      <c r="TE6" s="87"/>
      <c r="TF6" s="87"/>
      <c r="TG6" s="87"/>
      <c r="TH6" s="87"/>
      <c r="TI6" s="87"/>
      <c r="TJ6" s="87"/>
      <c r="TK6" s="87"/>
      <c r="TL6" s="87"/>
      <c r="TM6" s="87"/>
      <c r="TN6" s="87"/>
      <c r="TO6" s="87"/>
      <c r="TP6" s="87"/>
      <c r="TQ6" s="87"/>
      <c r="TR6" s="87"/>
      <c r="TS6" s="87"/>
      <c r="TT6" s="87"/>
      <c r="TU6" s="87"/>
      <c r="TV6" s="87"/>
      <c r="TW6" s="87"/>
      <c r="TX6" s="87"/>
      <c r="TY6" s="87"/>
      <c r="TZ6" s="87"/>
      <c r="UA6" s="87"/>
      <c r="UB6" s="87"/>
      <c r="UC6" s="87"/>
      <c r="UD6" s="87"/>
      <c r="UE6" s="87"/>
      <c r="UF6" s="87"/>
      <c r="UG6" s="87"/>
      <c r="UH6" s="87"/>
      <c r="UI6" s="87"/>
      <c r="UJ6" s="87"/>
      <c r="UK6" s="87"/>
      <c r="UL6" s="87"/>
      <c r="UM6" s="87"/>
      <c r="UN6" s="87"/>
      <c r="UO6" s="87"/>
      <c r="UP6" s="87"/>
      <c r="UQ6" s="87"/>
      <c r="UR6" s="87"/>
      <c r="US6" s="87"/>
      <c r="UT6" s="87"/>
      <c r="UU6" s="87"/>
      <c r="UV6" s="87"/>
      <c r="UW6" s="87"/>
      <c r="UX6" s="87"/>
      <c r="UY6" s="87"/>
      <c r="UZ6" s="87"/>
      <c r="VA6" s="87"/>
      <c r="VB6" s="87"/>
      <c r="VC6" s="87"/>
      <c r="VD6" s="87"/>
      <c r="VE6" s="87"/>
      <c r="VF6" s="87"/>
      <c r="VG6" s="87"/>
      <c r="VH6" s="87"/>
      <c r="VI6" s="87"/>
      <c r="VJ6" s="87"/>
      <c r="VK6" s="87"/>
      <c r="VL6" s="87"/>
      <c r="VM6" s="87"/>
      <c r="VN6" s="87"/>
      <c r="VO6" s="87"/>
      <c r="VP6" s="87"/>
      <c r="VQ6" s="87"/>
      <c r="VR6" s="87"/>
      <c r="VS6" s="87"/>
      <c r="VT6" s="87"/>
      <c r="VU6" s="87"/>
      <c r="VV6" s="87"/>
      <c r="VW6" s="87"/>
      <c r="VX6" s="87"/>
      <c r="VY6" s="87"/>
      <c r="VZ6" s="87"/>
      <c r="WA6" s="87"/>
      <c r="WB6" s="87"/>
      <c r="WC6" s="87"/>
      <c r="WD6" s="87"/>
      <c r="WE6" s="87"/>
      <c r="WF6" s="87"/>
      <c r="WG6" s="87"/>
      <c r="WH6" s="87"/>
      <c r="WI6" s="87"/>
      <c r="WJ6" s="87"/>
      <c r="WK6" s="87"/>
      <c r="WL6" s="87"/>
      <c r="WM6" s="87"/>
      <c r="WN6" s="87"/>
      <c r="WO6" s="87"/>
      <c r="WP6" s="87"/>
      <c r="WQ6" s="87"/>
      <c r="WR6" s="87"/>
      <c r="WS6" s="87"/>
      <c r="WT6" s="87"/>
      <c r="WU6" s="87"/>
      <c r="WV6" s="87"/>
      <c r="WW6" s="87"/>
      <c r="WX6" s="87"/>
      <c r="WY6" s="87"/>
      <c r="WZ6" s="87"/>
      <c r="XA6" s="87"/>
      <c r="XB6" s="87"/>
      <c r="XC6" s="87"/>
      <c r="XD6" s="87"/>
      <c r="XE6" s="87"/>
      <c r="XF6" s="87"/>
      <c r="XG6" s="87"/>
      <c r="XH6" s="87"/>
      <c r="XI6" s="87"/>
      <c r="XJ6" s="87"/>
      <c r="XK6" s="87"/>
      <c r="XL6" s="87"/>
      <c r="XM6" s="87"/>
      <c r="XN6" s="87"/>
      <c r="XO6" s="87"/>
      <c r="XP6" s="87"/>
      <c r="XQ6" s="87"/>
      <c r="XR6" s="87"/>
      <c r="XS6" s="87"/>
      <c r="XT6" s="87"/>
      <c r="XU6" s="87"/>
      <c r="XV6" s="87"/>
      <c r="XW6" s="87"/>
      <c r="XX6" s="87"/>
      <c r="XY6" s="87"/>
      <c r="XZ6" s="87"/>
      <c r="YA6" s="87"/>
      <c r="YB6" s="87"/>
      <c r="YC6" s="87"/>
      <c r="YD6" s="87"/>
      <c r="YE6" s="87"/>
      <c r="YF6" s="87"/>
      <c r="YG6" s="87"/>
      <c r="YH6" s="87"/>
      <c r="YI6" s="87"/>
      <c r="YJ6" s="87"/>
      <c r="YK6" s="87"/>
      <c r="YL6" s="87"/>
      <c r="YM6" s="87"/>
      <c r="YN6" s="87"/>
      <c r="YO6" s="87"/>
      <c r="YP6" s="87"/>
      <c r="YQ6" s="87"/>
      <c r="YR6" s="87"/>
      <c r="YS6" s="87"/>
      <c r="YT6" s="87"/>
      <c r="YU6" s="87"/>
      <c r="YV6" s="87"/>
      <c r="YW6" s="87"/>
      <c r="YX6" s="87"/>
      <c r="YY6" s="87"/>
      <c r="YZ6" s="87"/>
      <c r="ZA6" s="87"/>
      <c r="ZB6" s="87"/>
      <c r="ZC6" s="87"/>
      <c r="ZD6" s="87"/>
      <c r="ZE6" s="87"/>
      <c r="ZF6" s="87"/>
      <c r="ZG6" s="87"/>
      <c r="ZH6" s="87"/>
      <c r="ZI6" s="87"/>
      <c r="ZJ6" s="87"/>
      <c r="ZK6" s="87"/>
      <c r="ZL6" s="87"/>
      <c r="ZM6" s="87"/>
      <c r="ZN6" s="87"/>
      <c r="ZO6" s="87"/>
      <c r="ZP6" s="87"/>
      <c r="ZQ6" s="87"/>
      <c r="ZR6" s="87"/>
      <c r="ZS6" s="87"/>
      <c r="ZT6" s="87"/>
      <c r="ZU6" s="87"/>
      <c r="ZV6" s="87"/>
      <c r="ZW6" s="87"/>
      <c r="ZX6" s="87"/>
      <c r="ZY6" s="87"/>
      <c r="ZZ6" s="87"/>
      <c r="AAA6" s="87"/>
      <c r="AAB6" s="87"/>
      <c r="AAC6" s="87"/>
      <c r="AAD6" s="87"/>
      <c r="AAE6" s="87"/>
      <c r="AAF6" s="87"/>
      <c r="AAG6" s="87"/>
      <c r="AAH6" s="87"/>
      <c r="AAI6" s="87"/>
      <c r="AAJ6" s="87"/>
      <c r="AAK6" s="87"/>
      <c r="AAL6" s="87"/>
      <c r="AAM6" s="87"/>
      <c r="AAN6" s="87"/>
      <c r="AAO6" s="87"/>
      <c r="AAP6" s="87"/>
      <c r="AAQ6" s="87"/>
      <c r="AAR6" s="87"/>
      <c r="AAS6" s="87"/>
      <c r="AAT6" s="87"/>
      <c r="AAU6" s="87"/>
      <c r="AAV6" s="87"/>
      <c r="AAW6" s="87"/>
      <c r="AAX6" s="87"/>
      <c r="AAY6" s="87"/>
      <c r="AAZ6" s="87"/>
      <c r="ABA6" s="87"/>
      <c r="ABB6" s="87"/>
      <c r="ABC6" s="87"/>
      <c r="ABD6" s="87"/>
      <c r="ABE6" s="87"/>
      <c r="ABF6" s="87"/>
      <c r="ABG6" s="87"/>
      <c r="ABH6" s="87"/>
      <c r="ABI6" s="87"/>
      <c r="ABJ6" s="87"/>
      <c r="ABK6" s="87"/>
      <c r="ABL6" s="87"/>
      <c r="ABM6" s="87"/>
      <c r="ABN6" s="87"/>
      <c r="ABO6" s="87"/>
      <c r="ABP6" s="87"/>
      <c r="ABQ6" s="87"/>
      <c r="ABR6" s="87"/>
      <c r="ABS6" s="87"/>
      <c r="ABT6" s="87"/>
      <c r="ABU6" s="87"/>
      <c r="ABV6" s="87"/>
      <c r="ABW6" s="87"/>
      <c r="ABX6" s="87"/>
      <c r="ABY6" s="87"/>
      <c r="ABZ6" s="87"/>
      <c r="ACA6" s="87"/>
      <c r="ACB6" s="87"/>
      <c r="ACC6" s="87"/>
      <c r="ACD6" s="87"/>
      <c r="ACE6" s="87"/>
      <c r="ACF6" s="87"/>
      <c r="ACG6" s="87"/>
      <c r="ACH6" s="87"/>
      <c r="ACI6" s="87"/>
      <c r="ACJ6" s="87"/>
      <c r="ACK6" s="87"/>
      <c r="ACL6" s="87"/>
      <c r="ACM6" s="87"/>
      <c r="ACN6" s="87"/>
      <c r="ACO6" s="87"/>
      <c r="ACP6" s="87"/>
      <c r="ACQ6" s="87"/>
      <c r="ACR6" s="87"/>
      <c r="ACS6" s="87"/>
      <c r="ACT6" s="87"/>
      <c r="ACU6" s="87"/>
      <c r="ACV6" s="87"/>
      <c r="ACW6" s="87"/>
      <c r="ACX6" s="87"/>
      <c r="ACY6" s="87"/>
      <c r="ACZ6" s="87"/>
      <c r="ADA6" s="87"/>
      <c r="ADB6" s="87"/>
      <c r="ADC6" s="87"/>
      <c r="ADD6" s="87"/>
      <c r="ADE6" s="87"/>
      <c r="ADF6" s="87"/>
      <c r="ADG6" s="87"/>
      <c r="ADH6" s="87"/>
      <c r="ADI6" s="87"/>
      <c r="ADJ6" s="87"/>
      <c r="ADK6" s="87"/>
      <c r="ADL6" s="87"/>
      <c r="ADM6" s="87"/>
      <c r="ADN6" s="87"/>
      <c r="ADO6" s="87"/>
      <c r="ADP6" s="87"/>
      <c r="ADQ6" s="87"/>
      <c r="ADR6" s="87"/>
      <c r="ADS6" s="87"/>
      <c r="ADT6" s="87"/>
      <c r="ADU6" s="87"/>
      <c r="ADV6" s="87"/>
      <c r="ADW6" s="87"/>
      <c r="ADX6" s="87"/>
      <c r="ADY6" s="87"/>
      <c r="ADZ6" s="87"/>
      <c r="AEA6" s="87"/>
      <c r="AEB6" s="87"/>
      <c r="AEC6" s="87"/>
      <c r="AED6" s="87"/>
      <c r="AEE6" s="87"/>
      <c r="AEF6" s="87"/>
      <c r="AEG6" s="87"/>
      <c r="AEH6" s="87"/>
      <c r="AEI6" s="87"/>
      <c r="AEJ6" s="87"/>
      <c r="AEK6" s="87"/>
      <c r="AEL6" s="87"/>
      <c r="AEM6" s="87"/>
      <c r="AEN6" s="87"/>
      <c r="AEO6" s="87"/>
      <c r="AEP6" s="87"/>
      <c r="AEQ6" s="87"/>
      <c r="AER6" s="87"/>
      <c r="AES6" s="87"/>
      <c r="AET6" s="87"/>
      <c r="AEU6" s="87"/>
      <c r="AEV6" s="87"/>
      <c r="AEW6" s="87"/>
      <c r="AEX6" s="87"/>
      <c r="AEY6" s="87"/>
      <c r="AEZ6" s="87"/>
      <c r="AFA6" s="87"/>
      <c r="AFB6" s="87"/>
      <c r="AFC6" s="87"/>
      <c r="AFD6" s="87"/>
      <c r="AFE6" s="87"/>
      <c r="AFF6" s="87"/>
      <c r="AFG6" s="87"/>
      <c r="AFH6" s="87"/>
      <c r="AFI6" s="87"/>
      <c r="AFJ6" s="87"/>
      <c r="AFK6" s="87"/>
      <c r="AFL6" s="87"/>
      <c r="AFM6" s="87"/>
      <c r="AFN6" s="87"/>
      <c r="AFO6" s="87"/>
      <c r="AFP6" s="87"/>
      <c r="AFQ6" s="87"/>
      <c r="AFR6" s="87"/>
      <c r="AFS6" s="87"/>
      <c r="AFT6" s="87"/>
      <c r="AFU6" s="87"/>
      <c r="AFV6" s="87"/>
      <c r="AFW6" s="87"/>
      <c r="AFX6" s="87"/>
      <c r="AFY6" s="87"/>
      <c r="AFZ6" s="87"/>
      <c r="AGA6" s="87"/>
      <c r="AGB6" s="87"/>
      <c r="AGC6" s="87"/>
      <c r="AGD6" s="87"/>
      <c r="AGE6" s="87"/>
      <c r="AGF6" s="87"/>
      <c r="AGG6" s="87"/>
      <c r="AGH6" s="87"/>
      <c r="AGI6" s="87"/>
      <c r="AGJ6" s="87"/>
      <c r="AGK6" s="87"/>
      <c r="AGL6" s="87"/>
      <c r="AGM6" s="87"/>
      <c r="AGN6" s="87"/>
      <c r="AGO6" s="87"/>
      <c r="AGP6" s="87"/>
      <c r="AGQ6" s="87"/>
      <c r="AGR6" s="87"/>
      <c r="AGS6" s="87"/>
      <c r="AGT6" s="87"/>
      <c r="AGU6" s="87"/>
      <c r="AGV6" s="87"/>
      <c r="AGW6" s="87"/>
      <c r="AGX6" s="87"/>
      <c r="AGY6" s="87"/>
      <c r="AGZ6" s="87"/>
      <c r="AHA6" s="87"/>
      <c r="AHB6" s="87"/>
      <c r="AHC6" s="87"/>
      <c r="AHD6" s="87"/>
      <c r="AHE6" s="87"/>
      <c r="AHF6" s="87"/>
      <c r="AHG6" s="87"/>
      <c r="AHH6" s="87"/>
      <c r="AHI6" s="87"/>
      <c r="AHJ6" s="87"/>
      <c r="AHK6" s="87"/>
      <c r="AHL6" s="87"/>
      <c r="AHM6" s="87"/>
      <c r="AHN6" s="87"/>
      <c r="AHO6" s="87"/>
      <c r="AHP6" s="87"/>
      <c r="AHQ6" s="87"/>
      <c r="AHR6" s="87"/>
      <c r="AHS6" s="87"/>
      <c r="AHT6" s="87"/>
      <c r="AHU6" s="87"/>
      <c r="AHV6" s="87"/>
      <c r="AHW6" s="87"/>
      <c r="AHX6" s="87"/>
      <c r="AHY6" s="87"/>
      <c r="AHZ6" s="87"/>
      <c r="AIA6" s="87"/>
      <c r="AIB6" s="87"/>
      <c r="AIC6" s="87"/>
      <c r="AID6" s="87"/>
      <c r="AIE6" s="87"/>
      <c r="AIF6" s="87"/>
      <c r="AIG6" s="87"/>
      <c r="AIH6" s="87"/>
      <c r="AII6" s="87"/>
      <c r="AIJ6" s="87"/>
      <c r="AIK6" s="87"/>
      <c r="AIL6" s="87"/>
      <c r="AIM6" s="87"/>
      <c r="AIN6" s="87"/>
      <c r="AIO6" s="87"/>
      <c r="AIP6" s="87"/>
      <c r="AIQ6" s="87"/>
      <c r="AIR6" s="87"/>
      <c r="AIS6" s="87"/>
      <c r="AIT6" s="87"/>
      <c r="AIU6" s="87"/>
      <c r="AIV6" s="87"/>
      <c r="AIW6" s="87"/>
      <c r="AIX6" s="87"/>
      <c r="AIY6" s="87"/>
      <c r="AIZ6" s="87"/>
      <c r="AJA6" s="87"/>
      <c r="AJB6" s="87"/>
      <c r="AJC6" s="87"/>
      <c r="AJD6" s="87"/>
      <c r="AJE6" s="87"/>
      <c r="AJF6" s="87"/>
      <c r="AJG6" s="87"/>
      <c r="AJH6" s="87"/>
      <c r="AJI6" s="87"/>
      <c r="AJJ6" s="87"/>
      <c r="AJK6" s="87"/>
      <c r="AJL6" s="87"/>
      <c r="AJM6" s="87"/>
      <c r="AJN6" s="87"/>
      <c r="AJO6" s="87"/>
      <c r="AJP6" s="87"/>
      <c r="AJQ6" s="87"/>
      <c r="AJR6" s="87"/>
      <c r="AJS6" s="87"/>
      <c r="AJT6" s="87"/>
      <c r="AJU6" s="87"/>
      <c r="AJV6" s="87"/>
      <c r="AJW6" s="87"/>
      <c r="AJX6" s="87"/>
      <c r="AJY6" s="87"/>
      <c r="AJZ6" s="87"/>
      <c r="AKA6" s="87"/>
      <c r="AKB6" s="87"/>
      <c r="AKC6" s="87"/>
      <c r="AKD6" s="87"/>
      <c r="AKE6" s="87"/>
      <c r="AKF6" s="87"/>
      <c r="AKG6" s="87"/>
      <c r="AKH6" s="87"/>
      <c r="AKI6" s="87"/>
      <c r="AKJ6" s="87"/>
      <c r="AKK6" s="87"/>
      <c r="AKL6" s="87"/>
      <c r="AKM6" s="87"/>
      <c r="AKN6" s="87"/>
      <c r="AKO6" s="87"/>
      <c r="AKP6" s="87"/>
      <c r="AKQ6" s="87"/>
      <c r="AKR6" s="87"/>
      <c r="AKS6" s="87"/>
      <c r="AKT6" s="87"/>
      <c r="AKU6" s="87"/>
      <c r="AKV6" s="87"/>
      <c r="AKW6" s="87"/>
      <c r="AKX6" s="87"/>
      <c r="AKY6" s="87"/>
      <c r="AKZ6" s="87"/>
      <c r="ALA6" s="87"/>
      <c r="ALB6" s="87"/>
      <c r="ALC6" s="87"/>
      <c r="ALD6" s="87"/>
      <c r="ALE6" s="87"/>
      <c r="ALF6" s="87"/>
      <c r="ALG6" s="87"/>
      <c r="ALH6" s="87"/>
      <c r="ALI6" s="87"/>
      <c r="ALJ6" s="87"/>
      <c r="ALK6" s="87"/>
      <c r="ALL6" s="87"/>
      <c r="ALM6" s="87"/>
      <c r="ALN6" s="87"/>
      <c r="ALO6" s="87"/>
      <c r="ALP6" s="87"/>
      <c r="ALQ6" s="87"/>
      <c r="ALR6" s="87"/>
      <c r="ALS6" s="87"/>
      <c r="ALT6" s="87"/>
      <c r="ALU6" s="87"/>
      <c r="ALV6" s="87"/>
      <c r="ALW6" s="87"/>
      <c r="ALX6" s="87"/>
      <c r="ALY6" s="87"/>
      <c r="ALZ6" s="87"/>
      <c r="AMA6" s="87"/>
      <c r="AMB6" s="87"/>
      <c r="AMC6" s="87"/>
      <c r="AMD6" s="87"/>
      <c r="AME6" s="87"/>
      <c r="AMF6" s="87"/>
      <c r="AMG6" s="87"/>
      <c r="AMH6" s="87"/>
      <c r="AMI6" s="87"/>
      <c r="AMJ6" s="87"/>
      <c r="AMK6" s="87"/>
      <c r="AML6" s="87"/>
      <c r="AMM6" s="87"/>
      <c r="AMN6" s="87"/>
      <c r="AMO6" s="87"/>
      <c r="AMP6" s="87"/>
      <c r="AMQ6" s="87"/>
      <c r="AMR6" s="87"/>
      <c r="AMS6" s="87"/>
      <c r="AMT6" s="87"/>
      <c r="AMU6" s="87"/>
      <c r="AMV6" s="87"/>
      <c r="AMW6" s="87"/>
      <c r="AMX6" s="87"/>
      <c r="AMY6" s="87"/>
      <c r="AMZ6" s="87"/>
      <c r="ANA6" s="87"/>
      <c r="ANB6" s="87"/>
      <c r="ANC6" s="87"/>
      <c r="AND6" s="87"/>
      <c r="ANE6" s="87"/>
      <c r="ANF6" s="87"/>
      <c r="ANG6" s="87"/>
      <c r="ANH6" s="87"/>
      <c r="ANI6" s="87"/>
      <c r="ANJ6" s="87"/>
      <c r="ANK6" s="87"/>
      <c r="ANL6" s="87"/>
      <c r="ANM6" s="87"/>
      <c r="ANN6" s="87"/>
      <c r="ANO6" s="87"/>
      <c r="ANP6" s="87"/>
      <c r="ANQ6" s="87"/>
      <c r="ANR6" s="87"/>
      <c r="ANS6" s="87"/>
      <c r="ANT6" s="87"/>
      <c r="ANU6" s="87"/>
      <c r="ANV6" s="87"/>
      <c r="ANW6" s="87"/>
      <c r="ANX6" s="87"/>
      <c r="ANY6" s="87"/>
      <c r="ANZ6" s="87"/>
      <c r="AOA6" s="87"/>
      <c r="AOB6" s="87"/>
      <c r="AOC6" s="87"/>
      <c r="AOD6" s="87"/>
      <c r="AOE6" s="87"/>
      <c r="AOF6" s="87"/>
      <c r="AOG6" s="87"/>
      <c r="AOH6" s="87"/>
      <c r="AOI6" s="87"/>
      <c r="AOJ6" s="87"/>
      <c r="AOK6" s="87"/>
      <c r="AOL6" s="87"/>
      <c r="AOM6" s="87"/>
      <c r="AON6" s="87"/>
      <c r="AOO6" s="87"/>
      <c r="AOP6" s="87"/>
      <c r="AOQ6" s="87"/>
      <c r="AOR6" s="87"/>
      <c r="AOS6" s="87"/>
      <c r="AOT6" s="87"/>
      <c r="AOU6" s="87"/>
      <c r="AOV6" s="87"/>
      <c r="AOW6" s="87"/>
      <c r="AOX6" s="87"/>
      <c r="AOY6" s="87"/>
      <c r="AOZ6" s="87"/>
      <c r="APA6" s="87"/>
      <c r="APB6" s="87"/>
      <c r="APC6" s="87"/>
      <c r="APD6" s="87"/>
      <c r="APE6" s="87"/>
      <c r="APF6" s="87"/>
      <c r="APG6" s="87"/>
      <c r="APH6" s="87"/>
      <c r="API6" s="87"/>
      <c r="APJ6" s="87"/>
      <c r="APK6" s="87"/>
      <c r="APL6" s="87"/>
      <c r="APM6" s="87"/>
      <c r="APN6" s="87"/>
      <c r="APO6" s="87"/>
      <c r="APP6" s="87"/>
      <c r="APQ6" s="87"/>
      <c r="APR6" s="87"/>
      <c r="APS6" s="87"/>
      <c r="APT6" s="87"/>
      <c r="APU6" s="87"/>
      <c r="APV6" s="87"/>
      <c r="APW6" s="87"/>
      <c r="APX6" s="87"/>
      <c r="APY6" s="87"/>
      <c r="APZ6" s="87"/>
      <c r="AQA6" s="87"/>
      <c r="AQB6" s="87"/>
      <c r="AQC6" s="87"/>
      <c r="AQD6" s="87"/>
      <c r="AQE6" s="87"/>
      <c r="AQF6" s="87"/>
      <c r="AQG6" s="87"/>
      <c r="AQH6" s="87"/>
      <c r="AQI6" s="87"/>
      <c r="AQJ6" s="87"/>
      <c r="AQK6" s="87"/>
      <c r="AQL6" s="87"/>
      <c r="AQM6" s="87"/>
      <c r="AQN6" s="87"/>
      <c r="AQO6" s="87"/>
      <c r="AQP6" s="87"/>
      <c r="AQQ6" s="87"/>
      <c r="AQR6" s="87"/>
      <c r="AQS6" s="87"/>
      <c r="AQT6" s="87"/>
      <c r="AQU6" s="87"/>
      <c r="AQV6" s="87"/>
      <c r="AQW6" s="87"/>
      <c r="AQX6" s="87"/>
      <c r="AQY6" s="87"/>
      <c r="AQZ6" s="87"/>
      <c r="ARA6" s="87"/>
      <c r="ARB6" s="87"/>
      <c r="ARC6" s="87"/>
      <c r="ARD6" s="87"/>
      <c r="ARE6" s="87"/>
      <c r="ARF6" s="87"/>
      <c r="ARG6" s="87"/>
      <c r="ARH6" s="87"/>
      <c r="ARI6" s="87"/>
      <c r="ARJ6" s="87"/>
      <c r="ARK6" s="87"/>
      <c r="ARL6" s="87"/>
      <c r="ARM6" s="87"/>
      <c r="ARN6" s="87"/>
      <c r="ARO6" s="87"/>
      <c r="ARP6" s="87"/>
      <c r="ARQ6" s="87"/>
      <c r="ARR6" s="87"/>
      <c r="ARS6" s="87"/>
      <c r="ART6" s="87"/>
      <c r="ARU6" s="87"/>
      <c r="ARV6" s="87"/>
      <c r="ARW6" s="87"/>
      <c r="ARX6" s="87"/>
      <c r="ARY6" s="87"/>
      <c r="ARZ6" s="87"/>
      <c r="ASA6" s="87"/>
      <c r="ASB6" s="87"/>
      <c r="ASC6" s="87"/>
      <c r="ASD6" s="87"/>
      <c r="ASE6" s="87"/>
      <c r="ASF6" s="87"/>
      <c r="ASG6" s="87"/>
      <c r="ASH6" s="87"/>
      <c r="ASI6" s="87"/>
      <c r="ASJ6" s="87"/>
      <c r="ASK6" s="87"/>
      <c r="ASL6" s="87"/>
      <c r="ASM6" s="87"/>
      <c r="ASN6" s="87"/>
      <c r="ASO6" s="87"/>
      <c r="ASP6" s="87"/>
      <c r="ASQ6" s="87"/>
      <c r="ASR6" s="87"/>
      <c r="ASS6" s="87"/>
      <c r="AST6" s="87"/>
      <c r="ASU6" s="87"/>
      <c r="ASV6" s="87"/>
      <c r="ASW6" s="87"/>
      <c r="ASX6" s="87"/>
      <c r="ASY6" s="87"/>
      <c r="ASZ6" s="87"/>
      <c r="ATA6" s="87"/>
      <c r="ATB6" s="87"/>
      <c r="ATC6" s="87"/>
      <c r="ATD6" s="87"/>
      <c r="ATE6" s="87"/>
      <c r="ATF6" s="87"/>
      <c r="ATG6" s="87"/>
      <c r="ATH6" s="87"/>
      <c r="ATI6" s="87"/>
      <c r="ATJ6" s="87"/>
      <c r="ATK6" s="87"/>
      <c r="ATL6" s="87"/>
      <c r="ATM6" s="87"/>
      <c r="ATN6" s="87"/>
      <c r="ATO6" s="87"/>
      <c r="ATP6" s="87"/>
      <c r="ATQ6" s="87"/>
      <c r="ATR6" s="87"/>
      <c r="ATS6" s="87"/>
      <c r="ATT6" s="87"/>
      <c r="ATU6" s="87"/>
      <c r="ATV6" s="87"/>
      <c r="ATW6" s="87"/>
      <c r="ATX6" s="87"/>
      <c r="ATY6" s="87"/>
      <c r="ATZ6" s="87"/>
      <c r="AUA6" s="87"/>
      <c r="AUB6" s="87"/>
      <c r="AUC6" s="87"/>
      <c r="AUD6" s="87"/>
      <c r="AUE6" s="87"/>
      <c r="AUF6" s="87"/>
      <c r="AUG6" s="87"/>
      <c r="AUH6" s="87"/>
      <c r="AUI6" s="87"/>
      <c r="AUJ6" s="87"/>
      <c r="AUK6" s="87"/>
      <c r="AUL6" s="87"/>
      <c r="AUM6" s="87"/>
      <c r="AUN6" s="87"/>
      <c r="AUO6" s="87"/>
      <c r="AUP6" s="87"/>
      <c r="AUQ6" s="87"/>
      <c r="AUR6" s="87"/>
      <c r="AUS6" s="87"/>
      <c r="AUT6" s="87"/>
      <c r="AUU6" s="87"/>
      <c r="AUV6" s="87"/>
      <c r="AUW6" s="87"/>
      <c r="AUX6" s="87"/>
      <c r="AUY6" s="87"/>
      <c r="AUZ6" s="87"/>
      <c r="AVA6" s="87"/>
      <c r="AVB6" s="87"/>
      <c r="AVC6" s="87"/>
      <c r="AVD6" s="87"/>
      <c r="AVE6" s="87"/>
      <c r="AVF6" s="87"/>
      <c r="AVG6" s="87"/>
      <c r="AVH6" s="87"/>
      <c r="AVI6" s="87"/>
      <c r="AVJ6" s="87"/>
      <c r="AVK6" s="87"/>
      <c r="AVL6" s="87"/>
      <c r="AVM6" s="87"/>
      <c r="AVN6" s="87"/>
      <c r="AVO6" s="87"/>
      <c r="AVP6" s="87"/>
      <c r="AVQ6" s="87"/>
      <c r="AVR6" s="87"/>
      <c r="AVS6" s="87"/>
      <c r="AVT6" s="87"/>
      <c r="AVU6" s="87"/>
      <c r="AVV6" s="87"/>
      <c r="AVW6" s="87"/>
      <c r="AVX6" s="87"/>
      <c r="AVY6" s="87"/>
      <c r="AVZ6" s="87"/>
      <c r="AWA6" s="87"/>
      <c r="AWB6" s="87"/>
      <c r="AWC6" s="87"/>
      <c r="AWD6" s="87"/>
      <c r="AWE6" s="87"/>
      <c r="AWF6" s="87"/>
      <c r="AWG6" s="87"/>
      <c r="AWH6" s="87"/>
      <c r="AWI6" s="87"/>
      <c r="AWJ6" s="87"/>
      <c r="AWK6" s="87"/>
      <c r="AWL6" s="87"/>
      <c r="AWM6" s="87"/>
      <c r="AWN6" s="87"/>
      <c r="AWO6" s="87"/>
      <c r="AWP6" s="87"/>
      <c r="AWQ6" s="87"/>
      <c r="AWR6" s="87"/>
      <c r="AWS6" s="87"/>
      <c r="AWT6" s="87"/>
      <c r="AWU6" s="87"/>
      <c r="AWV6" s="87"/>
      <c r="AWW6" s="87"/>
      <c r="AWX6" s="87"/>
      <c r="AWY6" s="87"/>
      <c r="AWZ6" s="87"/>
      <c r="AXA6" s="87"/>
      <c r="AXB6" s="87"/>
      <c r="AXC6" s="87"/>
      <c r="AXD6" s="87"/>
      <c r="AXE6" s="87"/>
      <c r="AXF6" s="87"/>
      <c r="AXG6" s="87"/>
      <c r="AXH6" s="87"/>
      <c r="AXI6" s="87"/>
      <c r="AXJ6" s="87"/>
      <c r="AXK6" s="87"/>
      <c r="AXL6" s="87"/>
      <c r="AXM6" s="87"/>
      <c r="AXN6" s="87"/>
      <c r="AXO6" s="87"/>
      <c r="AXP6" s="87"/>
      <c r="AXQ6" s="87"/>
      <c r="AXR6" s="87"/>
      <c r="AXS6" s="87"/>
      <c r="AXT6" s="87"/>
      <c r="AXU6" s="87"/>
      <c r="AXV6" s="87"/>
      <c r="AXW6" s="87"/>
      <c r="AXX6" s="87"/>
      <c r="AXY6" s="87"/>
      <c r="AXZ6" s="87"/>
      <c r="AYA6" s="87"/>
      <c r="AYB6" s="87"/>
      <c r="AYC6" s="87"/>
      <c r="AYD6" s="87"/>
      <c r="AYE6" s="87"/>
      <c r="AYF6" s="87"/>
      <c r="AYG6" s="87"/>
      <c r="AYH6" s="87"/>
      <c r="AYI6" s="87"/>
      <c r="AYJ6" s="87"/>
      <c r="AYK6" s="87"/>
      <c r="AYL6" s="87"/>
      <c r="AYM6" s="87"/>
      <c r="AYN6" s="87"/>
      <c r="AYO6" s="87"/>
      <c r="AYP6" s="87"/>
      <c r="AYQ6" s="87"/>
      <c r="AYR6" s="87"/>
      <c r="AYS6" s="87"/>
      <c r="AYT6" s="87"/>
      <c r="AYU6" s="87"/>
      <c r="AYV6" s="87"/>
      <c r="AYW6" s="87"/>
      <c r="AYX6" s="87"/>
      <c r="AYY6" s="87"/>
      <c r="AYZ6" s="87"/>
      <c r="AZA6" s="87"/>
      <c r="AZB6" s="87"/>
      <c r="AZC6" s="87"/>
      <c r="AZD6" s="87"/>
      <c r="AZE6" s="87"/>
      <c r="AZF6" s="87"/>
      <c r="AZG6" s="87"/>
      <c r="AZH6" s="87"/>
      <c r="AZI6" s="87"/>
      <c r="AZJ6" s="87"/>
      <c r="AZK6" s="87"/>
      <c r="AZL6" s="87"/>
      <c r="AZM6" s="87"/>
      <c r="AZN6" s="87"/>
      <c r="AZO6" s="87"/>
      <c r="AZP6" s="87"/>
      <c r="AZQ6" s="87"/>
      <c r="AZR6" s="87"/>
      <c r="AZS6" s="87"/>
      <c r="AZT6" s="87"/>
      <c r="AZU6" s="87"/>
      <c r="AZV6" s="87"/>
      <c r="AZW6" s="87"/>
      <c r="AZX6" s="87"/>
      <c r="AZY6" s="87"/>
      <c r="AZZ6" s="87"/>
      <c r="BAA6" s="87"/>
      <c r="BAB6" s="87"/>
      <c r="BAC6" s="87"/>
      <c r="BAD6" s="87"/>
      <c r="BAE6" s="87"/>
      <c r="BAF6" s="87"/>
      <c r="BAG6" s="87"/>
      <c r="BAH6" s="87"/>
      <c r="BAI6" s="87"/>
      <c r="BAJ6" s="87"/>
      <c r="BAK6" s="87"/>
      <c r="BAL6" s="87"/>
      <c r="BAM6" s="87"/>
      <c r="BAN6" s="87"/>
      <c r="BAO6" s="87"/>
      <c r="BAP6" s="87"/>
      <c r="BAQ6" s="87"/>
      <c r="BAR6" s="87"/>
      <c r="BAS6" s="87"/>
      <c r="BAT6" s="87"/>
      <c r="BAU6" s="87"/>
      <c r="BAV6" s="87"/>
      <c r="BAW6" s="87"/>
      <c r="BAX6" s="87"/>
      <c r="BAY6" s="87"/>
      <c r="BAZ6" s="87"/>
      <c r="BBA6" s="87"/>
      <c r="BBB6" s="87"/>
      <c r="BBC6" s="87"/>
      <c r="BBD6" s="87"/>
      <c r="BBE6" s="87"/>
      <c r="BBF6" s="87"/>
      <c r="BBG6" s="87"/>
      <c r="BBH6" s="87"/>
      <c r="BBI6" s="87"/>
      <c r="BBJ6" s="87"/>
      <c r="BBK6" s="87"/>
      <c r="BBL6" s="87"/>
      <c r="BBM6" s="87"/>
      <c r="BBN6" s="87"/>
      <c r="BBO6" s="87"/>
      <c r="BBP6" s="87"/>
      <c r="BBQ6" s="87"/>
      <c r="BBR6" s="87"/>
      <c r="BBS6" s="87"/>
      <c r="BBT6" s="87"/>
      <c r="BBU6" s="87"/>
      <c r="BBV6" s="87"/>
      <c r="BBW6" s="87"/>
      <c r="BBX6" s="87"/>
      <c r="BBY6" s="87"/>
      <c r="BBZ6" s="87"/>
      <c r="BCA6" s="87"/>
      <c r="BCB6" s="87"/>
      <c r="BCC6" s="87"/>
      <c r="BCD6" s="87"/>
      <c r="BCE6" s="87"/>
      <c r="BCF6" s="87"/>
      <c r="BCG6" s="87"/>
      <c r="BCH6" s="87"/>
      <c r="BCI6" s="87"/>
      <c r="BCJ6" s="87"/>
      <c r="BCK6" s="87"/>
      <c r="BCL6" s="87"/>
      <c r="BCM6" s="87"/>
      <c r="BCN6" s="87"/>
      <c r="BCO6" s="87"/>
      <c r="BCP6" s="87"/>
      <c r="BCQ6" s="87"/>
      <c r="BCR6" s="87"/>
      <c r="BCS6" s="87"/>
      <c r="BCT6" s="87"/>
      <c r="BCU6" s="87"/>
      <c r="BCV6" s="87"/>
      <c r="BCW6" s="87"/>
      <c r="BCX6" s="87"/>
      <c r="BCY6" s="87"/>
      <c r="BCZ6" s="87"/>
      <c r="BDA6" s="87"/>
      <c r="BDB6" s="87"/>
      <c r="BDC6" s="87"/>
      <c r="BDD6" s="87"/>
      <c r="BDE6" s="87"/>
      <c r="BDF6" s="87"/>
      <c r="BDG6" s="87"/>
      <c r="BDH6" s="87"/>
      <c r="BDI6" s="87"/>
      <c r="BDJ6" s="87"/>
      <c r="BDK6" s="87"/>
      <c r="BDL6" s="87"/>
      <c r="BDM6" s="87"/>
      <c r="BDN6" s="87"/>
      <c r="BDO6" s="87"/>
      <c r="BDP6" s="87"/>
      <c r="BDQ6" s="87"/>
      <c r="BDR6" s="87"/>
      <c r="BDS6" s="87"/>
      <c r="BDT6" s="87"/>
      <c r="BDU6" s="87"/>
      <c r="BDV6" s="87"/>
      <c r="BDW6" s="87"/>
      <c r="BDX6" s="87"/>
      <c r="BDY6" s="87"/>
      <c r="BDZ6" s="87"/>
      <c r="BEA6" s="87"/>
      <c r="BEB6" s="87"/>
      <c r="BEC6" s="87"/>
      <c r="BED6" s="87"/>
      <c r="BEE6" s="87"/>
      <c r="BEF6" s="87"/>
      <c r="BEG6" s="87"/>
      <c r="BEH6" s="87"/>
      <c r="BEI6" s="87"/>
      <c r="BEJ6" s="87"/>
      <c r="BEK6" s="87"/>
      <c r="BEL6" s="87"/>
      <c r="BEM6" s="87"/>
      <c r="BEN6" s="87"/>
      <c r="BEO6" s="87"/>
      <c r="BEP6" s="87"/>
      <c r="BEQ6" s="87"/>
      <c r="BER6" s="87"/>
      <c r="BES6" s="87"/>
      <c r="BET6" s="87"/>
      <c r="BEU6" s="87"/>
      <c r="BEV6" s="87"/>
      <c r="BEW6" s="87"/>
      <c r="BEX6" s="87"/>
      <c r="BEY6" s="87"/>
      <c r="BEZ6" s="87"/>
      <c r="BFA6" s="87"/>
      <c r="BFB6" s="87"/>
      <c r="BFC6" s="87"/>
      <c r="BFD6" s="87"/>
      <c r="BFE6" s="87"/>
      <c r="BFF6" s="87"/>
      <c r="BFG6" s="87"/>
      <c r="BFH6" s="87"/>
      <c r="BFI6" s="87"/>
      <c r="BFJ6" s="87"/>
      <c r="BFK6" s="87"/>
      <c r="BFL6" s="87"/>
      <c r="BFM6" s="87"/>
      <c r="BFN6" s="87"/>
      <c r="BFO6" s="87"/>
      <c r="BFP6" s="87"/>
      <c r="BFQ6" s="87"/>
      <c r="BFR6" s="87"/>
      <c r="BFS6" s="87"/>
      <c r="BFT6" s="87"/>
      <c r="BFU6" s="87"/>
      <c r="BFV6" s="87"/>
      <c r="BFW6" s="87"/>
      <c r="BFX6" s="87"/>
      <c r="BFY6" s="87"/>
      <c r="BFZ6" s="87"/>
      <c r="BGA6" s="87"/>
      <c r="BGB6" s="87"/>
      <c r="BGC6" s="87"/>
      <c r="BGD6" s="87"/>
      <c r="BGE6" s="87"/>
      <c r="BGF6" s="87"/>
      <c r="BGG6" s="87"/>
      <c r="BGH6" s="87"/>
      <c r="BGI6" s="87"/>
      <c r="BGJ6" s="87"/>
      <c r="BGK6" s="87"/>
      <c r="BGL6" s="87"/>
      <c r="BGM6" s="87"/>
      <c r="BGN6" s="87"/>
      <c r="BGO6" s="87"/>
      <c r="BGP6" s="87"/>
      <c r="BGQ6" s="87"/>
      <c r="BGR6" s="87"/>
      <c r="BGS6" s="87"/>
      <c r="BGT6" s="87"/>
      <c r="BGU6" s="87"/>
      <c r="BGV6" s="87"/>
      <c r="BGW6" s="87"/>
      <c r="BGX6" s="87"/>
      <c r="BGY6" s="87"/>
      <c r="BGZ6" s="87"/>
      <c r="BHA6" s="87"/>
      <c r="BHB6" s="87"/>
      <c r="BHC6" s="87"/>
      <c r="BHD6" s="87"/>
      <c r="BHE6" s="87"/>
      <c r="BHF6" s="87"/>
      <c r="BHG6" s="87"/>
      <c r="BHH6" s="87"/>
      <c r="BHI6" s="87"/>
      <c r="BHJ6" s="87"/>
      <c r="BHK6" s="87"/>
      <c r="BHL6" s="87"/>
      <c r="BHM6" s="87"/>
      <c r="BHN6" s="87"/>
      <c r="BHO6" s="87"/>
      <c r="BHP6" s="87"/>
      <c r="BHQ6" s="87"/>
      <c r="BHR6" s="87"/>
      <c r="BHS6" s="87"/>
      <c r="BHT6" s="87"/>
      <c r="BHU6" s="87"/>
      <c r="BHV6" s="87"/>
      <c r="BHW6" s="87"/>
      <c r="BHX6" s="87"/>
      <c r="BHY6" s="87"/>
      <c r="BHZ6" s="87"/>
      <c r="BIA6" s="87"/>
      <c r="BIB6" s="87"/>
      <c r="BIC6" s="87"/>
      <c r="BID6" s="87"/>
      <c r="BIE6" s="87"/>
      <c r="BIF6" s="87"/>
      <c r="BIG6" s="87"/>
      <c r="BIH6" s="87"/>
      <c r="BII6" s="87"/>
      <c r="BIJ6" s="87"/>
      <c r="BIK6" s="87"/>
      <c r="BIL6" s="87"/>
      <c r="BIM6" s="87"/>
      <c r="BIN6" s="87"/>
      <c r="BIO6" s="87"/>
      <c r="BIP6" s="87"/>
      <c r="BIQ6" s="87"/>
      <c r="BIR6" s="87"/>
      <c r="BIS6" s="87"/>
      <c r="BIT6" s="87"/>
      <c r="BIU6" s="87"/>
      <c r="BIV6" s="87"/>
      <c r="BIW6" s="87"/>
      <c r="BIX6" s="87"/>
      <c r="BIY6" s="87"/>
      <c r="BIZ6" s="87"/>
      <c r="BJA6" s="87"/>
      <c r="BJB6" s="87"/>
      <c r="BJC6" s="87"/>
      <c r="BJD6" s="87"/>
      <c r="BJE6" s="87"/>
      <c r="BJF6" s="87"/>
      <c r="BJG6" s="87"/>
      <c r="BJH6" s="87"/>
      <c r="BJI6" s="87"/>
      <c r="BJJ6" s="87"/>
      <c r="BJK6" s="87"/>
      <c r="BJL6" s="87"/>
      <c r="BJM6" s="87"/>
      <c r="BJN6" s="87"/>
      <c r="BJO6" s="87"/>
      <c r="BJP6" s="87"/>
      <c r="BJQ6" s="87"/>
      <c r="BJR6" s="87"/>
      <c r="BJS6" s="87"/>
      <c r="BJT6" s="87"/>
      <c r="BJU6" s="87"/>
      <c r="BJV6" s="87"/>
      <c r="BJW6" s="87"/>
      <c r="BJX6" s="87"/>
      <c r="BJY6" s="87"/>
      <c r="BJZ6" s="87"/>
      <c r="BKA6" s="87"/>
      <c r="BKB6" s="87"/>
      <c r="BKC6" s="87"/>
      <c r="BKD6" s="87"/>
      <c r="BKE6" s="87"/>
      <c r="BKF6" s="87"/>
      <c r="BKG6" s="87"/>
      <c r="BKH6" s="87"/>
      <c r="BKI6" s="87"/>
      <c r="BKJ6" s="87"/>
      <c r="BKK6" s="87"/>
      <c r="BKL6" s="87"/>
      <c r="BKM6" s="87"/>
      <c r="BKN6" s="87"/>
      <c r="BKO6" s="87"/>
      <c r="BKP6" s="87"/>
      <c r="BKQ6" s="87"/>
      <c r="BKR6" s="87"/>
      <c r="BKS6" s="87"/>
      <c r="BKT6" s="87"/>
      <c r="BKU6" s="87"/>
      <c r="BKV6" s="87"/>
      <c r="BKW6" s="87"/>
      <c r="BKX6" s="87"/>
      <c r="BKY6" s="87"/>
      <c r="BKZ6" s="87"/>
      <c r="BLA6" s="87"/>
      <c r="BLB6" s="87"/>
      <c r="BLC6" s="87"/>
      <c r="BLD6" s="87"/>
      <c r="BLE6" s="87"/>
      <c r="BLF6" s="87"/>
      <c r="BLG6" s="87"/>
      <c r="BLH6" s="87"/>
      <c r="BLI6" s="87"/>
      <c r="BLJ6" s="87"/>
      <c r="BLK6" s="87"/>
      <c r="BLL6" s="87"/>
      <c r="BLM6" s="87"/>
      <c r="BLN6" s="87"/>
      <c r="BLO6" s="87"/>
      <c r="BLP6" s="87"/>
      <c r="BLQ6" s="87"/>
      <c r="BLR6" s="87"/>
      <c r="BLS6" s="87"/>
      <c r="BLT6" s="87"/>
      <c r="BLU6" s="87"/>
      <c r="BLV6" s="87"/>
      <c r="BLW6" s="87"/>
      <c r="BLX6" s="87"/>
      <c r="BLY6" s="87"/>
      <c r="BLZ6" s="87"/>
      <c r="BMA6" s="87"/>
      <c r="BMB6" s="87"/>
      <c r="BMC6" s="87"/>
      <c r="BMD6" s="87"/>
      <c r="BME6" s="87"/>
      <c r="BMF6" s="87"/>
      <c r="BMG6" s="87"/>
      <c r="BMH6" s="87"/>
      <c r="BMI6" s="87"/>
      <c r="BMJ6" s="87"/>
      <c r="BMK6" s="87"/>
      <c r="BML6" s="87"/>
      <c r="BMM6" s="87"/>
      <c r="BMN6" s="87"/>
      <c r="BMO6" s="87"/>
      <c r="BMP6" s="87"/>
      <c r="BMQ6" s="87"/>
      <c r="BMR6" s="87"/>
      <c r="BMS6" s="87"/>
      <c r="BMT6" s="87"/>
      <c r="BMU6" s="87"/>
      <c r="BMV6" s="87"/>
      <c r="BMW6" s="87"/>
      <c r="BMX6" s="87"/>
      <c r="BMY6" s="87"/>
      <c r="BMZ6" s="87"/>
      <c r="BNA6" s="87"/>
      <c r="BNB6" s="87"/>
      <c r="BNC6" s="87"/>
      <c r="BND6" s="87"/>
      <c r="BNE6" s="87"/>
      <c r="BNF6" s="87"/>
      <c r="BNG6" s="87"/>
      <c r="BNH6" s="87"/>
      <c r="BNI6" s="87"/>
      <c r="BNJ6" s="87"/>
      <c r="BNK6" s="87"/>
      <c r="BNL6" s="87"/>
      <c r="BNM6" s="87"/>
      <c r="BNN6" s="87"/>
      <c r="BNO6" s="87"/>
      <c r="BNP6" s="87"/>
      <c r="BNQ6" s="87"/>
      <c r="BNR6" s="87"/>
      <c r="BNS6" s="87"/>
      <c r="BNT6" s="87"/>
      <c r="BNU6" s="87"/>
      <c r="BNV6" s="87"/>
      <c r="BNW6" s="87"/>
      <c r="BNX6" s="87"/>
      <c r="BNY6" s="87"/>
      <c r="BNZ6" s="87"/>
      <c r="BOA6" s="87"/>
      <c r="BOB6" s="87"/>
      <c r="BOC6" s="87"/>
      <c r="BOD6" s="87"/>
      <c r="BOE6" s="87"/>
      <c r="BOF6" s="87"/>
      <c r="BOG6" s="87"/>
      <c r="BOH6" s="87"/>
      <c r="BOI6" s="87"/>
      <c r="BOJ6" s="87"/>
      <c r="BOK6" s="87"/>
      <c r="BOL6" s="87"/>
      <c r="BOM6" s="87"/>
      <c r="BON6" s="87"/>
      <c r="BOO6" s="87"/>
      <c r="BOP6" s="87"/>
      <c r="BOQ6" s="87"/>
      <c r="BOR6" s="87"/>
      <c r="BOS6" s="87"/>
      <c r="BOT6" s="87"/>
      <c r="BOU6" s="87"/>
      <c r="BOV6" s="87"/>
      <c r="BOW6" s="87"/>
      <c r="BOX6" s="87"/>
      <c r="BOY6" s="87"/>
      <c r="BOZ6" s="87"/>
      <c r="BPA6" s="87"/>
      <c r="BPB6" s="87"/>
      <c r="BPC6" s="87"/>
      <c r="BPD6" s="87"/>
      <c r="BPE6" s="87"/>
      <c r="BPF6" s="87"/>
      <c r="BPG6" s="87"/>
      <c r="BPH6" s="87"/>
      <c r="BPI6" s="87"/>
      <c r="BPJ6" s="87"/>
      <c r="BPK6" s="87"/>
      <c r="BPL6" s="87"/>
      <c r="BPM6" s="87"/>
      <c r="BPN6" s="87"/>
      <c r="BPO6" s="87"/>
      <c r="BPP6" s="87"/>
      <c r="BPQ6" s="87"/>
      <c r="BPR6" s="87"/>
      <c r="BPS6" s="87"/>
      <c r="BPT6" s="87"/>
      <c r="BPU6" s="87"/>
      <c r="BPV6" s="87"/>
      <c r="BPW6" s="87"/>
      <c r="BPX6" s="87"/>
      <c r="BPY6" s="87"/>
      <c r="BPZ6" s="87"/>
      <c r="BQA6" s="87"/>
      <c r="BQB6" s="87"/>
      <c r="BQC6" s="87"/>
      <c r="BQD6" s="87"/>
      <c r="BQE6" s="87"/>
      <c r="BQF6" s="87"/>
      <c r="BQG6" s="87"/>
      <c r="BQH6" s="87"/>
      <c r="BQI6" s="87"/>
      <c r="BQJ6" s="87"/>
      <c r="BQK6" s="87"/>
      <c r="BQL6" s="87"/>
      <c r="BQM6" s="87"/>
      <c r="BQN6" s="87"/>
      <c r="BQO6" s="87"/>
      <c r="BQP6" s="87"/>
      <c r="BQQ6" s="87"/>
      <c r="BQR6" s="87"/>
      <c r="BQS6" s="87"/>
      <c r="BQT6" s="87"/>
      <c r="BQU6" s="87"/>
      <c r="BQV6" s="87"/>
      <c r="BQW6" s="87"/>
      <c r="BQX6" s="87"/>
      <c r="BQY6" s="87"/>
      <c r="BQZ6" s="87"/>
      <c r="BRA6" s="87"/>
      <c r="BRB6" s="87"/>
      <c r="BRC6" s="87"/>
      <c r="BRD6" s="87"/>
      <c r="BRE6" s="87"/>
      <c r="BRF6" s="87"/>
      <c r="BRG6" s="87"/>
      <c r="BRH6" s="87"/>
      <c r="BRI6" s="87"/>
      <c r="BRJ6" s="87"/>
      <c r="BRK6" s="87"/>
      <c r="BRL6" s="87"/>
      <c r="BRM6" s="87"/>
      <c r="BRN6" s="87"/>
      <c r="BRO6" s="87"/>
      <c r="BRP6" s="87"/>
      <c r="BRQ6" s="87"/>
      <c r="BRR6" s="87"/>
      <c r="BRS6" s="87"/>
      <c r="BRT6" s="87"/>
      <c r="BRU6" s="87"/>
      <c r="BRV6" s="87"/>
      <c r="BRW6" s="87"/>
      <c r="BRX6" s="87"/>
      <c r="BRY6" s="87"/>
      <c r="BRZ6" s="87"/>
      <c r="BSA6" s="87"/>
      <c r="BSB6" s="87"/>
      <c r="BSC6" s="87"/>
      <c r="BSD6" s="87"/>
      <c r="BSE6" s="87"/>
      <c r="BSF6" s="87"/>
      <c r="BSG6" s="87"/>
      <c r="BSH6" s="87"/>
      <c r="BSI6" s="87"/>
      <c r="BSJ6" s="87"/>
      <c r="BSK6" s="87"/>
      <c r="BSL6" s="87"/>
      <c r="BSM6" s="87"/>
      <c r="BSN6" s="87"/>
      <c r="BSO6" s="87"/>
      <c r="BSP6" s="87"/>
      <c r="BSQ6" s="87"/>
      <c r="BSR6" s="87"/>
      <c r="BSS6" s="87"/>
      <c r="BST6" s="87"/>
      <c r="BSU6" s="87"/>
      <c r="BSV6" s="87"/>
      <c r="BSW6" s="87"/>
      <c r="BSX6" s="87"/>
      <c r="BSY6" s="87"/>
      <c r="BSZ6" s="87"/>
      <c r="BTA6" s="87"/>
      <c r="BTB6" s="87"/>
      <c r="BTC6" s="87"/>
      <c r="BTD6" s="87"/>
      <c r="BTE6" s="87"/>
      <c r="BTF6" s="87"/>
      <c r="BTG6" s="87"/>
      <c r="BTH6" s="87"/>
      <c r="BTI6" s="87"/>
      <c r="BTJ6" s="87"/>
      <c r="BTK6" s="87"/>
      <c r="BTL6" s="87"/>
      <c r="BTM6" s="87"/>
      <c r="BTN6" s="87"/>
      <c r="BTO6" s="87"/>
      <c r="BTP6" s="87"/>
      <c r="BTQ6" s="87"/>
      <c r="BTR6" s="87"/>
      <c r="BTS6" s="87"/>
      <c r="BTT6" s="87"/>
      <c r="BTU6" s="87"/>
      <c r="BTV6" s="87"/>
      <c r="BTW6" s="87"/>
      <c r="BTX6" s="87"/>
      <c r="BTY6" s="87"/>
      <c r="BTZ6" s="87"/>
      <c r="BUA6" s="87"/>
      <c r="BUB6" s="87"/>
      <c r="BUC6" s="87"/>
      <c r="BUD6" s="87"/>
      <c r="BUE6" s="87"/>
      <c r="BUF6" s="87"/>
      <c r="BUG6" s="87"/>
      <c r="BUH6" s="87"/>
      <c r="BUI6" s="87"/>
      <c r="BUJ6" s="87"/>
      <c r="BUK6" s="87"/>
      <c r="BUL6" s="87"/>
      <c r="BUM6" s="87"/>
      <c r="BUN6" s="87"/>
      <c r="BUO6" s="87"/>
      <c r="BUP6" s="87"/>
      <c r="BUQ6" s="87"/>
      <c r="BUR6" s="87"/>
      <c r="BUS6" s="87"/>
      <c r="BUT6" s="87"/>
      <c r="BUU6" s="87"/>
      <c r="BUV6" s="87"/>
      <c r="BUW6" s="87"/>
      <c r="BUX6" s="87"/>
      <c r="BUY6" s="87"/>
      <c r="BUZ6" s="87"/>
      <c r="BVA6" s="87"/>
      <c r="BVB6" s="87"/>
      <c r="BVC6" s="87"/>
      <c r="BVD6" s="87"/>
      <c r="BVE6" s="87"/>
      <c r="BVF6" s="87"/>
      <c r="BVG6" s="87"/>
      <c r="BVH6" s="87"/>
      <c r="BVI6" s="87"/>
      <c r="BVJ6" s="87"/>
      <c r="BVK6" s="87"/>
      <c r="BVL6" s="87"/>
      <c r="BVM6" s="87"/>
      <c r="BVN6" s="87"/>
      <c r="BVO6" s="87"/>
      <c r="BVP6" s="87"/>
      <c r="BVQ6" s="87"/>
      <c r="BVR6" s="87"/>
      <c r="BVS6" s="87"/>
      <c r="BVT6" s="87"/>
      <c r="BVU6" s="87"/>
      <c r="BVV6" s="87"/>
      <c r="BVW6" s="87"/>
      <c r="BVX6" s="87"/>
      <c r="BVY6" s="87"/>
      <c r="BVZ6" s="87"/>
      <c r="BWA6" s="87"/>
      <c r="BWB6" s="87"/>
      <c r="BWC6" s="87"/>
      <c r="BWD6" s="87"/>
      <c r="BWE6" s="87"/>
      <c r="BWF6" s="87"/>
      <c r="BWG6" s="87"/>
      <c r="BWH6" s="87"/>
      <c r="BWI6" s="87"/>
      <c r="BWJ6" s="87"/>
      <c r="BWK6" s="87"/>
      <c r="BWL6" s="87"/>
      <c r="BWM6" s="87"/>
      <c r="BWN6" s="87"/>
      <c r="BWO6" s="87"/>
      <c r="BWP6" s="87"/>
      <c r="BWQ6" s="87"/>
      <c r="BWR6" s="87"/>
      <c r="BWS6" s="87"/>
      <c r="BWT6" s="87"/>
      <c r="BWU6" s="87"/>
      <c r="BWV6" s="87"/>
      <c r="BWW6" s="87"/>
      <c r="BWX6" s="87"/>
      <c r="BWY6" s="87"/>
      <c r="BWZ6" s="87"/>
      <c r="BXA6" s="87"/>
      <c r="BXB6" s="87"/>
      <c r="BXC6" s="87"/>
      <c r="BXD6" s="87"/>
      <c r="BXE6" s="87"/>
      <c r="BXF6" s="87"/>
      <c r="BXG6" s="87"/>
      <c r="BXH6" s="87"/>
      <c r="BXI6" s="87"/>
      <c r="BXJ6" s="87"/>
      <c r="BXK6" s="87"/>
      <c r="BXL6" s="87"/>
      <c r="BXM6" s="87"/>
      <c r="BXN6" s="87"/>
      <c r="BXO6" s="87"/>
      <c r="BXP6" s="87"/>
      <c r="BXQ6" s="87"/>
      <c r="BXR6" s="87"/>
      <c r="BXS6" s="87"/>
      <c r="BXT6" s="87"/>
      <c r="BXU6" s="87"/>
      <c r="BXV6" s="87"/>
      <c r="BXW6" s="87"/>
      <c r="BXX6" s="87"/>
      <c r="BXY6" s="87"/>
      <c r="BXZ6" s="87"/>
      <c r="BYA6" s="87"/>
      <c r="BYB6" s="87"/>
      <c r="BYC6" s="87"/>
      <c r="BYD6" s="87"/>
      <c r="BYE6" s="87"/>
      <c r="BYF6" s="87"/>
      <c r="BYG6" s="87"/>
      <c r="BYH6" s="87"/>
      <c r="BYI6" s="87"/>
      <c r="BYJ6" s="87"/>
      <c r="BYK6" s="87"/>
      <c r="BYL6" s="87"/>
      <c r="BYM6" s="87"/>
      <c r="BYN6" s="87"/>
      <c r="BYO6" s="87"/>
      <c r="BYP6" s="87"/>
      <c r="BYQ6" s="87"/>
      <c r="BYR6" s="87"/>
      <c r="BYS6" s="87"/>
      <c r="BYT6" s="87"/>
      <c r="BYU6" s="87"/>
      <c r="BYV6" s="87"/>
      <c r="BYW6" s="87"/>
      <c r="BYX6" s="87"/>
      <c r="BYY6" s="87"/>
      <c r="BYZ6" s="87"/>
      <c r="BZA6" s="87"/>
      <c r="BZB6" s="87"/>
      <c r="BZC6" s="87"/>
      <c r="BZD6" s="87"/>
      <c r="BZE6" s="87"/>
      <c r="BZF6" s="87"/>
      <c r="BZG6" s="87"/>
      <c r="BZH6" s="87"/>
      <c r="BZI6" s="87"/>
      <c r="BZJ6" s="87"/>
      <c r="BZK6" s="87"/>
      <c r="BZL6" s="87"/>
      <c r="BZM6" s="87"/>
      <c r="BZN6" s="87"/>
      <c r="BZO6" s="87"/>
      <c r="BZP6" s="87"/>
      <c r="BZQ6" s="87"/>
      <c r="BZR6" s="87"/>
      <c r="BZS6" s="87"/>
      <c r="BZT6" s="87"/>
      <c r="BZU6" s="87"/>
      <c r="BZV6" s="87"/>
      <c r="BZW6" s="87"/>
      <c r="BZX6" s="87"/>
      <c r="BZY6" s="87"/>
      <c r="BZZ6" s="87"/>
      <c r="CAA6" s="87"/>
      <c r="CAB6" s="87"/>
      <c r="CAC6" s="87"/>
      <c r="CAD6" s="87"/>
      <c r="CAE6" s="87"/>
      <c r="CAF6" s="87"/>
      <c r="CAG6" s="87"/>
      <c r="CAH6" s="87"/>
      <c r="CAI6" s="87"/>
      <c r="CAJ6" s="87"/>
      <c r="CAK6" s="87"/>
      <c r="CAL6" s="87"/>
      <c r="CAM6" s="87"/>
      <c r="CAN6" s="87"/>
      <c r="CAO6" s="87"/>
      <c r="CAP6" s="87"/>
      <c r="CAQ6" s="87"/>
      <c r="CAR6" s="87"/>
      <c r="CAS6" s="87"/>
      <c r="CAT6" s="87"/>
      <c r="CAU6" s="87"/>
      <c r="CAV6" s="87"/>
      <c r="CAW6" s="87"/>
      <c r="CAX6" s="87"/>
      <c r="CAY6" s="87"/>
      <c r="CAZ6" s="87"/>
      <c r="CBA6" s="87"/>
      <c r="CBB6" s="87"/>
      <c r="CBC6" s="87"/>
      <c r="CBD6" s="87"/>
      <c r="CBE6" s="87"/>
      <c r="CBF6" s="87"/>
      <c r="CBG6" s="87"/>
      <c r="CBH6" s="87"/>
      <c r="CBI6" s="87"/>
      <c r="CBJ6" s="87"/>
      <c r="CBK6" s="87"/>
      <c r="CBL6" s="87"/>
      <c r="CBM6" s="87"/>
      <c r="CBN6" s="87"/>
      <c r="CBO6" s="87"/>
      <c r="CBP6" s="87"/>
      <c r="CBQ6" s="87"/>
      <c r="CBR6" s="87"/>
      <c r="CBS6" s="87"/>
      <c r="CBT6" s="87"/>
      <c r="CBU6" s="87"/>
      <c r="CBV6" s="87"/>
      <c r="CBW6" s="87"/>
      <c r="CBX6" s="87"/>
      <c r="CBY6" s="87"/>
      <c r="CBZ6" s="87"/>
      <c r="CCA6" s="87"/>
      <c r="CCB6" s="87"/>
      <c r="CCC6" s="87"/>
      <c r="CCD6" s="87"/>
      <c r="CCE6" s="87"/>
      <c r="CCF6" s="87"/>
      <c r="CCG6" s="87"/>
      <c r="CCH6" s="87"/>
      <c r="CCI6" s="87"/>
      <c r="CCJ6" s="87"/>
      <c r="CCK6" s="87"/>
      <c r="CCL6" s="87"/>
      <c r="CCM6" s="87"/>
      <c r="CCN6" s="87"/>
      <c r="CCO6" s="87"/>
      <c r="CCP6" s="87"/>
      <c r="CCQ6" s="87"/>
      <c r="CCR6" s="87"/>
      <c r="CCS6" s="87"/>
      <c r="CCT6" s="87"/>
      <c r="CCU6" s="87"/>
      <c r="CCV6" s="87"/>
      <c r="CCW6" s="87"/>
      <c r="CCX6" s="87"/>
      <c r="CCY6" s="87"/>
      <c r="CCZ6" s="87"/>
      <c r="CDA6" s="87"/>
      <c r="CDB6" s="87"/>
      <c r="CDC6" s="87"/>
      <c r="CDD6" s="87"/>
      <c r="CDE6" s="87"/>
      <c r="CDF6" s="87"/>
      <c r="CDG6" s="87"/>
      <c r="CDH6" s="87"/>
      <c r="CDI6" s="87"/>
      <c r="CDJ6" s="87"/>
      <c r="CDK6" s="87"/>
      <c r="CDL6" s="87"/>
      <c r="CDM6" s="87"/>
      <c r="CDN6" s="87"/>
      <c r="CDO6" s="87"/>
      <c r="CDP6" s="87"/>
      <c r="CDQ6" s="87"/>
      <c r="CDR6" s="87"/>
      <c r="CDS6" s="87"/>
      <c r="CDT6" s="87"/>
      <c r="CDU6" s="87"/>
      <c r="CDV6" s="87"/>
      <c r="CDW6" s="87"/>
      <c r="CDX6" s="87"/>
      <c r="CDY6" s="87"/>
      <c r="CDZ6" s="87"/>
      <c r="CEA6" s="87"/>
      <c r="CEB6" s="87"/>
      <c r="CEC6" s="87"/>
      <c r="CED6" s="87"/>
      <c r="CEE6" s="87"/>
      <c r="CEF6" s="87"/>
      <c r="CEG6" s="87"/>
      <c r="CEH6" s="87"/>
      <c r="CEI6" s="87"/>
      <c r="CEJ6" s="87"/>
      <c r="CEK6" s="87"/>
      <c r="CEL6" s="87"/>
      <c r="CEM6" s="87"/>
      <c r="CEN6" s="87"/>
      <c r="CEO6" s="87"/>
      <c r="CEP6" s="87"/>
      <c r="CEQ6" s="87"/>
      <c r="CER6" s="87"/>
      <c r="CES6" s="87"/>
      <c r="CET6" s="87"/>
      <c r="CEU6" s="87"/>
      <c r="CEV6" s="87"/>
      <c r="CEW6" s="87"/>
      <c r="CEX6" s="87"/>
      <c r="CEY6" s="87"/>
      <c r="CEZ6" s="87"/>
      <c r="CFA6" s="87"/>
      <c r="CFB6" s="87"/>
      <c r="CFC6" s="87"/>
      <c r="CFD6" s="87"/>
      <c r="CFE6" s="87"/>
      <c r="CFF6" s="87"/>
      <c r="CFG6" s="87"/>
      <c r="CFH6" s="87"/>
      <c r="CFI6" s="87"/>
      <c r="CFJ6" s="87"/>
      <c r="CFK6" s="87"/>
      <c r="CFL6" s="87"/>
      <c r="CFM6" s="87"/>
      <c r="CFN6" s="87"/>
      <c r="CFO6" s="87"/>
      <c r="CFP6" s="87"/>
      <c r="CFQ6" s="87"/>
      <c r="CFR6" s="87"/>
      <c r="CFS6" s="87"/>
      <c r="CFT6" s="87"/>
      <c r="CFU6" s="87"/>
      <c r="CFV6" s="87"/>
      <c r="CFW6" s="87"/>
      <c r="CFX6" s="87"/>
      <c r="CFY6" s="87"/>
      <c r="CFZ6" s="87"/>
      <c r="CGA6" s="87"/>
      <c r="CGB6" s="87"/>
      <c r="CGC6" s="87"/>
      <c r="CGD6" s="87"/>
      <c r="CGE6" s="87"/>
      <c r="CGF6" s="87"/>
      <c r="CGG6" s="87"/>
      <c r="CGH6" s="87"/>
      <c r="CGI6" s="87"/>
      <c r="CGJ6" s="87"/>
      <c r="CGK6" s="87"/>
      <c r="CGL6" s="87"/>
      <c r="CGM6" s="87"/>
      <c r="CGN6" s="87"/>
      <c r="CGO6" s="87"/>
      <c r="CGP6" s="87"/>
      <c r="CGQ6" s="87"/>
      <c r="CGR6" s="87"/>
      <c r="CGS6" s="87"/>
      <c r="CGT6" s="87"/>
      <c r="CGU6" s="87"/>
      <c r="CGV6" s="87"/>
      <c r="CGW6" s="87"/>
      <c r="CGX6" s="87"/>
      <c r="CGY6" s="87"/>
      <c r="CGZ6" s="87"/>
      <c r="CHA6" s="87"/>
      <c r="CHB6" s="87"/>
      <c r="CHC6" s="87"/>
      <c r="CHD6" s="87"/>
      <c r="CHE6" s="87"/>
      <c r="CHF6" s="87"/>
      <c r="CHG6" s="87"/>
      <c r="CHH6" s="87"/>
      <c r="CHI6" s="87"/>
      <c r="CHJ6" s="87"/>
      <c r="CHK6" s="87"/>
      <c r="CHL6" s="87"/>
      <c r="CHM6" s="87"/>
      <c r="CHN6" s="87"/>
      <c r="CHO6" s="87"/>
      <c r="CHP6" s="87"/>
      <c r="CHQ6" s="87"/>
      <c r="CHR6" s="87"/>
      <c r="CHS6" s="87"/>
      <c r="CHT6" s="87"/>
      <c r="CHU6" s="87"/>
      <c r="CHV6" s="87"/>
      <c r="CHW6" s="87"/>
      <c r="CHX6" s="87"/>
      <c r="CHY6" s="87"/>
      <c r="CHZ6" s="87"/>
      <c r="CIA6" s="87"/>
      <c r="CIB6" s="87"/>
      <c r="CIC6" s="87"/>
      <c r="CID6" s="87"/>
      <c r="CIE6" s="87"/>
      <c r="CIF6" s="87"/>
      <c r="CIG6" s="87"/>
      <c r="CIH6" s="87"/>
      <c r="CII6" s="87"/>
      <c r="CIJ6" s="87"/>
      <c r="CIK6" s="87"/>
      <c r="CIL6" s="87"/>
      <c r="CIM6" s="87"/>
      <c r="CIN6" s="87"/>
      <c r="CIO6" s="87"/>
      <c r="CIP6" s="87"/>
      <c r="CIQ6" s="87"/>
      <c r="CIR6" s="87"/>
      <c r="CIS6" s="87"/>
      <c r="CIT6" s="87"/>
      <c r="CIU6" s="87"/>
      <c r="CIV6" s="87"/>
      <c r="CIW6" s="87"/>
      <c r="CIX6" s="87"/>
      <c r="CIY6" s="87"/>
      <c r="CIZ6" s="87"/>
      <c r="CJA6" s="87"/>
      <c r="CJB6" s="87"/>
      <c r="CJC6" s="87"/>
      <c r="CJD6" s="87"/>
      <c r="CJE6" s="87"/>
      <c r="CJF6" s="87"/>
      <c r="CJG6" s="87"/>
      <c r="CJH6" s="87"/>
      <c r="CJI6" s="87"/>
      <c r="CJJ6" s="87"/>
      <c r="CJK6" s="87"/>
      <c r="CJL6" s="87"/>
      <c r="CJM6" s="87"/>
      <c r="CJN6" s="87"/>
      <c r="CJO6" s="87"/>
      <c r="CJP6" s="87"/>
      <c r="CJQ6" s="87"/>
      <c r="CJR6" s="87"/>
      <c r="CJS6" s="87"/>
      <c r="CJT6" s="87"/>
      <c r="CJU6" s="87"/>
      <c r="CJV6" s="87"/>
      <c r="CJW6" s="87"/>
      <c r="CJX6" s="87"/>
      <c r="CJY6" s="87"/>
      <c r="CJZ6" s="87"/>
      <c r="CKA6" s="87"/>
      <c r="CKB6" s="87"/>
      <c r="CKC6" s="87"/>
      <c r="CKD6" s="87"/>
      <c r="CKE6" s="87"/>
      <c r="CKF6" s="87"/>
      <c r="CKG6" s="87"/>
      <c r="CKH6" s="87"/>
      <c r="CKI6" s="87"/>
      <c r="CKJ6" s="87"/>
      <c r="CKK6" s="87"/>
      <c r="CKL6" s="87"/>
      <c r="CKM6" s="87"/>
      <c r="CKN6" s="87"/>
      <c r="CKO6" s="87"/>
      <c r="CKP6" s="87"/>
      <c r="CKQ6" s="87"/>
      <c r="CKR6" s="87"/>
      <c r="CKS6" s="87"/>
      <c r="CKT6" s="87"/>
      <c r="CKU6" s="87"/>
      <c r="CKV6" s="87"/>
      <c r="CKW6" s="87"/>
      <c r="CKX6" s="87"/>
      <c r="CKY6" s="87"/>
      <c r="CKZ6" s="87"/>
      <c r="CLA6" s="87"/>
      <c r="CLB6" s="87"/>
      <c r="CLC6" s="87"/>
      <c r="CLD6" s="87"/>
      <c r="CLE6" s="87"/>
      <c r="CLF6" s="87"/>
      <c r="CLG6" s="87"/>
      <c r="CLH6" s="87"/>
      <c r="CLI6" s="87"/>
      <c r="CLJ6" s="87"/>
      <c r="CLK6" s="87"/>
      <c r="CLL6" s="87"/>
      <c r="CLM6" s="87"/>
      <c r="CLN6" s="87"/>
      <c r="CLO6" s="87"/>
      <c r="CLP6" s="87"/>
      <c r="CLQ6" s="87"/>
      <c r="CLR6" s="87"/>
      <c r="CLS6" s="87"/>
      <c r="CLT6" s="87"/>
      <c r="CLU6" s="87"/>
      <c r="CLV6" s="87"/>
      <c r="CLW6" s="87"/>
      <c r="CLX6" s="87"/>
      <c r="CLY6" s="87"/>
      <c r="CLZ6" s="87"/>
      <c r="CMA6" s="87"/>
      <c r="CMB6" s="87"/>
      <c r="CMC6" s="87"/>
      <c r="CMD6" s="87"/>
      <c r="CME6" s="87"/>
      <c r="CMF6" s="87"/>
      <c r="CMG6" s="87"/>
      <c r="CMH6" s="87"/>
      <c r="CMI6" s="87"/>
      <c r="CMJ6" s="87"/>
      <c r="CMK6" s="87"/>
      <c r="CML6" s="87"/>
      <c r="CMM6" s="87"/>
      <c r="CMN6" s="87"/>
      <c r="CMO6" s="87"/>
      <c r="CMP6" s="87"/>
      <c r="CMQ6" s="87"/>
      <c r="CMR6" s="87"/>
      <c r="CMS6" s="87"/>
      <c r="CMT6" s="87"/>
      <c r="CMU6" s="87"/>
      <c r="CMV6" s="87"/>
      <c r="CMW6" s="87"/>
      <c r="CMX6" s="87"/>
      <c r="CMY6" s="87"/>
      <c r="CMZ6" s="87"/>
      <c r="CNA6" s="87"/>
      <c r="CNB6" s="87"/>
      <c r="CNC6" s="87"/>
      <c r="CND6" s="87"/>
      <c r="CNE6" s="87"/>
      <c r="CNF6" s="87"/>
      <c r="CNG6" s="87"/>
      <c r="CNH6" s="87"/>
      <c r="CNI6" s="87"/>
      <c r="CNJ6" s="87"/>
      <c r="CNK6" s="87"/>
      <c r="CNL6" s="87"/>
      <c r="CNM6" s="87"/>
      <c r="CNN6" s="87"/>
      <c r="CNO6" s="87"/>
      <c r="CNP6" s="87"/>
      <c r="CNQ6" s="87"/>
      <c r="CNR6" s="87"/>
      <c r="CNS6" s="87"/>
      <c r="CNT6" s="87"/>
      <c r="CNU6" s="87"/>
      <c r="CNV6" s="87"/>
      <c r="CNW6" s="87"/>
      <c r="CNX6" s="87"/>
      <c r="CNY6" s="87"/>
      <c r="CNZ6" s="87"/>
      <c r="COA6" s="87"/>
      <c r="COB6" s="87"/>
      <c r="COC6" s="87"/>
      <c r="COD6" s="87"/>
      <c r="COE6" s="87"/>
      <c r="COF6" s="87"/>
      <c r="COG6" s="87"/>
      <c r="COH6" s="87"/>
      <c r="COI6" s="87"/>
      <c r="COJ6" s="87"/>
      <c r="COK6" s="87"/>
      <c r="COL6" s="87"/>
      <c r="COM6" s="87"/>
      <c r="CON6" s="87"/>
      <c r="COO6" s="87"/>
      <c r="COP6" s="87"/>
      <c r="COQ6" s="87"/>
      <c r="COR6" s="87"/>
      <c r="COS6" s="87"/>
      <c r="COT6" s="87"/>
      <c r="COU6" s="87"/>
      <c r="COV6" s="87"/>
      <c r="COW6" s="87"/>
      <c r="COX6" s="87"/>
      <c r="COY6" s="87"/>
      <c r="COZ6" s="87"/>
      <c r="CPA6" s="87"/>
      <c r="CPB6" s="87"/>
      <c r="CPC6" s="87"/>
      <c r="CPD6" s="87"/>
      <c r="CPE6" s="87"/>
      <c r="CPF6" s="87"/>
      <c r="CPG6" s="87"/>
      <c r="CPH6" s="87"/>
      <c r="CPI6" s="87"/>
      <c r="CPJ6" s="87"/>
      <c r="CPK6" s="87"/>
      <c r="CPL6" s="87"/>
      <c r="CPM6" s="87"/>
      <c r="CPN6" s="87"/>
      <c r="CPO6" s="87"/>
      <c r="CPP6" s="87"/>
      <c r="CPQ6" s="87"/>
      <c r="CPR6" s="87"/>
      <c r="CPS6" s="87"/>
      <c r="CPT6" s="87"/>
      <c r="CPU6" s="87"/>
      <c r="CPV6" s="87"/>
      <c r="CPW6" s="87"/>
      <c r="CPX6" s="87"/>
      <c r="CPY6" s="87"/>
      <c r="CPZ6" s="87"/>
      <c r="CQA6" s="87"/>
      <c r="CQB6" s="87"/>
      <c r="CQC6" s="87"/>
      <c r="CQD6" s="87"/>
      <c r="CQE6" s="87"/>
      <c r="CQF6" s="87"/>
      <c r="CQG6" s="87"/>
      <c r="CQH6" s="87"/>
      <c r="CQI6" s="87"/>
      <c r="CQJ6" s="87"/>
      <c r="CQK6" s="87"/>
      <c r="CQL6" s="87"/>
      <c r="CQM6" s="87"/>
      <c r="CQN6" s="87"/>
      <c r="CQO6" s="87"/>
      <c r="CQP6" s="87"/>
      <c r="CQQ6" s="87"/>
      <c r="CQR6" s="87"/>
      <c r="CQS6" s="87"/>
      <c r="CQT6" s="87"/>
      <c r="CQU6" s="87"/>
      <c r="CQV6" s="87"/>
      <c r="CQW6" s="87"/>
      <c r="CQX6" s="87"/>
      <c r="CQY6" s="87"/>
      <c r="CQZ6" s="87"/>
      <c r="CRA6" s="87"/>
      <c r="CRB6" s="87"/>
      <c r="CRC6" s="87"/>
      <c r="CRD6" s="87"/>
      <c r="CRE6" s="87"/>
      <c r="CRF6" s="87"/>
      <c r="CRG6" s="87"/>
      <c r="CRH6" s="87"/>
      <c r="CRI6" s="87"/>
      <c r="CRJ6" s="87"/>
      <c r="CRK6" s="87"/>
      <c r="CRL6" s="87"/>
      <c r="CRM6" s="87"/>
      <c r="CRN6" s="87"/>
      <c r="CRO6" s="87"/>
      <c r="CRP6" s="87"/>
      <c r="CRQ6" s="87"/>
      <c r="CRR6" s="87"/>
      <c r="CRS6" s="87"/>
      <c r="CRT6" s="87"/>
      <c r="CRU6" s="87"/>
      <c r="CRV6" s="87"/>
      <c r="CRW6" s="87"/>
      <c r="CRX6" s="87"/>
      <c r="CRY6" s="87"/>
      <c r="CRZ6" s="87"/>
      <c r="CSA6" s="87"/>
      <c r="CSB6" s="87"/>
      <c r="CSC6" s="87"/>
      <c r="CSD6" s="87"/>
      <c r="CSE6" s="87"/>
      <c r="CSF6" s="87"/>
      <c r="CSG6" s="87"/>
      <c r="CSH6" s="87"/>
      <c r="CSI6" s="87"/>
      <c r="CSJ6" s="87"/>
      <c r="CSK6" s="87"/>
      <c r="CSL6" s="87"/>
      <c r="CSM6" s="87"/>
      <c r="CSN6" s="87"/>
      <c r="CSO6" s="87"/>
      <c r="CSP6" s="87"/>
      <c r="CSQ6" s="87"/>
      <c r="CSR6" s="87"/>
      <c r="CSS6" s="87"/>
      <c r="CST6" s="87"/>
      <c r="CSU6" s="87"/>
      <c r="CSV6" s="87"/>
      <c r="CSW6" s="87"/>
      <c r="CSX6" s="87"/>
      <c r="CSY6" s="87"/>
      <c r="CSZ6" s="87"/>
      <c r="CTA6" s="87"/>
      <c r="CTB6" s="87"/>
      <c r="CTC6" s="87"/>
      <c r="CTD6" s="87"/>
      <c r="CTE6" s="87"/>
      <c r="CTF6" s="87"/>
      <c r="CTG6" s="87"/>
      <c r="CTH6" s="87"/>
      <c r="CTI6" s="87"/>
      <c r="CTJ6" s="87"/>
      <c r="CTK6" s="87"/>
      <c r="CTL6" s="87"/>
      <c r="CTM6" s="87"/>
      <c r="CTN6" s="87"/>
      <c r="CTO6" s="87"/>
      <c r="CTP6" s="87"/>
      <c r="CTQ6" s="87"/>
      <c r="CTR6" s="87"/>
      <c r="CTS6" s="87"/>
      <c r="CTT6" s="87"/>
      <c r="CTU6" s="87"/>
      <c r="CTV6" s="87"/>
      <c r="CTW6" s="87"/>
      <c r="CTX6" s="87"/>
      <c r="CTY6" s="87"/>
      <c r="CTZ6" s="87"/>
      <c r="CUA6" s="87"/>
      <c r="CUB6" s="87"/>
      <c r="CUC6" s="87"/>
      <c r="CUD6" s="87"/>
      <c r="CUE6" s="87"/>
      <c r="CUF6" s="87"/>
      <c r="CUG6" s="87"/>
      <c r="CUH6" s="87"/>
      <c r="CUI6" s="87"/>
      <c r="CUJ6" s="87"/>
      <c r="CUK6" s="87"/>
      <c r="CUL6" s="87"/>
      <c r="CUM6" s="87"/>
      <c r="CUN6" s="87"/>
      <c r="CUO6" s="87"/>
      <c r="CUP6" s="87"/>
      <c r="CUQ6" s="87"/>
      <c r="CUR6" s="87"/>
      <c r="CUS6" s="87"/>
      <c r="CUT6" s="87"/>
      <c r="CUU6" s="87"/>
      <c r="CUV6" s="87"/>
      <c r="CUW6" s="87"/>
      <c r="CUX6" s="87"/>
      <c r="CUY6" s="87"/>
      <c r="CUZ6" s="87"/>
      <c r="CVA6" s="87"/>
      <c r="CVB6" s="87"/>
      <c r="CVC6" s="87"/>
      <c r="CVD6" s="87"/>
      <c r="CVE6" s="87"/>
      <c r="CVF6" s="87"/>
      <c r="CVG6" s="87"/>
      <c r="CVH6" s="87"/>
      <c r="CVI6" s="87"/>
      <c r="CVJ6" s="87"/>
      <c r="CVK6" s="87"/>
      <c r="CVL6" s="87"/>
      <c r="CVM6" s="87"/>
      <c r="CVN6" s="87"/>
      <c r="CVO6" s="87"/>
      <c r="CVP6" s="87"/>
      <c r="CVQ6" s="87"/>
      <c r="CVR6" s="87"/>
      <c r="CVS6" s="87"/>
      <c r="CVT6" s="87"/>
      <c r="CVU6" s="87"/>
      <c r="CVV6" s="87"/>
      <c r="CVW6" s="87"/>
      <c r="CVX6" s="87"/>
      <c r="CVY6" s="87"/>
      <c r="CVZ6" s="87"/>
      <c r="CWA6" s="87"/>
      <c r="CWB6" s="87"/>
      <c r="CWC6" s="87"/>
      <c r="CWD6" s="87"/>
      <c r="CWE6" s="87"/>
      <c r="CWF6" s="87"/>
      <c r="CWG6" s="87"/>
      <c r="CWH6" s="87"/>
      <c r="CWI6" s="87"/>
      <c r="CWJ6" s="87"/>
      <c r="CWK6" s="87"/>
      <c r="CWL6" s="87"/>
      <c r="CWM6" s="87"/>
      <c r="CWN6" s="87"/>
      <c r="CWO6" s="87"/>
      <c r="CWP6" s="87"/>
      <c r="CWQ6" s="87"/>
      <c r="CWR6" s="87"/>
      <c r="CWS6" s="87"/>
      <c r="CWT6" s="87"/>
      <c r="CWU6" s="87"/>
      <c r="CWV6" s="87"/>
      <c r="CWW6" s="87"/>
      <c r="CWX6" s="87"/>
      <c r="CWY6" s="87"/>
      <c r="CWZ6" s="87"/>
      <c r="CXA6" s="87"/>
      <c r="CXB6" s="87"/>
      <c r="CXC6" s="87"/>
      <c r="CXD6" s="87"/>
      <c r="CXE6" s="87"/>
      <c r="CXF6" s="87"/>
      <c r="CXG6" s="87"/>
      <c r="CXH6" s="87"/>
      <c r="CXI6" s="87"/>
      <c r="CXJ6" s="87"/>
      <c r="CXK6" s="87"/>
      <c r="CXL6" s="87"/>
      <c r="CXM6" s="87"/>
      <c r="CXN6" s="87"/>
      <c r="CXO6" s="87"/>
      <c r="CXP6" s="87"/>
      <c r="CXQ6" s="87"/>
      <c r="CXR6" s="87"/>
      <c r="CXS6" s="87"/>
      <c r="CXT6" s="87"/>
      <c r="CXU6" s="87"/>
      <c r="CXV6" s="87"/>
      <c r="CXW6" s="87"/>
      <c r="CXX6" s="87"/>
      <c r="CXY6" s="87"/>
      <c r="CXZ6" s="87"/>
      <c r="CYA6" s="87"/>
      <c r="CYB6" s="87"/>
      <c r="CYC6" s="87"/>
      <c r="CYD6" s="87"/>
      <c r="CYE6" s="87"/>
      <c r="CYF6" s="87"/>
      <c r="CYG6" s="87"/>
      <c r="CYH6" s="87"/>
      <c r="CYI6" s="87"/>
      <c r="CYJ6" s="87"/>
      <c r="CYK6" s="87"/>
      <c r="CYL6" s="87"/>
      <c r="CYM6" s="87"/>
      <c r="CYN6" s="87"/>
      <c r="CYO6" s="87"/>
      <c r="CYP6" s="87"/>
      <c r="CYQ6" s="87"/>
      <c r="CYR6" s="87"/>
      <c r="CYS6" s="87"/>
      <c r="CYT6" s="87"/>
      <c r="CYU6" s="87"/>
      <c r="CYV6" s="87"/>
      <c r="CYW6" s="87"/>
      <c r="CYX6" s="87"/>
      <c r="CYY6" s="87"/>
      <c r="CYZ6" s="87"/>
      <c r="CZA6" s="87"/>
      <c r="CZB6" s="87"/>
      <c r="CZC6" s="87"/>
      <c r="CZD6" s="87"/>
      <c r="CZE6" s="87"/>
      <c r="CZF6" s="87"/>
      <c r="CZG6" s="87"/>
      <c r="CZH6" s="87"/>
      <c r="CZI6" s="87"/>
      <c r="CZJ6" s="87"/>
      <c r="CZK6" s="87"/>
      <c r="CZL6" s="87"/>
      <c r="CZM6" s="87"/>
      <c r="CZN6" s="87"/>
      <c r="CZO6" s="87"/>
      <c r="CZP6" s="87"/>
      <c r="CZQ6" s="87"/>
      <c r="CZR6" s="87"/>
      <c r="CZS6" s="87"/>
      <c r="CZT6" s="87"/>
      <c r="CZU6" s="87"/>
      <c r="CZV6" s="87"/>
      <c r="CZW6" s="87"/>
      <c r="CZX6" s="87"/>
      <c r="CZY6" s="87"/>
      <c r="CZZ6" s="87"/>
      <c r="DAA6" s="87"/>
      <c r="DAB6" s="87"/>
      <c r="DAC6" s="87"/>
      <c r="DAD6" s="87"/>
      <c r="DAE6" s="87"/>
      <c r="DAF6" s="87"/>
      <c r="DAG6" s="87"/>
      <c r="DAH6" s="87"/>
      <c r="DAI6" s="87"/>
      <c r="DAJ6" s="87"/>
      <c r="DAK6" s="87"/>
      <c r="DAL6" s="87"/>
      <c r="DAM6" s="87"/>
      <c r="DAN6" s="87"/>
      <c r="DAO6" s="87"/>
      <c r="DAP6" s="87"/>
      <c r="DAQ6" s="87"/>
      <c r="DAR6" s="87"/>
      <c r="DAS6" s="87"/>
      <c r="DAT6" s="87"/>
      <c r="DAU6" s="87"/>
      <c r="DAV6" s="87"/>
      <c r="DAW6" s="87"/>
      <c r="DAX6" s="87"/>
      <c r="DAY6" s="87"/>
      <c r="DAZ6" s="87"/>
      <c r="DBA6" s="87"/>
      <c r="DBB6" s="87"/>
      <c r="DBC6" s="87"/>
      <c r="DBD6" s="87"/>
      <c r="DBE6" s="87"/>
      <c r="DBF6" s="87"/>
      <c r="DBG6" s="87"/>
      <c r="DBH6" s="87"/>
      <c r="DBI6" s="87"/>
      <c r="DBJ6" s="87"/>
      <c r="DBK6" s="87"/>
      <c r="DBL6" s="87"/>
      <c r="DBM6" s="87"/>
      <c r="DBN6" s="87"/>
      <c r="DBO6" s="87"/>
      <c r="DBP6" s="87"/>
      <c r="DBQ6" s="87"/>
      <c r="DBR6" s="87"/>
      <c r="DBS6" s="87"/>
      <c r="DBT6" s="87"/>
      <c r="DBU6" s="87"/>
      <c r="DBV6" s="87"/>
      <c r="DBW6" s="87"/>
      <c r="DBX6" s="87"/>
      <c r="DBY6" s="87"/>
      <c r="DBZ6" s="87"/>
      <c r="DCA6" s="87"/>
      <c r="DCB6" s="87"/>
      <c r="DCC6" s="87"/>
      <c r="DCD6" s="87"/>
      <c r="DCE6" s="87"/>
      <c r="DCF6" s="87"/>
      <c r="DCG6" s="87"/>
      <c r="DCH6" s="87"/>
      <c r="DCI6" s="87"/>
      <c r="DCJ6" s="87"/>
      <c r="DCK6" s="87"/>
      <c r="DCL6" s="87"/>
      <c r="DCM6" s="87"/>
      <c r="DCN6" s="87"/>
      <c r="DCO6" s="87"/>
      <c r="DCP6" s="87"/>
      <c r="DCQ6" s="87"/>
      <c r="DCR6" s="87"/>
      <c r="DCS6" s="87"/>
      <c r="DCT6" s="87"/>
      <c r="DCU6" s="87"/>
      <c r="DCV6" s="87"/>
      <c r="DCW6" s="87"/>
      <c r="DCX6" s="87"/>
      <c r="DCY6" s="87"/>
      <c r="DCZ6" s="87"/>
      <c r="DDA6" s="87"/>
      <c r="DDB6" s="87"/>
      <c r="DDC6" s="87"/>
      <c r="DDD6" s="87"/>
      <c r="DDE6" s="87"/>
      <c r="DDF6" s="87"/>
      <c r="DDG6" s="87"/>
      <c r="DDH6" s="87"/>
      <c r="DDI6" s="87"/>
      <c r="DDJ6" s="87"/>
      <c r="DDK6" s="87"/>
      <c r="DDL6" s="87"/>
      <c r="DDM6" s="87"/>
      <c r="DDN6" s="87"/>
      <c r="DDO6" s="87"/>
      <c r="DDP6" s="87"/>
      <c r="DDQ6" s="87"/>
      <c r="DDR6" s="87"/>
      <c r="DDS6" s="87"/>
      <c r="DDT6" s="87"/>
      <c r="DDU6" s="87"/>
      <c r="DDV6" s="87"/>
      <c r="DDW6" s="87"/>
      <c r="DDX6" s="87"/>
      <c r="DDY6" s="87"/>
      <c r="DDZ6" s="87"/>
      <c r="DEA6" s="87"/>
      <c r="DEB6" s="87"/>
      <c r="DEC6" s="87"/>
      <c r="DED6" s="87"/>
      <c r="DEE6" s="87"/>
      <c r="DEF6" s="87"/>
      <c r="DEG6" s="87"/>
      <c r="DEH6" s="87"/>
      <c r="DEI6" s="87"/>
      <c r="DEJ6" s="87"/>
      <c r="DEK6" s="87"/>
      <c r="DEL6" s="87"/>
      <c r="DEM6" s="87"/>
      <c r="DEN6" s="87"/>
      <c r="DEO6" s="87"/>
      <c r="DEP6" s="87"/>
      <c r="DEQ6" s="87"/>
      <c r="DER6" s="87"/>
      <c r="DES6" s="87"/>
      <c r="DET6" s="87"/>
      <c r="DEU6" s="87"/>
      <c r="DEV6" s="87"/>
      <c r="DEW6" s="87"/>
      <c r="DEX6" s="87"/>
      <c r="DEY6" s="87"/>
      <c r="DEZ6" s="87"/>
      <c r="DFA6" s="87"/>
      <c r="DFB6" s="87"/>
      <c r="DFC6" s="87"/>
      <c r="DFD6" s="87"/>
      <c r="DFE6" s="87"/>
      <c r="DFF6" s="87"/>
      <c r="DFG6" s="87"/>
      <c r="DFH6" s="87"/>
      <c r="DFI6" s="87"/>
      <c r="DFJ6" s="87"/>
      <c r="DFK6" s="87"/>
      <c r="DFL6" s="87"/>
      <c r="DFM6" s="87"/>
      <c r="DFN6" s="87"/>
      <c r="DFO6" s="87"/>
      <c r="DFP6" s="87"/>
      <c r="DFQ6" s="87"/>
      <c r="DFR6" s="87"/>
      <c r="DFS6" s="87"/>
      <c r="DFT6" s="87"/>
      <c r="DFU6" s="87"/>
      <c r="DFV6" s="87"/>
      <c r="DFW6" s="87"/>
      <c r="DFX6" s="87"/>
      <c r="DFY6" s="87"/>
      <c r="DFZ6" s="87"/>
      <c r="DGA6" s="87"/>
      <c r="DGB6" s="87"/>
      <c r="DGC6" s="87"/>
      <c r="DGD6" s="87"/>
      <c r="DGE6" s="87"/>
      <c r="DGF6" s="87"/>
      <c r="DGG6" s="87"/>
      <c r="DGH6" s="87"/>
      <c r="DGI6" s="87"/>
      <c r="DGJ6" s="87"/>
      <c r="DGK6" s="87"/>
      <c r="DGL6" s="87"/>
      <c r="DGM6" s="87"/>
      <c r="DGN6" s="87"/>
      <c r="DGO6" s="87"/>
      <c r="DGP6" s="87"/>
      <c r="DGQ6" s="87"/>
      <c r="DGR6" s="87"/>
      <c r="DGS6" s="87"/>
      <c r="DGT6" s="87"/>
      <c r="DGU6" s="87"/>
      <c r="DGV6" s="87"/>
      <c r="DGW6" s="87"/>
      <c r="DGX6" s="87"/>
      <c r="DGY6" s="87"/>
      <c r="DGZ6" s="87"/>
      <c r="DHA6" s="87"/>
      <c r="DHB6" s="87"/>
      <c r="DHC6" s="87"/>
      <c r="DHD6" s="87"/>
      <c r="DHE6" s="87"/>
      <c r="DHF6" s="87"/>
      <c r="DHG6" s="87"/>
      <c r="DHH6" s="87"/>
      <c r="DHI6" s="87"/>
      <c r="DHJ6" s="87"/>
      <c r="DHK6" s="87"/>
      <c r="DHL6" s="87"/>
      <c r="DHM6" s="87"/>
      <c r="DHN6" s="87"/>
      <c r="DHO6" s="87"/>
      <c r="DHP6" s="87"/>
      <c r="DHQ6" s="87"/>
      <c r="DHR6" s="87"/>
      <c r="DHS6" s="87"/>
      <c r="DHT6" s="87"/>
      <c r="DHU6" s="87"/>
      <c r="DHV6" s="87"/>
      <c r="DHW6" s="87"/>
      <c r="DHX6" s="87"/>
      <c r="DHY6" s="87"/>
      <c r="DHZ6" s="87"/>
      <c r="DIA6" s="87"/>
      <c r="DIB6" s="87"/>
      <c r="DIC6" s="87"/>
      <c r="DID6" s="87"/>
      <c r="DIE6" s="87"/>
      <c r="DIF6" s="87"/>
      <c r="DIG6" s="87"/>
      <c r="DIH6" s="87"/>
      <c r="DII6" s="87"/>
      <c r="DIJ6" s="87"/>
      <c r="DIK6" s="87"/>
      <c r="DIL6" s="87"/>
      <c r="DIM6" s="87"/>
      <c r="DIN6" s="87"/>
      <c r="DIO6" s="87"/>
      <c r="DIP6" s="87"/>
      <c r="DIQ6" s="87"/>
      <c r="DIR6" s="87"/>
      <c r="DIS6" s="87"/>
      <c r="DIT6" s="87"/>
      <c r="DIU6" s="87"/>
      <c r="DIV6" s="87"/>
      <c r="DIW6" s="87"/>
      <c r="DIX6" s="87"/>
      <c r="DIY6" s="87"/>
      <c r="DIZ6" s="87"/>
      <c r="DJA6" s="87"/>
      <c r="DJB6" s="87"/>
      <c r="DJC6" s="87"/>
      <c r="DJD6" s="87"/>
      <c r="DJE6" s="87"/>
      <c r="DJF6" s="87"/>
      <c r="DJG6" s="87"/>
      <c r="DJH6" s="87"/>
      <c r="DJI6" s="87"/>
      <c r="DJJ6" s="87"/>
      <c r="DJK6" s="87"/>
      <c r="DJL6" s="87"/>
      <c r="DJM6" s="87"/>
      <c r="DJN6" s="87"/>
      <c r="DJO6" s="87"/>
      <c r="DJP6" s="87"/>
      <c r="DJQ6" s="87"/>
      <c r="DJR6" s="87"/>
      <c r="DJS6" s="87"/>
      <c r="DJT6" s="87"/>
      <c r="DJU6" s="87"/>
      <c r="DJV6" s="87"/>
      <c r="DJW6" s="87"/>
      <c r="DJX6" s="87"/>
      <c r="DJY6" s="87"/>
      <c r="DJZ6" s="87"/>
      <c r="DKA6" s="87"/>
      <c r="DKB6" s="87"/>
      <c r="DKC6" s="87"/>
      <c r="DKD6" s="87"/>
      <c r="DKE6" s="87"/>
      <c r="DKF6" s="87"/>
      <c r="DKG6" s="87"/>
      <c r="DKH6" s="87"/>
      <c r="DKI6" s="87"/>
      <c r="DKJ6" s="87"/>
      <c r="DKK6" s="87"/>
      <c r="DKL6" s="87"/>
      <c r="DKM6" s="87"/>
      <c r="DKN6" s="87"/>
      <c r="DKO6" s="87"/>
      <c r="DKP6" s="87"/>
      <c r="DKQ6" s="87"/>
      <c r="DKR6" s="87"/>
      <c r="DKS6" s="87"/>
      <c r="DKT6" s="87"/>
      <c r="DKU6" s="87"/>
      <c r="DKV6" s="87"/>
      <c r="DKW6" s="87"/>
      <c r="DKX6" s="87"/>
      <c r="DKY6" s="87"/>
      <c r="DKZ6" s="87"/>
      <c r="DLA6" s="87"/>
      <c r="DLB6" s="87"/>
      <c r="DLC6" s="87"/>
      <c r="DLD6" s="87"/>
      <c r="DLE6" s="87"/>
      <c r="DLF6" s="87"/>
      <c r="DLG6" s="87"/>
      <c r="DLH6" s="87"/>
      <c r="DLI6" s="87"/>
      <c r="DLJ6" s="87"/>
      <c r="DLK6" s="87"/>
      <c r="DLL6" s="87"/>
      <c r="DLM6" s="87"/>
      <c r="DLN6" s="87"/>
      <c r="DLO6" s="87"/>
      <c r="DLP6" s="87"/>
      <c r="DLQ6" s="87"/>
      <c r="DLR6" s="87"/>
      <c r="DLS6" s="87"/>
      <c r="DLT6" s="87"/>
      <c r="DLU6" s="87"/>
      <c r="DLV6" s="87"/>
      <c r="DLW6" s="87"/>
      <c r="DLX6" s="87"/>
      <c r="DLY6" s="87"/>
      <c r="DLZ6" s="87"/>
      <c r="DMA6" s="87"/>
      <c r="DMB6" s="87"/>
      <c r="DMC6" s="87"/>
      <c r="DMD6" s="87"/>
      <c r="DME6" s="87"/>
      <c r="DMF6" s="87"/>
      <c r="DMG6" s="87"/>
      <c r="DMH6" s="87"/>
      <c r="DMI6" s="87"/>
      <c r="DMJ6" s="87"/>
      <c r="DMK6" s="87"/>
      <c r="DML6" s="87"/>
      <c r="DMM6" s="87"/>
      <c r="DMN6" s="87"/>
      <c r="DMO6" s="87"/>
      <c r="DMP6" s="87"/>
      <c r="DMQ6" s="87"/>
      <c r="DMR6" s="87"/>
      <c r="DMS6" s="87"/>
      <c r="DMT6" s="87"/>
      <c r="DMU6" s="87"/>
      <c r="DMV6" s="87"/>
      <c r="DMW6" s="87"/>
      <c r="DMX6" s="87"/>
      <c r="DMY6" s="87"/>
      <c r="DMZ6" s="87"/>
      <c r="DNA6" s="87"/>
      <c r="DNB6" s="87"/>
      <c r="DNC6" s="87"/>
      <c r="DND6" s="87"/>
      <c r="DNE6" s="87"/>
      <c r="DNF6" s="87"/>
      <c r="DNG6" s="87"/>
      <c r="DNH6" s="87"/>
      <c r="DNI6" s="87"/>
      <c r="DNJ6" s="87"/>
      <c r="DNK6" s="87"/>
      <c r="DNL6" s="87"/>
      <c r="DNM6" s="87"/>
      <c r="DNN6" s="87"/>
      <c r="DNO6" s="87"/>
      <c r="DNP6" s="87"/>
      <c r="DNQ6" s="87"/>
      <c r="DNR6" s="87"/>
      <c r="DNS6" s="87"/>
      <c r="DNT6" s="87"/>
      <c r="DNU6" s="87"/>
      <c r="DNV6" s="87"/>
      <c r="DNW6" s="87"/>
      <c r="DNX6" s="87"/>
      <c r="DNY6" s="87"/>
      <c r="DNZ6" s="87"/>
      <c r="DOA6" s="87"/>
      <c r="DOB6" s="87"/>
      <c r="DOC6" s="87"/>
      <c r="DOD6" s="87"/>
      <c r="DOE6" s="87"/>
      <c r="DOF6" s="87"/>
      <c r="DOG6" s="87"/>
      <c r="DOH6" s="87"/>
      <c r="DOI6" s="87"/>
      <c r="DOJ6" s="87"/>
      <c r="DOK6" s="87"/>
      <c r="DOL6" s="87"/>
      <c r="DOM6" s="87"/>
      <c r="DON6" s="87"/>
      <c r="DOO6" s="87"/>
      <c r="DOP6" s="87"/>
      <c r="DOQ6" s="87"/>
      <c r="DOR6" s="87"/>
      <c r="DOS6" s="87"/>
      <c r="DOT6" s="87"/>
      <c r="DOU6" s="87"/>
      <c r="DOV6" s="87"/>
      <c r="DOW6" s="87"/>
      <c r="DOX6" s="87"/>
      <c r="DOY6" s="87"/>
      <c r="DOZ6" s="87"/>
      <c r="DPA6" s="87"/>
      <c r="DPB6" s="87"/>
      <c r="DPC6" s="87"/>
      <c r="DPD6" s="87"/>
      <c r="DPE6" s="87"/>
      <c r="DPF6" s="87"/>
      <c r="DPG6" s="87"/>
      <c r="DPH6" s="87"/>
      <c r="DPI6" s="87"/>
      <c r="DPJ6" s="87"/>
      <c r="DPK6" s="87"/>
      <c r="DPL6" s="87"/>
      <c r="DPM6" s="87"/>
      <c r="DPN6" s="87"/>
      <c r="DPO6" s="87"/>
      <c r="DPP6" s="87"/>
      <c r="DPQ6" s="87"/>
      <c r="DPR6" s="87"/>
      <c r="DPS6" s="87"/>
      <c r="DPT6" s="87"/>
      <c r="DPU6" s="87"/>
      <c r="DPV6" s="87"/>
      <c r="DPW6" s="87"/>
      <c r="DPX6" s="87"/>
      <c r="DPY6" s="87"/>
      <c r="DPZ6" s="87"/>
      <c r="DQA6" s="87"/>
      <c r="DQB6" s="87"/>
      <c r="DQC6" s="87"/>
      <c r="DQD6" s="87"/>
      <c r="DQE6" s="87"/>
      <c r="DQF6" s="87"/>
      <c r="DQG6" s="87"/>
      <c r="DQH6" s="87"/>
      <c r="DQI6" s="87"/>
      <c r="DQJ6" s="87"/>
      <c r="DQK6" s="87"/>
      <c r="DQL6" s="87"/>
      <c r="DQM6" s="87"/>
      <c r="DQN6" s="87"/>
      <c r="DQO6" s="87"/>
      <c r="DQP6" s="87"/>
      <c r="DQQ6" s="87"/>
      <c r="DQR6" s="87"/>
      <c r="DQS6" s="87"/>
      <c r="DQT6" s="87"/>
      <c r="DQU6" s="87"/>
      <c r="DQV6" s="87"/>
      <c r="DQW6" s="87"/>
      <c r="DQX6" s="87"/>
      <c r="DQY6" s="87"/>
      <c r="DQZ6" s="87"/>
      <c r="DRA6" s="87"/>
      <c r="DRB6" s="87"/>
      <c r="DRC6" s="87"/>
      <c r="DRD6" s="87"/>
      <c r="DRE6" s="87"/>
      <c r="DRF6" s="87"/>
      <c r="DRG6" s="87"/>
      <c r="DRH6" s="87"/>
      <c r="DRI6" s="87"/>
      <c r="DRJ6" s="87"/>
      <c r="DRK6" s="87"/>
      <c r="DRL6" s="87"/>
      <c r="DRM6" s="87"/>
      <c r="DRN6" s="87"/>
      <c r="DRO6" s="87"/>
      <c r="DRP6" s="87"/>
      <c r="DRQ6" s="87"/>
      <c r="DRR6" s="87"/>
      <c r="DRS6" s="87"/>
      <c r="DRT6" s="87"/>
      <c r="DRU6" s="87"/>
      <c r="DRV6" s="87"/>
      <c r="DRW6" s="87"/>
      <c r="DRX6" s="87"/>
      <c r="DRY6" s="87"/>
      <c r="DRZ6" s="87"/>
      <c r="DSA6" s="87"/>
      <c r="DSB6" s="87"/>
      <c r="DSC6" s="87"/>
      <c r="DSD6" s="87"/>
      <c r="DSE6" s="87"/>
      <c r="DSF6" s="87"/>
      <c r="DSG6" s="87"/>
      <c r="DSH6" s="87"/>
      <c r="DSI6" s="87"/>
      <c r="DSJ6" s="87"/>
      <c r="DSK6" s="87"/>
      <c r="DSL6" s="87"/>
      <c r="DSM6" s="87"/>
      <c r="DSN6" s="87"/>
      <c r="DSO6" s="87"/>
      <c r="DSP6" s="87"/>
      <c r="DSQ6" s="87"/>
      <c r="DSR6" s="87"/>
      <c r="DSS6" s="87"/>
      <c r="DST6" s="87"/>
      <c r="DSU6" s="87"/>
      <c r="DSV6" s="87"/>
      <c r="DSW6" s="87"/>
      <c r="DSX6" s="87"/>
      <c r="DSY6" s="87"/>
      <c r="DSZ6" s="87"/>
      <c r="DTA6" s="87"/>
      <c r="DTB6" s="87"/>
      <c r="DTC6" s="87"/>
      <c r="DTD6" s="87"/>
      <c r="DTE6" s="87"/>
      <c r="DTF6" s="87"/>
      <c r="DTG6" s="87"/>
      <c r="DTH6" s="87"/>
      <c r="DTI6" s="87"/>
      <c r="DTJ6" s="87"/>
      <c r="DTK6" s="87"/>
      <c r="DTL6" s="87"/>
      <c r="DTM6" s="87"/>
      <c r="DTN6" s="87"/>
      <c r="DTO6" s="87"/>
      <c r="DTP6" s="87"/>
      <c r="DTQ6" s="87"/>
      <c r="DTR6" s="87"/>
      <c r="DTS6" s="87"/>
      <c r="DTT6" s="87"/>
      <c r="DTU6" s="87"/>
      <c r="DTV6" s="87"/>
      <c r="DTW6" s="87"/>
      <c r="DTX6" s="87"/>
      <c r="DTY6" s="87"/>
      <c r="DTZ6" s="87"/>
      <c r="DUA6" s="87"/>
      <c r="DUB6" s="87"/>
      <c r="DUC6" s="87"/>
      <c r="DUD6" s="87"/>
      <c r="DUE6" s="87"/>
      <c r="DUF6" s="87"/>
      <c r="DUG6" s="87"/>
      <c r="DUH6" s="87"/>
      <c r="DUI6" s="87"/>
      <c r="DUJ6" s="87"/>
      <c r="DUK6" s="87"/>
      <c r="DUL6" s="87"/>
      <c r="DUM6" s="87"/>
      <c r="DUN6" s="87"/>
      <c r="DUO6" s="87"/>
      <c r="DUP6" s="87"/>
      <c r="DUQ6" s="87"/>
      <c r="DUR6" s="87"/>
      <c r="DUS6" s="87"/>
      <c r="DUT6" s="87"/>
      <c r="DUU6" s="87"/>
      <c r="DUV6" s="87"/>
      <c r="DUW6" s="87"/>
      <c r="DUX6" s="87"/>
      <c r="DUY6" s="87"/>
      <c r="DUZ6" s="87"/>
      <c r="DVA6" s="87"/>
      <c r="DVB6" s="87"/>
      <c r="DVC6" s="87"/>
      <c r="DVD6" s="87"/>
      <c r="DVE6" s="87"/>
      <c r="DVF6" s="87"/>
      <c r="DVG6" s="87"/>
      <c r="DVH6" s="87"/>
      <c r="DVI6" s="87"/>
      <c r="DVJ6" s="87"/>
      <c r="DVK6" s="87"/>
      <c r="DVL6" s="87"/>
      <c r="DVM6" s="87"/>
      <c r="DVN6" s="87"/>
      <c r="DVO6" s="87"/>
      <c r="DVP6" s="87"/>
      <c r="DVQ6" s="87"/>
      <c r="DVR6" s="87"/>
      <c r="DVS6" s="87"/>
      <c r="DVT6" s="87"/>
      <c r="DVU6" s="87"/>
      <c r="DVV6" s="87"/>
      <c r="DVW6" s="87"/>
      <c r="DVX6" s="87"/>
      <c r="DVY6" s="87"/>
      <c r="DVZ6" s="87"/>
      <c r="DWA6" s="87"/>
      <c r="DWB6" s="87"/>
      <c r="DWC6" s="87"/>
      <c r="DWD6" s="87"/>
      <c r="DWE6" s="87"/>
      <c r="DWF6" s="87"/>
      <c r="DWG6" s="87"/>
      <c r="DWH6" s="87"/>
      <c r="DWI6" s="87"/>
      <c r="DWJ6" s="87"/>
      <c r="DWK6" s="87"/>
      <c r="DWL6" s="87"/>
      <c r="DWM6" s="87"/>
      <c r="DWN6" s="87"/>
      <c r="DWO6" s="87"/>
      <c r="DWP6" s="87"/>
      <c r="DWQ6" s="87"/>
      <c r="DWR6" s="87"/>
      <c r="DWS6" s="87"/>
      <c r="DWT6" s="87"/>
      <c r="DWU6" s="87"/>
      <c r="DWV6" s="87"/>
      <c r="DWW6" s="87"/>
      <c r="DWX6" s="87"/>
      <c r="DWY6" s="87"/>
      <c r="DWZ6" s="87"/>
      <c r="DXA6" s="87"/>
      <c r="DXB6" s="87"/>
      <c r="DXC6" s="87"/>
      <c r="DXD6" s="87"/>
      <c r="DXE6" s="87"/>
      <c r="DXF6" s="87"/>
      <c r="DXG6" s="87"/>
      <c r="DXH6" s="87"/>
      <c r="DXI6" s="87"/>
      <c r="DXJ6" s="87"/>
      <c r="DXK6" s="87"/>
      <c r="DXL6" s="87"/>
      <c r="DXM6" s="87"/>
      <c r="DXN6" s="87"/>
      <c r="DXO6" s="87"/>
      <c r="DXP6" s="87"/>
      <c r="DXQ6" s="87"/>
      <c r="DXR6" s="87"/>
      <c r="DXS6" s="87"/>
      <c r="DXT6" s="87"/>
      <c r="DXU6" s="87"/>
      <c r="DXV6" s="87"/>
      <c r="DXW6" s="87"/>
      <c r="DXX6" s="87"/>
      <c r="DXY6" s="87"/>
      <c r="DXZ6" s="87"/>
      <c r="DYA6" s="87"/>
      <c r="DYB6" s="87"/>
      <c r="DYC6" s="87"/>
      <c r="DYD6" s="87"/>
      <c r="DYE6" s="87"/>
      <c r="DYF6" s="87"/>
      <c r="DYG6" s="87"/>
      <c r="DYH6" s="87"/>
      <c r="DYI6" s="87"/>
      <c r="DYJ6" s="87"/>
      <c r="DYK6" s="87"/>
      <c r="DYL6" s="87"/>
      <c r="DYM6" s="87"/>
      <c r="DYN6" s="87"/>
      <c r="DYO6" s="87"/>
      <c r="DYP6" s="87"/>
      <c r="DYQ6" s="87"/>
      <c r="DYR6" s="87"/>
      <c r="DYS6" s="87"/>
      <c r="DYT6" s="87"/>
      <c r="DYU6" s="87"/>
      <c r="DYV6" s="87"/>
      <c r="DYW6" s="87"/>
      <c r="DYX6" s="87"/>
      <c r="DYY6" s="87"/>
      <c r="DYZ6" s="87"/>
      <c r="DZA6" s="87"/>
      <c r="DZB6" s="87"/>
      <c r="DZC6" s="87"/>
      <c r="DZD6" s="87"/>
      <c r="DZE6" s="87"/>
      <c r="DZF6" s="87"/>
      <c r="DZG6" s="87"/>
      <c r="DZH6" s="87"/>
      <c r="DZI6" s="87"/>
      <c r="DZJ6" s="87"/>
      <c r="DZK6" s="87"/>
      <c r="DZL6" s="87"/>
      <c r="DZM6" s="87"/>
      <c r="DZN6" s="87"/>
      <c r="DZO6" s="87"/>
      <c r="DZP6" s="87"/>
      <c r="DZQ6" s="87"/>
      <c r="DZR6" s="87"/>
      <c r="DZS6" s="87"/>
      <c r="DZT6" s="87"/>
      <c r="DZU6" s="87"/>
      <c r="DZV6" s="87"/>
      <c r="DZW6" s="87"/>
      <c r="DZX6" s="87"/>
      <c r="DZY6" s="87"/>
      <c r="DZZ6" s="87"/>
      <c r="EAA6" s="87"/>
      <c r="EAB6" s="87"/>
      <c r="EAC6" s="87"/>
      <c r="EAD6" s="87"/>
      <c r="EAE6" s="87"/>
      <c r="EAF6" s="87"/>
      <c r="EAG6" s="87"/>
      <c r="EAH6" s="87"/>
      <c r="EAI6" s="87"/>
      <c r="EAJ6" s="87"/>
      <c r="EAK6" s="87"/>
      <c r="EAL6" s="87"/>
      <c r="EAM6" s="87"/>
      <c r="EAN6" s="87"/>
      <c r="EAO6" s="87"/>
      <c r="EAP6" s="87"/>
      <c r="EAQ6" s="87"/>
      <c r="EAR6" s="87"/>
      <c r="EAS6" s="87"/>
      <c r="EAT6" s="87"/>
      <c r="EAU6" s="87"/>
      <c r="EAV6" s="87"/>
      <c r="EAW6" s="87"/>
      <c r="EAX6" s="87"/>
      <c r="EAY6" s="87"/>
      <c r="EAZ6" s="87"/>
      <c r="EBA6" s="87"/>
      <c r="EBB6" s="87"/>
      <c r="EBC6" s="87"/>
      <c r="EBD6" s="87"/>
      <c r="EBE6" s="87"/>
      <c r="EBF6" s="87"/>
      <c r="EBG6" s="87"/>
      <c r="EBH6" s="87"/>
      <c r="EBI6" s="87"/>
      <c r="EBJ6" s="87"/>
      <c r="EBK6" s="87"/>
      <c r="EBL6" s="87"/>
      <c r="EBM6" s="87"/>
      <c r="EBN6" s="87"/>
      <c r="EBO6" s="87"/>
      <c r="EBP6" s="87"/>
      <c r="EBQ6" s="87"/>
      <c r="EBR6" s="87"/>
      <c r="EBS6" s="87"/>
      <c r="EBT6" s="87"/>
      <c r="EBU6" s="87"/>
      <c r="EBV6" s="87"/>
      <c r="EBW6" s="87"/>
      <c r="EBX6" s="87"/>
      <c r="EBY6" s="87"/>
      <c r="EBZ6" s="87"/>
      <c r="ECA6" s="87"/>
      <c r="ECB6" s="87"/>
      <c r="ECC6" s="87"/>
      <c r="ECD6" s="87"/>
      <c r="ECE6" s="87"/>
      <c r="ECF6" s="87"/>
      <c r="ECG6" s="87"/>
      <c r="ECH6" s="87"/>
      <c r="ECI6" s="87"/>
      <c r="ECJ6" s="87"/>
      <c r="ECK6" s="87"/>
      <c r="ECL6" s="87"/>
      <c r="ECM6" s="87"/>
      <c r="ECN6" s="87"/>
      <c r="ECO6" s="87"/>
      <c r="ECP6" s="87"/>
      <c r="ECQ6" s="87"/>
      <c r="ECR6" s="87"/>
      <c r="ECS6" s="87"/>
      <c r="ECT6" s="87"/>
      <c r="ECU6" s="87"/>
      <c r="ECV6" s="87"/>
      <c r="ECW6" s="87"/>
      <c r="ECX6" s="87"/>
      <c r="ECY6" s="87"/>
      <c r="ECZ6" s="87"/>
      <c r="EDA6" s="87"/>
      <c r="EDB6" s="87"/>
      <c r="EDC6" s="87"/>
      <c r="EDD6" s="87"/>
      <c r="EDE6" s="87"/>
      <c r="EDF6" s="87"/>
      <c r="EDG6" s="87"/>
      <c r="EDH6" s="87"/>
      <c r="EDI6" s="87"/>
      <c r="EDJ6" s="87"/>
      <c r="EDK6" s="87"/>
      <c r="EDL6" s="87"/>
      <c r="EDM6" s="87"/>
      <c r="EDN6" s="87"/>
      <c r="EDO6" s="87"/>
      <c r="EDP6" s="87"/>
      <c r="EDQ6" s="87"/>
      <c r="EDR6" s="87"/>
      <c r="EDS6" s="87"/>
      <c r="EDT6" s="87"/>
      <c r="EDU6" s="87"/>
      <c r="EDV6" s="87"/>
      <c r="EDW6" s="87"/>
      <c r="EDX6" s="87"/>
      <c r="EDY6" s="87"/>
      <c r="EDZ6" s="87"/>
      <c r="EEA6" s="87"/>
      <c r="EEB6" s="87"/>
      <c r="EEC6" s="87"/>
      <c r="EED6" s="87"/>
      <c r="EEE6" s="87"/>
      <c r="EEF6" s="87"/>
      <c r="EEG6" s="87"/>
      <c r="EEH6" s="87"/>
      <c r="EEI6" s="87"/>
      <c r="EEJ6" s="87"/>
      <c r="EEK6" s="87"/>
      <c r="EEL6" s="87"/>
      <c r="EEM6" s="87"/>
      <c r="EEN6" s="87"/>
      <c r="EEO6" s="87"/>
      <c r="EEP6" s="87"/>
      <c r="EEQ6" s="87"/>
      <c r="EER6" s="87"/>
      <c r="EES6" s="87"/>
      <c r="EET6" s="87"/>
      <c r="EEU6" s="87"/>
      <c r="EEV6" s="87"/>
      <c r="EEW6" s="87"/>
      <c r="EEX6" s="87"/>
      <c r="EEY6" s="87"/>
      <c r="EEZ6" s="87"/>
      <c r="EFA6" s="87"/>
      <c r="EFB6" s="87"/>
      <c r="EFC6" s="87"/>
      <c r="EFD6" s="87"/>
      <c r="EFE6" s="87"/>
      <c r="EFF6" s="87"/>
      <c r="EFG6" s="87"/>
      <c r="EFH6" s="87"/>
      <c r="EFI6" s="87"/>
      <c r="EFJ6" s="87"/>
      <c r="EFK6" s="87"/>
      <c r="EFL6" s="87"/>
      <c r="EFM6" s="87"/>
      <c r="EFN6" s="87"/>
      <c r="EFO6" s="87"/>
      <c r="EFP6" s="87"/>
      <c r="EFQ6" s="87"/>
      <c r="EFR6" s="87"/>
      <c r="EFS6" s="87"/>
      <c r="EFT6" s="87"/>
      <c r="EFU6" s="87"/>
      <c r="EFV6" s="87"/>
      <c r="EFW6" s="87"/>
      <c r="EFX6" s="87"/>
      <c r="EFY6" s="87"/>
      <c r="EFZ6" s="87"/>
      <c r="EGA6" s="87"/>
      <c r="EGB6" s="87"/>
      <c r="EGC6" s="87"/>
      <c r="EGD6" s="87"/>
      <c r="EGE6" s="87"/>
      <c r="EGF6" s="87"/>
      <c r="EGG6" s="87"/>
      <c r="EGH6" s="87"/>
      <c r="EGI6" s="87"/>
      <c r="EGJ6" s="87"/>
      <c r="EGK6" s="87"/>
      <c r="EGL6" s="87"/>
      <c r="EGM6" s="87"/>
      <c r="EGN6" s="87"/>
      <c r="EGO6" s="87"/>
      <c r="EGP6" s="87"/>
      <c r="EGQ6" s="87"/>
      <c r="EGR6" s="87"/>
      <c r="EGS6" s="87"/>
      <c r="EGT6" s="87"/>
      <c r="EGU6" s="87"/>
      <c r="EGV6" s="87"/>
      <c r="EGW6" s="87"/>
      <c r="EGX6" s="87"/>
      <c r="EGY6" s="87"/>
      <c r="EGZ6" s="87"/>
      <c r="EHA6" s="87"/>
      <c r="EHB6" s="87"/>
      <c r="EHC6" s="87"/>
      <c r="EHD6" s="87"/>
      <c r="EHE6" s="87"/>
      <c r="EHF6" s="87"/>
      <c r="EHG6" s="87"/>
      <c r="EHH6" s="87"/>
      <c r="EHI6" s="87"/>
      <c r="EHJ6" s="87"/>
      <c r="EHK6" s="87"/>
      <c r="EHL6" s="87"/>
      <c r="EHM6" s="87"/>
      <c r="EHN6" s="87"/>
      <c r="EHO6" s="87"/>
      <c r="EHP6" s="87"/>
      <c r="EHQ6" s="87"/>
      <c r="EHR6" s="87"/>
      <c r="EHS6" s="87"/>
      <c r="EHT6" s="87"/>
      <c r="EHU6" s="87"/>
      <c r="EHV6" s="87"/>
      <c r="EHW6" s="87"/>
      <c r="EHX6" s="87"/>
      <c r="EHY6" s="87"/>
      <c r="EHZ6" s="87"/>
      <c r="EIA6" s="87"/>
      <c r="EIB6" s="87"/>
      <c r="EIC6" s="87"/>
      <c r="EID6" s="87"/>
      <c r="EIE6" s="87"/>
      <c r="EIF6" s="87"/>
      <c r="EIG6" s="87"/>
      <c r="EIH6" s="87"/>
      <c r="EII6" s="87"/>
      <c r="EIJ6" s="87"/>
      <c r="EIK6" s="87"/>
      <c r="EIL6" s="87"/>
      <c r="EIM6" s="87"/>
      <c r="EIN6" s="87"/>
      <c r="EIO6" s="87"/>
      <c r="EIP6" s="87"/>
      <c r="EIQ6" s="87"/>
      <c r="EIR6" s="87"/>
      <c r="EIS6" s="87"/>
      <c r="EIT6" s="87"/>
      <c r="EIU6" s="87"/>
      <c r="EIV6" s="87"/>
      <c r="EIW6" s="87"/>
      <c r="EIX6" s="87"/>
      <c r="EIY6" s="87"/>
      <c r="EIZ6" s="87"/>
      <c r="EJA6" s="87"/>
      <c r="EJB6" s="87"/>
      <c r="EJC6" s="87"/>
      <c r="EJD6" s="87"/>
      <c r="EJE6" s="87"/>
      <c r="EJF6" s="87"/>
      <c r="EJG6" s="87"/>
      <c r="EJH6" s="87"/>
      <c r="EJI6" s="87"/>
      <c r="EJJ6" s="87"/>
      <c r="EJK6" s="87"/>
      <c r="EJL6" s="87"/>
      <c r="EJM6" s="87"/>
      <c r="EJN6" s="87"/>
      <c r="EJO6" s="87"/>
      <c r="EJP6" s="87"/>
      <c r="EJQ6" s="87"/>
      <c r="EJR6" s="87"/>
      <c r="EJS6" s="87"/>
      <c r="EJT6" s="87"/>
      <c r="EJU6" s="87"/>
      <c r="EJV6" s="87"/>
      <c r="EJW6" s="87"/>
      <c r="EJX6" s="87"/>
      <c r="EJY6" s="87"/>
      <c r="EJZ6" s="87"/>
      <c r="EKA6" s="87"/>
      <c r="EKB6" s="87"/>
      <c r="EKC6" s="87"/>
      <c r="EKD6" s="87"/>
      <c r="EKE6" s="87"/>
      <c r="EKF6" s="87"/>
      <c r="EKG6" s="87"/>
      <c r="EKH6" s="87"/>
      <c r="EKI6" s="87"/>
      <c r="EKJ6" s="87"/>
      <c r="EKK6" s="87"/>
      <c r="EKL6" s="87"/>
      <c r="EKM6" s="87"/>
      <c r="EKN6" s="87"/>
      <c r="EKO6" s="87"/>
      <c r="EKP6" s="87"/>
      <c r="EKQ6" s="87"/>
      <c r="EKR6" s="87"/>
      <c r="EKS6" s="87"/>
      <c r="EKT6" s="87"/>
      <c r="EKU6" s="87"/>
      <c r="EKV6" s="87"/>
      <c r="EKW6" s="87"/>
      <c r="EKX6" s="87"/>
      <c r="EKY6" s="87"/>
      <c r="EKZ6" s="87"/>
      <c r="ELA6" s="87"/>
      <c r="ELB6" s="87"/>
      <c r="ELC6" s="87"/>
      <c r="ELD6" s="87"/>
      <c r="ELE6" s="87"/>
      <c r="ELF6" s="87"/>
      <c r="ELG6" s="87"/>
      <c r="ELH6" s="87"/>
      <c r="ELI6" s="87"/>
      <c r="ELJ6" s="87"/>
      <c r="ELK6" s="87"/>
      <c r="ELL6" s="87"/>
      <c r="ELM6" s="87"/>
      <c r="ELN6" s="87"/>
      <c r="ELO6" s="87"/>
      <c r="ELP6" s="87"/>
      <c r="ELQ6" s="87"/>
      <c r="ELR6" s="87"/>
      <c r="ELS6" s="87"/>
      <c r="ELT6" s="87"/>
      <c r="ELU6" s="87"/>
      <c r="ELV6" s="87"/>
      <c r="ELW6" s="87"/>
      <c r="ELX6" s="87"/>
      <c r="ELY6" s="87"/>
      <c r="ELZ6" s="87"/>
      <c r="EMA6" s="87"/>
      <c r="EMB6" s="87"/>
      <c r="EMC6" s="87"/>
      <c r="EMD6" s="87"/>
      <c r="EME6" s="87"/>
      <c r="EMF6" s="87"/>
      <c r="EMG6" s="87"/>
      <c r="EMH6" s="87"/>
      <c r="EMI6" s="87"/>
      <c r="EMJ6" s="87"/>
      <c r="EMK6" s="87"/>
      <c r="EML6" s="87"/>
      <c r="EMM6" s="87"/>
      <c r="EMN6" s="87"/>
      <c r="EMO6" s="87"/>
      <c r="EMP6" s="87"/>
      <c r="EMQ6" s="87"/>
      <c r="EMR6" s="87"/>
      <c r="EMS6" s="87"/>
      <c r="EMT6" s="87"/>
      <c r="EMU6" s="87"/>
      <c r="EMV6" s="87"/>
      <c r="EMW6" s="87"/>
      <c r="EMX6" s="87"/>
      <c r="EMY6" s="87"/>
      <c r="EMZ6" s="87"/>
      <c r="ENA6" s="87"/>
      <c r="ENB6" s="87"/>
      <c r="ENC6" s="87"/>
      <c r="END6" s="87"/>
      <c r="ENE6" s="87"/>
      <c r="ENF6" s="87"/>
      <c r="ENG6" s="87"/>
      <c r="ENH6" s="87"/>
      <c r="ENI6" s="87"/>
      <c r="ENJ6" s="87"/>
      <c r="ENK6" s="87"/>
      <c r="ENL6" s="87"/>
      <c r="ENM6" s="87"/>
      <c r="ENN6" s="87"/>
      <c r="ENO6" s="87"/>
      <c r="ENP6" s="87"/>
      <c r="ENQ6" s="87"/>
      <c r="ENR6" s="87"/>
      <c r="ENS6" s="87"/>
      <c r="ENT6" s="87"/>
      <c r="ENU6" s="87"/>
      <c r="ENV6" s="87"/>
      <c r="ENW6" s="87"/>
      <c r="ENX6" s="87"/>
      <c r="ENY6" s="87"/>
      <c r="ENZ6" s="87"/>
      <c r="EOA6" s="87"/>
      <c r="EOB6" s="87"/>
      <c r="EOC6" s="87"/>
      <c r="EOD6" s="87"/>
      <c r="EOE6" s="87"/>
      <c r="EOF6" s="87"/>
      <c r="EOG6" s="87"/>
      <c r="EOH6" s="87"/>
      <c r="EOI6" s="87"/>
      <c r="EOJ6" s="87"/>
      <c r="EOK6" s="87"/>
      <c r="EOL6" s="87"/>
      <c r="EOM6" s="87"/>
      <c r="EON6" s="87"/>
      <c r="EOO6" s="87"/>
      <c r="EOP6" s="87"/>
      <c r="EOQ6" s="87"/>
      <c r="EOR6" s="87"/>
      <c r="EOS6" s="87"/>
      <c r="EOT6" s="87"/>
      <c r="EOU6" s="87"/>
      <c r="EOV6" s="87"/>
      <c r="EOW6" s="87"/>
      <c r="EOX6" s="87"/>
      <c r="EOY6" s="87"/>
      <c r="EOZ6" s="87"/>
      <c r="EPA6" s="87"/>
      <c r="EPB6" s="87"/>
      <c r="EPC6" s="87"/>
      <c r="EPD6" s="87"/>
      <c r="EPE6" s="87"/>
      <c r="EPF6" s="87"/>
      <c r="EPG6" s="87"/>
      <c r="EPH6" s="87"/>
      <c r="EPI6" s="87"/>
      <c r="EPJ6" s="87"/>
      <c r="EPK6" s="87"/>
      <c r="EPL6" s="87"/>
      <c r="EPM6" s="87"/>
      <c r="EPN6" s="87"/>
      <c r="EPO6" s="87"/>
      <c r="EPP6" s="87"/>
      <c r="EPQ6" s="87"/>
      <c r="EPR6" s="87"/>
      <c r="EPS6" s="87"/>
      <c r="EPT6" s="87"/>
      <c r="EPU6" s="87"/>
      <c r="EPV6" s="87"/>
      <c r="EPW6" s="87"/>
      <c r="EPX6" s="87"/>
      <c r="EPY6" s="87"/>
      <c r="EPZ6" s="87"/>
      <c r="EQA6" s="87"/>
      <c r="EQB6" s="87"/>
      <c r="EQC6" s="87"/>
      <c r="EQD6" s="87"/>
      <c r="EQE6" s="87"/>
      <c r="EQF6" s="87"/>
      <c r="EQG6" s="87"/>
      <c r="EQH6" s="87"/>
      <c r="EQI6" s="87"/>
      <c r="EQJ6" s="87"/>
      <c r="EQK6" s="87"/>
      <c r="EQL6" s="87"/>
      <c r="EQM6" s="87"/>
      <c r="EQN6" s="87"/>
      <c r="EQO6" s="87"/>
      <c r="EQP6" s="87"/>
      <c r="EQQ6" s="87"/>
      <c r="EQR6" s="87"/>
      <c r="EQS6" s="87"/>
      <c r="EQT6" s="87"/>
      <c r="EQU6" s="87"/>
      <c r="EQV6" s="87"/>
      <c r="EQW6" s="87"/>
      <c r="EQX6" s="87"/>
      <c r="EQY6" s="87"/>
      <c r="EQZ6" s="87"/>
      <c r="ERA6" s="87"/>
      <c r="ERB6" s="87"/>
      <c r="ERC6" s="87"/>
      <c r="ERD6" s="87"/>
      <c r="ERE6" s="87"/>
      <c r="ERF6" s="87"/>
      <c r="ERG6" s="87"/>
      <c r="ERH6" s="87"/>
      <c r="ERI6" s="87"/>
      <c r="ERJ6" s="87"/>
      <c r="ERK6" s="87"/>
      <c r="ERL6" s="87"/>
      <c r="ERM6" s="87"/>
      <c r="ERN6" s="87"/>
      <c r="ERO6" s="87"/>
      <c r="ERP6" s="87"/>
      <c r="ERQ6" s="87"/>
      <c r="ERR6" s="87"/>
      <c r="ERS6" s="87"/>
      <c r="ERT6" s="87"/>
      <c r="ERU6" s="87"/>
      <c r="ERV6" s="87"/>
      <c r="ERW6" s="87"/>
      <c r="ERX6" s="87"/>
      <c r="ERY6" s="87"/>
      <c r="ERZ6" s="87"/>
      <c r="ESA6" s="87"/>
      <c r="ESB6" s="87"/>
      <c r="ESC6" s="87"/>
      <c r="ESD6" s="87"/>
      <c r="ESE6" s="87"/>
      <c r="ESF6" s="87"/>
      <c r="ESG6" s="87"/>
      <c r="ESH6" s="87"/>
      <c r="ESI6" s="87"/>
      <c r="ESJ6" s="87"/>
      <c r="ESK6" s="87"/>
      <c r="ESL6" s="87"/>
      <c r="ESM6" s="87"/>
      <c r="ESN6" s="87"/>
      <c r="ESO6" s="87"/>
      <c r="ESP6" s="87"/>
      <c r="ESQ6" s="87"/>
      <c r="ESR6" s="87"/>
      <c r="ESS6" s="87"/>
      <c r="EST6" s="87"/>
      <c r="ESU6" s="87"/>
      <c r="ESV6" s="87"/>
      <c r="ESW6" s="87"/>
      <c r="ESX6" s="87"/>
      <c r="ESY6" s="87"/>
      <c r="ESZ6" s="87"/>
      <c r="ETA6" s="87"/>
      <c r="ETB6" s="87"/>
      <c r="ETC6" s="87"/>
      <c r="ETD6" s="87"/>
      <c r="ETE6" s="87"/>
      <c r="ETF6" s="87"/>
      <c r="ETG6" s="87"/>
      <c r="ETH6" s="87"/>
      <c r="ETI6" s="87"/>
      <c r="ETJ6" s="87"/>
      <c r="ETK6" s="87"/>
      <c r="ETL6" s="87"/>
      <c r="ETM6" s="87"/>
      <c r="ETN6" s="87"/>
      <c r="ETO6" s="87"/>
      <c r="ETP6" s="87"/>
      <c r="ETQ6" s="87"/>
      <c r="ETR6" s="87"/>
      <c r="ETS6" s="87"/>
      <c r="ETT6" s="87"/>
      <c r="ETU6" s="87"/>
      <c r="ETV6" s="87"/>
      <c r="ETW6" s="87"/>
      <c r="ETX6" s="87"/>
      <c r="ETY6" s="87"/>
      <c r="ETZ6" s="87"/>
      <c r="EUA6" s="87"/>
      <c r="EUB6" s="87"/>
      <c r="EUC6" s="87"/>
      <c r="EUD6" s="87"/>
      <c r="EUE6" s="87"/>
      <c r="EUF6" s="87"/>
      <c r="EUG6" s="87"/>
      <c r="EUH6" s="87"/>
      <c r="EUI6" s="87"/>
      <c r="EUJ6" s="87"/>
      <c r="EUK6" s="87"/>
      <c r="EUL6" s="87"/>
      <c r="EUM6" s="87"/>
      <c r="EUN6" s="87"/>
      <c r="EUO6" s="87"/>
      <c r="EUP6" s="87"/>
      <c r="EUQ6" s="87"/>
      <c r="EUR6" s="87"/>
      <c r="EUS6" s="87"/>
      <c r="EUT6" s="87"/>
      <c r="EUU6" s="87"/>
      <c r="EUV6" s="87"/>
      <c r="EUW6" s="87"/>
      <c r="EUX6" s="87"/>
      <c r="EUY6" s="87"/>
      <c r="EUZ6" s="87"/>
      <c r="EVA6" s="87"/>
      <c r="EVB6" s="87"/>
      <c r="EVC6" s="87"/>
      <c r="EVD6" s="87"/>
      <c r="EVE6" s="87"/>
      <c r="EVF6" s="87"/>
      <c r="EVG6" s="87"/>
      <c r="EVH6" s="87"/>
      <c r="EVI6" s="87"/>
      <c r="EVJ6" s="87"/>
      <c r="EVK6" s="87"/>
      <c r="EVL6" s="87"/>
      <c r="EVM6" s="87"/>
      <c r="EVN6" s="87"/>
      <c r="EVO6" s="87"/>
      <c r="EVP6" s="87"/>
      <c r="EVQ6" s="87"/>
      <c r="EVR6" s="87"/>
      <c r="EVS6" s="87"/>
      <c r="EVT6" s="87"/>
      <c r="EVU6" s="87"/>
      <c r="EVV6" s="87"/>
      <c r="EVW6" s="87"/>
      <c r="EVX6" s="87"/>
      <c r="EVY6" s="87"/>
      <c r="EVZ6" s="87"/>
      <c r="EWA6" s="87"/>
      <c r="EWB6" s="87"/>
      <c r="EWC6" s="87"/>
      <c r="EWD6" s="87"/>
      <c r="EWE6" s="87"/>
      <c r="EWF6" s="87"/>
      <c r="EWG6" s="87"/>
      <c r="EWH6" s="87"/>
      <c r="EWI6" s="87"/>
      <c r="EWJ6" s="87"/>
      <c r="EWK6" s="87"/>
      <c r="EWL6" s="87"/>
      <c r="EWM6" s="87"/>
      <c r="EWN6" s="87"/>
      <c r="EWO6" s="87"/>
      <c r="EWP6" s="87"/>
      <c r="EWQ6" s="87"/>
      <c r="EWR6" s="87"/>
      <c r="EWS6" s="87"/>
      <c r="EWT6" s="87"/>
      <c r="EWU6" s="87"/>
      <c r="EWV6" s="87"/>
      <c r="EWW6" s="87"/>
      <c r="EWX6" s="87"/>
      <c r="EWY6" s="87"/>
      <c r="EWZ6" s="87"/>
      <c r="EXA6" s="87"/>
      <c r="EXB6" s="87"/>
      <c r="EXC6" s="87"/>
      <c r="EXD6" s="87"/>
      <c r="EXE6" s="87"/>
      <c r="EXF6" s="87"/>
      <c r="EXG6" s="87"/>
      <c r="EXH6" s="87"/>
      <c r="EXI6" s="87"/>
      <c r="EXJ6" s="87"/>
      <c r="EXK6" s="87"/>
      <c r="EXL6" s="87"/>
      <c r="EXM6" s="87"/>
      <c r="EXN6" s="87"/>
      <c r="EXO6" s="87"/>
      <c r="EXP6" s="87"/>
      <c r="EXQ6" s="87"/>
      <c r="EXR6" s="87"/>
      <c r="EXS6" s="87"/>
      <c r="EXT6" s="87"/>
      <c r="EXU6" s="87"/>
      <c r="EXV6" s="87"/>
      <c r="EXW6" s="87"/>
      <c r="EXX6" s="87"/>
      <c r="EXY6" s="87"/>
      <c r="EXZ6" s="87"/>
      <c r="EYA6" s="87"/>
      <c r="EYB6" s="87"/>
      <c r="EYC6" s="87"/>
      <c r="EYD6" s="87"/>
      <c r="EYE6" s="87"/>
      <c r="EYF6" s="87"/>
      <c r="EYG6" s="87"/>
      <c r="EYH6" s="87"/>
      <c r="EYI6" s="87"/>
      <c r="EYJ6" s="87"/>
      <c r="EYK6" s="87"/>
      <c r="EYL6" s="87"/>
      <c r="EYM6" s="87"/>
      <c r="EYN6" s="87"/>
      <c r="EYO6" s="87"/>
      <c r="EYP6" s="87"/>
      <c r="EYQ6" s="87"/>
      <c r="EYR6" s="87"/>
      <c r="EYS6" s="87"/>
      <c r="EYT6" s="87"/>
      <c r="EYU6" s="87"/>
      <c r="EYV6" s="87"/>
      <c r="EYW6" s="87"/>
      <c r="EYX6" s="87"/>
      <c r="EYY6" s="87"/>
      <c r="EYZ6" s="87"/>
      <c r="EZA6" s="87"/>
      <c r="EZB6" s="87"/>
      <c r="EZC6" s="87"/>
      <c r="EZD6" s="87"/>
      <c r="EZE6" s="87"/>
      <c r="EZF6" s="87"/>
      <c r="EZG6" s="87"/>
      <c r="EZH6" s="87"/>
      <c r="EZI6" s="87"/>
      <c r="EZJ6" s="87"/>
      <c r="EZK6" s="87"/>
      <c r="EZL6" s="87"/>
      <c r="EZM6" s="87"/>
      <c r="EZN6" s="87"/>
      <c r="EZO6" s="87"/>
      <c r="EZP6" s="87"/>
      <c r="EZQ6" s="87"/>
      <c r="EZR6" s="87"/>
      <c r="EZS6" s="87"/>
      <c r="EZT6" s="87"/>
      <c r="EZU6" s="87"/>
      <c r="EZV6" s="87"/>
      <c r="EZW6" s="87"/>
      <c r="EZX6" s="87"/>
      <c r="EZY6" s="87"/>
      <c r="EZZ6" s="87"/>
      <c r="FAA6" s="87"/>
      <c r="FAB6" s="87"/>
      <c r="FAC6" s="87"/>
      <c r="FAD6" s="87"/>
      <c r="FAE6" s="87"/>
      <c r="FAF6" s="87"/>
      <c r="FAG6" s="87"/>
      <c r="FAH6" s="87"/>
      <c r="FAI6" s="87"/>
      <c r="FAJ6" s="87"/>
      <c r="FAK6" s="87"/>
      <c r="FAL6" s="87"/>
      <c r="FAM6" s="87"/>
      <c r="FAN6" s="87"/>
      <c r="FAO6" s="87"/>
      <c r="FAP6" s="87"/>
      <c r="FAQ6" s="87"/>
      <c r="FAR6" s="87"/>
      <c r="FAS6" s="87"/>
      <c r="FAT6" s="87"/>
      <c r="FAU6" s="87"/>
      <c r="FAV6" s="87"/>
      <c r="FAW6" s="87"/>
      <c r="FAX6" s="87"/>
      <c r="FAY6" s="87"/>
      <c r="FAZ6" s="87"/>
      <c r="FBA6" s="87"/>
      <c r="FBB6" s="87"/>
      <c r="FBC6" s="87"/>
      <c r="FBD6" s="87"/>
      <c r="FBE6" s="87"/>
      <c r="FBF6" s="87"/>
      <c r="FBG6" s="87"/>
      <c r="FBH6" s="87"/>
      <c r="FBI6" s="87"/>
      <c r="FBJ6" s="87"/>
      <c r="FBK6" s="87"/>
      <c r="FBL6" s="87"/>
      <c r="FBM6" s="87"/>
      <c r="FBN6" s="87"/>
      <c r="FBO6" s="87"/>
      <c r="FBP6" s="87"/>
      <c r="FBQ6" s="87"/>
      <c r="FBR6" s="87"/>
      <c r="FBS6" s="87"/>
      <c r="FBT6" s="87"/>
      <c r="FBU6" s="87"/>
      <c r="FBV6" s="87"/>
      <c r="FBW6" s="87"/>
      <c r="FBX6" s="87"/>
      <c r="FBY6" s="87"/>
      <c r="FBZ6" s="87"/>
      <c r="FCA6" s="87"/>
      <c r="FCB6" s="87"/>
      <c r="FCC6" s="87"/>
      <c r="FCD6" s="87"/>
      <c r="FCE6" s="87"/>
      <c r="FCF6" s="87"/>
      <c r="FCG6" s="87"/>
      <c r="FCH6" s="87"/>
      <c r="FCI6" s="87"/>
      <c r="FCJ6" s="87"/>
      <c r="FCK6" s="87"/>
      <c r="FCL6" s="87"/>
      <c r="FCM6" s="87"/>
      <c r="FCN6" s="87"/>
      <c r="FCO6" s="87"/>
      <c r="FCP6" s="87"/>
      <c r="FCQ6" s="87"/>
      <c r="FCR6" s="87"/>
      <c r="FCS6" s="87"/>
      <c r="FCT6" s="87"/>
      <c r="FCU6" s="87"/>
      <c r="FCV6" s="87"/>
      <c r="FCW6" s="87"/>
      <c r="FCX6" s="87"/>
      <c r="FCY6" s="87"/>
      <c r="FCZ6" s="87"/>
      <c r="FDA6" s="87"/>
      <c r="FDB6" s="87"/>
      <c r="FDC6" s="87"/>
      <c r="FDD6" s="87"/>
      <c r="FDE6" s="87"/>
      <c r="FDF6" s="87"/>
      <c r="FDG6" s="87"/>
      <c r="FDH6" s="87"/>
      <c r="FDI6" s="87"/>
      <c r="FDJ6" s="87"/>
      <c r="FDK6" s="87"/>
      <c r="FDL6" s="87"/>
      <c r="FDM6" s="87"/>
      <c r="FDN6" s="87"/>
      <c r="FDO6" s="87"/>
      <c r="FDP6" s="87"/>
      <c r="FDQ6" s="87"/>
      <c r="FDR6" s="87"/>
      <c r="FDS6" s="87"/>
      <c r="FDT6" s="87"/>
      <c r="FDU6" s="87"/>
      <c r="FDV6" s="87"/>
      <c r="FDW6" s="87"/>
      <c r="FDX6" s="87"/>
      <c r="FDY6" s="87"/>
      <c r="FDZ6" s="87"/>
      <c r="FEA6" s="87"/>
      <c r="FEB6" s="87"/>
      <c r="FEC6" s="87"/>
      <c r="FED6" s="87"/>
      <c r="FEE6" s="87"/>
      <c r="FEF6" s="87"/>
      <c r="FEG6" s="87"/>
      <c r="FEH6" s="87"/>
      <c r="FEI6" s="87"/>
      <c r="FEJ6" s="87"/>
      <c r="FEK6" s="87"/>
      <c r="FEL6" s="87"/>
      <c r="FEM6" s="87"/>
      <c r="FEN6" s="87"/>
      <c r="FEO6" s="87"/>
      <c r="FEP6" s="87"/>
      <c r="FEQ6" s="87"/>
      <c r="FER6" s="87"/>
      <c r="FES6" s="87"/>
      <c r="FET6" s="87"/>
      <c r="FEU6" s="87"/>
      <c r="FEV6" s="87"/>
      <c r="FEW6" s="87"/>
      <c r="FEX6" s="87"/>
      <c r="FEY6" s="87"/>
      <c r="FEZ6" s="87"/>
      <c r="FFA6" s="87"/>
      <c r="FFB6" s="87"/>
      <c r="FFC6" s="87"/>
      <c r="FFD6" s="87"/>
      <c r="FFE6" s="87"/>
      <c r="FFF6" s="87"/>
      <c r="FFG6" s="87"/>
      <c r="FFH6" s="87"/>
      <c r="FFI6" s="87"/>
      <c r="FFJ6" s="87"/>
      <c r="FFK6" s="87"/>
      <c r="FFL6" s="87"/>
      <c r="FFM6" s="87"/>
      <c r="FFN6" s="87"/>
      <c r="FFO6" s="87"/>
      <c r="FFP6" s="87"/>
      <c r="FFQ6" s="87"/>
      <c r="FFR6" s="87"/>
      <c r="FFS6" s="87"/>
      <c r="FFT6" s="87"/>
      <c r="FFU6" s="87"/>
      <c r="FFV6" s="87"/>
      <c r="FFW6" s="87"/>
      <c r="FFX6" s="87"/>
      <c r="FFY6" s="87"/>
      <c r="FFZ6" s="87"/>
      <c r="FGA6" s="87"/>
      <c r="FGB6" s="87"/>
      <c r="FGC6" s="87"/>
      <c r="FGD6" s="87"/>
      <c r="FGE6" s="87"/>
      <c r="FGF6" s="87"/>
      <c r="FGG6" s="87"/>
      <c r="FGH6" s="87"/>
      <c r="FGI6" s="87"/>
      <c r="FGJ6" s="87"/>
      <c r="FGK6" s="87"/>
      <c r="FGL6" s="87"/>
      <c r="FGM6" s="87"/>
      <c r="FGN6" s="87"/>
      <c r="FGO6" s="87"/>
      <c r="FGP6" s="87"/>
      <c r="FGQ6" s="87"/>
      <c r="FGR6" s="87"/>
      <c r="FGS6" s="87"/>
      <c r="FGT6" s="87"/>
      <c r="FGU6" s="87"/>
      <c r="FGV6" s="87"/>
      <c r="FGW6" s="87"/>
      <c r="FGX6" s="87"/>
      <c r="FGY6" s="87"/>
      <c r="FGZ6" s="87"/>
      <c r="FHA6" s="87"/>
      <c r="FHB6" s="87"/>
      <c r="FHC6" s="87"/>
      <c r="FHD6" s="87"/>
      <c r="FHE6" s="87"/>
      <c r="FHF6" s="87"/>
      <c r="FHG6" s="87"/>
      <c r="FHH6" s="87"/>
      <c r="FHI6" s="87"/>
      <c r="FHJ6" s="87"/>
      <c r="FHK6" s="87"/>
      <c r="FHL6" s="87"/>
      <c r="FHM6" s="87"/>
      <c r="FHN6" s="87"/>
      <c r="FHO6" s="87"/>
      <c r="FHP6" s="87"/>
      <c r="FHQ6" s="87"/>
      <c r="FHR6" s="87"/>
      <c r="FHS6" s="87"/>
      <c r="FHT6" s="87"/>
      <c r="FHU6" s="87"/>
      <c r="FHV6" s="87"/>
      <c r="FHW6" s="87"/>
      <c r="FHX6" s="87"/>
      <c r="FHY6" s="87"/>
      <c r="FHZ6" s="87"/>
      <c r="FIA6" s="87"/>
      <c r="FIB6" s="87"/>
      <c r="FIC6" s="87"/>
      <c r="FID6" s="87"/>
      <c r="FIE6" s="87"/>
      <c r="FIF6" s="87"/>
      <c r="FIG6" s="87"/>
      <c r="FIH6" s="87"/>
      <c r="FII6" s="87"/>
      <c r="FIJ6" s="87"/>
      <c r="FIK6" s="87"/>
      <c r="FIL6" s="87"/>
      <c r="FIM6" s="87"/>
      <c r="FIN6" s="87"/>
      <c r="FIO6" s="87"/>
      <c r="FIP6" s="87"/>
      <c r="FIQ6" s="87"/>
      <c r="FIR6" s="87"/>
      <c r="FIS6" s="87"/>
      <c r="FIT6" s="87"/>
      <c r="FIU6" s="87"/>
      <c r="FIV6" s="87"/>
      <c r="FIW6" s="87"/>
      <c r="FIX6" s="87"/>
      <c r="FIY6" s="87"/>
      <c r="FIZ6" s="87"/>
      <c r="FJA6" s="87"/>
      <c r="FJB6" s="87"/>
      <c r="FJC6" s="87"/>
      <c r="FJD6" s="87"/>
      <c r="FJE6" s="87"/>
      <c r="FJF6" s="87"/>
      <c r="FJG6" s="87"/>
      <c r="FJH6" s="87"/>
      <c r="FJI6" s="87"/>
      <c r="FJJ6" s="87"/>
      <c r="FJK6" s="87"/>
      <c r="FJL6" s="87"/>
      <c r="FJM6" s="87"/>
      <c r="FJN6" s="87"/>
      <c r="FJO6" s="87"/>
      <c r="FJP6" s="87"/>
      <c r="FJQ6" s="87"/>
      <c r="FJR6" s="87"/>
      <c r="FJS6" s="87"/>
      <c r="FJT6" s="87"/>
      <c r="FJU6" s="87"/>
      <c r="FJV6" s="87"/>
      <c r="FJW6" s="87"/>
      <c r="FJX6" s="87"/>
      <c r="FJY6" s="87"/>
      <c r="FJZ6" s="87"/>
      <c r="FKA6" s="87"/>
      <c r="FKB6" s="87"/>
      <c r="FKC6" s="87"/>
      <c r="FKD6" s="87"/>
      <c r="FKE6" s="87"/>
      <c r="FKF6" s="87"/>
      <c r="FKG6" s="87"/>
      <c r="FKH6" s="87"/>
      <c r="FKI6" s="87"/>
      <c r="FKJ6" s="87"/>
      <c r="FKK6" s="87"/>
      <c r="FKL6" s="87"/>
      <c r="FKM6" s="87"/>
      <c r="FKN6" s="87"/>
      <c r="FKO6" s="87"/>
      <c r="FKP6" s="87"/>
      <c r="FKQ6" s="87"/>
      <c r="FKR6" s="87"/>
      <c r="FKS6" s="87"/>
      <c r="FKT6" s="87"/>
      <c r="FKU6" s="87"/>
      <c r="FKV6" s="87"/>
      <c r="FKW6" s="87"/>
      <c r="FKX6" s="87"/>
      <c r="FKY6" s="87"/>
      <c r="FKZ6" s="87"/>
      <c r="FLA6" s="87"/>
      <c r="FLB6" s="87"/>
      <c r="FLC6" s="87"/>
      <c r="FLD6" s="87"/>
      <c r="FLE6" s="87"/>
      <c r="FLF6" s="87"/>
      <c r="FLG6" s="87"/>
      <c r="FLH6" s="87"/>
      <c r="FLI6" s="87"/>
      <c r="FLJ6" s="87"/>
      <c r="FLK6" s="87"/>
      <c r="FLL6" s="87"/>
      <c r="FLM6" s="87"/>
      <c r="FLN6" s="87"/>
      <c r="FLO6" s="87"/>
      <c r="FLP6" s="87"/>
      <c r="FLQ6" s="87"/>
      <c r="FLR6" s="87"/>
      <c r="FLS6" s="87"/>
      <c r="FLT6" s="87"/>
      <c r="FLU6" s="87"/>
      <c r="FLV6" s="87"/>
      <c r="FLW6" s="87"/>
      <c r="FLX6" s="87"/>
      <c r="FLY6" s="87"/>
      <c r="FLZ6" s="87"/>
      <c r="FMA6" s="87"/>
      <c r="FMB6" s="87"/>
      <c r="FMC6" s="87"/>
      <c r="FMD6" s="87"/>
      <c r="FME6" s="87"/>
      <c r="FMF6" s="87"/>
      <c r="FMG6" s="87"/>
      <c r="FMH6" s="87"/>
      <c r="FMI6" s="87"/>
      <c r="FMJ6" s="87"/>
      <c r="FMK6" s="87"/>
      <c r="FML6" s="87"/>
      <c r="FMM6" s="87"/>
      <c r="FMN6" s="87"/>
      <c r="FMO6" s="87"/>
      <c r="FMP6" s="87"/>
      <c r="FMQ6" s="87"/>
      <c r="FMR6" s="87"/>
      <c r="FMS6" s="87"/>
      <c r="FMT6" s="87"/>
      <c r="FMU6" s="87"/>
      <c r="FMV6" s="87"/>
      <c r="FMW6" s="87"/>
      <c r="FMX6" s="87"/>
      <c r="FMY6" s="87"/>
      <c r="FMZ6" s="87"/>
      <c r="FNA6" s="87"/>
      <c r="FNB6" s="87"/>
      <c r="FNC6" s="87"/>
      <c r="FND6" s="87"/>
      <c r="FNE6" s="87"/>
      <c r="FNF6" s="87"/>
      <c r="FNG6" s="87"/>
      <c r="FNH6" s="87"/>
      <c r="FNI6" s="87"/>
      <c r="FNJ6" s="87"/>
      <c r="FNK6" s="87"/>
      <c r="FNL6" s="87"/>
      <c r="FNM6" s="87"/>
      <c r="FNN6" s="87"/>
      <c r="FNO6" s="87"/>
      <c r="FNP6" s="87"/>
      <c r="FNQ6" s="87"/>
      <c r="FNR6" s="87"/>
      <c r="FNS6" s="87"/>
      <c r="FNT6" s="87"/>
      <c r="FNU6" s="87"/>
      <c r="FNV6" s="87"/>
      <c r="FNW6" s="87"/>
      <c r="FNX6" s="87"/>
      <c r="FNY6" s="87"/>
      <c r="FNZ6" s="87"/>
      <c r="FOA6" s="87"/>
      <c r="FOB6" s="87"/>
      <c r="FOC6" s="87"/>
      <c r="FOD6" s="87"/>
      <c r="FOE6" s="87"/>
      <c r="FOF6" s="87"/>
      <c r="FOG6" s="87"/>
      <c r="FOH6" s="87"/>
      <c r="FOI6" s="87"/>
      <c r="FOJ6" s="87"/>
      <c r="FOK6" s="87"/>
      <c r="FOL6" s="87"/>
      <c r="FOM6" s="87"/>
      <c r="FON6" s="87"/>
      <c r="FOO6" s="87"/>
      <c r="FOP6" s="87"/>
      <c r="FOQ6" s="87"/>
      <c r="FOR6" s="87"/>
      <c r="FOS6" s="87"/>
      <c r="FOT6" s="87"/>
      <c r="FOU6" s="87"/>
      <c r="FOV6" s="87"/>
      <c r="FOW6" s="87"/>
      <c r="FOX6" s="87"/>
      <c r="FOY6" s="87"/>
      <c r="FOZ6" s="87"/>
      <c r="FPA6" s="87"/>
      <c r="FPB6" s="87"/>
      <c r="FPC6" s="87"/>
      <c r="FPD6" s="87"/>
      <c r="FPE6" s="87"/>
      <c r="FPF6" s="87"/>
      <c r="FPG6" s="87"/>
      <c r="FPH6" s="87"/>
      <c r="FPI6" s="87"/>
      <c r="FPJ6" s="87"/>
      <c r="FPK6" s="87"/>
      <c r="FPL6" s="87"/>
      <c r="FPM6" s="87"/>
      <c r="FPN6" s="87"/>
      <c r="FPO6" s="87"/>
      <c r="FPP6" s="87"/>
      <c r="FPQ6" s="87"/>
      <c r="FPR6" s="87"/>
      <c r="FPS6" s="87"/>
      <c r="FPT6" s="87"/>
      <c r="FPU6" s="87"/>
      <c r="FPV6" s="87"/>
      <c r="FPW6" s="87"/>
      <c r="FPX6" s="87"/>
      <c r="FPY6" s="87"/>
      <c r="FPZ6" s="87"/>
      <c r="FQA6" s="87"/>
      <c r="FQB6" s="87"/>
      <c r="FQC6" s="87"/>
      <c r="FQD6" s="87"/>
      <c r="FQE6" s="87"/>
      <c r="FQF6" s="87"/>
      <c r="FQG6" s="87"/>
      <c r="FQH6" s="87"/>
      <c r="FQI6" s="87"/>
      <c r="FQJ6" s="87"/>
      <c r="FQK6" s="87"/>
      <c r="FQL6" s="87"/>
      <c r="FQM6" s="87"/>
      <c r="FQN6" s="87"/>
      <c r="FQO6" s="87"/>
      <c r="FQP6" s="87"/>
      <c r="FQQ6" s="87"/>
      <c r="FQR6" s="87"/>
      <c r="FQS6" s="87"/>
      <c r="FQT6" s="87"/>
      <c r="FQU6" s="87"/>
      <c r="FQV6" s="87"/>
      <c r="FQW6" s="87"/>
      <c r="FQX6" s="87"/>
      <c r="FQY6" s="87"/>
      <c r="FQZ6" s="87"/>
      <c r="FRA6" s="87"/>
      <c r="FRB6" s="87"/>
      <c r="FRC6" s="87"/>
      <c r="FRD6" s="87"/>
      <c r="FRE6" s="87"/>
      <c r="FRF6" s="87"/>
      <c r="FRG6" s="87"/>
      <c r="FRH6" s="87"/>
      <c r="FRI6" s="87"/>
      <c r="FRJ6" s="87"/>
      <c r="FRK6" s="87"/>
      <c r="FRL6" s="87"/>
      <c r="FRM6" s="87"/>
      <c r="FRN6" s="87"/>
      <c r="FRO6" s="87"/>
      <c r="FRP6" s="87"/>
      <c r="FRQ6" s="87"/>
      <c r="FRR6" s="87"/>
      <c r="FRS6" s="87"/>
      <c r="FRT6" s="87"/>
      <c r="FRU6" s="87"/>
      <c r="FRV6" s="87"/>
      <c r="FRW6" s="87"/>
      <c r="FRX6" s="87"/>
      <c r="FRY6" s="87"/>
      <c r="FRZ6" s="87"/>
      <c r="FSA6" s="87"/>
      <c r="FSB6" s="87"/>
      <c r="FSC6" s="87"/>
      <c r="FSD6" s="87"/>
      <c r="FSE6" s="87"/>
      <c r="FSF6" s="87"/>
      <c r="FSG6" s="87"/>
      <c r="FSH6" s="87"/>
      <c r="FSI6" s="87"/>
      <c r="FSJ6" s="87"/>
      <c r="FSK6" s="87"/>
      <c r="FSL6" s="87"/>
      <c r="FSM6" s="87"/>
      <c r="FSN6" s="87"/>
      <c r="FSO6" s="87"/>
      <c r="FSP6" s="87"/>
      <c r="FSQ6" s="87"/>
      <c r="FSR6" s="87"/>
      <c r="FSS6" s="87"/>
      <c r="FST6" s="87"/>
      <c r="FSU6" s="87"/>
      <c r="FSV6" s="87"/>
      <c r="FSW6" s="87"/>
      <c r="FSX6" s="87"/>
      <c r="FSY6" s="87"/>
      <c r="FSZ6" s="87"/>
      <c r="FTA6" s="87"/>
      <c r="FTB6" s="87"/>
      <c r="FTC6" s="87"/>
      <c r="FTD6" s="87"/>
      <c r="FTE6" s="87"/>
      <c r="FTF6" s="87"/>
      <c r="FTG6" s="87"/>
      <c r="FTH6" s="87"/>
      <c r="FTI6" s="87"/>
      <c r="FTJ6" s="87"/>
      <c r="FTK6" s="87"/>
      <c r="FTL6" s="87"/>
      <c r="FTM6" s="87"/>
      <c r="FTN6" s="87"/>
      <c r="FTO6" s="87"/>
      <c r="FTP6" s="87"/>
      <c r="FTQ6" s="87"/>
      <c r="FTR6" s="87"/>
      <c r="FTS6" s="87"/>
      <c r="FTT6" s="87"/>
      <c r="FTU6" s="87"/>
      <c r="FTV6" s="87"/>
      <c r="FTW6" s="87"/>
      <c r="FTX6" s="87"/>
      <c r="FTY6" s="87"/>
      <c r="FTZ6" s="87"/>
      <c r="FUA6" s="87"/>
      <c r="FUB6" s="87"/>
      <c r="FUC6" s="87"/>
      <c r="FUD6" s="87"/>
      <c r="FUE6" s="87"/>
      <c r="FUF6" s="87"/>
      <c r="FUG6" s="87"/>
      <c r="FUH6" s="87"/>
      <c r="FUI6" s="87"/>
      <c r="FUJ6" s="87"/>
      <c r="FUK6" s="87"/>
      <c r="FUL6" s="87"/>
      <c r="FUM6" s="87"/>
      <c r="FUN6" s="87"/>
      <c r="FUO6" s="87"/>
      <c r="FUP6" s="87"/>
      <c r="FUQ6" s="87"/>
      <c r="FUR6" s="87"/>
      <c r="FUS6" s="87"/>
      <c r="FUT6" s="87"/>
      <c r="FUU6" s="87"/>
      <c r="FUV6" s="87"/>
      <c r="FUW6" s="87"/>
      <c r="FUX6" s="87"/>
      <c r="FUY6" s="87"/>
      <c r="FUZ6" s="87"/>
      <c r="FVA6" s="87"/>
      <c r="FVB6" s="87"/>
      <c r="FVC6" s="87"/>
      <c r="FVD6" s="87"/>
      <c r="FVE6" s="87"/>
      <c r="FVF6" s="87"/>
      <c r="FVG6" s="87"/>
      <c r="FVH6" s="87"/>
      <c r="FVI6" s="87"/>
      <c r="FVJ6" s="87"/>
      <c r="FVK6" s="87"/>
      <c r="FVL6" s="87"/>
      <c r="FVM6" s="87"/>
      <c r="FVN6" s="87"/>
      <c r="FVO6" s="87"/>
      <c r="FVP6" s="87"/>
      <c r="FVQ6" s="87"/>
      <c r="FVR6" s="87"/>
      <c r="FVS6" s="87"/>
      <c r="FVT6" s="87"/>
      <c r="FVU6" s="87"/>
      <c r="FVV6" s="87"/>
      <c r="FVW6" s="87"/>
      <c r="FVX6" s="87"/>
      <c r="FVY6" s="87"/>
      <c r="FVZ6" s="87"/>
      <c r="FWA6" s="87"/>
      <c r="FWB6" s="87"/>
      <c r="FWC6" s="87"/>
      <c r="FWD6" s="87"/>
      <c r="FWE6" s="87"/>
      <c r="FWF6" s="87"/>
      <c r="FWG6" s="87"/>
      <c r="FWH6" s="87"/>
      <c r="FWI6" s="87"/>
      <c r="FWJ6" s="87"/>
      <c r="FWK6" s="87"/>
      <c r="FWL6" s="87"/>
      <c r="FWM6" s="87"/>
      <c r="FWN6" s="87"/>
      <c r="FWO6" s="87"/>
      <c r="FWP6" s="87"/>
      <c r="FWQ6" s="87"/>
      <c r="FWR6" s="87"/>
      <c r="FWS6" s="87"/>
      <c r="FWT6" s="87"/>
      <c r="FWU6" s="87"/>
      <c r="FWV6" s="87"/>
      <c r="FWW6" s="87"/>
      <c r="FWX6" s="87"/>
      <c r="FWY6" s="87"/>
      <c r="FWZ6" s="87"/>
      <c r="FXA6" s="87"/>
      <c r="FXB6" s="87"/>
      <c r="FXC6" s="87"/>
      <c r="FXD6" s="87"/>
      <c r="FXE6" s="87"/>
      <c r="FXF6" s="87"/>
      <c r="FXG6" s="87"/>
      <c r="FXH6" s="87"/>
      <c r="FXI6" s="87"/>
      <c r="FXJ6" s="87"/>
      <c r="FXK6" s="87"/>
      <c r="FXL6" s="87"/>
      <c r="FXM6" s="87"/>
      <c r="FXN6" s="87"/>
      <c r="FXO6" s="87"/>
      <c r="FXP6" s="87"/>
      <c r="FXQ6" s="87"/>
      <c r="FXR6" s="87"/>
      <c r="FXS6" s="87"/>
      <c r="FXT6" s="87"/>
      <c r="FXU6" s="87"/>
      <c r="FXV6" s="87"/>
      <c r="FXW6" s="87"/>
      <c r="FXX6" s="87"/>
      <c r="FXY6" s="87"/>
      <c r="FXZ6" s="87"/>
      <c r="FYA6" s="87"/>
      <c r="FYB6" s="87"/>
      <c r="FYC6" s="87"/>
      <c r="FYD6" s="87"/>
      <c r="FYE6" s="87"/>
      <c r="FYF6" s="87"/>
      <c r="FYG6" s="87"/>
      <c r="FYH6" s="87"/>
      <c r="FYI6" s="87"/>
      <c r="FYJ6" s="87"/>
      <c r="FYK6" s="87"/>
      <c r="FYL6" s="87"/>
      <c r="FYM6" s="87"/>
      <c r="FYN6" s="87"/>
      <c r="FYO6" s="87"/>
      <c r="FYP6" s="87"/>
      <c r="FYQ6" s="87"/>
      <c r="FYR6" s="87"/>
      <c r="FYS6" s="87"/>
      <c r="FYT6" s="87"/>
      <c r="FYU6" s="87"/>
      <c r="FYV6" s="87"/>
      <c r="FYW6" s="87"/>
      <c r="FYX6" s="87"/>
      <c r="FYY6" s="87"/>
      <c r="FYZ6" s="87"/>
      <c r="FZA6" s="87"/>
      <c r="FZB6" s="87"/>
      <c r="FZC6" s="87"/>
      <c r="FZD6" s="87"/>
      <c r="FZE6" s="87"/>
      <c r="FZF6" s="87"/>
      <c r="FZG6" s="87"/>
      <c r="FZH6" s="87"/>
      <c r="FZI6" s="87"/>
      <c r="FZJ6" s="87"/>
      <c r="FZK6" s="87"/>
      <c r="FZL6" s="87"/>
      <c r="FZM6" s="87"/>
      <c r="FZN6" s="87"/>
      <c r="FZO6" s="87"/>
      <c r="FZP6" s="87"/>
      <c r="FZQ6" s="87"/>
      <c r="FZR6" s="87"/>
      <c r="FZS6" s="87"/>
      <c r="FZT6" s="87"/>
      <c r="FZU6" s="87"/>
      <c r="FZV6" s="87"/>
      <c r="FZW6" s="87"/>
      <c r="FZX6" s="87"/>
      <c r="FZY6" s="87"/>
      <c r="FZZ6" s="87"/>
      <c r="GAA6" s="87"/>
      <c r="GAB6" s="87"/>
      <c r="GAC6" s="87"/>
      <c r="GAD6" s="87"/>
      <c r="GAE6" s="87"/>
      <c r="GAF6" s="87"/>
      <c r="GAG6" s="87"/>
      <c r="GAH6" s="87"/>
      <c r="GAI6" s="87"/>
      <c r="GAJ6" s="87"/>
      <c r="GAK6" s="87"/>
      <c r="GAL6" s="87"/>
      <c r="GAM6" s="87"/>
      <c r="GAN6" s="87"/>
      <c r="GAO6" s="87"/>
      <c r="GAP6" s="87"/>
      <c r="GAQ6" s="87"/>
      <c r="GAR6" s="87"/>
      <c r="GAS6" s="87"/>
      <c r="GAT6" s="87"/>
      <c r="GAU6" s="87"/>
      <c r="GAV6" s="87"/>
      <c r="GAW6" s="87"/>
      <c r="GAX6" s="87"/>
      <c r="GAY6" s="87"/>
      <c r="GAZ6" s="87"/>
      <c r="GBA6" s="87"/>
      <c r="GBB6" s="87"/>
      <c r="GBC6" s="87"/>
      <c r="GBD6" s="87"/>
      <c r="GBE6" s="87"/>
      <c r="GBF6" s="87"/>
      <c r="GBG6" s="87"/>
      <c r="GBH6" s="87"/>
      <c r="GBI6" s="87"/>
      <c r="GBJ6" s="87"/>
      <c r="GBK6" s="87"/>
      <c r="GBL6" s="87"/>
      <c r="GBM6" s="87"/>
      <c r="GBN6" s="87"/>
      <c r="GBO6" s="87"/>
      <c r="GBP6" s="87"/>
      <c r="GBQ6" s="87"/>
      <c r="GBR6" s="87"/>
      <c r="GBS6" s="87"/>
      <c r="GBT6" s="87"/>
      <c r="GBU6" s="87"/>
      <c r="GBV6" s="87"/>
      <c r="GBW6" s="87"/>
      <c r="GBX6" s="87"/>
      <c r="GBY6" s="87"/>
      <c r="GBZ6" s="87"/>
      <c r="GCA6" s="87"/>
      <c r="GCB6" s="87"/>
      <c r="GCC6" s="87"/>
      <c r="GCD6" s="87"/>
      <c r="GCE6" s="87"/>
      <c r="GCF6" s="87"/>
      <c r="GCG6" s="87"/>
      <c r="GCH6" s="87"/>
      <c r="GCI6" s="87"/>
      <c r="GCJ6" s="87"/>
      <c r="GCK6" s="87"/>
      <c r="GCL6" s="87"/>
      <c r="GCM6" s="87"/>
      <c r="GCN6" s="87"/>
      <c r="GCO6" s="87"/>
      <c r="GCP6" s="87"/>
      <c r="GCQ6" s="87"/>
      <c r="GCR6" s="87"/>
      <c r="GCS6" s="87"/>
      <c r="GCT6" s="87"/>
      <c r="GCU6" s="87"/>
      <c r="GCV6" s="87"/>
      <c r="GCW6" s="87"/>
      <c r="GCX6" s="87"/>
      <c r="GCY6" s="87"/>
      <c r="GCZ6" s="87"/>
      <c r="GDA6" s="87"/>
      <c r="GDB6" s="87"/>
      <c r="GDC6" s="87"/>
      <c r="GDD6" s="87"/>
      <c r="GDE6" s="87"/>
      <c r="GDF6" s="87"/>
      <c r="GDG6" s="87"/>
      <c r="GDH6" s="87"/>
      <c r="GDI6" s="87"/>
      <c r="GDJ6" s="87"/>
      <c r="GDK6" s="87"/>
      <c r="GDL6" s="87"/>
      <c r="GDM6" s="87"/>
      <c r="GDN6" s="87"/>
      <c r="GDO6" s="87"/>
      <c r="GDP6" s="87"/>
      <c r="GDQ6" s="87"/>
      <c r="GDR6" s="87"/>
      <c r="GDS6" s="87"/>
      <c r="GDT6" s="87"/>
      <c r="GDU6" s="87"/>
      <c r="GDV6" s="87"/>
      <c r="GDW6" s="87"/>
      <c r="GDX6" s="87"/>
      <c r="GDY6" s="87"/>
      <c r="GDZ6" s="87"/>
      <c r="GEA6" s="87"/>
      <c r="GEB6" s="87"/>
      <c r="GEC6" s="87"/>
      <c r="GED6" s="87"/>
      <c r="GEE6" s="87"/>
      <c r="GEF6" s="87"/>
      <c r="GEG6" s="87"/>
      <c r="GEH6" s="87"/>
      <c r="GEI6" s="87"/>
      <c r="GEJ6" s="87"/>
      <c r="GEK6" s="87"/>
      <c r="GEL6" s="87"/>
      <c r="GEM6" s="87"/>
      <c r="GEN6" s="87"/>
      <c r="GEO6" s="87"/>
      <c r="GEP6" s="87"/>
      <c r="GEQ6" s="87"/>
      <c r="GER6" s="87"/>
      <c r="GES6" s="87"/>
      <c r="GET6" s="87"/>
      <c r="GEU6" s="87"/>
      <c r="GEV6" s="87"/>
      <c r="GEW6" s="87"/>
      <c r="GEX6" s="87"/>
      <c r="GEY6" s="87"/>
      <c r="GEZ6" s="87"/>
      <c r="GFA6" s="87"/>
      <c r="GFB6" s="87"/>
      <c r="GFC6" s="87"/>
      <c r="GFD6" s="87"/>
      <c r="GFE6" s="87"/>
      <c r="GFF6" s="87"/>
      <c r="GFG6" s="87"/>
      <c r="GFH6" s="87"/>
      <c r="GFI6" s="87"/>
      <c r="GFJ6" s="87"/>
      <c r="GFK6" s="87"/>
      <c r="GFL6" s="87"/>
      <c r="GFM6" s="87"/>
      <c r="GFN6" s="87"/>
      <c r="GFO6" s="87"/>
      <c r="GFP6" s="87"/>
      <c r="GFQ6" s="87"/>
      <c r="GFR6" s="87"/>
      <c r="GFS6" s="87"/>
      <c r="GFT6" s="87"/>
      <c r="GFU6" s="87"/>
      <c r="GFV6" s="87"/>
      <c r="GFW6" s="87"/>
      <c r="GFX6" s="87"/>
      <c r="GFY6" s="87"/>
      <c r="GFZ6" s="87"/>
      <c r="GGA6" s="87"/>
      <c r="GGB6" s="87"/>
      <c r="GGC6" s="87"/>
      <c r="GGD6" s="87"/>
      <c r="GGE6" s="87"/>
      <c r="GGF6" s="87"/>
      <c r="GGG6" s="87"/>
      <c r="GGH6" s="87"/>
      <c r="GGI6" s="87"/>
      <c r="GGJ6" s="87"/>
      <c r="GGK6" s="87"/>
      <c r="GGL6" s="87"/>
      <c r="GGM6" s="87"/>
      <c r="GGN6" s="87"/>
      <c r="GGO6" s="87"/>
      <c r="GGP6" s="87"/>
      <c r="GGQ6" s="87"/>
      <c r="GGR6" s="87"/>
      <c r="GGS6" s="87"/>
      <c r="GGT6" s="87"/>
      <c r="GGU6" s="87"/>
      <c r="GGV6" s="87"/>
      <c r="GGW6" s="87"/>
      <c r="GGX6" s="87"/>
      <c r="GGY6" s="87"/>
      <c r="GGZ6" s="87"/>
      <c r="GHA6" s="87"/>
      <c r="GHB6" s="87"/>
      <c r="GHC6" s="87"/>
      <c r="GHD6" s="87"/>
      <c r="GHE6" s="87"/>
      <c r="GHF6" s="87"/>
      <c r="GHG6" s="87"/>
      <c r="GHH6" s="87"/>
      <c r="GHI6" s="87"/>
      <c r="GHJ6" s="87"/>
      <c r="GHK6" s="87"/>
      <c r="GHL6" s="87"/>
      <c r="GHM6" s="87"/>
      <c r="GHN6" s="87"/>
      <c r="GHO6" s="87"/>
      <c r="GHP6" s="87"/>
      <c r="GHQ6" s="87"/>
      <c r="GHR6" s="87"/>
      <c r="GHS6" s="87"/>
      <c r="GHT6" s="87"/>
      <c r="GHU6" s="87"/>
      <c r="GHV6" s="87"/>
      <c r="GHW6" s="87"/>
      <c r="GHX6" s="87"/>
      <c r="GHY6" s="87"/>
      <c r="GHZ6" s="87"/>
      <c r="GIA6" s="87"/>
      <c r="GIB6" s="87"/>
      <c r="GIC6" s="87"/>
      <c r="GID6" s="87"/>
      <c r="GIE6" s="87"/>
      <c r="GIF6" s="87"/>
      <c r="GIG6" s="87"/>
      <c r="GIH6" s="87"/>
      <c r="GII6" s="87"/>
      <c r="GIJ6" s="87"/>
      <c r="GIK6" s="87"/>
      <c r="GIL6" s="87"/>
      <c r="GIM6" s="87"/>
      <c r="GIN6" s="87"/>
      <c r="GIO6" s="87"/>
      <c r="GIP6" s="87"/>
      <c r="GIQ6" s="87"/>
      <c r="GIR6" s="87"/>
      <c r="GIS6" s="87"/>
      <c r="GIT6" s="87"/>
      <c r="GIU6" s="87"/>
      <c r="GIV6" s="87"/>
      <c r="GIW6" s="87"/>
      <c r="GIX6" s="87"/>
      <c r="GIY6" s="87"/>
      <c r="GIZ6" s="87"/>
      <c r="GJA6" s="87"/>
      <c r="GJB6" s="87"/>
      <c r="GJC6" s="87"/>
      <c r="GJD6" s="87"/>
      <c r="GJE6" s="87"/>
      <c r="GJF6" s="87"/>
      <c r="GJG6" s="87"/>
      <c r="GJH6" s="87"/>
      <c r="GJI6" s="87"/>
      <c r="GJJ6" s="87"/>
      <c r="GJK6" s="87"/>
      <c r="GJL6" s="87"/>
      <c r="GJM6" s="87"/>
      <c r="GJN6" s="87"/>
      <c r="GJO6" s="87"/>
      <c r="GJP6" s="87"/>
      <c r="GJQ6" s="87"/>
      <c r="GJR6" s="87"/>
      <c r="GJS6" s="87"/>
      <c r="GJT6" s="87"/>
      <c r="GJU6" s="87"/>
      <c r="GJV6" s="87"/>
      <c r="GJW6" s="87"/>
      <c r="GJX6" s="87"/>
      <c r="GJY6" s="87"/>
      <c r="GJZ6" s="87"/>
      <c r="GKA6" s="87"/>
      <c r="GKB6" s="87"/>
      <c r="GKC6" s="87"/>
      <c r="GKD6" s="87"/>
      <c r="GKE6" s="87"/>
      <c r="GKF6" s="87"/>
      <c r="GKG6" s="87"/>
      <c r="GKH6" s="87"/>
      <c r="GKI6" s="87"/>
      <c r="GKJ6" s="87"/>
      <c r="GKK6" s="87"/>
      <c r="GKL6" s="87"/>
      <c r="GKM6" s="87"/>
      <c r="GKN6" s="87"/>
      <c r="GKO6" s="87"/>
      <c r="GKP6" s="87"/>
      <c r="GKQ6" s="87"/>
      <c r="GKR6" s="87"/>
      <c r="GKS6" s="87"/>
      <c r="GKT6" s="87"/>
      <c r="GKU6" s="87"/>
      <c r="GKV6" s="87"/>
      <c r="GKW6" s="87"/>
      <c r="GKX6" s="87"/>
      <c r="GKY6" s="87"/>
      <c r="GKZ6" s="87"/>
      <c r="GLA6" s="87"/>
      <c r="GLB6" s="87"/>
      <c r="GLC6" s="87"/>
      <c r="GLD6" s="87"/>
      <c r="GLE6" s="87"/>
      <c r="GLF6" s="87"/>
      <c r="GLG6" s="87"/>
      <c r="GLH6" s="87"/>
      <c r="GLI6" s="87"/>
      <c r="GLJ6" s="87"/>
      <c r="GLK6" s="87"/>
      <c r="GLL6" s="87"/>
      <c r="GLM6" s="87"/>
      <c r="GLN6" s="87"/>
      <c r="GLO6" s="87"/>
      <c r="GLP6" s="87"/>
      <c r="GLQ6" s="87"/>
      <c r="GLR6" s="87"/>
      <c r="GLS6" s="87"/>
      <c r="GLT6" s="87"/>
      <c r="GLU6" s="87"/>
      <c r="GLV6" s="87"/>
      <c r="GLW6" s="87"/>
      <c r="GLX6" s="87"/>
      <c r="GLY6" s="87"/>
      <c r="GLZ6" s="87"/>
      <c r="GMA6" s="87"/>
      <c r="GMB6" s="87"/>
      <c r="GMC6" s="87"/>
      <c r="GMD6" s="87"/>
      <c r="GME6" s="87"/>
      <c r="GMF6" s="87"/>
      <c r="GMG6" s="87"/>
      <c r="GMH6" s="87"/>
      <c r="GMI6" s="87"/>
      <c r="GMJ6" s="87"/>
      <c r="GMK6" s="87"/>
      <c r="GML6" s="87"/>
      <c r="GMM6" s="87"/>
      <c r="GMN6" s="87"/>
      <c r="GMO6" s="87"/>
      <c r="GMP6" s="87"/>
      <c r="GMQ6" s="87"/>
      <c r="GMR6" s="87"/>
      <c r="GMS6" s="87"/>
      <c r="GMT6" s="87"/>
      <c r="GMU6" s="87"/>
      <c r="GMV6" s="87"/>
      <c r="GMW6" s="87"/>
      <c r="GMX6" s="87"/>
      <c r="GMY6" s="87"/>
      <c r="GMZ6" s="87"/>
      <c r="GNA6" s="87"/>
      <c r="GNB6" s="87"/>
      <c r="GNC6" s="87"/>
      <c r="GND6" s="87"/>
      <c r="GNE6" s="87"/>
      <c r="GNF6" s="87"/>
      <c r="GNG6" s="87"/>
      <c r="GNH6" s="87"/>
      <c r="GNI6" s="87"/>
      <c r="GNJ6" s="87"/>
      <c r="GNK6" s="87"/>
      <c r="GNL6" s="87"/>
      <c r="GNM6" s="87"/>
      <c r="GNN6" s="87"/>
      <c r="GNO6" s="87"/>
      <c r="GNP6" s="87"/>
      <c r="GNQ6" s="87"/>
      <c r="GNR6" s="87"/>
      <c r="GNS6" s="87"/>
      <c r="GNT6" s="87"/>
      <c r="GNU6" s="87"/>
      <c r="GNV6" s="87"/>
      <c r="GNW6" s="87"/>
      <c r="GNX6" s="87"/>
      <c r="GNY6" s="87"/>
      <c r="GNZ6" s="87"/>
      <c r="GOA6" s="87"/>
      <c r="GOB6" s="87"/>
      <c r="GOC6" s="87"/>
      <c r="GOD6" s="87"/>
      <c r="GOE6" s="87"/>
      <c r="GOF6" s="87"/>
      <c r="GOG6" s="87"/>
      <c r="GOH6" s="87"/>
      <c r="GOI6" s="87"/>
      <c r="GOJ6" s="87"/>
      <c r="GOK6" s="87"/>
      <c r="GOL6" s="87"/>
      <c r="GOM6" s="87"/>
      <c r="GON6" s="87"/>
      <c r="GOO6" s="87"/>
      <c r="GOP6" s="87"/>
      <c r="GOQ6" s="87"/>
      <c r="GOR6" s="87"/>
      <c r="GOS6" s="87"/>
      <c r="GOT6" s="87"/>
      <c r="GOU6" s="87"/>
      <c r="GOV6" s="87"/>
      <c r="GOW6" s="87"/>
      <c r="GOX6" s="87"/>
      <c r="GOY6" s="87"/>
      <c r="GOZ6" s="87"/>
      <c r="GPA6" s="87"/>
      <c r="GPB6" s="87"/>
      <c r="GPC6" s="87"/>
      <c r="GPD6" s="87"/>
      <c r="GPE6" s="87"/>
      <c r="GPF6" s="87"/>
      <c r="GPG6" s="87"/>
      <c r="GPH6" s="87"/>
      <c r="GPI6" s="87"/>
      <c r="GPJ6" s="87"/>
      <c r="GPK6" s="87"/>
      <c r="GPL6" s="87"/>
      <c r="GPM6" s="87"/>
      <c r="GPN6" s="87"/>
      <c r="GPO6" s="87"/>
      <c r="GPP6" s="87"/>
      <c r="GPQ6" s="87"/>
      <c r="GPR6" s="87"/>
      <c r="GPS6" s="87"/>
      <c r="GPT6" s="87"/>
      <c r="GPU6" s="87"/>
      <c r="GPV6" s="87"/>
      <c r="GPW6" s="87"/>
      <c r="GPX6" s="87"/>
      <c r="GPY6" s="87"/>
      <c r="GPZ6" s="87"/>
      <c r="GQA6" s="87"/>
      <c r="GQB6" s="87"/>
      <c r="GQC6" s="87"/>
      <c r="GQD6" s="87"/>
      <c r="GQE6" s="87"/>
      <c r="GQF6" s="87"/>
      <c r="GQG6" s="87"/>
      <c r="GQH6" s="87"/>
      <c r="GQI6" s="87"/>
      <c r="GQJ6" s="87"/>
      <c r="GQK6" s="87"/>
      <c r="GQL6" s="87"/>
      <c r="GQM6" s="87"/>
      <c r="GQN6" s="87"/>
      <c r="GQO6" s="87"/>
      <c r="GQP6" s="87"/>
      <c r="GQQ6" s="87"/>
      <c r="GQR6" s="87"/>
      <c r="GQS6" s="87"/>
      <c r="GQT6" s="87"/>
      <c r="GQU6" s="87"/>
      <c r="GQV6" s="87"/>
      <c r="GQW6" s="87"/>
      <c r="GQX6" s="87"/>
      <c r="GQY6" s="87"/>
      <c r="GQZ6" s="87"/>
      <c r="GRA6" s="87"/>
      <c r="GRB6" s="87"/>
      <c r="GRC6" s="87"/>
      <c r="GRD6" s="87"/>
      <c r="GRE6" s="87"/>
      <c r="GRF6" s="87"/>
      <c r="GRG6" s="87"/>
      <c r="GRH6" s="87"/>
      <c r="GRI6" s="87"/>
      <c r="GRJ6" s="87"/>
      <c r="GRK6" s="87"/>
      <c r="GRL6" s="87"/>
      <c r="GRM6" s="87"/>
      <c r="GRN6" s="87"/>
      <c r="GRO6" s="87"/>
      <c r="GRP6" s="87"/>
      <c r="GRQ6" s="87"/>
      <c r="GRR6" s="87"/>
      <c r="GRS6" s="87"/>
      <c r="GRT6" s="87"/>
      <c r="GRU6" s="87"/>
      <c r="GRV6" s="87"/>
      <c r="GRW6" s="87"/>
      <c r="GRX6" s="87"/>
      <c r="GRY6" s="87"/>
      <c r="GRZ6" s="87"/>
      <c r="GSA6" s="87"/>
      <c r="GSB6" s="87"/>
      <c r="GSC6" s="87"/>
      <c r="GSD6" s="87"/>
      <c r="GSE6" s="87"/>
      <c r="GSF6" s="87"/>
      <c r="GSG6" s="87"/>
      <c r="GSH6" s="87"/>
      <c r="GSI6" s="87"/>
      <c r="GSJ6" s="87"/>
      <c r="GSK6" s="87"/>
      <c r="GSL6" s="87"/>
      <c r="GSM6" s="87"/>
      <c r="GSN6" s="87"/>
      <c r="GSO6" s="87"/>
      <c r="GSP6" s="87"/>
      <c r="GSQ6" s="87"/>
      <c r="GSR6" s="87"/>
      <c r="GSS6" s="87"/>
      <c r="GST6" s="87"/>
      <c r="GSU6" s="87"/>
      <c r="GSV6" s="87"/>
      <c r="GSW6" s="87"/>
      <c r="GSX6" s="87"/>
      <c r="GSY6" s="87"/>
      <c r="GSZ6" s="87"/>
      <c r="GTA6" s="87"/>
      <c r="GTB6" s="87"/>
      <c r="GTC6" s="87"/>
      <c r="GTD6" s="87"/>
      <c r="GTE6" s="87"/>
      <c r="GTF6" s="87"/>
      <c r="GTG6" s="87"/>
      <c r="GTH6" s="87"/>
      <c r="GTI6" s="87"/>
      <c r="GTJ6" s="87"/>
      <c r="GTK6" s="87"/>
      <c r="GTL6" s="87"/>
      <c r="GTM6" s="87"/>
      <c r="GTN6" s="87"/>
      <c r="GTO6" s="87"/>
      <c r="GTP6" s="87"/>
      <c r="GTQ6" s="87"/>
      <c r="GTR6" s="87"/>
      <c r="GTS6" s="87"/>
      <c r="GTT6" s="87"/>
      <c r="GTU6" s="87"/>
      <c r="GTV6" s="87"/>
      <c r="GTW6" s="87"/>
      <c r="GTX6" s="87"/>
      <c r="GTY6" s="87"/>
      <c r="GTZ6" s="87"/>
      <c r="GUA6" s="87"/>
      <c r="GUB6" s="87"/>
      <c r="GUC6" s="87"/>
      <c r="GUD6" s="87"/>
      <c r="GUE6" s="87"/>
      <c r="GUF6" s="87"/>
      <c r="GUG6" s="87"/>
      <c r="GUH6" s="87"/>
      <c r="GUI6" s="87"/>
      <c r="GUJ6" s="87"/>
      <c r="GUK6" s="87"/>
      <c r="GUL6" s="87"/>
      <c r="GUM6" s="87"/>
      <c r="GUN6" s="87"/>
      <c r="GUO6" s="87"/>
      <c r="GUP6" s="87"/>
      <c r="GUQ6" s="87"/>
      <c r="GUR6" s="87"/>
      <c r="GUS6" s="87"/>
      <c r="GUT6" s="87"/>
      <c r="GUU6" s="87"/>
      <c r="GUV6" s="87"/>
      <c r="GUW6" s="87"/>
      <c r="GUX6" s="87"/>
      <c r="GUY6" s="87"/>
      <c r="GUZ6" s="87"/>
      <c r="GVA6" s="87"/>
      <c r="GVB6" s="87"/>
      <c r="GVC6" s="87"/>
      <c r="GVD6" s="87"/>
      <c r="GVE6" s="87"/>
      <c r="GVF6" s="87"/>
      <c r="GVG6" s="87"/>
      <c r="GVH6" s="87"/>
      <c r="GVI6" s="87"/>
      <c r="GVJ6" s="87"/>
      <c r="GVK6" s="87"/>
      <c r="GVL6" s="87"/>
      <c r="GVM6" s="87"/>
      <c r="GVN6" s="87"/>
      <c r="GVO6" s="87"/>
      <c r="GVP6" s="87"/>
      <c r="GVQ6" s="87"/>
      <c r="GVR6" s="87"/>
      <c r="GVS6" s="87"/>
      <c r="GVT6" s="87"/>
      <c r="GVU6" s="87"/>
      <c r="GVV6" s="87"/>
      <c r="GVW6" s="87"/>
      <c r="GVX6" s="87"/>
      <c r="GVY6" s="87"/>
      <c r="GVZ6" s="87"/>
      <c r="GWA6" s="87"/>
      <c r="GWB6" s="87"/>
      <c r="GWC6" s="87"/>
      <c r="GWD6" s="87"/>
      <c r="GWE6" s="87"/>
      <c r="GWF6" s="87"/>
      <c r="GWG6" s="87"/>
      <c r="GWH6" s="87"/>
      <c r="GWI6" s="87"/>
      <c r="GWJ6" s="87"/>
      <c r="GWK6" s="87"/>
      <c r="GWL6" s="87"/>
      <c r="GWM6" s="87"/>
      <c r="GWN6" s="87"/>
      <c r="GWO6" s="87"/>
      <c r="GWP6" s="87"/>
      <c r="GWQ6" s="87"/>
      <c r="GWR6" s="87"/>
      <c r="GWS6" s="87"/>
      <c r="GWT6" s="87"/>
      <c r="GWU6" s="87"/>
      <c r="GWV6" s="87"/>
      <c r="GWW6" s="87"/>
      <c r="GWX6" s="87"/>
      <c r="GWY6" s="87"/>
      <c r="GWZ6" s="87"/>
      <c r="GXA6" s="87"/>
      <c r="GXB6" s="87"/>
      <c r="GXC6" s="87"/>
      <c r="GXD6" s="87"/>
      <c r="GXE6" s="87"/>
      <c r="GXF6" s="87"/>
      <c r="GXG6" s="87"/>
      <c r="GXH6" s="87"/>
      <c r="GXI6" s="87"/>
      <c r="GXJ6" s="87"/>
      <c r="GXK6" s="87"/>
      <c r="GXL6" s="87"/>
      <c r="GXM6" s="87"/>
      <c r="GXN6" s="87"/>
      <c r="GXO6" s="87"/>
      <c r="GXP6" s="87"/>
      <c r="GXQ6" s="87"/>
      <c r="GXR6" s="87"/>
      <c r="GXS6" s="87"/>
      <c r="GXT6" s="87"/>
      <c r="GXU6" s="87"/>
      <c r="GXV6" s="87"/>
      <c r="GXW6" s="87"/>
      <c r="GXX6" s="87"/>
      <c r="GXY6" s="87"/>
      <c r="GXZ6" s="87"/>
      <c r="GYA6" s="87"/>
      <c r="GYB6" s="87"/>
      <c r="GYC6" s="87"/>
      <c r="GYD6" s="87"/>
      <c r="GYE6" s="87"/>
      <c r="GYF6" s="87"/>
      <c r="GYG6" s="87"/>
      <c r="GYH6" s="87"/>
      <c r="GYI6" s="87"/>
      <c r="GYJ6" s="87"/>
      <c r="GYK6" s="87"/>
      <c r="GYL6" s="87"/>
      <c r="GYM6" s="87"/>
      <c r="GYN6" s="87"/>
      <c r="GYO6" s="87"/>
      <c r="GYP6" s="87"/>
      <c r="GYQ6" s="87"/>
      <c r="GYR6" s="87"/>
      <c r="GYS6" s="87"/>
      <c r="GYT6" s="87"/>
      <c r="GYU6" s="87"/>
      <c r="GYV6" s="87"/>
      <c r="GYW6" s="87"/>
      <c r="GYX6" s="87"/>
      <c r="GYY6" s="87"/>
      <c r="GYZ6" s="87"/>
      <c r="GZA6" s="87"/>
      <c r="GZB6" s="87"/>
      <c r="GZC6" s="87"/>
      <c r="GZD6" s="87"/>
      <c r="GZE6" s="87"/>
      <c r="GZF6" s="87"/>
      <c r="GZG6" s="87"/>
      <c r="GZH6" s="87"/>
      <c r="GZI6" s="87"/>
      <c r="GZJ6" s="87"/>
      <c r="GZK6" s="87"/>
      <c r="GZL6" s="87"/>
      <c r="GZM6" s="87"/>
      <c r="GZN6" s="87"/>
      <c r="GZO6" s="87"/>
      <c r="GZP6" s="87"/>
      <c r="GZQ6" s="87"/>
      <c r="GZR6" s="87"/>
      <c r="GZS6" s="87"/>
      <c r="GZT6" s="87"/>
      <c r="GZU6" s="87"/>
      <c r="GZV6" s="87"/>
      <c r="GZW6" s="87"/>
      <c r="GZX6" s="87"/>
      <c r="GZY6" s="87"/>
      <c r="GZZ6" s="87"/>
      <c r="HAA6" s="87"/>
      <c r="HAB6" s="87"/>
      <c r="HAC6" s="87"/>
      <c r="HAD6" s="87"/>
      <c r="HAE6" s="87"/>
      <c r="HAF6" s="87"/>
      <c r="HAG6" s="87"/>
      <c r="HAH6" s="87"/>
      <c r="HAI6" s="87"/>
      <c r="HAJ6" s="87"/>
      <c r="HAK6" s="87"/>
      <c r="HAL6" s="87"/>
      <c r="HAM6" s="87"/>
      <c r="HAN6" s="87"/>
      <c r="HAO6" s="87"/>
      <c r="HAP6" s="87"/>
      <c r="HAQ6" s="87"/>
      <c r="HAR6" s="87"/>
      <c r="HAS6" s="87"/>
      <c r="HAT6" s="87"/>
      <c r="HAU6" s="87"/>
      <c r="HAV6" s="87"/>
      <c r="HAW6" s="87"/>
      <c r="HAX6" s="87"/>
      <c r="HAY6" s="87"/>
      <c r="HAZ6" s="87"/>
      <c r="HBA6" s="87"/>
      <c r="HBB6" s="87"/>
      <c r="HBC6" s="87"/>
      <c r="HBD6" s="87"/>
      <c r="HBE6" s="87"/>
      <c r="HBF6" s="87"/>
      <c r="HBG6" s="87"/>
      <c r="HBH6" s="87"/>
      <c r="HBI6" s="87"/>
      <c r="HBJ6" s="87"/>
      <c r="HBK6" s="87"/>
      <c r="HBL6" s="87"/>
      <c r="HBM6" s="87"/>
      <c r="HBN6" s="87"/>
      <c r="HBO6" s="87"/>
      <c r="HBP6" s="87"/>
      <c r="HBQ6" s="87"/>
      <c r="HBR6" s="87"/>
      <c r="HBS6" s="87"/>
      <c r="HBT6" s="87"/>
      <c r="HBU6" s="87"/>
      <c r="HBV6" s="87"/>
      <c r="HBW6" s="87"/>
      <c r="HBX6" s="87"/>
      <c r="HBY6" s="87"/>
      <c r="HBZ6" s="87"/>
      <c r="HCA6" s="87"/>
      <c r="HCB6" s="87"/>
      <c r="HCC6" s="87"/>
      <c r="HCD6" s="87"/>
      <c r="HCE6" s="87"/>
      <c r="HCF6" s="87"/>
      <c r="HCG6" s="87"/>
      <c r="HCH6" s="87"/>
      <c r="HCI6" s="87"/>
      <c r="HCJ6" s="87"/>
      <c r="HCK6" s="87"/>
      <c r="HCL6" s="87"/>
      <c r="HCM6" s="87"/>
      <c r="HCN6" s="87"/>
      <c r="HCO6" s="87"/>
      <c r="HCP6" s="87"/>
      <c r="HCQ6" s="87"/>
      <c r="HCR6" s="87"/>
      <c r="HCS6" s="87"/>
      <c r="HCT6" s="87"/>
      <c r="HCU6" s="87"/>
      <c r="HCV6" s="87"/>
      <c r="HCW6" s="87"/>
      <c r="HCX6" s="87"/>
      <c r="HCY6" s="87"/>
      <c r="HCZ6" s="87"/>
      <c r="HDA6" s="87"/>
      <c r="HDB6" s="87"/>
      <c r="HDC6" s="87"/>
      <c r="HDD6" s="87"/>
      <c r="HDE6" s="87"/>
      <c r="HDF6" s="87"/>
      <c r="HDG6" s="87"/>
      <c r="HDH6" s="87"/>
      <c r="HDI6" s="87"/>
      <c r="HDJ6" s="87"/>
      <c r="HDK6" s="87"/>
      <c r="HDL6" s="87"/>
      <c r="HDM6" s="87"/>
      <c r="HDN6" s="87"/>
      <c r="HDO6" s="87"/>
      <c r="HDP6" s="87"/>
      <c r="HDQ6" s="87"/>
      <c r="HDR6" s="87"/>
      <c r="HDS6" s="87"/>
      <c r="HDT6" s="87"/>
      <c r="HDU6" s="87"/>
      <c r="HDV6" s="87"/>
      <c r="HDW6" s="87"/>
      <c r="HDX6" s="87"/>
      <c r="HDY6" s="87"/>
      <c r="HDZ6" s="87"/>
      <c r="HEA6" s="87"/>
      <c r="HEB6" s="87"/>
      <c r="HEC6" s="87"/>
      <c r="HED6" s="87"/>
      <c r="HEE6" s="87"/>
      <c r="HEF6" s="87"/>
      <c r="HEG6" s="87"/>
      <c r="HEH6" s="87"/>
      <c r="HEI6" s="87"/>
      <c r="HEJ6" s="87"/>
      <c r="HEK6" s="87"/>
      <c r="HEL6" s="87"/>
      <c r="HEM6" s="87"/>
      <c r="HEN6" s="87"/>
      <c r="HEO6" s="87"/>
      <c r="HEP6" s="87"/>
      <c r="HEQ6" s="87"/>
      <c r="HER6" s="87"/>
      <c r="HES6" s="87"/>
      <c r="HET6" s="87"/>
      <c r="HEU6" s="87"/>
      <c r="HEV6" s="87"/>
      <c r="HEW6" s="87"/>
      <c r="HEX6" s="87"/>
      <c r="HEY6" s="87"/>
      <c r="HEZ6" s="87"/>
      <c r="HFA6" s="87"/>
      <c r="HFB6" s="87"/>
      <c r="HFC6" s="87"/>
      <c r="HFD6" s="87"/>
      <c r="HFE6" s="87"/>
      <c r="HFF6" s="87"/>
      <c r="HFG6" s="87"/>
      <c r="HFH6" s="87"/>
      <c r="HFI6" s="87"/>
      <c r="HFJ6" s="87"/>
      <c r="HFK6" s="87"/>
      <c r="HFL6" s="87"/>
      <c r="HFM6" s="87"/>
      <c r="HFN6" s="87"/>
      <c r="HFO6" s="87"/>
      <c r="HFP6" s="87"/>
      <c r="HFQ6" s="87"/>
      <c r="HFR6" s="87"/>
      <c r="HFS6" s="87"/>
      <c r="HFT6" s="87"/>
      <c r="HFU6" s="87"/>
      <c r="HFV6" s="87"/>
      <c r="HFW6" s="87"/>
      <c r="HFX6" s="87"/>
      <c r="HFY6" s="87"/>
      <c r="HFZ6" s="87"/>
      <c r="HGA6" s="87"/>
      <c r="HGB6" s="87"/>
      <c r="HGC6" s="87"/>
      <c r="HGD6" s="87"/>
      <c r="HGE6" s="87"/>
      <c r="HGF6" s="87"/>
      <c r="HGG6" s="87"/>
      <c r="HGH6" s="87"/>
      <c r="HGI6" s="87"/>
      <c r="HGJ6" s="87"/>
      <c r="HGK6" s="87"/>
      <c r="HGL6" s="87"/>
      <c r="HGM6" s="87"/>
      <c r="HGN6" s="87"/>
      <c r="HGO6" s="87"/>
      <c r="HGP6" s="87"/>
      <c r="HGQ6" s="87"/>
      <c r="HGR6" s="87"/>
      <c r="HGS6" s="87"/>
      <c r="HGT6" s="87"/>
      <c r="HGU6" s="87"/>
      <c r="HGV6" s="87"/>
      <c r="HGW6" s="87"/>
      <c r="HGX6" s="87"/>
      <c r="HGY6" s="87"/>
      <c r="HGZ6" s="87"/>
      <c r="HHA6" s="87"/>
      <c r="HHB6" s="87"/>
      <c r="HHC6" s="87"/>
      <c r="HHD6" s="87"/>
      <c r="HHE6" s="87"/>
      <c r="HHF6" s="87"/>
      <c r="HHG6" s="87"/>
      <c r="HHH6" s="87"/>
      <c r="HHI6" s="87"/>
      <c r="HHJ6" s="87"/>
      <c r="HHK6" s="87"/>
      <c r="HHL6" s="87"/>
      <c r="HHM6" s="87"/>
      <c r="HHN6" s="87"/>
      <c r="HHO6" s="87"/>
      <c r="HHP6" s="87"/>
      <c r="HHQ6" s="87"/>
      <c r="HHR6" s="87"/>
      <c r="HHS6" s="87"/>
      <c r="HHT6" s="87"/>
      <c r="HHU6" s="87"/>
      <c r="HHV6" s="87"/>
      <c r="HHW6" s="87"/>
      <c r="HHX6" s="87"/>
      <c r="HHY6" s="87"/>
      <c r="HHZ6" s="87"/>
      <c r="HIA6" s="87"/>
      <c r="HIB6" s="87"/>
      <c r="HIC6" s="87"/>
      <c r="HID6" s="87"/>
      <c r="HIE6" s="87"/>
      <c r="HIF6" s="87"/>
      <c r="HIG6" s="87"/>
      <c r="HIH6" s="87"/>
      <c r="HII6" s="87"/>
      <c r="HIJ6" s="87"/>
      <c r="HIK6" s="87"/>
      <c r="HIL6" s="87"/>
      <c r="HIM6" s="87"/>
      <c r="HIN6" s="87"/>
      <c r="HIO6" s="87"/>
      <c r="HIP6" s="87"/>
      <c r="HIQ6" s="87"/>
      <c r="HIR6" s="87"/>
      <c r="HIS6" s="87"/>
      <c r="HIT6" s="87"/>
      <c r="HIU6" s="87"/>
      <c r="HIV6" s="87"/>
      <c r="HIW6" s="87"/>
      <c r="HIX6" s="87"/>
      <c r="HIY6" s="87"/>
      <c r="HIZ6" s="87"/>
      <c r="HJA6" s="87"/>
      <c r="HJB6" s="87"/>
      <c r="HJC6" s="87"/>
      <c r="HJD6" s="87"/>
      <c r="HJE6" s="87"/>
      <c r="HJF6" s="87"/>
      <c r="HJG6" s="87"/>
      <c r="HJH6" s="87"/>
      <c r="HJI6" s="87"/>
      <c r="HJJ6" s="87"/>
      <c r="HJK6" s="87"/>
      <c r="HJL6" s="87"/>
      <c r="HJM6" s="87"/>
      <c r="HJN6" s="87"/>
      <c r="HJO6" s="87"/>
      <c r="HJP6" s="87"/>
      <c r="HJQ6" s="87"/>
      <c r="HJR6" s="87"/>
      <c r="HJS6" s="87"/>
      <c r="HJT6" s="87"/>
      <c r="HJU6" s="87"/>
      <c r="HJV6" s="87"/>
      <c r="HJW6" s="87"/>
      <c r="HJX6" s="87"/>
      <c r="HJY6" s="87"/>
      <c r="HJZ6" s="87"/>
      <c r="HKA6" s="87"/>
      <c r="HKB6" s="87"/>
      <c r="HKC6" s="87"/>
      <c r="HKD6" s="87"/>
      <c r="HKE6" s="87"/>
      <c r="HKF6" s="87"/>
      <c r="HKG6" s="87"/>
      <c r="HKH6" s="87"/>
      <c r="HKI6" s="87"/>
      <c r="HKJ6" s="87"/>
      <c r="HKK6" s="87"/>
      <c r="HKL6" s="87"/>
      <c r="HKM6" s="87"/>
      <c r="HKN6" s="87"/>
      <c r="HKO6" s="87"/>
      <c r="HKP6" s="87"/>
      <c r="HKQ6" s="87"/>
      <c r="HKR6" s="87"/>
      <c r="HKS6" s="87"/>
      <c r="HKT6" s="87"/>
      <c r="HKU6" s="87"/>
      <c r="HKV6" s="87"/>
      <c r="HKW6" s="87"/>
      <c r="HKX6" s="87"/>
      <c r="HKY6" s="87"/>
      <c r="HKZ6" s="87"/>
      <c r="HLA6" s="87"/>
      <c r="HLB6" s="87"/>
      <c r="HLC6" s="87"/>
      <c r="HLD6" s="87"/>
      <c r="HLE6" s="87"/>
      <c r="HLF6" s="87"/>
      <c r="HLG6" s="87"/>
      <c r="HLH6" s="87"/>
      <c r="HLI6" s="87"/>
      <c r="HLJ6" s="87"/>
      <c r="HLK6" s="87"/>
      <c r="HLL6" s="87"/>
      <c r="HLM6" s="87"/>
      <c r="HLN6" s="87"/>
      <c r="HLO6" s="87"/>
      <c r="HLP6" s="87"/>
      <c r="HLQ6" s="87"/>
      <c r="HLR6" s="87"/>
      <c r="HLS6" s="87"/>
      <c r="HLT6" s="87"/>
      <c r="HLU6" s="87"/>
      <c r="HLV6" s="87"/>
      <c r="HLW6" s="87"/>
      <c r="HLX6" s="87"/>
      <c r="HLY6" s="87"/>
      <c r="HLZ6" s="87"/>
      <c r="HMA6" s="87"/>
      <c r="HMB6" s="87"/>
      <c r="HMC6" s="87"/>
      <c r="HMD6" s="87"/>
      <c r="HME6" s="87"/>
      <c r="HMF6" s="87"/>
      <c r="HMG6" s="87"/>
      <c r="HMH6" s="87"/>
      <c r="HMI6" s="87"/>
      <c r="HMJ6" s="87"/>
      <c r="HMK6" s="87"/>
      <c r="HML6" s="87"/>
      <c r="HMM6" s="87"/>
      <c r="HMN6" s="87"/>
      <c r="HMO6" s="87"/>
      <c r="HMP6" s="87"/>
      <c r="HMQ6" s="87"/>
      <c r="HMR6" s="87"/>
      <c r="HMS6" s="87"/>
      <c r="HMT6" s="87"/>
      <c r="HMU6" s="87"/>
      <c r="HMV6" s="87"/>
      <c r="HMW6" s="87"/>
      <c r="HMX6" s="87"/>
      <c r="HMY6" s="87"/>
      <c r="HMZ6" s="87"/>
      <c r="HNA6" s="87"/>
      <c r="HNB6" s="87"/>
      <c r="HNC6" s="87"/>
      <c r="HND6" s="87"/>
      <c r="HNE6" s="87"/>
      <c r="HNF6" s="87"/>
      <c r="HNG6" s="87"/>
      <c r="HNH6" s="87"/>
      <c r="HNI6" s="87"/>
      <c r="HNJ6" s="87"/>
      <c r="HNK6" s="87"/>
      <c r="HNL6" s="87"/>
      <c r="HNM6" s="87"/>
      <c r="HNN6" s="87"/>
      <c r="HNO6" s="87"/>
      <c r="HNP6" s="87"/>
      <c r="HNQ6" s="87"/>
      <c r="HNR6" s="87"/>
      <c r="HNS6" s="87"/>
      <c r="HNT6" s="87"/>
      <c r="HNU6" s="87"/>
      <c r="HNV6" s="87"/>
      <c r="HNW6" s="87"/>
      <c r="HNX6" s="87"/>
      <c r="HNY6" s="87"/>
      <c r="HNZ6" s="87"/>
      <c r="HOA6" s="87"/>
      <c r="HOB6" s="87"/>
      <c r="HOC6" s="87"/>
      <c r="HOD6" s="87"/>
      <c r="HOE6" s="87"/>
      <c r="HOF6" s="87"/>
      <c r="HOG6" s="87"/>
      <c r="HOH6" s="87"/>
      <c r="HOI6" s="87"/>
      <c r="HOJ6" s="87"/>
      <c r="HOK6" s="87"/>
      <c r="HOL6" s="87"/>
      <c r="HOM6" s="87"/>
      <c r="HON6" s="87"/>
      <c r="HOO6" s="87"/>
      <c r="HOP6" s="87"/>
      <c r="HOQ6" s="87"/>
      <c r="HOR6" s="87"/>
      <c r="HOS6" s="87"/>
      <c r="HOT6" s="87"/>
      <c r="HOU6" s="87"/>
      <c r="HOV6" s="87"/>
      <c r="HOW6" s="87"/>
      <c r="HOX6" s="87"/>
      <c r="HOY6" s="87"/>
      <c r="HOZ6" s="87"/>
      <c r="HPA6" s="87"/>
      <c r="HPB6" s="87"/>
      <c r="HPC6" s="87"/>
      <c r="HPD6" s="87"/>
      <c r="HPE6" s="87"/>
      <c r="HPF6" s="87"/>
      <c r="HPG6" s="87"/>
      <c r="HPH6" s="87"/>
      <c r="HPI6" s="87"/>
      <c r="HPJ6" s="87"/>
      <c r="HPK6" s="87"/>
      <c r="HPL6" s="87"/>
      <c r="HPM6" s="87"/>
      <c r="HPN6" s="87"/>
      <c r="HPO6" s="87"/>
      <c r="HPP6" s="87"/>
      <c r="HPQ6" s="87"/>
      <c r="HPR6" s="87"/>
      <c r="HPS6" s="87"/>
      <c r="HPT6" s="87"/>
      <c r="HPU6" s="87"/>
      <c r="HPV6" s="87"/>
      <c r="HPW6" s="87"/>
      <c r="HPX6" s="87"/>
      <c r="HPY6" s="87"/>
      <c r="HPZ6" s="87"/>
      <c r="HQA6" s="87"/>
      <c r="HQB6" s="87"/>
      <c r="HQC6" s="87"/>
      <c r="HQD6" s="87"/>
      <c r="HQE6" s="87"/>
      <c r="HQF6" s="87"/>
      <c r="HQG6" s="87"/>
      <c r="HQH6" s="87"/>
      <c r="HQI6" s="87"/>
      <c r="HQJ6" s="87"/>
      <c r="HQK6" s="87"/>
      <c r="HQL6" s="87"/>
      <c r="HQM6" s="87"/>
      <c r="HQN6" s="87"/>
      <c r="HQO6" s="87"/>
      <c r="HQP6" s="87"/>
      <c r="HQQ6" s="87"/>
      <c r="HQR6" s="87"/>
      <c r="HQS6" s="87"/>
      <c r="HQT6" s="87"/>
      <c r="HQU6" s="87"/>
      <c r="HQV6" s="87"/>
      <c r="HQW6" s="87"/>
      <c r="HQX6" s="87"/>
      <c r="HQY6" s="87"/>
      <c r="HQZ6" s="87"/>
      <c r="HRA6" s="87"/>
      <c r="HRB6" s="87"/>
      <c r="HRC6" s="87"/>
      <c r="HRD6" s="87"/>
      <c r="HRE6" s="87"/>
      <c r="HRF6" s="87"/>
      <c r="HRG6" s="87"/>
      <c r="HRH6" s="87"/>
      <c r="HRI6" s="87"/>
      <c r="HRJ6" s="87"/>
      <c r="HRK6" s="87"/>
      <c r="HRL6" s="87"/>
      <c r="HRM6" s="87"/>
      <c r="HRN6" s="87"/>
      <c r="HRO6" s="87"/>
      <c r="HRP6" s="87"/>
      <c r="HRQ6" s="87"/>
      <c r="HRR6" s="87"/>
      <c r="HRS6" s="87"/>
      <c r="HRT6" s="87"/>
      <c r="HRU6" s="87"/>
      <c r="HRV6" s="87"/>
      <c r="HRW6" s="87"/>
      <c r="HRX6" s="87"/>
      <c r="HRY6" s="87"/>
      <c r="HRZ6" s="87"/>
      <c r="HSA6" s="87"/>
      <c r="HSB6" s="87"/>
      <c r="HSC6" s="87"/>
      <c r="HSD6" s="87"/>
      <c r="HSE6" s="87"/>
      <c r="HSF6" s="87"/>
      <c r="HSG6" s="87"/>
      <c r="HSH6" s="87"/>
      <c r="HSI6" s="87"/>
      <c r="HSJ6" s="87"/>
      <c r="HSK6" s="87"/>
      <c r="HSL6" s="87"/>
      <c r="HSM6" s="87"/>
      <c r="HSN6" s="87"/>
      <c r="HSO6" s="87"/>
      <c r="HSP6" s="87"/>
      <c r="HSQ6" s="87"/>
      <c r="HSR6" s="87"/>
      <c r="HSS6" s="87"/>
      <c r="HST6" s="87"/>
      <c r="HSU6" s="87"/>
      <c r="HSV6" s="87"/>
      <c r="HSW6" s="87"/>
      <c r="HSX6" s="87"/>
      <c r="HSY6" s="87"/>
      <c r="HSZ6" s="87"/>
      <c r="HTA6" s="87"/>
      <c r="HTB6" s="87"/>
      <c r="HTC6" s="87"/>
      <c r="HTD6" s="87"/>
      <c r="HTE6" s="87"/>
      <c r="HTF6" s="87"/>
      <c r="HTG6" s="87"/>
      <c r="HTH6" s="87"/>
      <c r="HTI6" s="87"/>
      <c r="HTJ6" s="87"/>
      <c r="HTK6" s="87"/>
      <c r="HTL6" s="87"/>
      <c r="HTM6" s="87"/>
      <c r="HTN6" s="87"/>
      <c r="HTO6" s="87"/>
      <c r="HTP6" s="87"/>
      <c r="HTQ6" s="87"/>
      <c r="HTR6" s="87"/>
      <c r="HTS6" s="87"/>
      <c r="HTT6" s="87"/>
      <c r="HTU6" s="87"/>
      <c r="HTV6" s="87"/>
      <c r="HTW6" s="87"/>
      <c r="HTX6" s="87"/>
      <c r="HTY6" s="87"/>
      <c r="HTZ6" s="87"/>
      <c r="HUA6" s="87"/>
      <c r="HUB6" s="87"/>
      <c r="HUC6" s="87"/>
      <c r="HUD6" s="87"/>
      <c r="HUE6" s="87"/>
      <c r="HUF6" s="87"/>
      <c r="HUG6" s="87"/>
      <c r="HUH6" s="87"/>
      <c r="HUI6" s="87"/>
      <c r="HUJ6" s="87"/>
      <c r="HUK6" s="87"/>
      <c r="HUL6" s="87"/>
      <c r="HUM6" s="87"/>
      <c r="HUN6" s="87"/>
      <c r="HUO6" s="87"/>
      <c r="HUP6" s="87"/>
      <c r="HUQ6" s="87"/>
      <c r="HUR6" s="87"/>
      <c r="HUS6" s="87"/>
      <c r="HUT6" s="87"/>
      <c r="HUU6" s="87"/>
      <c r="HUV6" s="87"/>
      <c r="HUW6" s="87"/>
      <c r="HUX6" s="87"/>
      <c r="HUY6" s="87"/>
      <c r="HUZ6" s="87"/>
      <c r="HVA6" s="87"/>
      <c r="HVB6" s="87"/>
      <c r="HVC6" s="87"/>
      <c r="HVD6" s="87"/>
      <c r="HVE6" s="87"/>
      <c r="HVF6" s="87"/>
      <c r="HVG6" s="87"/>
      <c r="HVH6" s="87"/>
      <c r="HVI6" s="87"/>
      <c r="HVJ6" s="87"/>
      <c r="HVK6" s="87"/>
      <c r="HVL6" s="87"/>
      <c r="HVM6" s="87"/>
      <c r="HVN6" s="87"/>
      <c r="HVO6" s="87"/>
      <c r="HVP6" s="87"/>
      <c r="HVQ6" s="87"/>
      <c r="HVR6" s="87"/>
      <c r="HVS6" s="87"/>
      <c r="HVT6" s="87"/>
      <c r="HVU6" s="87"/>
      <c r="HVV6" s="87"/>
      <c r="HVW6" s="87"/>
      <c r="HVX6" s="87"/>
      <c r="HVY6" s="87"/>
      <c r="HVZ6" s="87"/>
      <c r="HWA6" s="87"/>
      <c r="HWB6" s="87"/>
      <c r="HWC6" s="87"/>
      <c r="HWD6" s="87"/>
      <c r="HWE6" s="87"/>
      <c r="HWF6" s="87"/>
      <c r="HWG6" s="87"/>
      <c r="HWH6" s="87"/>
      <c r="HWI6" s="87"/>
      <c r="HWJ6" s="87"/>
      <c r="HWK6" s="87"/>
      <c r="HWL6" s="87"/>
      <c r="HWM6" s="87"/>
      <c r="HWN6" s="87"/>
      <c r="HWO6" s="87"/>
      <c r="HWP6" s="87"/>
      <c r="HWQ6" s="87"/>
      <c r="HWR6" s="87"/>
      <c r="HWS6" s="87"/>
      <c r="HWT6" s="87"/>
      <c r="HWU6" s="87"/>
      <c r="HWV6" s="87"/>
      <c r="HWW6" s="87"/>
      <c r="HWX6" s="87"/>
      <c r="HWY6" s="87"/>
      <c r="HWZ6" s="87"/>
      <c r="HXA6" s="87"/>
      <c r="HXB6" s="87"/>
      <c r="HXC6" s="87"/>
      <c r="HXD6" s="87"/>
      <c r="HXE6" s="87"/>
      <c r="HXF6" s="87"/>
      <c r="HXG6" s="87"/>
      <c r="HXH6" s="87"/>
      <c r="HXI6" s="87"/>
      <c r="HXJ6" s="87"/>
      <c r="HXK6" s="87"/>
      <c r="HXL6" s="87"/>
      <c r="HXM6" s="87"/>
      <c r="HXN6" s="87"/>
      <c r="HXO6" s="87"/>
      <c r="HXP6" s="87"/>
      <c r="HXQ6" s="87"/>
      <c r="HXR6" s="87"/>
      <c r="HXS6" s="87"/>
      <c r="HXT6" s="87"/>
      <c r="HXU6" s="87"/>
      <c r="HXV6" s="87"/>
      <c r="HXW6" s="87"/>
      <c r="HXX6" s="87"/>
      <c r="HXY6" s="87"/>
      <c r="HXZ6" s="87"/>
      <c r="HYA6" s="87"/>
      <c r="HYB6" s="87"/>
      <c r="HYC6" s="87"/>
      <c r="HYD6" s="87"/>
      <c r="HYE6" s="87"/>
      <c r="HYF6" s="87"/>
      <c r="HYG6" s="87"/>
      <c r="HYH6" s="87"/>
      <c r="HYI6" s="87"/>
      <c r="HYJ6" s="87"/>
      <c r="HYK6" s="87"/>
      <c r="HYL6" s="87"/>
      <c r="HYM6" s="87"/>
      <c r="HYN6" s="87"/>
      <c r="HYO6" s="87"/>
      <c r="HYP6" s="87"/>
      <c r="HYQ6" s="87"/>
      <c r="HYR6" s="87"/>
      <c r="HYS6" s="87"/>
      <c r="HYT6" s="87"/>
      <c r="HYU6" s="87"/>
      <c r="HYV6" s="87"/>
      <c r="HYW6" s="87"/>
      <c r="HYX6" s="87"/>
      <c r="HYY6" s="87"/>
      <c r="HYZ6" s="87"/>
      <c r="HZA6" s="87"/>
      <c r="HZB6" s="87"/>
      <c r="HZC6" s="87"/>
      <c r="HZD6" s="87"/>
      <c r="HZE6" s="87"/>
      <c r="HZF6" s="87"/>
      <c r="HZG6" s="87"/>
      <c r="HZH6" s="87"/>
      <c r="HZI6" s="87"/>
      <c r="HZJ6" s="87"/>
      <c r="HZK6" s="87"/>
      <c r="HZL6" s="87"/>
      <c r="HZM6" s="87"/>
      <c r="HZN6" s="87"/>
      <c r="HZO6" s="87"/>
      <c r="HZP6" s="87"/>
      <c r="HZQ6" s="87"/>
      <c r="HZR6" s="87"/>
      <c r="HZS6" s="87"/>
      <c r="HZT6" s="87"/>
      <c r="HZU6" s="87"/>
      <c r="HZV6" s="87"/>
      <c r="HZW6" s="87"/>
      <c r="HZX6" s="87"/>
      <c r="HZY6" s="87"/>
      <c r="HZZ6" s="87"/>
      <c r="IAA6" s="87"/>
      <c r="IAB6" s="87"/>
      <c r="IAC6" s="87"/>
      <c r="IAD6" s="87"/>
      <c r="IAE6" s="87"/>
      <c r="IAF6" s="87"/>
      <c r="IAG6" s="87"/>
      <c r="IAH6" s="87"/>
      <c r="IAI6" s="87"/>
      <c r="IAJ6" s="87"/>
      <c r="IAK6" s="87"/>
      <c r="IAL6" s="87"/>
      <c r="IAM6" s="87"/>
      <c r="IAN6" s="87"/>
      <c r="IAO6" s="87"/>
      <c r="IAP6" s="87"/>
      <c r="IAQ6" s="87"/>
      <c r="IAR6" s="87"/>
      <c r="IAS6" s="87"/>
      <c r="IAT6" s="87"/>
      <c r="IAU6" s="87"/>
      <c r="IAV6" s="87"/>
      <c r="IAW6" s="87"/>
      <c r="IAX6" s="87"/>
      <c r="IAY6" s="87"/>
      <c r="IAZ6" s="87"/>
      <c r="IBA6" s="87"/>
      <c r="IBB6" s="87"/>
      <c r="IBC6" s="87"/>
      <c r="IBD6" s="87"/>
      <c r="IBE6" s="87"/>
      <c r="IBF6" s="87"/>
      <c r="IBG6" s="87"/>
      <c r="IBH6" s="87"/>
      <c r="IBI6" s="87"/>
      <c r="IBJ6" s="87"/>
      <c r="IBK6" s="87"/>
      <c r="IBL6" s="87"/>
      <c r="IBM6" s="87"/>
      <c r="IBN6" s="87"/>
      <c r="IBO6" s="87"/>
      <c r="IBP6" s="87"/>
      <c r="IBQ6" s="87"/>
      <c r="IBR6" s="87"/>
      <c r="IBS6" s="87"/>
      <c r="IBT6" s="87"/>
      <c r="IBU6" s="87"/>
      <c r="IBV6" s="87"/>
      <c r="IBW6" s="87"/>
      <c r="IBX6" s="87"/>
      <c r="IBY6" s="87"/>
      <c r="IBZ6" s="87"/>
      <c r="ICA6" s="87"/>
      <c r="ICB6" s="87"/>
      <c r="ICC6" s="87"/>
      <c r="ICD6" s="87"/>
      <c r="ICE6" s="87"/>
      <c r="ICF6" s="87"/>
      <c r="ICG6" s="87"/>
      <c r="ICH6" s="87"/>
      <c r="ICI6" s="87"/>
      <c r="ICJ6" s="87"/>
      <c r="ICK6" s="87"/>
      <c r="ICL6" s="87"/>
      <c r="ICM6" s="87"/>
      <c r="ICN6" s="87"/>
      <c r="ICO6" s="87"/>
      <c r="ICP6" s="87"/>
      <c r="ICQ6" s="87"/>
      <c r="ICR6" s="87"/>
      <c r="ICS6" s="87"/>
      <c r="ICT6" s="87"/>
      <c r="ICU6" s="87"/>
      <c r="ICV6" s="87"/>
      <c r="ICW6" s="87"/>
      <c r="ICX6" s="87"/>
      <c r="ICY6" s="87"/>
      <c r="ICZ6" s="87"/>
      <c r="IDA6" s="87"/>
      <c r="IDB6" s="87"/>
      <c r="IDC6" s="87"/>
      <c r="IDD6" s="87"/>
      <c r="IDE6" s="87"/>
      <c r="IDF6" s="87"/>
      <c r="IDG6" s="87"/>
      <c r="IDH6" s="87"/>
      <c r="IDI6" s="87"/>
      <c r="IDJ6" s="87"/>
      <c r="IDK6" s="87"/>
      <c r="IDL6" s="87"/>
      <c r="IDM6" s="87"/>
      <c r="IDN6" s="87"/>
      <c r="IDO6" s="87"/>
      <c r="IDP6" s="87"/>
      <c r="IDQ6" s="87"/>
      <c r="IDR6" s="87"/>
      <c r="IDS6" s="87"/>
      <c r="IDT6" s="87"/>
      <c r="IDU6" s="87"/>
      <c r="IDV6" s="87"/>
      <c r="IDW6" s="87"/>
      <c r="IDX6" s="87"/>
      <c r="IDY6" s="87"/>
      <c r="IDZ6" s="87"/>
      <c r="IEA6" s="87"/>
      <c r="IEB6" s="87"/>
      <c r="IEC6" s="87"/>
      <c r="IED6" s="87"/>
      <c r="IEE6" s="87"/>
      <c r="IEF6" s="87"/>
      <c r="IEG6" s="87"/>
      <c r="IEH6" s="87"/>
      <c r="IEI6" s="87"/>
      <c r="IEJ6" s="87"/>
      <c r="IEK6" s="87"/>
      <c r="IEL6" s="87"/>
      <c r="IEM6" s="87"/>
      <c r="IEN6" s="87"/>
      <c r="IEO6" s="87"/>
      <c r="IEP6" s="87"/>
      <c r="IEQ6" s="87"/>
      <c r="IER6" s="87"/>
      <c r="IES6" s="87"/>
      <c r="IET6" s="87"/>
      <c r="IEU6" s="87"/>
      <c r="IEV6" s="87"/>
      <c r="IEW6" s="87"/>
      <c r="IEX6" s="87"/>
      <c r="IEY6" s="87"/>
      <c r="IEZ6" s="87"/>
      <c r="IFA6" s="87"/>
      <c r="IFB6" s="87"/>
      <c r="IFC6" s="87"/>
      <c r="IFD6" s="87"/>
      <c r="IFE6" s="87"/>
      <c r="IFF6" s="87"/>
      <c r="IFG6" s="87"/>
      <c r="IFH6" s="87"/>
      <c r="IFI6" s="87"/>
      <c r="IFJ6" s="87"/>
      <c r="IFK6" s="87"/>
      <c r="IFL6" s="87"/>
      <c r="IFM6" s="87"/>
      <c r="IFN6" s="87"/>
      <c r="IFO6" s="87"/>
      <c r="IFP6" s="87"/>
      <c r="IFQ6" s="87"/>
      <c r="IFR6" s="87"/>
      <c r="IFS6" s="87"/>
      <c r="IFT6" s="87"/>
      <c r="IFU6" s="87"/>
      <c r="IFV6" s="87"/>
      <c r="IFW6" s="87"/>
      <c r="IFX6" s="87"/>
      <c r="IFY6" s="87"/>
      <c r="IFZ6" s="87"/>
      <c r="IGA6" s="87"/>
      <c r="IGB6" s="87"/>
      <c r="IGC6" s="87"/>
      <c r="IGD6" s="87"/>
      <c r="IGE6" s="87"/>
      <c r="IGF6" s="87"/>
      <c r="IGG6" s="87"/>
      <c r="IGH6" s="87"/>
      <c r="IGI6" s="87"/>
      <c r="IGJ6" s="87"/>
      <c r="IGK6" s="87"/>
      <c r="IGL6" s="87"/>
      <c r="IGM6" s="87"/>
      <c r="IGN6" s="87"/>
      <c r="IGO6" s="87"/>
      <c r="IGP6" s="87"/>
      <c r="IGQ6" s="87"/>
      <c r="IGR6" s="87"/>
      <c r="IGS6" s="87"/>
      <c r="IGT6" s="87"/>
      <c r="IGU6" s="87"/>
      <c r="IGV6" s="87"/>
      <c r="IGW6" s="87"/>
      <c r="IGX6" s="87"/>
      <c r="IGY6" s="87"/>
      <c r="IGZ6" s="87"/>
      <c r="IHA6" s="87"/>
      <c r="IHB6" s="87"/>
      <c r="IHC6" s="87"/>
      <c r="IHD6" s="87"/>
      <c r="IHE6" s="87"/>
      <c r="IHF6" s="87"/>
      <c r="IHG6" s="87"/>
      <c r="IHH6" s="87"/>
      <c r="IHI6" s="87"/>
      <c r="IHJ6" s="87"/>
      <c r="IHK6" s="87"/>
      <c r="IHL6" s="87"/>
      <c r="IHM6" s="87"/>
      <c r="IHN6" s="87"/>
      <c r="IHO6" s="87"/>
      <c r="IHP6" s="87"/>
      <c r="IHQ6" s="87"/>
      <c r="IHR6" s="87"/>
      <c r="IHS6" s="87"/>
      <c r="IHT6" s="87"/>
      <c r="IHU6" s="87"/>
      <c r="IHV6" s="87"/>
      <c r="IHW6" s="87"/>
      <c r="IHX6" s="87"/>
      <c r="IHY6" s="87"/>
      <c r="IHZ6" s="87"/>
      <c r="IIA6" s="87"/>
      <c r="IIB6" s="87"/>
      <c r="IIC6" s="87"/>
      <c r="IID6" s="87"/>
      <c r="IIE6" s="87"/>
      <c r="IIF6" s="87"/>
      <c r="IIG6" s="87"/>
      <c r="IIH6" s="87"/>
      <c r="III6" s="87"/>
      <c r="IIJ6" s="87"/>
      <c r="IIK6" s="87"/>
      <c r="IIL6" s="87"/>
      <c r="IIM6" s="87"/>
      <c r="IIN6" s="87"/>
      <c r="IIO6" s="87"/>
      <c r="IIP6" s="87"/>
      <c r="IIQ6" s="87"/>
      <c r="IIR6" s="87"/>
      <c r="IIS6" s="87"/>
      <c r="IIT6" s="87"/>
      <c r="IIU6" s="87"/>
      <c r="IIV6" s="87"/>
      <c r="IIW6" s="87"/>
      <c r="IIX6" s="87"/>
      <c r="IIY6" s="87"/>
      <c r="IIZ6" s="87"/>
      <c r="IJA6" s="87"/>
      <c r="IJB6" s="87"/>
      <c r="IJC6" s="87"/>
      <c r="IJD6" s="87"/>
      <c r="IJE6" s="87"/>
      <c r="IJF6" s="87"/>
      <c r="IJG6" s="87"/>
      <c r="IJH6" s="87"/>
      <c r="IJI6" s="87"/>
      <c r="IJJ6" s="87"/>
      <c r="IJK6" s="87"/>
      <c r="IJL6" s="87"/>
      <c r="IJM6" s="87"/>
      <c r="IJN6" s="87"/>
      <c r="IJO6" s="87"/>
      <c r="IJP6" s="87"/>
      <c r="IJQ6" s="87"/>
      <c r="IJR6" s="87"/>
      <c r="IJS6" s="87"/>
      <c r="IJT6" s="87"/>
      <c r="IJU6" s="87"/>
      <c r="IJV6" s="87"/>
      <c r="IJW6" s="87"/>
      <c r="IJX6" s="87"/>
      <c r="IJY6" s="87"/>
      <c r="IJZ6" s="87"/>
      <c r="IKA6" s="87"/>
      <c r="IKB6" s="87"/>
      <c r="IKC6" s="87"/>
      <c r="IKD6" s="87"/>
      <c r="IKE6" s="87"/>
      <c r="IKF6" s="87"/>
      <c r="IKG6" s="87"/>
      <c r="IKH6" s="87"/>
      <c r="IKI6" s="87"/>
      <c r="IKJ6" s="87"/>
      <c r="IKK6" s="87"/>
      <c r="IKL6" s="87"/>
      <c r="IKM6" s="87"/>
      <c r="IKN6" s="87"/>
      <c r="IKO6" s="87"/>
      <c r="IKP6" s="87"/>
      <c r="IKQ6" s="87"/>
      <c r="IKR6" s="87"/>
      <c r="IKS6" s="87"/>
      <c r="IKT6" s="87"/>
      <c r="IKU6" s="87"/>
      <c r="IKV6" s="87"/>
      <c r="IKW6" s="87"/>
      <c r="IKX6" s="87"/>
      <c r="IKY6" s="87"/>
      <c r="IKZ6" s="87"/>
      <c r="ILA6" s="87"/>
      <c r="ILB6" s="87"/>
      <c r="ILC6" s="87"/>
      <c r="ILD6" s="87"/>
      <c r="ILE6" s="87"/>
      <c r="ILF6" s="87"/>
      <c r="ILG6" s="87"/>
      <c r="ILH6" s="87"/>
      <c r="ILI6" s="87"/>
      <c r="ILJ6" s="87"/>
      <c r="ILK6" s="87"/>
      <c r="ILL6" s="87"/>
      <c r="ILM6" s="87"/>
      <c r="ILN6" s="87"/>
      <c r="ILO6" s="87"/>
      <c r="ILP6" s="87"/>
      <c r="ILQ6" s="87"/>
      <c r="ILR6" s="87"/>
      <c r="ILS6" s="87"/>
      <c r="ILT6" s="87"/>
      <c r="ILU6" s="87"/>
      <c r="ILV6" s="87"/>
      <c r="ILW6" s="87"/>
      <c r="ILX6" s="87"/>
      <c r="ILY6" s="87"/>
      <c r="ILZ6" s="87"/>
      <c r="IMA6" s="87"/>
      <c r="IMB6" s="87"/>
      <c r="IMC6" s="87"/>
      <c r="IMD6" s="87"/>
      <c r="IME6" s="87"/>
      <c r="IMF6" s="87"/>
      <c r="IMG6" s="87"/>
      <c r="IMH6" s="87"/>
      <c r="IMI6" s="87"/>
      <c r="IMJ6" s="87"/>
      <c r="IMK6" s="87"/>
      <c r="IML6" s="87"/>
      <c r="IMM6" s="87"/>
      <c r="IMN6" s="87"/>
      <c r="IMO6" s="87"/>
      <c r="IMP6" s="87"/>
      <c r="IMQ6" s="87"/>
      <c r="IMR6" s="87"/>
      <c r="IMS6" s="87"/>
      <c r="IMT6" s="87"/>
      <c r="IMU6" s="87"/>
      <c r="IMV6" s="87"/>
      <c r="IMW6" s="87"/>
      <c r="IMX6" s="87"/>
      <c r="IMY6" s="87"/>
      <c r="IMZ6" s="87"/>
      <c r="INA6" s="87"/>
      <c r="INB6" s="87"/>
      <c r="INC6" s="87"/>
      <c r="IND6" s="87"/>
      <c r="INE6" s="87"/>
      <c r="INF6" s="87"/>
      <c r="ING6" s="87"/>
      <c r="INH6" s="87"/>
      <c r="INI6" s="87"/>
      <c r="INJ6" s="87"/>
      <c r="INK6" s="87"/>
      <c r="INL6" s="87"/>
      <c r="INM6" s="87"/>
      <c r="INN6" s="87"/>
      <c r="INO6" s="87"/>
      <c r="INP6" s="87"/>
      <c r="INQ6" s="87"/>
      <c r="INR6" s="87"/>
      <c r="INS6" s="87"/>
      <c r="INT6" s="87"/>
      <c r="INU6" s="87"/>
      <c r="INV6" s="87"/>
      <c r="INW6" s="87"/>
      <c r="INX6" s="87"/>
      <c r="INY6" s="87"/>
      <c r="INZ6" s="87"/>
      <c r="IOA6" s="87"/>
      <c r="IOB6" s="87"/>
      <c r="IOC6" s="87"/>
      <c r="IOD6" s="87"/>
      <c r="IOE6" s="87"/>
      <c r="IOF6" s="87"/>
      <c r="IOG6" s="87"/>
      <c r="IOH6" s="87"/>
      <c r="IOI6" s="87"/>
      <c r="IOJ6" s="87"/>
      <c r="IOK6" s="87"/>
      <c r="IOL6" s="87"/>
      <c r="IOM6" s="87"/>
      <c r="ION6" s="87"/>
      <c r="IOO6" s="87"/>
      <c r="IOP6" s="87"/>
      <c r="IOQ6" s="87"/>
      <c r="IOR6" s="87"/>
      <c r="IOS6" s="87"/>
      <c r="IOT6" s="87"/>
      <c r="IOU6" s="87"/>
      <c r="IOV6" s="87"/>
      <c r="IOW6" s="87"/>
      <c r="IOX6" s="87"/>
      <c r="IOY6" s="87"/>
      <c r="IOZ6" s="87"/>
      <c r="IPA6" s="87"/>
      <c r="IPB6" s="87"/>
      <c r="IPC6" s="87"/>
      <c r="IPD6" s="87"/>
      <c r="IPE6" s="87"/>
      <c r="IPF6" s="87"/>
      <c r="IPG6" s="87"/>
      <c r="IPH6" s="87"/>
      <c r="IPI6" s="87"/>
      <c r="IPJ6" s="87"/>
      <c r="IPK6" s="87"/>
      <c r="IPL6" s="87"/>
      <c r="IPM6" s="87"/>
      <c r="IPN6" s="87"/>
      <c r="IPO6" s="87"/>
      <c r="IPP6" s="87"/>
      <c r="IPQ6" s="87"/>
      <c r="IPR6" s="87"/>
      <c r="IPS6" s="87"/>
      <c r="IPT6" s="87"/>
      <c r="IPU6" s="87"/>
      <c r="IPV6" s="87"/>
      <c r="IPW6" s="87"/>
      <c r="IPX6" s="87"/>
      <c r="IPY6" s="87"/>
      <c r="IPZ6" s="87"/>
      <c r="IQA6" s="87"/>
      <c r="IQB6" s="87"/>
      <c r="IQC6" s="87"/>
      <c r="IQD6" s="87"/>
      <c r="IQE6" s="87"/>
      <c r="IQF6" s="87"/>
      <c r="IQG6" s="87"/>
      <c r="IQH6" s="87"/>
      <c r="IQI6" s="87"/>
      <c r="IQJ6" s="87"/>
      <c r="IQK6" s="87"/>
      <c r="IQL6" s="87"/>
      <c r="IQM6" s="87"/>
      <c r="IQN6" s="87"/>
      <c r="IQO6" s="87"/>
      <c r="IQP6" s="87"/>
      <c r="IQQ6" s="87"/>
      <c r="IQR6" s="87"/>
      <c r="IQS6" s="87"/>
      <c r="IQT6" s="87"/>
      <c r="IQU6" s="87"/>
      <c r="IQV6" s="87"/>
      <c r="IQW6" s="87"/>
      <c r="IQX6" s="87"/>
      <c r="IQY6" s="87"/>
      <c r="IQZ6" s="87"/>
      <c r="IRA6" s="87"/>
      <c r="IRB6" s="87"/>
      <c r="IRC6" s="87"/>
      <c r="IRD6" s="87"/>
      <c r="IRE6" s="87"/>
      <c r="IRF6" s="87"/>
      <c r="IRG6" s="87"/>
      <c r="IRH6" s="87"/>
      <c r="IRI6" s="87"/>
      <c r="IRJ6" s="87"/>
      <c r="IRK6" s="87"/>
      <c r="IRL6" s="87"/>
      <c r="IRM6" s="87"/>
      <c r="IRN6" s="87"/>
      <c r="IRO6" s="87"/>
      <c r="IRP6" s="87"/>
      <c r="IRQ6" s="87"/>
      <c r="IRR6" s="87"/>
      <c r="IRS6" s="87"/>
      <c r="IRT6" s="87"/>
      <c r="IRU6" s="87"/>
      <c r="IRV6" s="87"/>
      <c r="IRW6" s="87"/>
      <c r="IRX6" s="87"/>
      <c r="IRY6" s="87"/>
      <c r="IRZ6" s="87"/>
      <c r="ISA6" s="87"/>
      <c r="ISB6" s="87"/>
      <c r="ISC6" s="87"/>
      <c r="ISD6" s="87"/>
      <c r="ISE6" s="87"/>
      <c r="ISF6" s="87"/>
      <c r="ISG6" s="87"/>
      <c r="ISH6" s="87"/>
      <c r="ISI6" s="87"/>
      <c r="ISJ6" s="87"/>
      <c r="ISK6" s="87"/>
      <c r="ISL6" s="87"/>
      <c r="ISM6" s="87"/>
      <c r="ISN6" s="87"/>
      <c r="ISO6" s="87"/>
      <c r="ISP6" s="87"/>
      <c r="ISQ6" s="87"/>
      <c r="ISR6" s="87"/>
      <c r="ISS6" s="87"/>
      <c r="IST6" s="87"/>
      <c r="ISU6" s="87"/>
      <c r="ISV6" s="87"/>
      <c r="ISW6" s="87"/>
      <c r="ISX6" s="87"/>
      <c r="ISY6" s="87"/>
      <c r="ISZ6" s="87"/>
      <c r="ITA6" s="87"/>
      <c r="ITB6" s="87"/>
      <c r="ITC6" s="87"/>
      <c r="ITD6" s="87"/>
      <c r="ITE6" s="87"/>
      <c r="ITF6" s="87"/>
      <c r="ITG6" s="87"/>
      <c r="ITH6" s="87"/>
      <c r="ITI6" s="87"/>
      <c r="ITJ6" s="87"/>
      <c r="ITK6" s="87"/>
      <c r="ITL6" s="87"/>
      <c r="ITM6" s="87"/>
      <c r="ITN6" s="87"/>
      <c r="ITO6" s="87"/>
      <c r="ITP6" s="87"/>
      <c r="ITQ6" s="87"/>
      <c r="ITR6" s="87"/>
      <c r="ITS6" s="87"/>
      <c r="ITT6" s="87"/>
      <c r="ITU6" s="87"/>
      <c r="ITV6" s="87"/>
      <c r="ITW6" s="87"/>
      <c r="ITX6" s="87"/>
      <c r="ITY6" s="87"/>
      <c r="ITZ6" s="87"/>
      <c r="IUA6" s="87"/>
      <c r="IUB6" s="87"/>
      <c r="IUC6" s="87"/>
      <c r="IUD6" s="87"/>
      <c r="IUE6" s="87"/>
      <c r="IUF6" s="87"/>
      <c r="IUG6" s="87"/>
      <c r="IUH6" s="87"/>
      <c r="IUI6" s="87"/>
      <c r="IUJ6" s="87"/>
      <c r="IUK6" s="87"/>
      <c r="IUL6" s="87"/>
      <c r="IUM6" s="87"/>
      <c r="IUN6" s="87"/>
      <c r="IUO6" s="87"/>
      <c r="IUP6" s="87"/>
      <c r="IUQ6" s="87"/>
      <c r="IUR6" s="87"/>
      <c r="IUS6" s="87"/>
      <c r="IUT6" s="87"/>
      <c r="IUU6" s="87"/>
      <c r="IUV6" s="87"/>
      <c r="IUW6" s="87"/>
      <c r="IUX6" s="87"/>
      <c r="IUY6" s="87"/>
      <c r="IUZ6" s="87"/>
      <c r="IVA6" s="87"/>
      <c r="IVB6" s="87"/>
      <c r="IVC6" s="87"/>
      <c r="IVD6" s="87"/>
      <c r="IVE6" s="87"/>
      <c r="IVF6" s="87"/>
      <c r="IVG6" s="87"/>
      <c r="IVH6" s="87"/>
      <c r="IVI6" s="87"/>
      <c r="IVJ6" s="87"/>
      <c r="IVK6" s="87"/>
      <c r="IVL6" s="87"/>
      <c r="IVM6" s="87"/>
      <c r="IVN6" s="87"/>
      <c r="IVO6" s="87"/>
      <c r="IVP6" s="87"/>
      <c r="IVQ6" s="87"/>
      <c r="IVR6" s="87"/>
      <c r="IVS6" s="87"/>
      <c r="IVT6" s="87"/>
      <c r="IVU6" s="87"/>
      <c r="IVV6" s="87"/>
      <c r="IVW6" s="87"/>
      <c r="IVX6" s="87"/>
      <c r="IVY6" s="87"/>
      <c r="IVZ6" s="87"/>
      <c r="IWA6" s="87"/>
      <c r="IWB6" s="87"/>
      <c r="IWC6" s="87"/>
      <c r="IWD6" s="87"/>
      <c r="IWE6" s="87"/>
      <c r="IWF6" s="87"/>
      <c r="IWG6" s="87"/>
      <c r="IWH6" s="87"/>
      <c r="IWI6" s="87"/>
      <c r="IWJ6" s="87"/>
      <c r="IWK6" s="87"/>
      <c r="IWL6" s="87"/>
      <c r="IWM6" s="87"/>
      <c r="IWN6" s="87"/>
      <c r="IWO6" s="87"/>
      <c r="IWP6" s="87"/>
      <c r="IWQ6" s="87"/>
      <c r="IWR6" s="87"/>
      <c r="IWS6" s="87"/>
      <c r="IWT6" s="87"/>
      <c r="IWU6" s="87"/>
      <c r="IWV6" s="87"/>
      <c r="IWW6" s="87"/>
      <c r="IWX6" s="87"/>
      <c r="IWY6" s="87"/>
      <c r="IWZ6" s="87"/>
      <c r="IXA6" s="87"/>
      <c r="IXB6" s="87"/>
      <c r="IXC6" s="87"/>
      <c r="IXD6" s="87"/>
      <c r="IXE6" s="87"/>
      <c r="IXF6" s="87"/>
      <c r="IXG6" s="87"/>
      <c r="IXH6" s="87"/>
      <c r="IXI6" s="87"/>
      <c r="IXJ6" s="87"/>
      <c r="IXK6" s="87"/>
      <c r="IXL6" s="87"/>
      <c r="IXM6" s="87"/>
      <c r="IXN6" s="87"/>
      <c r="IXO6" s="87"/>
      <c r="IXP6" s="87"/>
      <c r="IXQ6" s="87"/>
      <c r="IXR6" s="87"/>
      <c r="IXS6" s="87"/>
      <c r="IXT6" s="87"/>
      <c r="IXU6" s="87"/>
      <c r="IXV6" s="87"/>
      <c r="IXW6" s="87"/>
      <c r="IXX6" s="87"/>
      <c r="IXY6" s="87"/>
      <c r="IXZ6" s="87"/>
      <c r="IYA6" s="87"/>
      <c r="IYB6" s="87"/>
      <c r="IYC6" s="87"/>
      <c r="IYD6" s="87"/>
      <c r="IYE6" s="87"/>
      <c r="IYF6" s="87"/>
      <c r="IYG6" s="87"/>
      <c r="IYH6" s="87"/>
      <c r="IYI6" s="87"/>
      <c r="IYJ6" s="87"/>
      <c r="IYK6" s="87"/>
      <c r="IYL6" s="87"/>
      <c r="IYM6" s="87"/>
      <c r="IYN6" s="87"/>
      <c r="IYO6" s="87"/>
      <c r="IYP6" s="87"/>
      <c r="IYQ6" s="87"/>
      <c r="IYR6" s="87"/>
      <c r="IYS6" s="87"/>
      <c r="IYT6" s="87"/>
      <c r="IYU6" s="87"/>
      <c r="IYV6" s="87"/>
      <c r="IYW6" s="87"/>
      <c r="IYX6" s="87"/>
      <c r="IYY6" s="87"/>
      <c r="IYZ6" s="87"/>
      <c r="IZA6" s="87"/>
      <c r="IZB6" s="87"/>
      <c r="IZC6" s="87"/>
      <c r="IZD6" s="87"/>
      <c r="IZE6" s="87"/>
      <c r="IZF6" s="87"/>
      <c r="IZG6" s="87"/>
      <c r="IZH6" s="87"/>
      <c r="IZI6" s="87"/>
      <c r="IZJ6" s="87"/>
      <c r="IZK6" s="87"/>
      <c r="IZL6" s="87"/>
      <c r="IZM6" s="87"/>
      <c r="IZN6" s="87"/>
      <c r="IZO6" s="87"/>
      <c r="IZP6" s="87"/>
      <c r="IZQ6" s="87"/>
      <c r="IZR6" s="87"/>
      <c r="IZS6" s="87"/>
      <c r="IZT6" s="87"/>
      <c r="IZU6" s="87"/>
      <c r="IZV6" s="87"/>
      <c r="IZW6" s="87"/>
      <c r="IZX6" s="87"/>
      <c r="IZY6" s="87"/>
      <c r="IZZ6" s="87"/>
      <c r="JAA6" s="87"/>
      <c r="JAB6" s="87"/>
      <c r="JAC6" s="87"/>
      <c r="JAD6" s="87"/>
      <c r="JAE6" s="87"/>
      <c r="JAF6" s="87"/>
      <c r="JAG6" s="87"/>
      <c r="JAH6" s="87"/>
      <c r="JAI6" s="87"/>
      <c r="JAJ6" s="87"/>
      <c r="JAK6" s="87"/>
      <c r="JAL6" s="87"/>
      <c r="JAM6" s="87"/>
      <c r="JAN6" s="87"/>
      <c r="JAO6" s="87"/>
      <c r="JAP6" s="87"/>
      <c r="JAQ6" s="87"/>
      <c r="JAR6" s="87"/>
      <c r="JAS6" s="87"/>
      <c r="JAT6" s="87"/>
      <c r="JAU6" s="87"/>
      <c r="JAV6" s="87"/>
      <c r="JAW6" s="87"/>
      <c r="JAX6" s="87"/>
      <c r="JAY6" s="87"/>
      <c r="JAZ6" s="87"/>
      <c r="JBA6" s="87"/>
      <c r="JBB6" s="87"/>
      <c r="JBC6" s="87"/>
      <c r="JBD6" s="87"/>
      <c r="JBE6" s="87"/>
      <c r="JBF6" s="87"/>
      <c r="JBG6" s="87"/>
      <c r="JBH6" s="87"/>
      <c r="JBI6" s="87"/>
      <c r="JBJ6" s="87"/>
      <c r="JBK6" s="87"/>
      <c r="JBL6" s="87"/>
      <c r="JBM6" s="87"/>
      <c r="JBN6" s="87"/>
      <c r="JBO6" s="87"/>
      <c r="JBP6" s="87"/>
      <c r="JBQ6" s="87"/>
      <c r="JBR6" s="87"/>
      <c r="JBS6" s="87"/>
      <c r="JBT6" s="87"/>
      <c r="JBU6" s="87"/>
      <c r="JBV6" s="87"/>
      <c r="JBW6" s="87"/>
      <c r="JBX6" s="87"/>
      <c r="JBY6" s="87"/>
      <c r="JBZ6" s="87"/>
      <c r="JCA6" s="87"/>
      <c r="JCB6" s="87"/>
      <c r="JCC6" s="87"/>
      <c r="JCD6" s="87"/>
      <c r="JCE6" s="87"/>
      <c r="JCF6" s="87"/>
      <c r="JCG6" s="87"/>
      <c r="JCH6" s="87"/>
      <c r="JCI6" s="87"/>
      <c r="JCJ6" s="87"/>
      <c r="JCK6" s="87"/>
      <c r="JCL6" s="87"/>
      <c r="JCM6" s="87"/>
      <c r="JCN6" s="87"/>
      <c r="JCO6" s="87"/>
      <c r="JCP6" s="87"/>
      <c r="JCQ6" s="87"/>
      <c r="JCR6" s="87"/>
      <c r="JCS6" s="87"/>
      <c r="JCT6" s="87"/>
      <c r="JCU6" s="87"/>
      <c r="JCV6" s="87"/>
      <c r="JCW6" s="87"/>
      <c r="JCX6" s="87"/>
      <c r="JCY6" s="87"/>
      <c r="JCZ6" s="87"/>
      <c r="JDA6" s="87"/>
      <c r="JDB6" s="87"/>
      <c r="JDC6" s="87"/>
      <c r="JDD6" s="87"/>
      <c r="JDE6" s="87"/>
      <c r="JDF6" s="87"/>
      <c r="JDG6" s="87"/>
      <c r="JDH6" s="87"/>
      <c r="JDI6" s="87"/>
      <c r="JDJ6" s="87"/>
      <c r="JDK6" s="87"/>
      <c r="JDL6" s="87"/>
      <c r="JDM6" s="87"/>
      <c r="JDN6" s="87"/>
      <c r="JDO6" s="87"/>
      <c r="JDP6" s="87"/>
      <c r="JDQ6" s="87"/>
      <c r="JDR6" s="87"/>
      <c r="JDS6" s="87"/>
      <c r="JDT6" s="87"/>
      <c r="JDU6" s="87"/>
      <c r="JDV6" s="87"/>
      <c r="JDW6" s="87"/>
      <c r="JDX6" s="87"/>
      <c r="JDY6" s="87"/>
      <c r="JDZ6" s="87"/>
      <c r="JEA6" s="87"/>
      <c r="JEB6" s="87"/>
      <c r="JEC6" s="87"/>
      <c r="JED6" s="87"/>
      <c r="JEE6" s="87"/>
      <c r="JEF6" s="87"/>
      <c r="JEG6" s="87"/>
      <c r="JEH6" s="87"/>
      <c r="JEI6" s="87"/>
      <c r="JEJ6" s="87"/>
      <c r="JEK6" s="87"/>
      <c r="JEL6" s="87"/>
      <c r="JEM6" s="87"/>
      <c r="JEN6" s="87"/>
      <c r="JEO6" s="87"/>
      <c r="JEP6" s="87"/>
      <c r="JEQ6" s="87"/>
      <c r="JER6" s="87"/>
      <c r="JES6" s="87"/>
      <c r="JET6" s="87"/>
      <c r="JEU6" s="87"/>
      <c r="JEV6" s="87"/>
      <c r="JEW6" s="87"/>
      <c r="JEX6" s="87"/>
      <c r="JEY6" s="87"/>
      <c r="JEZ6" s="87"/>
      <c r="JFA6" s="87"/>
      <c r="JFB6" s="87"/>
      <c r="JFC6" s="87"/>
      <c r="JFD6" s="87"/>
      <c r="JFE6" s="87"/>
      <c r="JFF6" s="87"/>
      <c r="JFG6" s="87"/>
      <c r="JFH6" s="87"/>
      <c r="JFI6" s="87"/>
      <c r="JFJ6" s="87"/>
      <c r="JFK6" s="87"/>
      <c r="JFL6" s="87"/>
      <c r="JFM6" s="87"/>
      <c r="JFN6" s="87"/>
      <c r="JFO6" s="87"/>
      <c r="JFP6" s="87"/>
      <c r="JFQ6" s="87"/>
      <c r="JFR6" s="87"/>
      <c r="JFS6" s="87"/>
      <c r="JFT6" s="87"/>
      <c r="JFU6" s="87"/>
      <c r="JFV6" s="87"/>
      <c r="JFW6" s="87"/>
      <c r="JFX6" s="87"/>
      <c r="JFY6" s="87"/>
      <c r="JFZ6" s="87"/>
      <c r="JGA6" s="87"/>
      <c r="JGB6" s="87"/>
      <c r="JGC6" s="87"/>
      <c r="JGD6" s="87"/>
      <c r="JGE6" s="87"/>
      <c r="JGF6" s="87"/>
      <c r="JGG6" s="87"/>
      <c r="JGH6" s="87"/>
      <c r="JGI6" s="87"/>
      <c r="JGJ6" s="87"/>
      <c r="JGK6" s="87"/>
      <c r="JGL6" s="87"/>
      <c r="JGM6" s="87"/>
      <c r="JGN6" s="87"/>
      <c r="JGO6" s="87"/>
      <c r="JGP6" s="87"/>
      <c r="JGQ6" s="87"/>
      <c r="JGR6" s="87"/>
      <c r="JGS6" s="87"/>
      <c r="JGT6" s="87"/>
      <c r="JGU6" s="87"/>
      <c r="JGV6" s="87"/>
      <c r="JGW6" s="87"/>
      <c r="JGX6" s="87"/>
      <c r="JGY6" s="87"/>
      <c r="JGZ6" s="87"/>
      <c r="JHA6" s="87"/>
      <c r="JHB6" s="87"/>
      <c r="JHC6" s="87"/>
      <c r="JHD6" s="87"/>
      <c r="JHE6" s="87"/>
      <c r="JHF6" s="87"/>
      <c r="JHG6" s="87"/>
      <c r="JHH6" s="87"/>
      <c r="JHI6" s="87"/>
      <c r="JHJ6" s="87"/>
      <c r="JHK6" s="87"/>
      <c r="JHL6" s="87"/>
      <c r="JHM6" s="87"/>
      <c r="JHN6" s="87"/>
      <c r="JHO6" s="87"/>
      <c r="JHP6" s="87"/>
      <c r="JHQ6" s="87"/>
      <c r="JHR6" s="87"/>
      <c r="JHS6" s="87"/>
      <c r="JHT6" s="87"/>
      <c r="JHU6" s="87"/>
      <c r="JHV6" s="87"/>
      <c r="JHW6" s="87"/>
      <c r="JHX6" s="87"/>
      <c r="JHY6" s="87"/>
      <c r="JHZ6" s="87"/>
      <c r="JIA6" s="87"/>
      <c r="JIB6" s="87"/>
      <c r="JIC6" s="87"/>
      <c r="JID6" s="87"/>
      <c r="JIE6" s="87"/>
      <c r="JIF6" s="87"/>
      <c r="JIG6" s="87"/>
      <c r="JIH6" s="87"/>
      <c r="JII6" s="87"/>
      <c r="JIJ6" s="87"/>
      <c r="JIK6" s="87"/>
      <c r="JIL6" s="87"/>
      <c r="JIM6" s="87"/>
      <c r="JIN6" s="87"/>
      <c r="JIO6" s="87"/>
      <c r="JIP6" s="87"/>
      <c r="JIQ6" s="87"/>
      <c r="JIR6" s="87"/>
      <c r="JIS6" s="87"/>
      <c r="JIT6" s="87"/>
      <c r="JIU6" s="87"/>
      <c r="JIV6" s="87"/>
      <c r="JIW6" s="87"/>
      <c r="JIX6" s="87"/>
      <c r="JIY6" s="87"/>
      <c r="JIZ6" s="87"/>
      <c r="JJA6" s="87"/>
      <c r="JJB6" s="87"/>
      <c r="JJC6" s="87"/>
      <c r="JJD6" s="87"/>
      <c r="JJE6" s="87"/>
      <c r="JJF6" s="87"/>
      <c r="JJG6" s="87"/>
      <c r="JJH6" s="87"/>
      <c r="JJI6" s="87"/>
      <c r="JJJ6" s="87"/>
      <c r="JJK6" s="87"/>
      <c r="JJL6" s="87"/>
      <c r="JJM6" s="87"/>
      <c r="JJN6" s="87"/>
      <c r="JJO6" s="87"/>
      <c r="JJP6" s="87"/>
      <c r="JJQ6" s="87"/>
      <c r="JJR6" s="87"/>
      <c r="JJS6" s="87"/>
      <c r="JJT6" s="87"/>
      <c r="JJU6" s="87"/>
      <c r="JJV6" s="87"/>
      <c r="JJW6" s="87"/>
      <c r="JJX6" s="87"/>
      <c r="JJY6" s="87"/>
      <c r="JJZ6" s="87"/>
      <c r="JKA6" s="87"/>
      <c r="JKB6" s="87"/>
      <c r="JKC6" s="87"/>
      <c r="JKD6" s="87"/>
      <c r="JKE6" s="87"/>
      <c r="JKF6" s="87"/>
      <c r="JKG6" s="87"/>
      <c r="JKH6" s="87"/>
      <c r="JKI6" s="87"/>
      <c r="JKJ6" s="87"/>
      <c r="JKK6" s="87"/>
      <c r="JKL6" s="87"/>
      <c r="JKM6" s="87"/>
      <c r="JKN6" s="87"/>
      <c r="JKO6" s="87"/>
      <c r="JKP6" s="87"/>
      <c r="JKQ6" s="87"/>
      <c r="JKR6" s="87"/>
      <c r="JKS6" s="87"/>
      <c r="JKT6" s="87"/>
      <c r="JKU6" s="87"/>
      <c r="JKV6" s="87"/>
      <c r="JKW6" s="87"/>
      <c r="JKX6" s="87"/>
      <c r="JKY6" s="87"/>
      <c r="JKZ6" s="87"/>
      <c r="JLA6" s="87"/>
      <c r="JLB6" s="87"/>
      <c r="JLC6" s="87"/>
      <c r="JLD6" s="87"/>
      <c r="JLE6" s="87"/>
      <c r="JLF6" s="87"/>
      <c r="JLG6" s="87"/>
      <c r="JLH6" s="87"/>
      <c r="JLI6" s="87"/>
      <c r="JLJ6" s="87"/>
      <c r="JLK6" s="87"/>
      <c r="JLL6" s="87"/>
      <c r="JLM6" s="87"/>
      <c r="JLN6" s="87"/>
      <c r="JLO6" s="87"/>
      <c r="JLP6" s="87"/>
      <c r="JLQ6" s="87"/>
      <c r="JLR6" s="87"/>
      <c r="JLS6" s="87"/>
      <c r="JLT6" s="87"/>
      <c r="JLU6" s="87"/>
      <c r="JLV6" s="87"/>
      <c r="JLW6" s="87"/>
      <c r="JLX6" s="87"/>
      <c r="JLY6" s="87"/>
      <c r="JLZ6" s="87"/>
      <c r="JMA6" s="87"/>
      <c r="JMB6" s="87"/>
      <c r="JMC6" s="87"/>
      <c r="JMD6" s="87"/>
      <c r="JME6" s="87"/>
      <c r="JMF6" s="87"/>
      <c r="JMG6" s="87"/>
      <c r="JMH6" s="87"/>
      <c r="JMI6" s="87"/>
      <c r="JMJ6" s="87"/>
      <c r="JMK6" s="87"/>
      <c r="JML6" s="87"/>
      <c r="JMM6" s="87"/>
      <c r="JMN6" s="87"/>
      <c r="JMO6" s="87"/>
      <c r="JMP6" s="87"/>
      <c r="JMQ6" s="87"/>
      <c r="JMR6" s="87"/>
      <c r="JMS6" s="87"/>
      <c r="JMT6" s="87"/>
      <c r="JMU6" s="87"/>
      <c r="JMV6" s="87"/>
      <c r="JMW6" s="87"/>
      <c r="JMX6" s="87"/>
      <c r="JMY6" s="87"/>
      <c r="JMZ6" s="87"/>
      <c r="JNA6" s="87"/>
      <c r="JNB6" s="87"/>
      <c r="JNC6" s="87"/>
      <c r="JND6" s="87"/>
      <c r="JNE6" s="87"/>
      <c r="JNF6" s="87"/>
      <c r="JNG6" s="87"/>
      <c r="JNH6" s="87"/>
      <c r="JNI6" s="87"/>
      <c r="JNJ6" s="87"/>
      <c r="JNK6" s="87"/>
      <c r="JNL6" s="87"/>
      <c r="JNM6" s="87"/>
      <c r="JNN6" s="87"/>
      <c r="JNO6" s="87"/>
      <c r="JNP6" s="87"/>
      <c r="JNQ6" s="87"/>
      <c r="JNR6" s="87"/>
      <c r="JNS6" s="87"/>
      <c r="JNT6" s="87"/>
      <c r="JNU6" s="87"/>
      <c r="JNV6" s="87"/>
      <c r="JNW6" s="87"/>
      <c r="JNX6" s="87"/>
      <c r="JNY6" s="87"/>
      <c r="JNZ6" s="87"/>
      <c r="JOA6" s="87"/>
      <c r="JOB6" s="87"/>
      <c r="JOC6" s="87"/>
      <c r="JOD6" s="87"/>
      <c r="JOE6" s="87"/>
      <c r="JOF6" s="87"/>
      <c r="JOG6" s="87"/>
      <c r="JOH6" s="87"/>
      <c r="JOI6" s="87"/>
      <c r="JOJ6" s="87"/>
      <c r="JOK6" s="87"/>
      <c r="JOL6" s="87"/>
      <c r="JOM6" s="87"/>
      <c r="JON6" s="87"/>
      <c r="JOO6" s="87"/>
      <c r="JOP6" s="87"/>
      <c r="JOQ6" s="87"/>
      <c r="JOR6" s="87"/>
      <c r="JOS6" s="87"/>
      <c r="JOT6" s="87"/>
      <c r="JOU6" s="87"/>
      <c r="JOV6" s="87"/>
      <c r="JOW6" s="87"/>
      <c r="JOX6" s="87"/>
      <c r="JOY6" s="87"/>
      <c r="JOZ6" s="87"/>
      <c r="JPA6" s="87"/>
      <c r="JPB6" s="87"/>
      <c r="JPC6" s="87"/>
      <c r="JPD6" s="87"/>
      <c r="JPE6" s="87"/>
      <c r="JPF6" s="87"/>
      <c r="JPG6" s="87"/>
      <c r="JPH6" s="87"/>
      <c r="JPI6" s="87"/>
      <c r="JPJ6" s="87"/>
      <c r="JPK6" s="87"/>
      <c r="JPL6" s="87"/>
      <c r="JPM6" s="87"/>
      <c r="JPN6" s="87"/>
      <c r="JPO6" s="87"/>
      <c r="JPP6" s="87"/>
      <c r="JPQ6" s="87"/>
      <c r="JPR6" s="87"/>
      <c r="JPS6" s="87"/>
      <c r="JPT6" s="87"/>
      <c r="JPU6" s="87"/>
      <c r="JPV6" s="87"/>
      <c r="JPW6" s="87"/>
      <c r="JPX6" s="87"/>
      <c r="JPY6" s="87"/>
      <c r="JPZ6" s="87"/>
      <c r="JQA6" s="87"/>
      <c r="JQB6" s="87"/>
      <c r="JQC6" s="87"/>
      <c r="JQD6" s="87"/>
      <c r="JQE6" s="87"/>
      <c r="JQF6" s="87"/>
      <c r="JQG6" s="87"/>
      <c r="JQH6" s="87"/>
      <c r="JQI6" s="87"/>
      <c r="JQJ6" s="87"/>
      <c r="JQK6" s="87"/>
      <c r="JQL6" s="87"/>
      <c r="JQM6" s="87"/>
      <c r="JQN6" s="87"/>
      <c r="JQO6" s="87"/>
      <c r="JQP6" s="87"/>
      <c r="JQQ6" s="87"/>
      <c r="JQR6" s="87"/>
      <c r="JQS6" s="87"/>
      <c r="JQT6" s="87"/>
      <c r="JQU6" s="87"/>
      <c r="JQV6" s="87"/>
      <c r="JQW6" s="87"/>
      <c r="JQX6" s="87"/>
      <c r="JQY6" s="87"/>
      <c r="JQZ6" s="87"/>
      <c r="JRA6" s="87"/>
      <c r="JRB6" s="87"/>
      <c r="JRC6" s="87"/>
      <c r="JRD6" s="87"/>
      <c r="JRE6" s="87"/>
      <c r="JRF6" s="87"/>
      <c r="JRG6" s="87"/>
      <c r="JRH6" s="87"/>
      <c r="JRI6" s="87"/>
      <c r="JRJ6" s="87"/>
      <c r="JRK6" s="87"/>
      <c r="JRL6" s="87"/>
      <c r="JRM6" s="87"/>
      <c r="JRN6" s="87"/>
      <c r="JRO6" s="87"/>
      <c r="JRP6" s="87"/>
      <c r="JRQ6" s="87"/>
      <c r="JRR6" s="87"/>
      <c r="JRS6" s="87"/>
      <c r="JRT6" s="87"/>
      <c r="JRU6" s="87"/>
      <c r="JRV6" s="87"/>
      <c r="JRW6" s="87"/>
      <c r="JRX6" s="87"/>
      <c r="JRY6" s="87"/>
      <c r="JRZ6" s="87"/>
      <c r="JSA6" s="87"/>
      <c r="JSB6" s="87"/>
      <c r="JSC6" s="87"/>
      <c r="JSD6" s="87"/>
      <c r="JSE6" s="87"/>
      <c r="JSF6" s="87"/>
      <c r="JSG6" s="87"/>
      <c r="JSH6" s="87"/>
      <c r="JSI6" s="87"/>
      <c r="JSJ6" s="87"/>
      <c r="JSK6" s="87"/>
      <c r="JSL6" s="87"/>
      <c r="JSM6" s="87"/>
      <c r="JSN6" s="87"/>
      <c r="JSO6" s="87"/>
      <c r="JSP6" s="87"/>
      <c r="JSQ6" s="87"/>
      <c r="JSR6" s="87"/>
      <c r="JSS6" s="87"/>
      <c r="JST6" s="87"/>
      <c r="JSU6" s="87"/>
      <c r="JSV6" s="87"/>
      <c r="JSW6" s="87"/>
      <c r="JSX6" s="87"/>
      <c r="JSY6" s="87"/>
      <c r="JSZ6" s="87"/>
      <c r="JTA6" s="87"/>
      <c r="JTB6" s="87"/>
      <c r="JTC6" s="87"/>
      <c r="JTD6" s="87"/>
      <c r="JTE6" s="87"/>
      <c r="JTF6" s="87"/>
      <c r="JTG6" s="87"/>
      <c r="JTH6" s="87"/>
      <c r="JTI6" s="87"/>
      <c r="JTJ6" s="87"/>
      <c r="JTK6" s="87"/>
      <c r="JTL6" s="87"/>
      <c r="JTM6" s="87"/>
      <c r="JTN6" s="87"/>
      <c r="JTO6" s="87"/>
      <c r="JTP6" s="87"/>
      <c r="JTQ6" s="87"/>
      <c r="JTR6" s="87"/>
      <c r="JTS6" s="87"/>
      <c r="JTT6" s="87"/>
      <c r="JTU6" s="87"/>
      <c r="JTV6" s="87"/>
      <c r="JTW6" s="87"/>
      <c r="JTX6" s="87"/>
      <c r="JTY6" s="87"/>
      <c r="JTZ6" s="87"/>
      <c r="JUA6" s="87"/>
      <c r="JUB6" s="87"/>
      <c r="JUC6" s="87"/>
      <c r="JUD6" s="87"/>
      <c r="JUE6" s="87"/>
      <c r="JUF6" s="87"/>
      <c r="JUG6" s="87"/>
      <c r="JUH6" s="87"/>
      <c r="JUI6" s="87"/>
      <c r="JUJ6" s="87"/>
      <c r="JUK6" s="87"/>
      <c r="JUL6" s="87"/>
      <c r="JUM6" s="87"/>
      <c r="JUN6" s="87"/>
      <c r="JUO6" s="87"/>
      <c r="JUP6" s="87"/>
      <c r="JUQ6" s="87"/>
      <c r="JUR6" s="87"/>
      <c r="JUS6" s="87"/>
      <c r="JUT6" s="87"/>
      <c r="JUU6" s="87"/>
      <c r="JUV6" s="87"/>
      <c r="JUW6" s="87"/>
      <c r="JUX6" s="87"/>
      <c r="JUY6" s="87"/>
      <c r="JUZ6" s="87"/>
      <c r="JVA6" s="87"/>
      <c r="JVB6" s="87"/>
      <c r="JVC6" s="87"/>
      <c r="JVD6" s="87"/>
      <c r="JVE6" s="87"/>
      <c r="JVF6" s="87"/>
      <c r="JVG6" s="87"/>
      <c r="JVH6" s="87"/>
      <c r="JVI6" s="87"/>
      <c r="JVJ6" s="87"/>
      <c r="JVK6" s="87"/>
      <c r="JVL6" s="87"/>
      <c r="JVM6" s="87"/>
      <c r="JVN6" s="87"/>
      <c r="JVO6" s="87"/>
      <c r="JVP6" s="87"/>
      <c r="JVQ6" s="87"/>
      <c r="JVR6" s="87"/>
      <c r="JVS6" s="87"/>
      <c r="JVT6" s="87"/>
      <c r="JVU6" s="87"/>
      <c r="JVV6" s="87"/>
      <c r="JVW6" s="87"/>
      <c r="JVX6" s="87"/>
      <c r="JVY6" s="87"/>
      <c r="JVZ6" s="87"/>
      <c r="JWA6" s="87"/>
      <c r="JWB6" s="87"/>
      <c r="JWC6" s="87"/>
      <c r="JWD6" s="87"/>
      <c r="JWE6" s="87"/>
      <c r="JWF6" s="87"/>
      <c r="JWG6" s="87"/>
      <c r="JWH6" s="87"/>
      <c r="JWI6" s="87"/>
      <c r="JWJ6" s="87"/>
      <c r="JWK6" s="87"/>
      <c r="JWL6" s="87"/>
      <c r="JWM6" s="87"/>
      <c r="JWN6" s="87"/>
      <c r="JWO6" s="87"/>
      <c r="JWP6" s="87"/>
      <c r="JWQ6" s="87"/>
      <c r="JWR6" s="87"/>
      <c r="JWS6" s="87"/>
      <c r="JWT6" s="87"/>
      <c r="JWU6" s="87"/>
      <c r="JWV6" s="87"/>
      <c r="JWW6" s="87"/>
      <c r="JWX6" s="87"/>
      <c r="JWY6" s="87"/>
      <c r="JWZ6" s="87"/>
      <c r="JXA6" s="87"/>
      <c r="JXB6" s="87"/>
      <c r="JXC6" s="87"/>
      <c r="JXD6" s="87"/>
      <c r="JXE6" s="87"/>
      <c r="JXF6" s="87"/>
      <c r="JXG6" s="87"/>
      <c r="JXH6" s="87"/>
      <c r="JXI6" s="87"/>
      <c r="JXJ6" s="87"/>
      <c r="JXK6" s="87"/>
      <c r="JXL6" s="87"/>
      <c r="JXM6" s="87"/>
      <c r="JXN6" s="87"/>
      <c r="JXO6" s="87"/>
      <c r="JXP6" s="87"/>
      <c r="JXQ6" s="87"/>
      <c r="JXR6" s="87"/>
      <c r="JXS6" s="87"/>
      <c r="JXT6" s="87"/>
      <c r="JXU6" s="87"/>
      <c r="JXV6" s="87"/>
      <c r="JXW6" s="87"/>
      <c r="JXX6" s="87"/>
      <c r="JXY6" s="87"/>
      <c r="JXZ6" s="87"/>
      <c r="JYA6" s="87"/>
      <c r="JYB6" s="87"/>
      <c r="JYC6" s="87"/>
      <c r="JYD6" s="87"/>
      <c r="JYE6" s="87"/>
      <c r="JYF6" s="87"/>
      <c r="JYG6" s="87"/>
      <c r="JYH6" s="87"/>
      <c r="JYI6" s="87"/>
      <c r="JYJ6" s="87"/>
      <c r="JYK6" s="87"/>
      <c r="JYL6" s="87"/>
      <c r="JYM6" s="87"/>
      <c r="JYN6" s="87"/>
      <c r="JYO6" s="87"/>
      <c r="JYP6" s="87"/>
      <c r="JYQ6" s="87"/>
      <c r="JYR6" s="87"/>
      <c r="JYS6" s="87"/>
      <c r="JYT6" s="87"/>
      <c r="JYU6" s="87"/>
      <c r="JYV6" s="87"/>
      <c r="JYW6" s="87"/>
      <c r="JYX6" s="87"/>
      <c r="JYY6" s="87"/>
      <c r="JYZ6" s="87"/>
      <c r="JZA6" s="87"/>
      <c r="JZB6" s="87"/>
      <c r="JZC6" s="87"/>
      <c r="JZD6" s="87"/>
      <c r="JZE6" s="87"/>
      <c r="JZF6" s="87"/>
      <c r="JZG6" s="87"/>
      <c r="JZH6" s="87"/>
      <c r="JZI6" s="87"/>
      <c r="JZJ6" s="87"/>
      <c r="JZK6" s="87"/>
      <c r="JZL6" s="87"/>
      <c r="JZM6" s="87"/>
      <c r="JZN6" s="87"/>
      <c r="JZO6" s="87"/>
      <c r="JZP6" s="87"/>
      <c r="JZQ6" s="87"/>
      <c r="JZR6" s="87"/>
      <c r="JZS6" s="87"/>
      <c r="JZT6" s="87"/>
      <c r="JZU6" s="87"/>
      <c r="JZV6" s="87"/>
      <c r="JZW6" s="87"/>
      <c r="JZX6" s="87"/>
      <c r="JZY6" s="87"/>
      <c r="JZZ6" s="87"/>
      <c r="KAA6" s="87"/>
      <c r="KAB6" s="87"/>
      <c r="KAC6" s="87"/>
      <c r="KAD6" s="87"/>
      <c r="KAE6" s="87"/>
      <c r="KAF6" s="87"/>
      <c r="KAG6" s="87"/>
      <c r="KAH6" s="87"/>
      <c r="KAI6" s="87"/>
      <c r="KAJ6" s="87"/>
      <c r="KAK6" s="87"/>
      <c r="KAL6" s="87"/>
      <c r="KAM6" s="87"/>
      <c r="KAN6" s="87"/>
      <c r="KAO6" s="87"/>
      <c r="KAP6" s="87"/>
      <c r="KAQ6" s="87"/>
      <c r="KAR6" s="87"/>
      <c r="KAS6" s="87"/>
      <c r="KAT6" s="87"/>
      <c r="KAU6" s="87"/>
      <c r="KAV6" s="87"/>
      <c r="KAW6" s="87"/>
      <c r="KAX6" s="87"/>
      <c r="KAY6" s="87"/>
      <c r="KAZ6" s="87"/>
      <c r="KBA6" s="87"/>
      <c r="KBB6" s="87"/>
      <c r="KBC6" s="87"/>
      <c r="KBD6" s="87"/>
      <c r="KBE6" s="87"/>
      <c r="KBF6" s="87"/>
      <c r="KBG6" s="87"/>
      <c r="KBH6" s="87"/>
      <c r="KBI6" s="87"/>
      <c r="KBJ6" s="87"/>
      <c r="KBK6" s="87"/>
      <c r="KBL6" s="87"/>
      <c r="KBM6" s="87"/>
      <c r="KBN6" s="87"/>
      <c r="KBO6" s="87"/>
      <c r="KBP6" s="87"/>
      <c r="KBQ6" s="87"/>
      <c r="KBR6" s="87"/>
      <c r="KBS6" s="87"/>
      <c r="KBT6" s="87"/>
      <c r="KBU6" s="87"/>
      <c r="KBV6" s="87"/>
      <c r="KBW6" s="87"/>
      <c r="KBX6" s="87"/>
      <c r="KBY6" s="87"/>
      <c r="KBZ6" s="87"/>
      <c r="KCA6" s="87"/>
      <c r="KCB6" s="87"/>
      <c r="KCC6" s="87"/>
      <c r="KCD6" s="87"/>
      <c r="KCE6" s="87"/>
      <c r="KCF6" s="87"/>
      <c r="KCG6" s="87"/>
      <c r="KCH6" s="87"/>
      <c r="KCI6" s="87"/>
      <c r="KCJ6" s="87"/>
      <c r="KCK6" s="87"/>
      <c r="KCL6" s="87"/>
      <c r="KCM6" s="87"/>
      <c r="KCN6" s="87"/>
      <c r="KCO6" s="87"/>
      <c r="KCP6" s="87"/>
      <c r="KCQ6" s="87"/>
      <c r="KCR6" s="87"/>
      <c r="KCS6" s="87"/>
      <c r="KCT6" s="87"/>
      <c r="KCU6" s="87"/>
      <c r="KCV6" s="87"/>
      <c r="KCW6" s="87"/>
      <c r="KCX6" s="87"/>
      <c r="KCY6" s="87"/>
      <c r="KCZ6" s="87"/>
      <c r="KDA6" s="87"/>
      <c r="KDB6" s="87"/>
      <c r="KDC6" s="87"/>
      <c r="KDD6" s="87"/>
      <c r="KDE6" s="87"/>
      <c r="KDF6" s="87"/>
      <c r="KDG6" s="87"/>
      <c r="KDH6" s="87"/>
      <c r="KDI6" s="87"/>
      <c r="KDJ6" s="87"/>
      <c r="KDK6" s="87"/>
      <c r="KDL6" s="87"/>
      <c r="KDM6" s="87"/>
      <c r="KDN6" s="87"/>
      <c r="KDO6" s="87"/>
      <c r="KDP6" s="87"/>
      <c r="KDQ6" s="87"/>
      <c r="KDR6" s="87"/>
      <c r="KDS6" s="87"/>
      <c r="KDT6" s="87"/>
      <c r="KDU6" s="87"/>
      <c r="KDV6" s="87"/>
      <c r="KDW6" s="87"/>
      <c r="KDX6" s="87"/>
      <c r="KDY6" s="87"/>
      <c r="KDZ6" s="87"/>
      <c r="KEA6" s="87"/>
      <c r="KEB6" s="87"/>
      <c r="KEC6" s="87"/>
      <c r="KED6" s="87"/>
      <c r="KEE6" s="87"/>
      <c r="KEF6" s="87"/>
      <c r="KEG6" s="87"/>
      <c r="KEH6" s="87"/>
      <c r="KEI6" s="87"/>
      <c r="KEJ6" s="87"/>
      <c r="KEK6" s="87"/>
      <c r="KEL6" s="87"/>
      <c r="KEM6" s="87"/>
      <c r="KEN6" s="87"/>
      <c r="KEO6" s="87"/>
      <c r="KEP6" s="87"/>
      <c r="KEQ6" s="87"/>
      <c r="KER6" s="87"/>
      <c r="KES6" s="87"/>
      <c r="KET6" s="87"/>
      <c r="KEU6" s="87"/>
      <c r="KEV6" s="87"/>
      <c r="KEW6" s="87"/>
      <c r="KEX6" s="87"/>
      <c r="KEY6" s="87"/>
      <c r="KEZ6" s="87"/>
      <c r="KFA6" s="87"/>
      <c r="KFB6" s="87"/>
      <c r="KFC6" s="87"/>
      <c r="KFD6" s="87"/>
      <c r="KFE6" s="87"/>
      <c r="KFF6" s="87"/>
      <c r="KFG6" s="87"/>
      <c r="KFH6" s="87"/>
      <c r="KFI6" s="87"/>
      <c r="KFJ6" s="87"/>
      <c r="KFK6" s="87"/>
      <c r="KFL6" s="87"/>
      <c r="KFM6" s="87"/>
      <c r="KFN6" s="87"/>
      <c r="KFO6" s="87"/>
      <c r="KFP6" s="87"/>
      <c r="KFQ6" s="87"/>
      <c r="KFR6" s="87"/>
      <c r="KFS6" s="87"/>
      <c r="KFT6" s="87"/>
      <c r="KFU6" s="87"/>
      <c r="KFV6" s="87"/>
      <c r="KFW6" s="87"/>
      <c r="KFX6" s="87"/>
      <c r="KFY6" s="87"/>
      <c r="KFZ6" s="87"/>
      <c r="KGA6" s="87"/>
      <c r="KGB6" s="87"/>
      <c r="KGC6" s="87"/>
      <c r="KGD6" s="87"/>
      <c r="KGE6" s="87"/>
      <c r="KGF6" s="87"/>
      <c r="KGG6" s="87"/>
      <c r="KGH6" s="87"/>
      <c r="KGI6" s="87"/>
      <c r="KGJ6" s="87"/>
      <c r="KGK6" s="87"/>
      <c r="KGL6" s="87"/>
      <c r="KGM6" s="87"/>
      <c r="KGN6" s="87"/>
      <c r="KGO6" s="87"/>
      <c r="KGP6" s="87"/>
      <c r="KGQ6" s="87"/>
      <c r="KGR6" s="87"/>
      <c r="KGS6" s="87"/>
      <c r="KGT6" s="87"/>
      <c r="KGU6" s="87"/>
      <c r="KGV6" s="87"/>
      <c r="KGW6" s="87"/>
      <c r="KGX6" s="87"/>
      <c r="KGY6" s="87"/>
      <c r="KGZ6" s="87"/>
      <c r="KHA6" s="87"/>
      <c r="KHB6" s="87"/>
      <c r="KHC6" s="87"/>
      <c r="KHD6" s="87"/>
      <c r="KHE6" s="87"/>
      <c r="KHF6" s="87"/>
      <c r="KHG6" s="87"/>
      <c r="KHH6" s="87"/>
      <c r="KHI6" s="87"/>
      <c r="KHJ6" s="87"/>
      <c r="KHK6" s="87"/>
      <c r="KHL6" s="87"/>
      <c r="KHM6" s="87"/>
      <c r="KHN6" s="87"/>
      <c r="KHO6" s="87"/>
      <c r="KHP6" s="87"/>
      <c r="KHQ6" s="87"/>
      <c r="KHR6" s="87"/>
      <c r="KHS6" s="87"/>
      <c r="KHT6" s="87"/>
      <c r="KHU6" s="87"/>
      <c r="KHV6" s="87"/>
      <c r="KHW6" s="87"/>
      <c r="KHX6" s="87"/>
      <c r="KHY6" s="87"/>
      <c r="KHZ6" s="87"/>
      <c r="KIA6" s="87"/>
      <c r="KIB6" s="87"/>
      <c r="KIC6" s="87"/>
      <c r="KID6" s="87"/>
      <c r="KIE6" s="87"/>
      <c r="KIF6" s="87"/>
      <c r="KIG6" s="87"/>
      <c r="KIH6" s="87"/>
      <c r="KII6" s="87"/>
      <c r="KIJ6" s="87"/>
      <c r="KIK6" s="87"/>
      <c r="KIL6" s="87"/>
      <c r="KIM6" s="87"/>
      <c r="KIN6" s="87"/>
      <c r="KIO6" s="87"/>
      <c r="KIP6" s="87"/>
      <c r="KIQ6" s="87"/>
      <c r="KIR6" s="87"/>
      <c r="KIS6" s="87"/>
      <c r="KIT6" s="87"/>
      <c r="KIU6" s="87"/>
      <c r="KIV6" s="87"/>
      <c r="KIW6" s="87"/>
      <c r="KIX6" s="87"/>
      <c r="KIY6" s="87"/>
      <c r="KIZ6" s="87"/>
      <c r="KJA6" s="87"/>
      <c r="KJB6" s="87"/>
      <c r="KJC6" s="87"/>
      <c r="KJD6" s="87"/>
      <c r="KJE6" s="87"/>
      <c r="KJF6" s="87"/>
      <c r="KJG6" s="87"/>
      <c r="KJH6" s="87"/>
      <c r="KJI6" s="87"/>
      <c r="KJJ6" s="87"/>
      <c r="KJK6" s="87"/>
      <c r="KJL6" s="87"/>
      <c r="KJM6" s="87"/>
      <c r="KJN6" s="87"/>
      <c r="KJO6" s="87"/>
      <c r="KJP6" s="87"/>
      <c r="KJQ6" s="87"/>
      <c r="KJR6" s="87"/>
      <c r="KJS6" s="87"/>
      <c r="KJT6" s="87"/>
      <c r="KJU6" s="87"/>
      <c r="KJV6" s="87"/>
      <c r="KJW6" s="87"/>
      <c r="KJX6" s="87"/>
      <c r="KJY6" s="87"/>
      <c r="KJZ6" s="87"/>
      <c r="KKA6" s="87"/>
      <c r="KKB6" s="87"/>
      <c r="KKC6" s="87"/>
      <c r="KKD6" s="87"/>
      <c r="KKE6" s="87"/>
      <c r="KKF6" s="87"/>
      <c r="KKG6" s="87"/>
      <c r="KKH6" s="87"/>
      <c r="KKI6" s="87"/>
      <c r="KKJ6" s="87"/>
      <c r="KKK6" s="87"/>
      <c r="KKL6" s="87"/>
      <c r="KKM6" s="87"/>
      <c r="KKN6" s="87"/>
      <c r="KKO6" s="87"/>
      <c r="KKP6" s="87"/>
      <c r="KKQ6" s="87"/>
      <c r="KKR6" s="87"/>
      <c r="KKS6" s="87"/>
      <c r="KKT6" s="87"/>
      <c r="KKU6" s="87"/>
      <c r="KKV6" s="87"/>
      <c r="KKW6" s="87"/>
      <c r="KKX6" s="87"/>
      <c r="KKY6" s="87"/>
      <c r="KKZ6" s="87"/>
      <c r="KLA6" s="87"/>
      <c r="KLB6" s="87"/>
      <c r="KLC6" s="87"/>
      <c r="KLD6" s="87"/>
      <c r="KLE6" s="87"/>
      <c r="KLF6" s="87"/>
      <c r="KLG6" s="87"/>
      <c r="KLH6" s="87"/>
      <c r="KLI6" s="87"/>
      <c r="KLJ6" s="87"/>
      <c r="KLK6" s="87"/>
      <c r="KLL6" s="87"/>
      <c r="KLM6" s="87"/>
      <c r="KLN6" s="87"/>
      <c r="KLO6" s="87"/>
      <c r="KLP6" s="87"/>
      <c r="KLQ6" s="87"/>
      <c r="KLR6" s="87"/>
      <c r="KLS6" s="87"/>
      <c r="KLT6" s="87"/>
      <c r="KLU6" s="87"/>
      <c r="KLV6" s="87"/>
      <c r="KLW6" s="87"/>
      <c r="KLX6" s="87"/>
      <c r="KLY6" s="87"/>
      <c r="KLZ6" s="87"/>
      <c r="KMA6" s="87"/>
      <c r="KMB6" s="87"/>
      <c r="KMC6" s="87"/>
      <c r="KMD6" s="87"/>
      <c r="KME6" s="87"/>
      <c r="KMF6" s="87"/>
      <c r="KMG6" s="87"/>
      <c r="KMH6" s="87"/>
      <c r="KMI6" s="87"/>
      <c r="KMJ6" s="87"/>
      <c r="KMK6" s="87"/>
      <c r="KML6" s="87"/>
      <c r="KMM6" s="87"/>
      <c r="KMN6" s="87"/>
      <c r="KMO6" s="87"/>
      <c r="KMP6" s="87"/>
      <c r="KMQ6" s="87"/>
      <c r="KMR6" s="87"/>
      <c r="KMS6" s="87"/>
      <c r="KMT6" s="87"/>
      <c r="KMU6" s="87"/>
      <c r="KMV6" s="87"/>
      <c r="KMW6" s="87"/>
      <c r="KMX6" s="87"/>
      <c r="KMY6" s="87"/>
      <c r="KMZ6" s="87"/>
      <c r="KNA6" s="87"/>
      <c r="KNB6" s="87"/>
      <c r="KNC6" s="87"/>
      <c r="KND6" s="87"/>
      <c r="KNE6" s="87"/>
      <c r="KNF6" s="87"/>
      <c r="KNG6" s="87"/>
      <c r="KNH6" s="87"/>
      <c r="KNI6" s="87"/>
      <c r="KNJ6" s="87"/>
      <c r="KNK6" s="87"/>
      <c r="KNL6" s="87"/>
      <c r="KNM6" s="87"/>
      <c r="KNN6" s="87"/>
      <c r="KNO6" s="87"/>
      <c r="KNP6" s="87"/>
      <c r="KNQ6" s="87"/>
      <c r="KNR6" s="87"/>
      <c r="KNS6" s="87"/>
      <c r="KNT6" s="87"/>
      <c r="KNU6" s="87"/>
      <c r="KNV6" s="87"/>
      <c r="KNW6" s="87"/>
      <c r="KNX6" s="87"/>
      <c r="KNY6" s="87"/>
      <c r="KNZ6" s="87"/>
      <c r="KOA6" s="87"/>
      <c r="KOB6" s="87"/>
      <c r="KOC6" s="87"/>
      <c r="KOD6" s="87"/>
      <c r="KOE6" s="87"/>
      <c r="KOF6" s="87"/>
      <c r="KOG6" s="87"/>
      <c r="KOH6" s="87"/>
      <c r="KOI6" s="87"/>
      <c r="KOJ6" s="87"/>
      <c r="KOK6" s="87"/>
      <c r="KOL6" s="87"/>
      <c r="KOM6" s="87"/>
      <c r="KON6" s="87"/>
      <c r="KOO6" s="87"/>
      <c r="KOP6" s="87"/>
      <c r="KOQ6" s="87"/>
      <c r="KOR6" s="87"/>
      <c r="KOS6" s="87"/>
      <c r="KOT6" s="87"/>
      <c r="KOU6" s="87"/>
      <c r="KOV6" s="87"/>
      <c r="KOW6" s="87"/>
      <c r="KOX6" s="87"/>
      <c r="KOY6" s="87"/>
      <c r="KOZ6" s="87"/>
      <c r="KPA6" s="87"/>
      <c r="KPB6" s="87"/>
      <c r="KPC6" s="87"/>
      <c r="KPD6" s="87"/>
      <c r="KPE6" s="87"/>
      <c r="KPF6" s="87"/>
      <c r="KPG6" s="87"/>
      <c r="KPH6" s="87"/>
      <c r="KPI6" s="87"/>
      <c r="KPJ6" s="87"/>
      <c r="KPK6" s="87"/>
      <c r="KPL6" s="87"/>
      <c r="KPM6" s="87"/>
      <c r="KPN6" s="87"/>
      <c r="KPO6" s="87"/>
      <c r="KPP6" s="87"/>
      <c r="KPQ6" s="87"/>
      <c r="KPR6" s="87"/>
      <c r="KPS6" s="87"/>
      <c r="KPT6" s="87"/>
      <c r="KPU6" s="87"/>
      <c r="KPV6" s="87"/>
      <c r="KPW6" s="87"/>
      <c r="KPX6" s="87"/>
      <c r="KPY6" s="87"/>
      <c r="KPZ6" s="87"/>
      <c r="KQA6" s="87"/>
      <c r="KQB6" s="87"/>
      <c r="KQC6" s="87"/>
      <c r="KQD6" s="87"/>
      <c r="KQE6" s="87"/>
      <c r="KQF6" s="87"/>
      <c r="KQG6" s="87"/>
      <c r="KQH6" s="87"/>
      <c r="KQI6" s="87"/>
      <c r="KQJ6" s="87"/>
      <c r="KQK6" s="87"/>
      <c r="KQL6" s="87"/>
      <c r="KQM6" s="87"/>
      <c r="KQN6" s="87"/>
      <c r="KQO6" s="87"/>
      <c r="KQP6" s="87"/>
      <c r="KQQ6" s="87"/>
      <c r="KQR6" s="87"/>
      <c r="KQS6" s="87"/>
      <c r="KQT6" s="87"/>
      <c r="KQU6" s="87"/>
      <c r="KQV6" s="87"/>
      <c r="KQW6" s="87"/>
      <c r="KQX6" s="87"/>
      <c r="KQY6" s="87"/>
      <c r="KQZ6" s="87"/>
      <c r="KRA6" s="87"/>
      <c r="KRB6" s="87"/>
      <c r="KRC6" s="87"/>
      <c r="KRD6" s="87"/>
      <c r="KRE6" s="87"/>
      <c r="KRF6" s="87"/>
      <c r="KRG6" s="87"/>
      <c r="KRH6" s="87"/>
      <c r="KRI6" s="87"/>
      <c r="KRJ6" s="87"/>
      <c r="KRK6" s="87"/>
      <c r="KRL6" s="87"/>
      <c r="KRM6" s="87"/>
      <c r="KRN6" s="87"/>
      <c r="KRO6" s="87"/>
      <c r="KRP6" s="87"/>
      <c r="KRQ6" s="87"/>
      <c r="KRR6" s="87"/>
      <c r="KRS6" s="87"/>
      <c r="KRT6" s="87"/>
      <c r="KRU6" s="87"/>
      <c r="KRV6" s="87"/>
      <c r="KRW6" s="87"/>
      <c r="KRX6" s="87"/>
      <c r="KRY6" s="87"/>
      <c r="KRZ6" s="87"/>
      <c r="KSA6" s="87"/>
      <c r="KSB6" s="87"/>
      <c r="KSC6" s="87"/>
      <c r="KSD6" s="87"/>
      <c r="KSE6" s="87"/>
      <c r="KSF6" s="87"/>
      <c r="KSG6" s="87"/>
      <c r="KSH6" s="87"/>
      <c r="KSI6" s="87"/>
      <c r="KSJ6" s="87"/>
      <c r="KSK6" s="87"/>
      <c r="KSL6" s="87"/>
      <c r="KSM6" s="87"/>
      <c r="KSN6" s="87"/>
      <c r="KSO6" s="87"/>
      <c r="KSP6" s="87"/>
      <c r="KSQ6" s="87"/>
      <c r="KSR6" s="87"/>
      <c r="KSS6" s="87"/>
      <c r="KST6" s="87"/>
      <c r="KSU6" s="87"/>
      <c r="KSV6" s="87"/>
      <c r="KSW6" s="87"/>
      <c r="KSX6" s="87"/>
      <c r="KSY6" s="87"/>
      <c r="KSZ6" s="87"/>
      <c r="KTA6" s="87"/>
      <c r="KTB6" s="87"/>
      <c r="KTC6" s="87"/>
      <c r="KTD6" s="87"/>
      <c r="KTE6" s="87"/>
      <c r="KTF6" s="87"/>
      <c r="KTG6" s="87"/>
      <c r="KTH6" s="87"/>
      <c r="KTI6" s="87"/>
      <c r="KTJ6" s="87"/>
      <c r="KTK6" s="87"/>
      <c r="KTL6" s="87"/>
      <c r="KTM6" s="87"/>
      <c r="KTN6" s="87"/>
      <c r="KTO6" s="87"/>
      <c r="KTP6" s="87"/>
      <c r="KTQ6" s="87"/>
      <c r="KTR6" s="87"/>
      <c r="KTS6" s="87"/>
      <c r="KTT6" s="87"/>
      <c r="KTU6" s="87"/>
      <c r="KTV6" s="87"/>
      <c r="KTW6" s="87"/>
      <c r="KTX6" s="87"/>
      <c r="KTY6" s="87"/>
      <c r="KTZ6" s="87"/>
      <c r="KUA6" s="87"/>
      <c r="KUB6" s="87"/>
      <c r="KUC6" s="87"/>
      <c r="KUD6" s="87"/>
      <c r="KUE6" s="87"/>
      <c r="KUF6" s="87"/>
      <c r="KUG6" s="87"/>
      <c r="KUH6" s="87"/>
      <c r="KUI6" s="87"/>
      <c r="KUJ6" s="87"/>
      <c r="KUK6" s="87"/>
      <c r="KUL6" s="87"/>
      <c r="KUM6" s="87"/>
      <c r="KUN6" s="87"/>
      <c r="KUO6" s="87"/>
      <c r="KUP6" s="87"/>
      <c r="KUQ6" s="87"/>
      <c r="KUR6" s="87"/>
      <c r="KUS6" s="87"/>
      <c r="KUT6" s="87"/>
      <c r="KUU6" s="87"/>
      <c r="KUV6" s="87"/>
      <c r="KUW6" s="87"/>
      <c r="KUX6" s="87"/>
      <c r="KUY6" s="87"/>
      <c r="KUZ6" s="87"/>
      <c r="KVA6" s="87"/>
      <c r="KVB6" s="87"/>
      <c r="KVC6" s="87"/>
      <c r="KVD6" s="87"/>
      <c r="KVE6" s="87"/>
      <c r="KVF6" s="87"/>
      <c r="KVG6" s="87"/>
      <c r="KVH6" s="87"/>
      <c r="KVI6" s="87"/>
      <c r="KVJ6" s="87"/>
      <c r="KVK6" s="87"/>
      <c r="KVL6" s="87"/>
      <c r="KVM6" s="87"/>
      <c r="KVN6" s="87"/>
      <c r="KVO6" s="87"/>
      <c r="KVP6" s="87"/>
      <c r="KVQ6" s="87"/>
      <c r="KVR6" s="87"/>
      <c r="KVS6" s="87"/>
      <c r="KVT6" s="87"/>
      <c r="KVU6" s="87"/>
      <c r="KVV6" s="87"/>
      <c r="KVW6" s="87"/>
      <c r="KVX6" s="87"/>
      <c r="KVY6" s="87"/>
      <c r="KVZ6" s="87"/>
      <c r="KWA6" s="87"/>
      <c r="KWB6" s="87"/>
      <c r="KWC6" s="87"/>
      <c r="KWD6" s="87"/>
      <c r="KWE6" s="87"/>
      <c r="KWF6" s="87"/>
      <c r="KWG6" s="87"/>
      <c r="KWH6" s="87"/>
      <c r="KWI6" s="87"/>
      <c r="KWJ6" s="87"/>
      <c r="KWK6" s="87"/>
      <c r="KWL6" s="87"/>
      <c r="KWM6" s="87"/>
      <c r="KWN6" s="87"/>
      <c r="KWO6" s="87"/>
      <c r="KWP6" s="87"/>
      <c r="KWQ6" s="87"/>
      <c r="KWR6" s="87"/>
      <c r="KWS6" s="87"/>
      <c r="KWT6" s="87"/>
      <c r="KWU6" s="87"/>
      <c r="KWV6" s="87"/>
      <c r="KWW6" s="87"/>
      <c r="KWX6" s="87"/>
      <c r="KWY6" s="87"/>
      <c r="KWZ6" s="87"/>
      <c r="KXA6" s="87"/>
      <c r="KXB6" s="87"/>
      <c r="KXC6" s="87"/>
      <c r="KXD6" s="87"/>
      <c r="KXE6" s="87"/>
      <c r="KXF6" s="87"/>
      <c r="KXG6" s="87"/>
      <c r="KXH6" s="87"/>
      <c r="KXI6" s="87"/>
      <c r="KXJ6" s="87"/>
      <c r="KXK6" s="87"/>
      <c r="KXL6" s="87"/>
      <c r="KXM6" s="87"/>
      <c r="KXN6" s="87"/>
      <c r="KXO6" s="87"/>
      <c r="KXP6" s="87"/>
      <c r="KXQ6" s="87"/>
      <c r="KXR6" s="87"/>
      <c r="KXS6" s="87"/>
      <c r="KXT6" s="87"/>
      <c r="KXU6" s="87"/>
      <c r="KXV6" s="87"/>
      <c r="KXW6" s="87"/>
      <c r="KXX6" s="87"/>
      <c r="KXY6" s="87"/>
      <c r="KXZ6" s="87"/>
      <c r="KYA6" s="87"/>
      <c r="KYB6" s="87"/>
      <c r="KYC6" s="87"/>
      <c r="KYD6" s="87"/>
      <c r="KYE6" s="87"/>
      <c r="KYF6" s="87"/>
      <c r="KYG6" s="87"/>
      <c r="KYH6" s="87"/>
      <c r="KYI6" s="87"/>
      <c r="KYJ6" s="87"/>
      <c r="KYK6" s="87"/>
      <c r="KYL6" s="87"/>
      <c r="KYM6" s="87"/>
      <c r="KYN6" s="87"/>
      <c r="KYO6" s="87"/>
      <c r="KYP6" s="87"/>
      <c r="KYQ6" s="87"/>
      <c r="KYR6" s="87"/>
      <c r="KYS6" s="87"/>
      <c r="KYT6" s="87"/>
      <c r="KYU6" s="87"/>
      <c r="KYV6" s="87"/>
      <c r="KYW6" s="87"/>
      <c r="KYX6" s="87"/>
      <c r="KYY6" s="87"/>
      <c r="KYZ6" s="87"/>
      <c r="KZA6" s="87"/>
      <c r="KZB6" s="87"/>
      <c r="KZC6" s="87"/>
      <c r="KZD6" s="87"/>
      <c r="KZE6" s="87"/>
      <c r="KZF6" s="87"/>
      <c r="KZG6" s="87"/>
      <c r="KZH6" s="87"/>
      <c r="KZI6" s="87"/>
      <c r="KZJ6" s="87"/>
      <c r="KZK6" s="87"/>
      <c r="KZL6" s="87"/>
      <c r="KZM6" s="87"/>
      <c r="KZN6" s="87"/>
      <c r="KZO6" s="87"/>
      <c r="KZP6" s="87"/>
      <c r="KZQ6" s="87"/>
      <c r="KZR6" s="87"/>
      <c r="KZS6" s="87"/>
      <c r="KZT6" s="87"/>
      <c r="KZU6" s="87"/>
      <c r="KZV6" s="87"/>
      <c r="KZW6" s="87"/>
      <c r="KZX6" s="87"/>
      <c r="KZY6" s="87"/>
      <c r="KZZ6" s="87"/>
      <c r="LAA6" s="87"/>
      <c r="LAB6" s="87"/>
      <c r="LAC6" s="87"/>
      <c r="LAD6" s="87"/>
      <c r="LAE6" s="87"/>
      <c r="LAF6" s="87"/>
      <c r="LAG6" s="87"/>
      <c r="LAH6" s="87"/>
      <c r="LAI6" s="87"/>
      <c r="LAJ6" s="87"/>
      <c r="LAK6" s="87"/>
      <c r="LAL6" s="87"/>
      <c r="LAM6" s="87"/>
      <c r="LAN6" s="87"/>
      <c r="LAO6" s="87"/>
      <c r="LAP6" s="87"/>
      <c r="LAQ6" s="87"/>
      <c r="LAR6" s="87"/>
      <c r="LAS6" s="87"/>
      <c r="LAT6" s="87"/>
      <c r="LAU6" s="87"/>
      <c r="LAV6" s="87"/>
      <c r="LAW6" s="87"/>
      <c r="LAX6" s="87"/>
      <c r="LAY6" s="87"/>
      <c r="LAZ6" s="87"/>
      <c r="LBA6" s="87"/>
      <c r="LBB6" s="87"/>
      <c r="LBC6" s="87"/>
      <c r="LBD6" s="87"/>
      <c r="LBE6" s="87"/>
      <c r="LBF6" s="87"/>
      <c r="LBG6" s="87"/>
      <c r="LBH6" s="87"/>
      <c r="LBI6" s="87"/>
      <c r="LBJ6" s="87"/>
      <c r="LBK6" s="87"/>
      <c r="LBL6" s="87"/>
      <c r="LBM6" s="87"/>
      <c r="LBN6" s="87"/>
      <c r="LBO6" s="87"/>
      <c r="LBP6" s="87"/>
      <c r="LBQ6" s="87"/>
      <c r="LBR6" s="87"/>
      <c r="LBS6" s="87"/>
      <c r="LBT6" s="87"/>
      <c r="LBU6" s="87"/>
      <c r="LBV6" s="87"/>
      <c r="LBW6" s="87"/>
      <c r="LBX6" s="87"/>
      <c r="LBY6" s="87"/>
      <c r="LBZ6" s="87"/>
      <c r="LCA6" s="87"/>
      <c r="LCB6" s="87"/>
      <c r="LCC6" s="87"/>
      <c r="LCD6" s="87"/>
      <c r="LCE6" s="87"/>
      <c r="LCF6" s="87"/>
      <c r="LCG6" s="87"/>
      <c r="LCH6" s="87"/>
      <c r="LCI6" s="87"/>
      <c r="LCJ6" s="87"/>
      <c r="LCK6" s="87"/>
      <c r="LCL6" s="87"/>
      <c r="LCM6" s="87"/>
      <c r="LCN6" s="87"/>
      <c r="LCO6" s="87"/>
      <c r="LCP6" s="87"/>
      <c r="LCQ6" s="87"/>
      <c r="LCR6" s="87"/>
      <c r="LCS6" s="87"/>
      <c r="LCT6" s="87"/>
      <c r="LCU6" s="87"/>
      <c r="LCV6" s="87"/>
      <c r="LCW6" s="87"/>
      <c r="LCX6" s="87"/>
      <c r="LCY6" s="87"/>
      <c r="LCZ6" s="87"/>
      <c r="LDA6" s="87"/>
      <c r="LDB6" s="87"/>
      <c r="LDC6" s="87"/>
      <c r="LDD6" s="87"/>
      <c r="LDE6" s="87"/>
      <c r="LDF6" s="87"/>
      <c r="LDG6" s="87"/>
      <c r="LDH6" s="87"/>
      <c r="LDI6" s="87"/>
      <c r="LDJ6" s="87"/>
      <c r="LDK6" s="87"/>
      <c r="LDL6" s="87"/>
      <c r="LDM6" s="87"/>
      <c r="LDN6" s="87"/>
      <c r="LDO6" s="87"/>
      <c r="LDP6" s="87"/>
      <c r="LDQ6" s="87"/>
      <c r="LDR6" s="87"/>
      <c r="LDS6" s="87"/>
      <c r="LDT6" s="87"/>
      <c r="LDU6" s="87"/>
      <c r="LDV6" s="87"/>
      <c r="LDW6" s="87"/>
      <c r="LDX6" s="87"/>
      <c r="LDY6" s="87"/>
      <c r="LDZ6" s="87"/>
      <c r="LEA6" s="87"/>
      <c r="LEB6" s="87"/>
      <c r="LEC6" s="87"/>
      <c r="LED6" s="87"/>
      <c r="LEE6" s="87"/>
      <c r="LEF6" s="87"/>
      <c r="LEG6" s="87"/>
      <c r="LEH6" s="87"/>
      <c r="LEI6" s="87"/>
      <c r="LEJ6" s="87"/>
      <c r="LEK6" s="87"/>
      <c r="LEL6" s="87"/>
      <c r="LEM6" s="87"/>
      <c r="LEN6" s="87"/>
      <c r="LEO6" s="87"/>
      <c r="LEP6" s="87"/>
      <c r="LEQ6" s="87"/>
      <c r="LER6" s="87"/>
      <c r="LES6" s="87"/>
      <c r="LET6" s="87"/>
      <c r="LEU6" s="87"/>
      <c r="LEV6" s="87"/>
      <c r="LEW6" s="87"/>
      <c r="LEX6" s="87"/>
      <c r="LEY6" s="87"/>
      <c r="LEZ6" s="87"/>
      <c r="LFA6" s="87"/>
      <c r="LFB6" s="87"/>
      <c r="LFC6" s="87"/>
      <c r="LFD6" s="87"/>
      <c r="LFE6" s="87"/>
      <c r="LFF6" s="87"/>
      <c r="LFG6" s="87"/>
      <c r="LFH6" s="87"/>
      <c r="LFI6" s="87"/>
      <c r="LFJ6" s="87"/>
      <c r="LFK6" s="87"/>
      <c r="LFL6" s="87"/>
      <c r="LFM6" s="87"/>
      <c r="LFN6" s="87"/>
      <c r="LFO6" s="87"/>
      <c r="LFP6" s="87"/>
      <c r="LFQ6" s="87"/>
      <c r="LFR6" s="87"/>
      <c r="LFS6" s="87"/>
      <c r="LFT6" s="87"/>
      <c r="LFU6" s="87"/>
      <c r="LFV6" s="87"/>
      <c r="LFW6" s="87"/>
      <c r="LFX6" s="87"/>
      <c r="LFY6" s="87"/>
      <c r="LFZ6" s="87"/>
      <c r="LGA6" s="87"/>
      <c r="LGB6" s="87"/>
      <c r="LGC6" s="87"/>
      <c r="LGD6" s="87"/>
      <c r="LGE6" s="87"/>
      <c r="LGF6" s="87"/>
      <c r="LGG6" s="87"/>
      <c r="LGH6" s="87"/>
      <c r="LGI6" s="87"/>
      <c r="LGJ6" s="87"/>
      <c r="LGK6" s="87"/>
      <c r="LGL6" s="87"/>
      <c r="LGM6" s="87"/>
      <c r="LGN6" s="87"/>
      <c r="LGO6" s="87"/>
      <c r="LGP6" s="87"/>
      <c r="LGQ6" s="87"/>
      <c r="LGR6" s="87"/>
      <c r="LGS6" s="87"/>
      <c r="LGT6" s="87"/>
      <c r="LGU6" s="87"/>
      <c r="LGV6" s="87"/>
      <c r="LGW6" s="87"/>
      <c r="LGX6" s="87"/>
      <c r="LGY6" s="87"/>
      <c r="LGZ6" s="87"/>
      <c r="LHA6" s="87"/>
      <c r="LHB6" s="87"/>
      <c r="LHC6" s="87"/>
      <c r="LHD6" s="87"/>
      <c r="LHE6" s="87"/>
      <c r="LHF6" s="87"/>
      <c r="LHG6" s="87"/>
      <c r="LHH6" s="87"/>
      <c r="LHI6" s="87"/>
      <c r="LHJ6" s="87"/>
      <c r="LHK6" s="87"/>
      <c r="LHL6" s="87"/>
      <c r="LHM6" s="87"/>
      <c r="LHN6" s="87"/>
      <c r="LHO6" s="87"/>
      <c r="LHP6" s="87"/>
      <c r="LHQ6" s="87"/>
      <c r="LHR6" s="87"/>
      <c r="LHS6" s="87"/>
      <c r="LHT6" s="87"/>
      <c r="LHU6" s="87"/>
      <c r="LHV6" s="87"/>
      <c r="LHW6" s="87"/>
      <c r="LHX6" s="87"/>
      <c r="LHY6" s="87"/>
      <c r="LHZ6" s="87"/>
      <c r="LIA6" s="87"/>
      <c r="LIB6" s="87"/>
      <c r="LIC6" s="87"/>
      <c r="LID6" s="87"/>
      <c r="LIE6" s="87"/>
      <c r="LIF6" s="87"/>
      <c r="LIG6" s="87"/>
      <c r="LIH6" s="87"/>
      <c r="LII6" s="87"/>
      <c r="LIJ6" s="87"/>
      <c r="LIK6" s="87"/>
      <c r="LIL6" s="87"/>
      <c r="LIM6" s="87"/>
      <c r="LIN6" s="87"/>
      <c r="LIO6" s="87"/>
      <c r="LIP6" s="87"/>
      <c r="LIQ6" s="87"/>
      <c r="LIR6" s="87"/>
      <c r="LIS6" s="87"/>
      <c r="LIT6" s="87"/>
      <c r="LIU6" s="87"/>
      <c r="LIV6" s="87"/>
      <c r="LIW6" s="87"/>
      <c r="LIX6" s="87"/>
      <c r="LIY6" s="87"/>
      <c r="LIZ6" s="87"/>
      <c r="LJA6" s="87"/>
      <c r="LJB6" s="87"/>
      <c r="LJC6" s="87"/>
      <c r="LJD6" s="87"/>
      <c r="LJE6" s="87"/>
      <c r="LJF6" s="87"/>
      <c r="LJG6" s="87"/>
      <c r="LJH6" s="87"/>
      <c r="LJI6" s="87"/>
      <c r="LJJ6" s="87"/>
      <c r="LJK6" s="87"/>
      <c r="LJL6" s="87"/>
      <c r="LJM6" s="87"/>
      <c r="LJN6" s="87"/>
      <c r="LJO6" s="87"/>
      <c r="LJP6" s="87"/>
      <c r="LJQ6" s="87"/>
      <c r="LJR6" s="87"/>
      <c r="LJS6" s="87"/>
      <c r="LJT6" s="87"/>
      <c r="LJU6" s="87"/>
      <c r="LJV6" s="87"/>
      <c r="LJW6" s="87"/>
      <c r="LJX6" s="87"/>
      <c r="LJY6" s="87"/>
      <c r="LJZ6" s="87"/>
      <c r="LKA6" s="87"/>
      <c r="LKB6" s="87"/>
      <c r="LKC6" s="87"/>
      <c r="LKD6" s="87"/>
      <c r="LKE6" s="87"/>
      <c r="LKF6" s="87"/>
      <c r="LKG6" s="87"/>
      <c r="LKH6" s="87"/>
      <c r="LKI6" s="87"/>
      <c r="LKJ6" s="87"/>
      <c r="LKK6" s="87"/>
      <c r="LKL6" s="87"/>
      <c r="LKM6" s="87"/>
      <c r="LKN6" s="87"/>
      <c r="LKO6" s="87"/>
      <c r="LKP6" s="87"/>
      <c r="LKQ6" s="87"/>
      <c r="LKR6" s="87"/>
      <c r="LKS6" s="87"/>
      <c r="LKT6" s="87"/>
      <c r="LKU6" s="87"/>
      <c r="LKV6" s="87"/>
      <c r="LKW6" s="87"/>
      <c r="LKX6" s="87"/>
      <c r="LKY6" s="87"/>
      <c r="LKZ6" s="87"/>
      <c r="LLA6" s="87"/>
      <c r="LLB6" s="87"/>
      <c r="LLC6" s="87"/>
      <c r="LLD6" s="87"/>
      <c r="LLE6" s="87"/>
      <c r="LLF6" s="87"/>
      <c r="LLG6" s="87"/>
      <c r="LLH6" s="87"/>
      <c r="LLI6" s="87"/>
      <c r="LLJ6" s="87"/>
      <c r="LLK6" s="87"/>
      <c r="LLL6" s="87"/>
      <c r="LLM6" s="87"/>
      <c r="LLN6" s="87"/>
      <c r="LLO6" s="87"/>
      <c r="LLP6" s="87"/>
      <c r="LLQ6" s="87"/>
      <c r="LLR6" s="87"/>
      <c r="LLS6" s="87"/>
      <c r="LLT6" s="87"/>
      <c r="LLU6" s="87"/>
      <c r="LLV6" s="87"/>
      <c r="LLW6" s="87"/>
      <c r="LLX6" s="87"/>
      <c r="LLY6" s="87"/>
      <c r="LLZ6" s="87"/>
      <c r="LMA6" s="87"/>
      <c r="LMB6" s="87"/>
      <c r="LMC6" s="87"/>
      <c r="LMD6" s="87"/>
      <c r="LME6" s="87"/>
      <c r="LMF6" s="87"/>
      <c r="LMG6" s="87"/>
      <c r="LMH6" s="87"/>
      <c r="LMI6" s="87"/>
      <c r="LMJ6" s="87"/>
      <c r="LMK6" s="87"/>
      <c r="LML6" s="87"/>
      <c r="LMM6" s="87"/>
      <c r="LMN6" s="87"/>
      <c r="LMO6" s="87"/>
      <c r="LMP6" s="87"/>
      <c r="LMQ6" s="87"/>
      <c r="LMR6" s="87"/>
      <c r="LMS6" s="87"/>
      <c r="LMT6" s="87"/>
      <c r="LMU6" s="87"/>
      <c r="LMV6" s="87"/>
      <c r="LMW6" s="87"/>
      <c r="LMX6" s="87"/>
      <c r="LMY6" s="87"/>
      <c r="LMZ6" s="87"/>
      <c r="LNA6" s="87"/>
      <c r="LNB6" s="87"/>
      <c r="LNC6" s="87"/>
      <c r="LND6" s="87"/>
      <c r="LNE6" s="87"/>
      <c r="LNF6" s="87"/>
      <c r="LNG6" s="87"/>
      <c r="LNH6" s="87"/>
      <c r="LNI6" s="87"/>
      <c r="LNJ6" s="87"/>
      <c r="LNK6" s="87"/>
      <c r="LNL6" s="87"/>
      <c r="LNM6" s="87"/>
      <c r="LNN6" s="87"/>
      <c r="LNO6" s="87"/>
      <c r="LNP6" s="87"/>
      <c r="LNQ6" s="87"/>
      <c r="LNR6" s="87"/>
      <c r="LNS6" s="87"/>
      <c r="LNT6" s="87"/>
      <c r="LNU6" s="87"/>
      <c r="LNV6" s="87"/>
      <c r="LNW6" s="87"/>
      <c r="LNX6" s="87"/>
      <c r="LNY6" s="87"/>
      <c r="LNZ6" s="87"/>
      <c r="LOA6" s="87"/>
      <c r="LOB6" s="87"/>
      <c r="LOC6" s="87"/>
      <c r="LOD6" s="87"/>
      <c r="LOE6" s="87"/>
      <c r="LOF6" s="87"/>
      <c r="LOG6" s="87"/>
      <c r="LOH6" s="87"/>
      <c r="LOI6" s="87"/>
      <c r="LOJ6" s="87"/>
      <c r="LOK6" s="87"/>
      <c r="LOL6" s="87"/>
      <c r="LOM6" s="87"/>
      <c r="LON6" s="87"/>
      <c r="LOO6" s="87"/>
      <c r="LOP6" s="87"/>
      <c r="LOQ6" s="87"/>
      <c r="LOR6" s="87"/>
      <c r="LOS6" s="87"/>
      <c r="LOT6" s="87"/>
      <c r="LOU6" s="87"/>
      <c r="LOV6" s="87"/>
      <c r="LOW6" s="87"/>
      <c r="LOX6" s="87"/>
      <c r="LOY6" s="87"/>
      <c r="LOZ6" s="87"/>
      <c r="LPA6" s="87"/>
      <c r="LPB6" s="87"/>
      <c r="LPC6" s="87"/>
      <c r="LPD6" s="87"/>
      <c r="LPE6" s="87"/>
      <c r="LPF6" s="87"/>
      <c r="LPG6" s="87"/>
      <c r="LPH6" s="87"/>
      <c r="LPI6" s="87"/>
      <c r="LPJ6" s="87"/>
      <c r="LPK6" s="87"/>
      <c r="LPL6" s="87"/>
      <c r="LPM6" s="87"/>
      <c r="LPN6" s="87"/>
      <c r="LPO6" s="87"/>
      <c r="LPP6" s="87"/>
      <c r="LPQ6" s="87"/>
      <c r="LPR6" s="87"/>
      <c r="LPS6" s="87"/>
      <c r="LPT6" s="87"/>
      <c r="LPU6" s="87"/>
      <c r="LPV6" s="87"/>
      <c r="LPW6" s="87"/>
      <c r="LPX6" s="87"/>
      <c r="LPY6" s="87"/>
      <c r="LPZ6" s="87"/>
      <c r="LQA6" s="87"/>
      <c r="LQB6" s="87"/>
      <c r="LQC6" s="87"/>
      <c r="LQD6" s="87"/>
      <c r="LQE6" s="87"/>
      <c r="LQF6" s="87"/>
      <c r="LQG6" s="87"/>
      <c r="LQH6" s="87"/>
      <c r="LQI6" s="87"/>
      <c r="LQJ6" s="87"/>
      <c r="LQK6" s="87"/>
      <c r="LQL6" s="87"/>
      <c r="LQM6" s="87"/>
      <c r="LQN6" s="87"/>
      <c r="LQO6" s="87"/>
      <c r="LQP6" s="87"/>
      <c r="LQQ6" s="87"/>
      <c r="LQR6" s="87"/>
      <c r="LQS6" s="87"/>
      <c r="LQT6" s="87"/>
      <c r="LQU6" s="87"/>
      <c r="LQV6" s="87"/>
      <c r="LQW6" s="87"/>
      <c r="LQX6" s="87"/>
      <c r="LQY6" s="87"/>
      <c r="LQZ6" s="87"/>
      <c r="LRA6" s="87"/>
      <c r="LRB6" s="87"/>
      <c r="LRC6" s="87"/>
      <c r="LRD6" s="87"/>
      <c r="LRE6" s="87"/>
      <c r="LRF6" s="87"/>
      <c r="LRG6" s="87"/>
      <c r="LRH6" s="87"/>
      <c r="LRI6" s="87"/>
      <c r="LRJ6" s="87"/>
      <c r="LRK6" s="87"/>
      <c r="LRL6" s="87"/>
      <c r="LRM6" s="87"/>
      <c r="LRN6" s="87"/>
      <c r="LRO6" s="87"/>
      <c r="LRP6" s="87"/>
      <c r="LRQ6" s="87"/>
      <c r="LRR6" s="87"/>
      <c r="LRS6" s="87"/>
      <c r="LRT6" s="87"/>
      <c r="LRU6" s="87"/>
      <c r="LRV6" s="87"/>
      <c r="LRW6" s="87"/>
      <c r="LRX6" s="87"/>
      <c r="LRY6" s="87"/>
      <c r="LRZ6" s="87"/>
      <c r="LSA6" s="87"/>
      <c r="LSB6" s="87"/>
      <c r="LSC6" s="87"/>
      <c r="LSD6" s="87"/>
      <c r="LSE6" s="87"/>
      <c r="LSF6" s="87"/>
      <c r="LSG6" s="87"/>
      <c r="LSH6" s="87"/>
      <c r="LSI6" s="87"/>
      <c r="LSJ6" s="87"/>
      <c r="LSK6" s="87"/>
      <c r="LSL6" s="87"/>
      <c r="LSM6" s="87"/>
      <c r="LSN6" s="87"/>
      <c r="LSO6" s="87"/>
      <c r="LSP6" s="87"/>
      <c r="LSQ6" s="87"/>
      <c r="LSR6" s="87"/>
      <c r="LSS6" s="87"/>
      <c r="LST6" s="87"/>
      <c r="LSU6" s="87"/>
      <c r="LSV6" s="87"/>
      <c r="LSW6" s="87"/>
      <c r="LSX6" s="87"/>
      <c r="LSY6" s="87"/>
      <c r="LSZ6" s="87"/>
      <c r="LTA6" s="87"/>
      <c r="LTB6" s="87"/>
      <c r="LTC6" s="87"/>
      <c r="LTD6" s="87"/>
      <c r="LTE6" s="87"/>
      <c r="LTF6" s="87"/>
      <c r="LTG6" s="87"/>
      <c r="LTH6" s="87"/>
      <c r="LTI6" s="87"/>
      <c r="LTJ6" s="87"/>
      <c r="LTK6" s="87"/>
      <c r="LTL6" s="87"/>
      <c r="LTM6" s="87"/>
      <c r="LTN6" s="87"/>
      <c r="LTO6" s="87"/>
      <c r="LTP6" s="87"/>
      <c r="LTQ6" s="87"/>
      <c r="LTR6" s="87"/>
      <c r="LTS6" s="87"/>
      <c r="LTT6" s="87"/>
      <c r="LTU6" s="87"/>
      <c r="LTV6" s="87"/>
      <c r="LTW6" s="87"/>
      <c r="LTX6" s="87"/>
      <c r="LTY6" s="87"/>
      <c r="LTZ6" s="87"/>
      <c r="LUA6" s="87"/>
      <c r="LUB6" s="87"/>
      <c r="LUC6" s="87"/>
      <c r="LUD6" s="87"/>
      <c r="LUE6" s="87"/>
      <c r="LUF6" s="87"/>
      <c r="LUG6" s="87"/>
      <c r="LUH6" s="87"/>
      <c r="LUI6" s="87"/>
      <c r="LUJ6" s="87"/>
      <c r="LUK6" s="87"/>
      <c r="LUL6" s="87"/>
      <c r="LUM6" s="87"/>
      <c r="LUN6" s="87"/>
      <c r="LUO6" s="87"/>
      <c r="LUP6" s="87"/>
      <c r="LUQ6" s="87"/>
      <c r="LUR6" s="87"/>
      <c r="LUS6" s="87"/>
      <c r="LUT6" s="87"/>
      <c r="LUU6" s="87"/>
      <c r="LUV6" s="87"/>
      <c r="LUW6" s="87"/>
      <c r="LUX6" s="87"/>
      <c r="LUY6" s="87"/>
      <c r="LUZ6" s="87"/>
      <c r="LVA6" s="87"/>
      <c r="LVB6" s="87"/>
      <c r="LVC6" s="87"/>
      <c r="LVD6" s="87"/>
      <c r="LVE6" s="87"/>
      <c r="LVF6" s="87"/>
      <c r="LVG6" s="87"/>
      <c r="LVH6" s="87"/>
      <c r="LVI6" s="87"/>
      <c r="LVJ6" s="87"/>
      <c r="LVK6" s="87"/>
      <c r="LVL6" s="87"/>
      <c r="LVM6" s="87"/>
      <c r="LVN6" s="87"/>
      <c r="LVO6" s="87"/>
      <c r="LVP6" s="87"/>
      <c r="LVQ6" s="87"/>
      <c r="LVR6" s="87"/>
      <c r="LVS6" s="87"/>
      <c r="LVT6" s="87"/>
      <c r="LVU6" s="87"/>
      <c r="LVV6" s="87"/>
      <c r="LVW6" s="87"/>
      <c r="LVX6" s="87"/>
      <c r="LVY6" s="87"/>
      <c r="LVZ6" s="87"/>
      <c r="LWA6" s="87"/>
      <c r="LWB6" s="87"/>
      <c r="LWC6" s="87"/>
      <c r="LWD6" s="87"/>
      <c r="LWE6" s="87"/>
      <c r="LWF6" s="87"/>
      <c r="LWG6" s="87"/>
      <c r="LWH6" s="87"/>
      <c r="LWI6" s="87"/>
      <c r="LWJ6" s="87"/>
      <c r="LWK6" s="87"/>
      <c r="LWL6" s="87"/>
      <c r="LWM6" s="87"/>
      <c r="LWN6" s="87"/>
      <c r="LWO6" s="87"/>
      <c r="LWP6" s="87"/>
      <c r="LWQ6" s="87"/>
      <c r="LWR6" s="87"/>
      <c r="LWS6" s="87"/>
      <c r="LWT6" s="87"/>
      <c r="LWU6" s="87"/>
      <c r="LWV6" s="87"/>
      <c r="LWW6" s="87"/>
      <c r="LWX6" s="87"/>
      <c r="LWY6" s="87"/>
      <c r="LWZ6" s="87"/>
      <c r="LXA6" s="87"/>
      <c r="LXB6" s="87"/>
      <c r="LXC6" s="87"/>
      <c r="LXD6" s="87"/>
      <c r="LXE6" s="87"/>
      <c r="LXF6" s="87"/>
      <c r="LXG6" s="87"/>
      <c r="LXH6" s="87"/>
      <c r="LXI6" s="87"/>
      <c r="LXJ6" s="87"/>
      <c r="LXK6" s="87"/>
      <c r="LXL6" s="87"/>
      <c r="LXM6" s="87"/>
      <c r="LXN6" s="87"/>
      <c r="LXO6" s="87"/>
      <c r="LXP6" s="87"/>
      <c r="LXQ6" s="87"/>
      <c r="LXR6" s="87"/>
      <c r="LXS6" s="87"/>
      <c r="LXT6" s="87"/>
      <c r="LXU6" s="87"/>
      <c r="LXV6" s="87"/>
      <c r="LXW6" s="87"/>
      <c r="LXX6" s="87"/>
      <c r="LXY6" s="87"/>
      <c r="LXZ6" s="87"/>
      <c r="LYA6" s="87"/>
      <c r="LYB6" s="87"/>
      <c r="LYC6" s="87"/>
      <c r="LYD6" s="87"/>
      <c r="LYE6" s="87"/>
      <c r="LYF6" s="87"/>
      <c r="LYG6" s="87"/>
      <c r="LYH6" s="87"/>
      <c r="LYI6" s="87"/>
      <c r="LYJ6" s="87"/>
      <c r="LYK6" s="87"/>
      <c r="LYL6" s="87"/>
      <c r="LYM6" s="87"/>
      <c r="LYN6" s="87"/>
      <c r="LYO6" s="87"/>
      <c r="LYP6" s="87"/>
      <c r="LYQ6" s="87"/>
      <c r="LYR6" s="87"/>
      <c r="LYS6" s="87"/>
      <c r="LYT6" s="87"/>
      <c r="LYU6" s="87"/>
      <c r="LYV6" s="87"/>
      <c r="LYW6" s="87"/>
      <c r="LYX6" s="87"/>
      <c r="LYY6" s="87"/>
      <c r="LYZ6" s="87"/>
      <c r="LZA6" s="87"/>
      <c r="LZB6" s="87"/>
      <c r="LZC6" s="87"/>
      <c r="LZD6" s="87"/>
      <c r="LZE6" s="87"/>
      <c r="LZF6" s="87"/>
      <c r="LZG6" s="87"/>
      <c r="LZH6" s="87"/>
      <c r="LZI6" s="87"/>
      <c r="LZJ6" s="87"/>
      <c r="LZK6" s="87"/>
      <c r="LZL6" s="87"/>
      <c r="LZM6" s="87"/>
      <c r="LZN6" s="87"/>
      <c r="LZO6" s="87"/>
      <c r="LZP6" s="87"/>
      <c r="LZQ6" s="87"/>
      <c r="LZR6" s="87"/>
      <c r="LZS6" s="87"/>
      <c r="LZT6" s="87"/>
      <c r="LZU6" s="87"/>
      <c r="LZV6" s="87"/>
      <c r="LZW6" s="87"/>
      <c r="LZX6" s="87"/>
      <c r="LZY6" s="87"/>
      <c r="LZZ6" s="87"/>
      <c r="MAA6" s="87"/>
      <c r="MAB6" s="87"/>
      <c r="MAC6" s="87"/>
      <c r="MAD6" s="87"/>
      <c r="MAE6" s="87"/>
      <c r="MAF6" s="87"/>
      <c r="MAG6" s="87"/>
      <c r="MAH6" s="87"/>
      <c r="MAI6" s="87"/>
      <c r="MAJ6" s="87"/>
      <c r="MAK6" s="87"/>
      <c r="MAL6" s="87"/>
      <c r="MAM6" s="87"/>
      <c r="MAN6" s="87"/>
      <c r="MAO6" s="87"/>
      <c r="MAP6" s="87"/>
      <c r="MAQ6" s="87"/>
      <c r="MAR6" s="87"/>
      <c r="MAS6" s="87"/>
      <c r="MAT6" s="87"/>
      <c r="MAU6" s="87"/>
      <c r="MAV6" s="87"/>
      <c r="MAW6" s="87"/>
      <c r="MAX6" s="87"/>
      <c r="MAY6" s="87"/>
      <c r="MAZ6" s="87"/>
      <c r="MBA6" s="87"/>
      <c r="MBB6" s="87"/>
      <c r="MBC6" s="87"/>
      <c r="MBD6" s="87"/>
      <c r="MBE6" s="87"/>
      <c r="MBF6" s="87"/>
      <c r="MBG6" s="87"/>
      <c r="MBH6" s="87"/>
      <c r="MBI6" s="87"/>
      <c r="MBJ6" s="87"/>
      <c r="MBK6" s="87"/>
      <c r="MBL6" s="87"/>
      <c r="MBM6" s="87"/>
      <c r="MBN6" s="87"/>
      <c r="MBO6" s="87"/>
      <c r="MBP6" s="87"/>
      <c r="MBQ6" s="87"/>
      <c r="MBR6" s="87"/>
      <c r="MBS6" s="87"/>
      <c r="MBT6" s="87"/>
      <c r="MBU6" s="87"/>
      <c r="MBV6" s="87"/>
      <c r="MBW6" s="87"/>
      <c r="MBX6" s="87"/>
      <c r="MBY6" s="87"/>
      <c r="MBZ6" s="87"/>
      <c r="MCA6" s="87"/>
      <c r="MCB6" s="87"/>
      <c r="MCC6" s="87"/>
      <c r="MCD6" s="87"/>
      <c r="MCE6" s="87"/>
      <c r="MCF6" s="87"/>
      <c r="MCG6" s="87"/>
      <c r="MCH6" s="87"/>
      <c r="MCI6" s="87"/>
      <c r="MCJ6" s="87"/>
      <c r="MCK6" s="87"/>
      <c r="MCL6" s="87"/>
      <c r="MCM6" s="87"/>
      <c r="MCN6" s="87"/>
      <c r="MCO6" s="87"/>
      <c r="MCP6" s="87"/>
      <c r="MCQ6" s="87"/>
      <c r="MCR6" s="87"/>
      <c r="MCS6" s="87"/>
      <c r="MCT6" s="87"/>
      <c r="MCU6" s="87"/>
      <c r="MCV6" s="87"/>
      <c r="MCW6" s="87"/>
      <c r="MCX6" s="87"/>
      <c r="MCY6" s="87"/>
      <c r="MCZ6" s="87"/>
      <c r="MDA6" s="87"/>
      <c r="MDB6" s="87"/>
      <c r="MDC6" s="87"/>
      <c r="MDD6" s="87"/>
      <c r="MDE6" s="87"/>
      <c r="MDF6" s="87"/>
      <c r="MDG6" s="87"/>
      <c r="MDH6" s="87"/>
      <c r="MDI6" s="87"/>
      <c r="MDJ6" s="87"/>
      <c r="MDK6" s="87"/>
      <c r="MDL6" s="87"/>
      <c r="MDM6" s="87"/>
      <c r="MDN6" s="87"/>
      <c r="MDO6" s="87"/>
      <c r="MDP6" s="87"/>
      <c r="MDQ6" s="87"/>
      <c r="MDR6" s="87"/>
      <c r="MDS6" s="87"/>
      <c r="MDT6" s="87"/>
      <c r="MDU6" s="87"/>
      <c r="MDV6" s="87"/>
      <c r="MDW6" s="87"/>
      <c r="MDX6" s="87"/>
      <c r="MDY6" s="87"/>
      <c r="MDZ6" s="87"/>
      <c r="MEA6" s="87"/>
      <c r="MEB6" s="87"/>
      <c r="MEC6" s="87"/>
      <c r="MED6" s="87"/>
      <c r="MEE6" s="87"/>
      <c r="MEF6" s="87"/>
      <c r="MEG6" s="87"/>
      <c r="MEH6" s="87"/>
      <c r="MEI6" s="87"/>
      <c r="MEJ6" s="87"/>
      <c r="MEK6" s="87"/>
      <c r="MEL6" s="87"/>
      <c r="MEM6" s="87"/>
      <c r="MEN6" s="87"/>
      <c r="MEO6" s="87"/>
      <c r="MEP6" s="87"/>
      <c r="MEQ6" s="87"/>
      <c r="MER6" s="87"/>
      <c r="MES6" s="87"/>
      <c r="MET6" s="87"/>
      <c r="MEU6" s="87"/>
      <c r="MEV6" s="87"/>
      <c r="MEW6" s="87"/>
      <c r="MEX6" s="87"/>
      <c r="MEY6" s="87"/>
      <c r="MEZ6" s="87"/>
      <c r="MFA6" s="87"/>
      <c r="MFB6" s="87"/>
      <c r="MFC6" s="87"/>
      <c r="MFD6" s="87"/>
      <c r="MFE6" s="87"/>
      <c r="MFF6" s="87"/>
      <c r="MFG6" s="87"/>
      <c r="MFH6" s="87"/>
      <c r="MFI6" s="87"/>
      <c r="MFJ6" s="87"/>
      <c r="MFK6" s="87"/>
      <c r="MFL6" s="87"/>
      <c r="MFM6" s="87"/>
      <c r="MFN6" s="87"/>
      <c r="MFO6" s="87"/>
      <c r="MFP6" s="87"/>
      <c r="MFQ6" s="87"/>
      <c r="MFR6" s="87"/>
      <c r="MFS6" s="87"/>
      <c r="MFT6" s="87"/>
      <c r="MFU6" s="87"/>
      <c r="MFV6" s="87"/>
      <c r="MFW6" s="87"/>
      <c r="MFX6" s="87"/>
      <c r="MFY6" s="87"/>
      <c r="MFZ6" s="87"/>
      <c r="MGA6" s="87"/>
      <c r="MGB6" s="87"/>
      <c r="MGC6" s="87"/>
      <c r="MGD6" s="87"/>
      <c r="MGE6" s="87"/>
      <c r="MGF6" s="87"/>
      <c r="MGG6" s="87"/>
      <c r="MGH6" s="87"/>
      <c r="MGI6" s="87"/>
      <c r="MGJ6" s="87"/>
      <c r="MGK6" s="87"/>
      <c r="MGL6" s="87"/>
      <c r="MGM6" s="87"/>
      <c r="MGN6" s="87"/>
      <c r="MGO6" s="87"/>
      <c r="MGP6" s="87"/>
      <c r="MGQ6" s="87"/>
      <c r="MGR6" s="87"/>
      <c r="MGS6" s="87"/>
      <c r="MGT6" s="87"/>
      <c r="MGU6" s="87"/>
      <c r="MGV6" s="87"/>
      <c r="MGW6" s="87"/>
      <c r="MGX6" s="87"/>
      <c r="MGY6" s="87"/>
      <c r="MGZ6" s="87"/>
      <c r="MHA6" s="87"/>
      <c r="MHB6" s="87"/>
      <c r="MHC6" s="87"/>
      <c r="MHD6" s="87"/>
      <c r="MHE6" s="87"/>
      <c r="MHF6" s="87"/>
      <c r="MHG6" s="87"/>
      <c r="MHH6" s="87"/>
      <c r="MHI6" s="87"/>
      <c r="MHJ6" s="87"/>
      <c r="MHK6" s="87"/>
      <c r="MHL6" s="87"/>
      <c r="MHM6" s="87"/>
      <c r="MHN6" s="87"/>
      <c r="MHO6" s="87"/>
      <c r="MHP6" s="87"/>
      <c r="MHQ6" s="87"/>
      <c r="MHR6" s="87"/>
      <c r="MHS6" s="87"/>
      <c r="MHT6" s="87"/>
      <c r="MHU6" s="87"/>
      <c r="MHV6" s="87"/>
      <c r="MHW6" s="87"/>
      <c r="MHX6" s="87"/>
      <c r="MHY6" s="87"/>
      <c r="MHZ6" s="87"/>
      <c r="MIA6" s="87"/>
      <c r="MIB6" s="87"/>
      <c r="MIC6" s="87"/>
      <c r="MID6" s="87"/>
      <c r="MIE6" s="87"/>
      <c r="MIF6" s="87"/>
      <c r="MIG6" s="87"/>
      <c r="MIH6" s="87"/>
      <c r="MII6" s="87"/>
      <c r="MIJ6" s="87"/>
      <c r="MIK6" s="87"/>
      <c r="MIL6" s="87"/>
      <c r="MIM6" s="87"/>
      <c r="MIN6" s="87"/>
      <c r="MIO6" s="87"/>
      <c r="MIP6" s="87"/>
      <c r="MIQ6" s="87"/>
      <c r="MIR6" s="87"/>
      <c r="MIS6" s="87"/>
      <c r="MIT6" s="87"/>
      <c r="MIU6" s="87"/>
      <c r="MIV6" s="87"/>
      <c r="MIW6" s="87"/>
      <c r="MIX6" s="87"/>
      <c r="MIY6" s="87"/>
      <c r="MIZ6" s="87"/>
      <c r="MJA6" s="87"/>
      <c r="MJB6" s="87"/>
      <c r="MJC6" s="87"/>
      <c r="MJD6" s="87"/>
      <c r="MJE6" s="87"/>
      <c r="MJF6" s="87"/>
      <c r="MJG6" s="87"/>
      <c r="MJH6" s="87"/>
      <c r="MJI6" s="87"/>
      <c r="MJJ6" s="87"/>
      <c r="MJK6" s="87"/>
      <c r="MJL6" s="87"/>
      <c r="MJM6" s="87"/>
      <c r="MJN6" s="87"/>
      <c r="MJO6" s="87"/>
      <c r="MJP6" s="87"/>
      <c r="MJQ6" s="87"/>
      <c r="MJR6" s="87"/>
      <c r="MJS6" s="87"/>
      <c r="MJT6" s="87"/>
      <c r="MJU6" s="87"/>
      <c r="MJV6" s="87"/>
      <c r="MJW6" s="87"/>
      <c r="MJX6" s="87"/>
      <c r="MJY6" s="87"/>
      <c r="MJZ6" s="87"/>
      <c r="MKA6" s="87"/>
      <c r="MKB6" s="87"/>
      <c r="MKC6" s="87"/>
      <c r="MKD6" s="87"/>
      <c r="MKE6" s="87"/>
      <c r="MKF6" s="87"/>
      <c r="MKG6" s="87"/>
      <c r="MKH6" s="87"/>
      <c r="MKI6" s="87"/>
      <c r="MKJ6" s="87"/>
      <c r="MKK6" s="87"/>
      <c r="MKL6" s="87"/>
      <c r="MKM6" s="87"/>
      <c r="MKN6" s="87"/>
      <c r="MKO6" s="87"/>
      <c r="MKP6" s="87"/>
      <c r="MKQ6" s="87"/>
      <c r="MKR6" s="87"/>
      <c r="MKS6" s="87"/>
      <c r="MKT6" s="87"/>
      <c r="MKU6" s="87"/>
      <c r="MKV6" s="87"/>
      <c r="MKW6" s="87"/>
      <c r="MKX6" s="87"/>
      <c r="MKY6" s="87"/>
      <c r="MKZ6" s="87"/>
      <c r="MLA6" s="87"/>
      <c r="MLB6" s="87"/>
      <c r="MLC6" s="87"/>
      <c r="MLD6" s="87"/>
      <c r="MLE6" s="87"/>
      <c r="MLF6" s="87"/>
      <c r="MLG6" s="87"/>
      <c r="MLH6" s="87"/>
      <c r="MLI6" s="87"/>
      <c r="MLJ6" s="87"/>
      <c r="MLK6" s="87"/>
      <c r="MLL6" s="87"/>
      <c r="MLM6" s="87"/>
      <c r="MLN6" s="87"/>
      <c r="MLO6" s="87"/>
      <c r="MLP6" s="87"/>
      <c r="MLQ6" s="87"/>
      <c r="MLR6" s="87"/>
      <c r="MLS6" s="87"/>
      <c r="MLT6" s="87"/>
      <c r="MLU6" s="87"/>
      <c r="MLV6" s="87"/>
      <c r="MLW6" s="87"/>
      <c r="MLX6" s="87"/>
      <c r="MLY6" s="87"/>
      <c r="MLZ6" s="87"/>
      <c r="MMA6" s="87"/>
      <c r="MMB6" s="87"/>
      <c r="MMC6" s="87"/>
      <c r="MMD6" s="87"/>
      <c r="MME6" s="87"/>
      <c r="MMF6" s="87"/>
      <c r="MMG6" s="87"/>
      <c r="MMH6" s="87"/>
      <c r="MMI6" s="87"/>
      <c r="MMJ6" s="87"/>
      <c r="MMK6" s="87"/>
      <c r="MML6" s="87"/>
      <c r="MMM6" s="87"/>
      <c r="MMN6" s="87"/>
      <c r="MMO6" s="87"/>
      <c r="MMP6" s="87"/>
      <c r="MMQ6" s="87"/>
      <c r="MMR6" s="87"/>
      <c r="MMS6" s="87"/>
      <c r="MMT6" s="87"/>
      <c r="MMU6" s="87"/>
      <c r="MMV6" s="87"/>
      <c r="MMW6" s="87"/>
      <c r="MMX6" s="87"/>
      <c r="MMY6" s="87"/>
      <c r="MMZ6" s="87"/>
      <c r="MNA6" s="87"/>
      <c r="MNB6" s="87"/>
      <c r="MNC6" s="87"/>
      <c r="MND6" s="87"/>
      <c r="MNE6" s="87"/>
      <c r="MNF6" s="87"/>
      <c r="MNG6" s="87"/>
      <c r="MNH6" s="87"/>
      <c r="MNI6" s="87"/>
      <c r="MNJ6" s="87"/>
      <c r="MNK6" s="87"/>
      <c r="MNL6" s="87"/>
      <c r="MNM6" s="87"/>
      <c r="MNN6" s="87"/>
      <c r="MNO6" s="87"/>
      <c r="MNP6" s="87"/>
      <c r="MNQ6" s="87"/>
      <c r="MNR6" s="87"/>
      <c r="MNS6" s="87"/>
      <c r="MNT6" s="87"/>
      <c r="MNU6" s="87"/>
      <c r="MNV6" s="87"/>
      <c r="MNW6" s="87"/>
      <c r="MNX6" s="87"/>
      <c r="MNY6" s="87"/>
      <c r="MNZ6" s="87"/>
      <c r="MOA6" s="87"/>
      <c r="MOB6" s="87"/>
      <c r="MOC6" s="87"/>
      <c r="MOD6" s="87"/>
      <c r="MOE6" s="87"/>
      <c r="MOF6" s="87"/>
      <c r="MOG6" s="87"/>
      <c r="MOH6" s="87"/>
      <c r="MOI6" s="87"/>
      <c r="MOJ6" s="87"/>
      <c r="MOK6" s="87"/>
      <c r="MOL6" s="87"/>
      <c r="MOM6" s="87"/>
      <c r="MON6" s="87"/>
      <c r="MOO6" s="87"/>
      <c r="MOP6" s="87"/>
      <c r="MOQ6" s="87"/>
      <c r="MOR6" s="87"/>
      <c r="MOS6" s="87"/>
      <c r="MOT6" s="87"/>
      <c r="MOU6" s="87"/>
      <c r="MOV6" s="87"/>
      <c r="MOW6" s="87"/>
      <c r="MOX6" s="87"/>
      <c r="MOY6" s="87"/>
      <c r="MOZ6" s="87"/>
      <c r="MPA6" s="87"/>
      <c r="MPB6" s="87"/>
      <c r="MPC6" s="87"/>
      <c r="MPD6" s="87"/>
      <c r="MPE6" s="87"/>
      <c r="MPF6" s="87"/>
      <c r="MPG6" s="87"/>
      <c r="MPH6" s="87"/>
      <c r="MPI6" s="87"/>
      <c r="MPJ6" s="87"/>
      <c r="MPK6" s="87"/>
      <c r="MPL6" s="87"/>
      <c r="MPM6" s="87"/>
      <c r="MPN6" s="87"/>
      <c r="MPO6" s="87"/>
      <c r="MPP6" s="87"/>
      <c r="MPQ6" s="87"/>
      <c r="MPR6" s="87"/>
      <c r="MPS6" s="87"/>
      <c r="MPT6" s="87"/>
      <c r="MPU6" s="87"/>
      <c r="MPV6" s="87"/>
      <c r="MPW6" s="87"/>
      <c r="MPX6" s="87"/>
      <c r="MPY6" s="87"/>
      <c r="MPZ6" s="87"/>
      <c r="MQA6" s="87"/>
      <c r="MQB6" s="87"/>
      <c r="MQC6" s="87"/>
      <c r="MQD6" s="87"/>
      <c r="MQE6" s="87"/>
      <c r="MQF6" s="87"/>
      <c r="MQG6" s="87"/>
      <c r="MQH6" s="87"/>
      <c r="MQI6" s="87"/>
      <c r="MQJ6" s="87"/>
      <c r="MQK6" s="87"/>
      <c r="MQL6" s="87"/>
      <c r="MQM6" s="87"/>
      <c r="MQN6" s="87"/>
      <c r="MQO6" s="87"/>
      <c r="MQP6" s="87"/>
      <c r="MQQ6" s="87"/>
      <c r="MQR6" s="87"/>
      <c r="MQS6" s="87"/>
      <c r="MQT6" s="87"/>
      <c r="MQU6" s="87"/>
      <c r="MQV6" s="87"/>
      <c r="MQW6" s="87"/>
      <c r="MQX6" s="87"/>
      <c r="MQY6" s="87"/>
      <c r="MQZ6" s="87"/>
      <c r="MRA6" s="87"/>
      <c r="MRB6" s="87"/>
      <c r="MRC6" s="87"/>
      <c r="MRD6" s="87"/>
      <c r="MRE6" s="87"/>
      <c r="MRF6" s="87"/>
      <c r="MRG6" s="87"/>
      <c r="MRH6" s="87"/>
      <c r="MRI6" s="87"/>
      <c r="MRJ6" s="87"/>
      <c r="MRK6" s="87"/>
      <c r="MRL6" s="87"/>
      <c r="MRM6" s="87"/>
      <c r="MRN6" s="87"/>
      <c r="MRO6" s="87"/>
      <c r="MRP6" s="87"/>
      <c r="MRQ6" s="87"/>
      <c r="MRR6" s="87"/>
      <c r="MRS6" s="87"/>
      <c r="MRT6" s="87"/>
      <c r="MRU6" s="87"/>
      <c r="MRV6" s="87"/>
      <c r="MRW6" s="87"/>
      <c r="MRX6" s="87"/>
      <c r="MRY6" s="87"/>
      <c r="MRZ6" s="87"/>
      <c r="MSA6" s="87"/>
      <c r="MSB6" s="87"/>
      <c r="MSC6" s="87"/>
      <c r="MSD6" s="87"/>
      <c r="MSE6" s="87"/>
      <c r="MSF6" s="87"/>
      <c r="MSG6" s="87"/>
      <c r="MSH6" s="87"/>
      <c r="MSI6" s="87"/>
      <c r="MSJ6" s="87"/>
      <c r="MSK6" s="87"/>
      <c r="MSL6" s="87"/>
      <c r="MSM6" s="87"/>
      <c r="MSN6" s="87"/>
      <c r="MSO6" s="87"/>
      <c r="MSP6" s="87"/>
      <c r="MSQ6" s="87"/>
      <c r="MSR6" s="87"/>
      <c r="MSS6" s="87"/>
      <c r="MST6" s="87"/>
      <c r="MSU6" s="87"/>
      <c r="MSV6" s="87"/>
      <c r="MSW6" s="87"/>
      <c r="MSX6" s="87"/>
      <c r="MSY6" s="87"/>
      <c r="MSZ6" s="87"/>
      <c r="MTA6" s="87"/>
      <c r="MTB6" s="87"/>
      <c r="MTC6" s="87"/>
      <c r="MTD6" s="87"/>
      <c r="MTE6" s="87"/>
      <c r="MTF6" s="87"/>
      <c r="MTG6" s="87"/>
      <c r="MTH6" s="87"/>
      <c r="MTI6" s="87"/>
      <c r="MTJ6" s="87"/>
      <c r="MTK6" s="87"/>
      <c r="MTL6" s="87"/>
      <c r="MTM6" s="87"/>
      <c r="MTN6" s="87"/>
      <c r="MTO6" s="87"/>
      <c r="MTP6" s="87"/>
      <c r="MTQ6" s="87"/>
      <c r="MTR6" s="87"/>
      <c r="MTS6" s="87"/>
      <c r="MTT6" s="87"/>
      <c r="MTU6" s="87"/>
      <c r="MTV6" s="87"/>
      <c r="MTW6" s="87"/>
      <c r="MTX6" s="87"/>
      <c r="MTY6" s="87"/>
      <c r="MTZ6" s="87"/>
      <c r="MUA6" s="87"/>
      <c r="MUB6" s="87"/>
      <c r="MUC6" s="87"/>
      <c r="MUD6" s="87"/>
      <c r="MUE6" s="87"/>
      <c r="MUF6" s="87"/>
      <c r="MUG6" s="87"/>
      <c r="MUH6" s="87"/>
      <c r="MUI6" s="87"/>
      <c r="MUJ6" s="87"/>
      <c r="MUK6" s="87"/>
      <c r="MUL6" s="87"/>
      <c r="MUM6" s="87"/>
      <c r="MUN6" s="87"/>
      <c r="MUO6" s="87"/>
      <c r="MUP6" s="87"/>
      <c r="MUQ6" s="87"/>
      <c r="MUR6" s="87"/>
      <c r="MUS6" s="87"/>
      <c r="MUT6" s="87"/>
      <c r="MUU6" s="87"/>
      <c r="MUV6" s="87"/>
      <c r="MUW6" s="87"/>
      <c r="MUX6" s="87"/>
      <c r="MUY6" s="87"/>
      <c r="MUZ6" s="87"/>
      <c r="MVA6" s="87"/>
      <c r="MVB6" s="87"/>
      <c r="MVC6" s="87"/>
      <c r="MVD6" s="87"/>
      <c r="MVE6" s="87"/>
      <c r="MVF6" s="87"/>
      <c r="MVG6" s="87"/>
      <c r="MVH6" s="87"/>
      <c r="MVI6" s="87"/>
      <c r="MVJ6" s="87"/>
      <c r="MVK6" s="87"/>
      <c r="MVL6" s="87"/>
      <c r="MVM6" s="87"/>
      <c r="MVN6" s="87"/>
      <c r="MVO6" s="87"/>
      <c r="MVP6" s="87"/>
      <c r="MVQ6" s="87"/>
      <c r="MVR6" s="87"/>
      <c r="MVS6" s="87"/>
      <c r="MVT6" s="87"/>
      <c r="MVU6" s="87"/>
      <c r="MVV6" s="87"/>
      <c r="MVW6" s="87"/>
      <c r="MVX6" s="87"/>
      <c r="MVY6" s="87"/>
      <c r="MVZ6" s="87"/>
      <c r="MWA6" s="87"/>
      <c r="MWB6" s="87"/>
      <c r="MWC6" s="87"/>
      <c r="MWD6" s="87"/>
      <c r="MWE6" s="87"/>
      <c r="MWF6" s="87"/>
      <c r="MWG6" s="87"/>
      <c r="MWH6" s="87"/>
      <c r="MWI6" s="87"/>
      <c r="MWJ6" s="87"/>
      <c r="MWK6" s="87"/>
      <c r="MWL6" s="87"/>
      <c r="MWM6" s="87"/>
      <c r="MWN6" s="87"/>
      <c r="MWO6" s="87"/>
      <c r="MWP6" s="87"/>
      <c r="MWQ6" s="87"/>
      <c r="MWR6" s="87"/>
      <c r="MWS6" s="87"/>
      <c r="MWT6" s="87"/>
      <c r="MWU6" s="87"/>
      <c r="MWV6" s="87"/>
      <c r="MWW6" s="87"/>
      <c r="MWX6" s="87"/>
      <c r="MWY6" s="87"/>
      <c r="MWZ6" s="87"/>
      <c r="MXA6" s="87"/>
      <c r="MXB6" s="87"/>
      <c r="MXC6" s="87"/>
      <c r="MXD6" s="87"/>
      <c r="MXE6" s="87"/>
      <c r="MXF6" s="87"/>
      <c r="MXG6" s="87"/>
      <c r="MXH6" s="87"/>
      <c r="MXI6" s="87"/>
      <c r="MXJ6" s="87"/>
      <c r="MXK6" s="87"/>
      <c r="MXL6" s="87"/>
      <c r="MXM6" s="87"/>
      <c r="MXN6" s="87"/>
      <c r="MXO6" s="87"/>
      <c r="MXP6" s="87"/>
      <c r="MXQ6" s="87"/>
      <c r="MXR6" s="87"/>
      <c r="MXS6" s="87"/>
      <c r="MXT6" s="87"/>
      <c r="MXU6" s="87"/>
      <c r="MXV6" s="87"/>
      <c r="MXW6" s="87"/>
      <c r="MXX6" s="87"/>
      <c r="MXY6" s="87"/>
      <c r="MXZ6" s="87"/>
      <c r="MYA6" s="87"/>
      <c r="MYB6" s="87"/>
      <c r="MYC6" s="87"/>
      <c r="MYD6" s="87"/>
      <c r="MYE6" s="87"/>
      <c r="MYF6" s="87"/>
      <c r="MYG6" s="87"/>
      <c r="MYH6" s="87"/>
      <c r="MYI6" s="87"/>
      <c r="MYJ6" s="87"/>
      <c r="MYK6" s="87"/>
      <c r="MYL6" s="87"/>
      <c r="MYM6" s="87"/>
      <c r="MYN6" s="87"/>
      <c r="MYO6" s="87"/>
      <c r="MYP6" s="87"/>
      <c r="MYQ6" s="87"/>
      <c r="MYR6" s="87"/>
      <c r="MYS6" s="87"/>
      <c r="MYT6" s="87"/>
      <c r="MYU6" s="87"/>
      <c r="MYV6" s="87"/>
      <c r="MYW6" s="87"/>
      <c r="MYX6" s="87"/>
      <c r="MYY6" s="87"/>
      <c r="MYZ6" s="87"/>
      <c r="MZA6" s="87"/>
      <c r="MZB6" s="87"/>
      <c r="MZC6" s="87"/>
      <c r="MZD6" s="87"/>
      <c r="MZE6" s="87"/>
      <c r="MZF6" s="87"/>
      <c r="MZG6" s="87"/>
      <c r="MZH6" s="87"/>
      <c r="MZI6" s="87"/>
      <c r="MZJ6" s="87"/>
      <c r="MZK6" s="87"/>
      <c r="MZL6" s="87"/>
      <c r="MZM6" s="87"/>
      <c r="MZN6" s="87"/>
      <c r="MZO6" s="87"/>
      <c r="MZP6" s="87"/>
      <c r="MZQ6" s="87"/>
      <c r="MZR6" s="87"/>
      <c r="MZS6" s="87"/>
      <c r="MZT6" s="87"/>
      <c r="MZU6" s="87"/>
      <c r="MZV6" s="87"/>
      <c r="MZW6" s="87"/>
      <c r="MZX6" s="87"/>
      <c r="MZY6" s="87"/>
      <c r="MZZ6" s="87"/>
      <c r="NAA6" s="87"/>
      <c r="NAB6" s="87"/>
      <c r="NAC6" s="87"/>
      <c r="NAD6" s="87"/>
      <c r="NAE6" s="87"/>
      <c r="NAF6" s="87"/>
      <c r="NAG6" s="87"/>
      <c r="NAH6" s="87"/>
      <c r="NAI6" s="87"/>
      <c r="NAJ6" s="87"/>
      <c r="NAK6" s="87"/>
      <c r="NAL6" s="87"/>
      <c r="NAM6" s="87"/>
      <c r="NAN6" s="87"/>
      <c r="NAO6" s="87"/>
      <c r="NAP6" s="87"/>
      <c r="NAQ6" s="87"/>
      <c r="NAR6" s="87"/>
      <c r="NAS6" s="87"/>
      <c r="NAT6" s="87"/>
      <c r="NAU6" s="87"/>
      <c r="NAV6" s="87"/>
      <c r="NAW6" s="87"/>
      <c r="NAX6" s="87"/>
      <c r="NAY6" s="87"/>
      <c r="NAZ6" s="87"/>
      <c r="NBA6" s="87"/>
      <c r="NBB6" s="87"/>
      <c r="NBC6" s="87"/>
      <c r="NBD6" s="87"/>
      <c r="NBE6" s="87"/>
      <c r="NBF6" s="87"/>
      <c r="NBG6" s="87"/>
      <c r="NBH6" s="87"/>
      <c r="NBI6" s="87"/>
      <c r="NBJ6" s="87"/>
      <c r="NBK6" s="87"/>
      <c r="NBL6" s="87"/>
      <c r="NBM6" s="87"/>
      <c r="NBN6" s="87"/>
      <c r="NBO6" s="87"/>
      <c r="NBP6" s="87"/>
      <c r="NBQ6" s="87"/>
      <c r="NBR6" s="87"/>
      <c r="NBS6" s="87"/>
      <c r="NBT6" s="87"/>
      <c r="NBU6" s="87"/>
      <c r="NBV6" s="87"/>
      <c r="NBW6" s="87"/>
      <c r="NBX6" s="87"/>
      <c r="NBY6" s="87"/>
      <c r="NBZ6" s="87"/>
      <c r="NCA6" s="87"/>
      <c r="NCB6" s="87"/>
      <c r="NCC6" s="87"/>
      <c r="NCD6" s="87"/>
      <c r="NCE6" s="87"/>
      <c r="NCF6" s="87"/>
      <c r="NCG6" s="87"/>
      <c r="NCH6" s="87"/>
      <c r="NCI6" s="87"/>
      <c r="NCJ6" s="87"/>
      <c r="NCK6" s="87"/>
      <c r="NCL6" s="87"/>
      <c r="NCM6" s="87"/>
      <c r="NCN6" s="87"/>
      <c r="NCO6" s="87"/>
      <c r="NCP6" s="87"/>
      <c r="NCQ6" s="87"/>
      <c r="NCR6" s="87"/>
      <c r="NCS6" s="87"/>
      <c r="NCT6" s="87"/>
      <c r="NCU6" s="87"/>
      <c r="NCV6" s="87"/>
      <c r="NCW6" s="87"/>
      <c r="NCX6" s="87"/>
      <c r="NCY6" s="87"/>
      <c r="NCZ6" s="87"/>
      <c r="NDA6" s="87"/>
      <c r="NDB6" s="87"/>
      <c r="NDC6" s="87"/>
      <c r="NDD6" s="87"/>
      <c r="NDE6" s="87"/>
      <c r="NDF6" s="87"/>
      <c r="NDG6" s="87"/>
      <c r="NDH6" s="87"/>
      <c r="NDI6" s="87"/>
      <c r="NDJ6" s="87"/>
      <c r="NDK6" s="87"/>
      <c r="NDL6" s="87"/>
      <c r="NDM6" s="87"/>
      <c r="NDN6" s="87"/>
      <c r="NDO6" s="87"/>
      <c r="NDP6" s="87"/>
      <c r="NDQ6" s="87"/>
      <c r="NDR6" s="87"/>
      <c r="NDS6" s="87"/>
      <c r="NDT6" s="87"/>
      <c r="NDU6" s="87"/>
      <c r="NDV6" s="87"/>
      <c r="NDW6" s="87"/>
      <c r="NDX6" s="87"/>
      <c r="NDY6" s="87"/>
      <c r="NDZ6" s="87"/>
      <c r="NEA6" s="87"/>
      <c r="NEB6" s="87"/>
      <c r="NEC6" s="87"/>
      <c r="NED6" s="87"/>
      <c r="NEE6" s="87"/>
      <c r="NEF6" s="87"/>
      <c r="NEG6" s="87"/>
      <c r="NEH6" s="87"/>
      <c r="NEI6" s="87"/>
      <c r="NEJ6" s="87"/>
      <c r="NEK6" s="87"/>
      <c r="NEL6" s="87"/>
      <c r="NEM6" s="87"/>
      <c r="NEN6" s="87"/>
      <c r="NEO6" s="87"/>
      <c r="NEP6" s="87"/>
      <c r="NEQ6" s="87"/>
      <c r="NER6" s="87"/>
      <c r="NES6" s="87"/>
      <c r="NET6" s="87"/>
      <c r="NEU6" s="87"/>
      <c r="NEV6" s="87"/>
      <c r="NEW6" s="87"/>
      <c r="NEX6" s="87"/>
      <c r="NEY6" s="87"/>
      <c r="NEZ6" s="87"/>
      <c r="NFA6" s="87"/>
      <c r="NFB6" s="87"/>
      <c r="NFC6" s="87"/>
      <c r="NFD6" s="87"/>
      <c r="NFE6" s="87"/>
      <c r="NFF6" s="87"/>
      <c r="NFG6" s="87"/>
      <c r="NFH6" s="87"/>
      <c r="NFI6" s="87"/>
      <c r="NFJ6" s="87"/>
      <c r="NFK6" s="87"/>
      <c r="NFL6" s="87"/>
      <c r="NFM6" s="87"/>
      <c r="NFN6" s="87"/>
      <c r="NFO6" s="87"/>
      <c r="NFP6" s="87"/>
      <c r="NFQ6" s="87"/>
      <c r="NFR6" s="87"/>
      <c r="NFS6" s="87"/>
      <c r="NFT6" s="87"/>
      <c r="NFU6" s="87"/>
      <c r="NFV6" s="87"/>
      <c r="NFW6" s="87"/>
      <c r="NFX6" s="87"/>
      <c r="NFY6" s="87"/>
      <c r="NFZ6" s="87"/>
      <c r="NGA6" s="87"/>
      <c r="NGB6" s="87"/>
      <c r="NGC6" s="87"/>
      <c r="NGD6" s="87"/>
      <c r="NGE6" s="87"/>
      <c r="NGF6" s="87"/>
      <c r="NGG6" s="87"/>
      <c r="NGH6" s="87"/>
      <c r="NGI6" s="87"/>
      <c r="NGJ6" s="87"/>
      <c r="NGK6" s="87"/>
      <c r="NGL6" s="87"/>
      <c r="NGM6" s="87"/>
      <c r="NGN6" s="87"/>
      <c r="NGO6" s="87"/>
      <c r="NGP6" s="87"/>
      <c r="NGQ6" s="87"/>
      <c r="NGR6" s="87"/>
      <c r="NGS6" s="87"/>
      <c r="NGT6" s="87"/>
      <c r="NGU6" s="87"/>
      <c r="NGV6" s="87"/>
      <c r="NGW6" s="87"/>
      <c r="NGX6" s="87"/>
      <c r="NGY6" s="87"/>
      <c r="NGZ6" s="87"/>
      <c r="NHA6" s="87"/>
      <c r="NHB6" s="87"/>
      <c r="NHC6" s="87"/>
      <c r="NHD6" s="87"/>
      <c r="NHE6" s="87"/>
      <c r="NHF6" s="87"/>
      <c r="NHG6" s="87"/>
      <c r="NHH6" s="87"/>
      <c r="NHI6" s="87"/>
      <c r="NHJ6" s="87"/>
      <c r="NHK6" s="87"/>
      <c r="NHL6" s="87"/>
      <c r="NHM6" s="87"/>
      <c r="NHN6" s="87"/>
      <c r="NHO6" s="87"/>
      <c r="NHP6" s="87"/>
      <c r="NHQ6" s="87"/>
      <c r="NHR6" s="87"/>
      <c r="NHS6" s="87"/>
      <c r="NHT6" s="87"/>
      <c r="NHU6" s="87"/>
      <c r="NHV6" s="87"/>
      <c r="NHW6" s="87"/>
      <c r="NHX6" s="87"/>
      <c r="NHY6" s="87"/>
      <c r="NHZ6" s="87"/>
      <c r="NIA6" s="87"/>
      <c r="NIB6" s="87"/>
      <c r="NIC6" s="87"/>
      <c r="NID6" s="87"/>
      <c r="NIE6" s="87"/>
      <c r="NIF6" s="87"/>
      <c r="NIG6" s="87"/>
      <c r="NIH6" s="87"/>
      <c r="NII6" s="87"/>
      <c r="NIJ6" s="87"/>
      <c r="NIK6" s="87"/>
      <c r="NIL6" s="87"/>
      <c r="NIM6" s="87"/>
      <c r="NIN6" s="87"/>
      <c r="NIO6" s="87"/>
      <c r="NIP6" s="87"/>
      <c r="NIQ6" s="87"/>
      <c r="NIR6" s="87"/>
      <c r="NIS6" s="87"/>
      <c r="NIT6" s="87"/>
      <c r="NIU6" s="87"/>
      <c r="NIV6" s="87"/>
      <c r="NIW6" s="87"/>
      <c r="NIX6" s="87"/>
      <c r="NIY6" s="87"/>
      <c r="NIZ6" s="87"/>
      <c r="NJA6" s="87"/>
      <c r="NJB6" s="87"/>
      <c r="NJC6" s="87"/>
      <c r="NJD6" s="87"/>
      <c r="NJE6" s="87"/>
      <c r="NJF6" s="87"/>
      <c r="NJG6" s="87"/>
      <c r="NJH6" s="87"/>
      <c r="NJI6" s="87"/>
      <c r="NJJ6" s="87"/>
      <c r="NJK6" s="87"/>
      <c r="NJL6" s="87"/>
      <c r="NJM6" s="87"/>
      <c r="NJN6" s="87"/>
      <c r="NJO6" s="87"/>
      <c r="NJP6" s="87"/>
      <c r="NJQ6" s="87"/>
      <c r="NJR6" s="87"/>
      <c r="NJS6" s="87"/>
      <c r="NJT6" s="87"/>
      <c r="NJU6" s="87"/>
      <c r="NJV6" s="87"/>
      <c r="NJW6" s="87"/>
      <c r="NJX6" s="87"/>
      <c r="NJY6" s="87"/>
      <c r="NJZ6" s="87"/>
      <c r="NKA6" s="87"/>
      <c r="NKB6" s="87"/>
      <c r="NKC6" s="87"/>
      <c r="NKD6" s="87"/>
      <c r="NKE6" s="87"/>
      <c r="NKF6" s="87"/>
      <c r="NKG6" s="87"/>
      <c r="NKH6" s="87"/>
      <c r="NKI6" s="87"/>
      <c r="NKJ6" s="87"/>
      <c r="NKK6" s="87"/>
      <c r="NKL6" s="87"/>
      <c r="NKM6" s="87"/>
      <c r="NKN6" s="87"/>
      <c r="NKO6" s="87"/>
      <c r="NKP6" s="87"/>
      <c r="NKQ6" s="87"/>
      <c r="NKR6" s="87"/>
      <c r="NKS6" s="87"/>
      <c r="NKT6" s="87"/>
      <c r="NKU6" s="87"/>
      <c r="NKV6" s="87"/>
      <c r="NKW6" s="87"/>
      <c r="NKX6" s="87"/>
      <c r="NKY6" s="87"/>
      <c r="NKZ6" s="87"/>
      <c r="NLA6" s="87"/>
      <c r="NLB6" s="87"/>
      <c r="NLC6" s="87"/>
      <c r="NLD6" s="87"/>
      <c r="NLE6" s="87"/>
      <c r="NLF6" s="87"/>
      <c r="NLG6" s="87"/>
      <c r="NLH6" s="87"/>
      <c r="NLI6" s="87"/>
      <c r="NLJ6" s="87"/>
      <c r="NLK6" s="87"/>
      <c r="NLL6" s="87"/>
      <c r="NLM6" s="87"/>
      <c r="NLN6" s="87"/>
      <c r="NLO6" s="87"/>
      <c r="NLP6" s="87"/>
      <c r="NLQ6" s="87"/>
      <c r="NLR6" s="87"/>
      <c r="NLS6" s="87"/>
      <c r="NLT6" s="87"/>
      <c r="NLU6" s="87"/>
      <c r="NLV6" s="87"/>
      <c r="NLW6" s="87"/>
      <c r="NLX6" s="87"/>
      <c r="NLY6" s="87"/>
      <c r="NLZ6" s="87"/>
      <c r="NMA6" s="87"/>
      <c r="NMB6" s="87"/>
      <c r="NMC6" s="87"/>
      <c r="NMD6" s="87"/>
      <c r="NME6" s="87"/>
      <c r="NMF6" s="87"/>
      <c r="NMG6" s="87"/>
      <c r="NMH6" s="87"/>
      <c r="NMI6" s="87"/>
      <c r="NMJ6" s="87"/>
      <c r="NMK6" s="87"/>
      <c r="NML6" s="87"/>
      <c r="NMM6" s="87"/>
      <c r="NMN6" s="87"/>
      <c r="NMO6" s="87"/>
      <c r="NMP6" s="87"/>
      <c r="NMQ6" s="87"/>
      <c r="NMR6" s="87"/>
      <c r="NMS6" s="87"/>
      <c r="NMT6" s="87"/>
      <c r="NMU6" s="87"/>
      <c r="NMV6" s="87"/>
      <c r="NMW6" s="87"/>
      <c r="NMX6" s="87"/>
      <c r="NMY6" s="87"/>
      <c r="NMZ6" s="87"/>
      <c r="NNA6" s="87"/>
      <c r="NNB6" s="87"/>
      <c r="NNC6" s="87"/>
      <c r="NND6" s="87"/>
      <c r="NNE6" s="87"/>
      <c r="NNF6" s="87"/>
      <c r="NNG6" s="87"/>
      <c r="NNH6" s="87"/>
      <c r="NNI6" s="87"/>
      <c r="NNJ6" s="87"/>
      <c r="NNK6" s="87"/>
      <c r="NNL6" s="87"/>
      <c r="NNM6" s="87"/>
      <c r="NNN6" s="87"/>
      <c r="NNO6" s="87"/>
      <c r="NNP6" s="87"/>
      <c r="NNQ6" s="87"/>
      <c r="NNR6" s="87"/>
      <c r="NNS6" s="87"/>
      <c r="NNT6" s="87"/>
      <c r="NNU6" s="87"/>
      <c r="NNV6" s="87"/>
      <c r="NNW6" s="87"/>
      <c r="NNX6" s="87"/>
      <c r="NNY6" s="87"/>
      <c r="NNZ6" s="87"/>
      <c r="NOA6" s="87"/>
      <c r="NOB6" s="87"/>
      <c r="NOC6" s="87"/>
      <c r="NOD6" s="87"/>
      <c r="NOE6" s="87"/>
      <c r="NOF6" s="87"/>
      <c r="NOG6" s="87"/>
      <c r="NOH6" s="87"/>
      <c r="NOI6" s="87"/>
      <c r="NOJ6" s="87"/>
      <c r="NOK6" s="87"/>
      <c r="NOL6" s="87"/>
      <c r="NOM6" s="87"/>
      <c r="NON6" s="87"/>
      <c r="NOO6" s="87"/>
      <c r="NOP6" s="87"/>
      <c r="NOQ6" s="87"/>
      <c r="NOR6" s="87"/>
      <c r="NOS6" s="87"/>
      <c r="NOT6" s="87"/>
      <c r="NOU6" s="87"/>
      <c r="NOV6" s="87"/>
      <c r="NOW6" s="87"/>
      <c r="NOX6" s="87"/>
      <c r="NOY6" s="87"/>
      <c r="NOZ6" s="87"/>
      <c r="NPA6" s="87"/>
      <c r="NPB6" s="87"/>
      <c r="NPC6" s="87"/>
      <c r="NPD6" s="87"/>
      <c r="NPE6" s="87"/>
      <c r="NPF6" s="87"/>
      <c r="NPG6" s="87"/>
      <c r="NPH6" s="87"/>
      <c r="NPI6" s="87"/>
      <c r="NPJ6" s="87"/>
      <c r="NPK6" s="87"/>
      <c r="NPL6" s="87"/>
      <c r="NPM6" s="87"/>
      <c r="NPN6" s="87"/>
      <c r="NPO6" s="87"/>
      <c r="NPP6" s="87"/>
      <c r="NPQ6" s="87"/>
      <c r="NPR6" s="87"/>
      <c r="NPS6" s="87"/>
      <c r="NPT6" s="87"/>
      <c r="NPU6" s="87"/>
      <c r="NPV6" s="87"/>
      <c r="NPW6" s="87"/>
      <c r="NPX6" s="87"/>
      <c r="NPY6" s="87"/>
      <c r="NPZ6" s="87"/>
      <c r="NQA6" s="87"/>
      <c r="NQB6" s="87"/>
      <c r="NQC6" s="87"/>
      <c r="NQD6" s="87"/>
      <c r="NQE6" s="87"/>
      <c r="NQF6" s="87"/>
      <c r="NQG6" s="87"/>
      <c r="NQH6" s="87"/>
      <c r="NQI6" s="87"/>
      <c r="NQJ6" s="87"/>
      <c r="NQK6" s="87"/>
      <c r="NQL6" s="87"/>
      <c r="NQM6" s="87"/>
      <c r="NQN6" s="87"/>
      <c r="NQO6" s="87"/>
      <c r="NQP6" s="87"/>
      <c r="NQQ6" s="87"/>
      <c r="NQR6" s="87"/>
      <c r="NQS6" s="87"/>
      <c r="NQT6" s="87"/>
      <c r="NQU6" s="87"/>
      <c r="NQV6" s="87"/>
      <c r="NQW6" s="87"/>
      <c r="NQX6" s="87"/>
      <c r="NQY6" s="87"/>
      <c r="NQZ6" s="87"/>
      <c r="NRA6" s="87"/>
      <c r="NRB6" s="87"/>
      <c r="NRC6" s="87"/>
      <c r="NRD6" s="87"/>
      <c r="NRE6" s="87"/>
      <c r="NRF6" s="87"/>
      <c r="NRG6" s="87"/>
      <c r="NRH6" s="87"/>
      <c r="NRI6" s="87"/>
      <c r="NRJ6" s="87"/>
      <c r="NRK6" s="87"/>
      <c r="NRL6" s="87"/>
      <c r="NRM6" s="87"/>
      <c r="NRN6" s="87"/>
      <c r="NRO6" s="87"/>
      <c r="NRP6" s="87"/>
      <c r="NRQ6" s="87"/>
      <c r="NRR6" s="87"/>
      <c r="NRS6" s="87"/>
      <c r="NRT6" s="87"/>
      <c r="NRU6" s="87"/>
      <c r="NRV6" s="87"/>
      <c r="NRW6" s="87"/>
      <c r="NRX6" s="87"/>
      <c r="NRY6" s="87"/>
      <c r="NRZ6" s="87"/>
      <c r="NSA6" s="87"/>
      <c r="NSB6" s="87"/>
      <c r="NSC6" s="87"/>
      <c r="NSD6" s="87"/>
      <c r="NSE6" s="87"/>
      <c r="NSF6" s="87"/>
      <c r="NSG6" s="87"/>
      <c r="NSH6" s="87"/>
      <c r="NSI6" s="87"/>
      <c r="NSJ6" s="87"/>
      <c r="NSK6" s="87"/>
      <c r="NSL6" s="87"/>
      <c r="NSM6" s="87"/>
      <c r="NSN6" s="87"/>
      <c r="NSO6" s="87"/>
      <c r="NSP6" s="87"/>
      <c r="NSQ6" s="87"/>
      <c r="NSR6" s="87"/>
      <c r="NSS6" s="87"/>
      <c r="NST6" s="87"/>
      <c r="NSU6" s="87"/>
      <c r="NSV6" s="87"/>
      <c r="NSW6" s="87"/>
      <c r="NSX6" s="87"/>
      <c r="NSY6" s="87"/>
      <c r="NSZ6" s="87"/>
      <c r="NTA6" s="87"/>
      <c r="NTB6" s="87"/>
      <c r="NTC6" s="87"/>
      <c r="NTD6" s="87"/>
      <c r="NTE6" s="87"/>
      <c r="NTF6" s="87"/>
      <c r="NTG6" s="87"/>
      <c r="NTH6" s="87"/>
      <c r="NTI6" s="87"/>
      <c r="NTJ6" s="87"/>
      <c r="NTK6" s="87"/>
      <c r="NTL6" s="87"/>
      <c r="NTM6" s="87"/>
      <c r="NTN6" s="87"/>
      <c r="NTO6" s="87"/>
      <c r="NTP6" s="87"/>
      <c r="NTQ6" s="87"/>
      <c r="NTR6" s="87"/>
      <c r="NTS6" s="87"/>
      <c r="NTT6" s="87"/>
      <c r="NTU6" s="87"/>
      <c r="NTV6" s="87"/>
      <c r="NTW6" s="87"/>
      <c r="NTX6" s="87"/>
      <c r="NTY6" s="87"/>
      <c r="NTZ6" s="87"/>
      <c r="NUA6" s="87"/>
      <c r="NUB6" s="87"/>
      <c r="NUC6" s="87"/>
      <c r="NUD6" s="87"/>
      <c r="NUE6" s="87"/>
      <c r="NUF6" s="87"/>
      <c r="NUG6" s="87"/>
      <c r="NUH6" s="87"/>
      <c r="NUI6" s="87"/>
      <c r="NUJ6" s="87"/>
      <c r="NUK6" s="87"/>
      <c r="NUL6" s="87"/>
      <c r="NUM6" s="87"/>
      <c r="NUN6" s="87"/>
      <c r="NUO6" s="87"/>
      <c r="NUP6" s="87"/>
      <c r="NUQ6" s="87"/>
      <c r="NUR6" s="87"/>
      <c r="NUS6" s="87"/>
      <c r="NUT6" s="87"/>
      <c r="NUU6" s="87"/>
      <c r="NUV6" s="87"/>
      <c r="NUW6" s="87"/>
      <c r="NUX6" s="87"/>
      <c r="NUY6" s="87"/>
      <c r="NUZ6" s="87"/>
      <c r="NVA6" s="87"/>
      <c r="NVB6" s="87"/>
      <c r="NVC6" s="87"/>
      <c r="NVD6" s="87"/>
      <c r="NVE6" s="87"/>
      <c r="NVF6" s="87"/>
      <c r="NVG6" s="87"/>
      <c r="NVH6" s="87"/>
      <c r="NVI6" s="87"/>
      <c r="NVJ6" s="87"/>
      <c r="NVK6" s="87"/>
      <c r="NVL6" s="87"/>
      <c r="NVM6" s="87"/>
      <c r="NVN6" s="87"/>
      <c r="NVO6" s="87"/>
      <c r="NVP6" s="87"/>
      <c r="NVQ6" s="87"/>
      <c r="NVR6" s="87"/>
      <c r="NVS6" s="87"/>
      <c r="NVT6" s="87"/>
      <c r="NVU6" s="87"/>
      <c r="NVV6" s="87"/>
      <c r="NVW6" s="87"/>
      <c r="NVX6" s="87"/>
      <c r="NVY6" s="87"/>
      <c r="NVZ6" s="87"/>
      <c r="NWA6" s="87"/>
      <c r="NWB6" s="87"/>
      <c r="NWC6" s="87"/>
      <c r="NWD6" s="87"/>
      <c r="NWE6" s="87"/>
      <c r="NWF6" s="87"/>
      <c r="NWG6" s="87"/>
      <c r="NWH6" s="87"/>
      <c r="NWI6" s="87"/>
      <c r="NWJ6" s="87"/>
      <c r="NWK6" s="87"/>
      <c r="NWL6" s="87"/>
      <c r="NWM6" s="87"/>
      <c r="NWN6" s="87"/>
      <c r="NWO6" s="87"/>
      <c r="NWP6" s="87"/>
      <c r="NWQ6" s="87"/>
      <c r="NWR6" s="87"/>
      <c r="NWS6" s="87"/>
      <c r="NWT6" s="87"/>
      <c r="NWU6" s="87"/>
      <c r="NWV6" s="87"/>
      <c r="NWW6" s="87"/>
      <c r="NWX6" s="87"/>
      <c r="NWY6" s="87"/>
      <c r="NWZ6" s="87"/>
      <c r="NXA6" s="87"/>
      <c r="NXB6" s="87"/>
      <c r="NXC6" s="87"/>
      <c r="NXD6" s="87"/>
      <c r="NXE6" s="87"/>
      <c r="NXF6" s="87"/>
      <c r="NXG6" s="87"/>
      <c r="NXH6" s="87"/>
      <c r="NXI6" s="87"/>
      <c r="NXJ6" s="87"/>
      <c r="NXK6" s="87"/>
      <c r="NXL6" s="87"/>
      <c r="NXM6" s="87"/>
      <c r="NXN6" s="87"/>
      <c r="NXO6" s="87"/>
      <c r="NXP6" s="87"/>
      <c r="NXQ6" s="87"/>
      <c r="NXR6" s="87"/>
      <c r="NXS6" s="87"/>
      <c r="NXT6" s="87"/>
      <c r="NXU6" s="87"/>
      <c r="NXV6" s="87"/>
      <c r="NXW6" s="87"/>
      <c r="NXX6" s="87"/>
      <c r="NXY6" s="87"/>
      <c r="NXZ6" s="87"/>
      <c r="NYA6" s="87"/>
      <c r="NYB6" s="87"/>
      <c r="NYC6" s="87"/>
      <c r="NYD6" s="87"/>
      <c r="NYE6" s="87"/>
      <c r="NYF6" s="87"/>
      <c r="NYG6" s="87"/>
      <c r="NYH6" s="87"/>
      <c r="NYI6" s="87"/>
      <c r="NYJ6" s="87"/>
      <c r="NYK6" s="87"/>
      <c r="NYL6" s="87"/>
      <c r="NYM6" s="87"/>
      <c r="NYN6" s="87"/>
      <c r="NYO6" s="87"/>
      <c r="NYP6" s="87"/>
      <c r="NYQ6" s="87"/>
      <c r="NYR6" s="87"/>
      <c r="NYS6" s="87"/>
      <c r="NYT6" s="87"/>
      <c r="NYU6" s="87"/>
      <c r="NYV6" s="87"/>
      <c r="NYW6" s="87"/>
      <c r="NYX6" s="87"/>
      <c r="NYY6" s="87"/>
      <c r="NYZ6" s="87"/>
      <c r="NZA6" s="87"/>
      <c r="NZB6" s="87"/>
      <c r="NZC6" s="87"/>
      <c r="NZD6" s="87"/>
      <c r="NZE6" s="87"/>
      <c r="NZF6" s="87"/>
      <c r="NZG6" s="87"/>
      <c r="NZH6" s="87"/>
      <c r="NZI6" s="87"/>
      <c r="NZJ6" s="87"/>
      <c r="NZK6" s="87"/>
      <c r="NZL6" s="87"/>
      <c r="NZM6" s="87"/>
      <c r="NZN6" s="87"/>
      <c r="NZO6" s="87"/>
      <c r="NZP6" s="87"/>
      <c r="NZQ6" s="87"/>
      <c r="NZR6" s="87"/>
      <c r="NZS6" s="87"/>
      <c r="NZT6" s="87"/>
      <c r="NZU6" s="87"/>
      <c r="NZV6" s="87"/>
      <c r="NZW6" s="87"/>
      <c r="NZX6" s="87"/>
      <c r="NZY6" s="87"/>
      <c r="NZZ6" s="87"/>
      <c r="OAA6" s="87"/>
      <c r="OAB6" s="87"/>
      <c r="OAC6" s="87"/>
      <c r="OAD6" s="87"/>
      <c r="OAE6" s="87"/>
      <c r="OAF6" s="87"/>
      <c r="OAG6" s="87"/>
      <c r="OAH6" s="87"/>
      <c r="OAI6" s="87"/>
      <c r="OAJ6" s="87"/>
      <c r="OAK6" s="87"/>
      <c r="OAL6" s="87"/>
      <c r="OAM6" s="87"/>
      <c r="OAN6" s="87"/>
      <c r="OAO6" s="87"/>
      <c r="OAP6" s="87"/>
      <c r="OAQ6" s="87"/>
      <c r="OAR6" s="87"/>
      <c r="OAS6" s="87"/>
      <c r="OAT6" s="87"/>
      <c r="OAU6" s="87"/>
      <c r="OAV6" s="87"/>
      <c r="OAW6" s="87"/>
      <c r="OAX6" s="87"/>
      <c r="OAY6" s="87"/>
      <c r="OAZ6" s="87"/>
      <c r="OBA6" s="87"/>
      <c r="OBB6" s="87"/>
      <c r="OBC6" s="87"/>
      <c r="OBD6" s="87"/>
      <c r="OBE6" s="87"/>
      <c r="OBF6" s="87"/>
      <c r="OBG6" s="87"/>
      <c r="OBH6" s="87"/>
      <c r="OBI6" s="87"/>
      <c r="OBJ6" s="87"/>
      <c r="OBK6" s="87"/>
      <c r="OBL6" s="87"/>
      <c r="OBM6" s="87"/>
      <c r="OBN6" s="87"/>
      <c r="OBO6" s="87"/>
      <c r="OBP6" s="87"/>
      <c r="OBQ6" s="87"/>
      <c r="OBR6" s="87"/>
      <c r="OBS6" s="87"/>
      <c r="OBT6" s="87"/>
      <c r="OBU6" s="87"/>
      <c r="OBV6" s="87"/>
      <c r="OBW6" s="87"/>
      <c r="OBX6" s="87"/>
      <c r="OBY6" s="87"/>
      <c r="OBZ6" s="87"/>
      <c r="OCA6" s="87"/>
      <c r="OCB6" s="87"/>
      <c r="OCC6" s="87"/>
      <c r="OCD6" s="87"/>
      <c r="OCE6" s="87"/>
      <c r="OCF6" s="87"/>
      <c r="OCG6" s="87"/>
      <c r="OCH6" s="87"/>
      <c r="OCI6" s="87"/>
      <c r="OCJ6" s="87"/>
      <c r="OCK6" s="87"/>
      <c r="OCL6" s="87"/>
      <c r="OCM6" s="87"/>
      <c r="OCN6" s="87"/>
      <c r="OCO6" s="87"/>
      <c r="OCP6" s="87"/>
      <c r="OCQ6" s="87"/>
      <c r="OCR6" s="87"/>
      <c r="OCS6" s="87"/>
      <c r="OCT6" s="87"/>
      <c r="OCU6" s="87"/>
      <c r="OCV6" s="87"/>
      <c r="OCW6" s="87"/>
      <c r="OCX6" s="87"/>
      <c r="OCY6" s="87"/>
      <c r="OCZ6" s="87"/>
      <c r="ODA6" s="87"/>
      <c r="ODB6" s="87"/>
      <c r="ODC6" s="87"/>
      <c r="ODD6" s="87"/>
      <c r="ODE6" s="87"/>
      <c r="ODF6" s="87"/>
      <c r="ODG6" s="87"/>
      <c r="ODH6" s="87"/>
      <c r="ODI6" s="87"/>
      <c r="ODJ6" s="87"/>
      <c r="ODK6" s="87"/>
      <c r="ODL6" s="87"/>
      <c r="ODM6" s="87"/>
      <c r="ODN6" s="87"/>
      <c r="ODO6" s="87"/>
      <c r="ODP6" s="87"/>
      <c r="ODQ6" s="87"/>
      <c r="ODR6" s="87"/>
      <c r="ODS6" s="87"/>
      <c r="ODT6" s="87"/>
      <c r="ODU6" s="87"/>
      <c r="ODV6" s="87"/>
      <c r="ODW6" s="87"/>
      <c r="ODX6" s="87"/>
      <c r="ODY6" s="87"/>
      <c r="ODZ6" s="87"/>
      <c r="OEA6" s="87"/>
      <c r="OEB6" s="87"/>
      <c r="OEC6" s="87"/>
      <c r="OED6" s="87"/>
      <c r="OEE6" s="87"/>
      <c r="OEF6" s="87"/>
      <c r="OEG6" s="87"/>
      <c r="OEH6" s="87"/>
      <c r="OEI6" s="87"/>
      <c r="OEJ6" s="87"/>
      <c r="OEK6" s="87"/>
      <c r="OEL6" s="87"/>
      <c r="OEM6" s="87"/>
      <c r="OEN6" s="87"/>
      <c r="OEO6" s="87"/>
      <c r="OEP6" s="87"/>
      <c r="OEQ6" s="87"/>
      <c r="OER6" s="87"/>
      <c r="OES6" s="87"/>
      <c r="OET6" s="87"/>
      <c r="OEU6" s="87"/>
      <c r="OEV6" s="87"/>
      <c r="OEW6" s="87"/>
      <c r="OEX6" s="87"/>
      <c r="OEY6" s="87"/>
      <c r="OEZ6" s="87"/>
      <c r="OFA6" s="87"/>
      <c r="OFB6" s="87"/>
      <c r="OFC6" s="87"/>
      <c r="OFD6" s="87"/>
      <c r="OFE6" s="87"/>
      <c r="OFF6" s="87"/>
      <c r="OFG6" s="87"/>
      <c r="OFH6" s="87"/>
      <c r="OFI6" s="87"/>
      <c r="OFJ6" s="87"/>
      <c r="OFK6" s="87"/>
      <c r="OFL6" s="87"/>
      <c r="OFM6" s="87"/>
      <c r="OFN6" s="87"/>
      <c r="OFO6" s="87"/>
      <c r="OFP6" s="87"/>
      <c r="OFQ6" s="87"/>
      <c r="OFR6" s="87"/>
      <c r="OFS6" s="87"/>
      <c r="OFT6" s="87"/>
      <c r="OFU6" s="87"/>
      <c r="OFV6" s="87"/>
      <c r="OFW6" s="87"/>
      <c r="OFX6" s="87"/>
      <c r="OFY6" s="87"/>
      <c r="OFZ6" s="87"/>
      <c r="OGA6" s="87"/>
      <c r="OGB6" s="87"/>
      <c r="OGC6" s="87"/>
      <c r="OGD6" s="87"/>
      <c r="OGE6" s="87"/>
      <c r="OGF6" s="87"/>
      <c r="OGG6" s="87"/>
      <c r="OGH6" s="87"/>
      <c r="OGI6" s="87"/>
      <c r="OGJ6" s="87"/>
      <c r="OGK6" s="87"/>
      <c r="OGL6" s="87"/>
      <c r="OGM6" s="87"/>
      <c r="OGN6" s="87"/>
      <c r="OGO6" s="87"/>
      <c r="OGP6" s="87"/>
      <c r="OGQ6" s="87"/>
      <c r="OGR6" s="87"/>
      <c r="OGS6" s="87"/>
      <c r="OGT6" s="87"/>
      <c r="OGU6" s="87"/>
      <c r="OGV6" s="87"/>
      <c r="OGW6" s="87"/>
      <c r="OGX6" s="87"/>
      <c r="OGY6" s="87"/>
      <c r="OGZ6" s="87"/>
      <c r="OHA6" s="87"/>
      <c r="OHB6" s="87"/>
      <c r="OHC6" s="87"/>
      <c r="OHD6" s="87"/>
      <c r="OHE6" s="87"/>
      <c r="OHF6" s="87"/>
      <c r="OHG6" s="87"/>
      <c r="OHH6" s="87"/>
      <c r="OHI6" s="87"/>
      <c r="OHJ6" s="87"/>
      <c r="OHK6" s="87"/>
      <c r="OHL6" s="87"/>
      <c r="OHM6" s="87"/>
      <c r="OHN6" s="87"/>
      <c r="OHO6" s="87"/>
      <c r="OHP6" s="87"/>
      <c r="OHQ6" s="87"/>
      <c r="OHR6" s="87"/>
      <c r="OHS6" s="87"/>
      <c r="OHT6" s="87"/>
      <c r="OHU6" s="87"/>
      <c r="OHV6" s="87"/>
      <c r="OHW6" s="87"/>
      <c r="OHX6" s="87"/>
      <c r="OHY6" s="87"/>
      <c r="OHZ6" s="87"/>
      <c r="OIA6" s="87"/>
      <c r="OIB6" s="87"/>
      <c r="OIC6" s="87"/>
      <c r="OID6" s="87"/>
      <c r="OIE6" s="87"/>
      <c r="OIF6" s="87"/>
      <c r="OIG6" s="87"/>
      <c r="OIH6" s="87"/>
      <c r="OII6" s="87"/>
      <c r="OIJ6" s="87"/>
      <c r="OIK6" s="87"/>
      <c r="OIL6" s="87"/>
      <c r="OIM6" s="87"/>
      <c r="OIN6" s="87"/>
      <c r="OIO6" s="87"/>
      <c r="OIP6" s="87"/>
      <c r="OIQ6" s="87"/>
      <c r="OIR6" s="87"/>
      <c r="OIS6" s="87"/>
      <c r="OIT6" s="87"/>
      <c r="OIU6" s="87"/>
      <c r="OIV6" s="87"/>
      <c r="OIW6" s="87"/>
      <c r="OIX6" s="87"/>
      <c r="OIY6" s="87"/>
      <c r="OIZ6" s="87"/>
      <c r="OJA6" s="87"/>
      <c r="OJB6" s="87"/>
      <c r="OJC6" s="87"/>
      <c r="OJD6" s="87"/>
      <c r="OJE6" s="87"/>
      <c r="OJF6" s="87"/>
      <c r="OJG6" s="87"/>
      <c r="OJH6" s="87"/>
      <c r="OJI6" s="87"/>
      <c r="OJJ6" s="87"/>
      <c r="OJK6" s="87"/>
      <c r="OJL6" s="87"/>
      <c r="OJM6" s="87"/>
      <c r="OJN6" s="87"/>
      <c r="OJO6" s="87"/>
      <c r="OJP6" s="87"/>
      <c r="OJQ6" s="87"/>
      <c r="OJR6" s="87"/>
      <c r="OJS6" s="87"/>
      <c r="OJT6" s="87"/>
      <c r="OJU6" s="87"/>
      <c r="OJV6" s="87"/>
      <c r="OJW6" s="87"/>
      <c r="OJX6" s="87"/>
      <c r="OJY6" s="87"/>
      <c r="OJZ6" s="87"/>
      <c r="OKA6" s="87"/>
      <c r="OKB6" s="87"/>
      <c r="OKC6" s="87"/>
      <c r="OKD6" s="87"/>
      <c r="OKE6" s="87"/>
      <c r="OKF6" s="87"/>
      <c r="OKG6" s="87"/>
      <c r="OKH6" s="87"/>
      <c r="OKI6" s="87"/>
      <c r="OKJ6" s="87"/>
      <c r="OKK6" s="87"/>
      <c r="OKL6" s="87"/>
      <c r="OKM6" s="87"/>
      <c r="OKN6" s="87"/>
      <c r="OKO6" s="87"/>
      <c r="OKP6" s="87"/>
      <c r="OKQ6" s="87"/>
      <c r="OKR6" s="87"/>
      <c r="OKS6" s="87"/>
      <c r="OKT6" s="87"/>
      <c r="OKU6" s="87"/>
      <c r="OKV6" s="87"/>
      <c r="OKW6" s="87"/>
      <c r="OKX6" s="87"/>
      <c r="OKY6" s="87"/>
      <c r="OKZ6" s="87"/>
      <c r="OLA6" s="87"/>
      <c r="OLB6" s="87"/>
      <c r="OLC6" s="87"/>
      <c r="OLD6" s="87"/>
      <c r="OLE6" s="87"/>
      <c r="OLF6" s="87"/>
      <c r="OLG6" s="87"/>
      <c r="OLH6" s="87"/>
      <c r="OLI6" s="87"/>
      <c r="OLJ6" s="87"/>
      <c r="OLK6" s="87"/>
      <c r="OLL6" s="87"/>
      <c r="OLM6" s="87"/>
      <c r="OLN6" s="87"/>
      <c r="OLO6" s="87"/>
      <c r="OLP6" s="87"/>
      <c r="OLQ6" s="87"/>
      <c r="OLR6" s="87"/>
      <c r="OLS6" s="87"/>
      <c r="OLT6" s="87"/>
      <c r="OLU6" s="87"/>
      <c r="OLV6" s="87"/>
      <c r="OLW6" s="87"/>
      <c r="OLX6" s="87"/>
      <c r="OLY6" s="87"/>
      <c r="OLZ6" s="87"/>
      <c r="OMA6" s="87"/>
      <c r="OMB6" s="87"/>
      <c r="OMC6" s="87"/>
      <c r="OMD6" s="87"/>
      <c r="OME6" s="87"/>
      <c r="OMF6" s="87"/>
      <c r="OMG6" s="87"/>
      <c r="OMH6" s="87"/>
      <c r="OMI6" s="87"/>
      <c r="OMJ6" s="87"/>
      <c r="OMK6" s="87"/>
      <c r="OML6" s="87"/>
      <c r="OMM6" s="87"/>
      <c r="OMN6" s="87"/>
      <c r="OMO6" s="87"/>
      <c r="OMP6" s="87"/>
      <c r="OMQ6" s="87"/>
      <c r="OMR6" s="87"/>
      <c r="OMS6" s="87"/>
      <c r="OMT6" s="87"/>
      <c r="OMU6" s="87"/>
      <c r="OMV6" s="87"/>
      <c r="OMW6" s="87"/>
      <c r="OMX6" s="87"/>
      <c r="OMY6" s="87"/>
      <c r="OMZ6" s="87"/>
      <c r="ONA6" s="87"/>
      <c r="ONB6" s="87"/>
      <c r="ONC6" s="87"/>
      <c r="OND6" s="87"/>
      <c r="ONE6" s="87"/>
      <c r="ONF6" s="87"/>
      <c r="ONG6" s="87"/>
      <c r="ONH6" s="87"/>
      <c r="ONI6" s="87"/>
      <c r="ONJ6" s="87"/>
      <c r="ONK6" s="87"/>
      <c r="ONL6" s="87"/>
      <c r="ONM6" s="87"/>
      <c r="ONN6" s="87"/>
      <c r="ONO6" s="87"/>
      <c r="ONP6" s="87"/>
      <c r="ONQ6" s="87"/>
      <c r="ONR6" s="87"/>
      <c r="ONS6" s="87"/>
      <c r="ONT6" s="87"/>
      <c r="ONU6" s="87"/>
      <c r="ONV6" s="87"/>
      <c r="ONW6" s="87"/>
      <c r="ONX6" s="87"/>
      <c r="ONY6" s="87"/>
      <c r="ONZ6" s="87"/>
      <c r="OOA6" s="87"/>
      <c r="OOB6" s="87"/>
      <c r="OOC6" s="87"/>
      <c r="OOD6" s="87"/>
      <c r="OOE6" s="87"/>
      <c r="OOF6" s="87"/>
      <c r="OOG6" s="87"/>
      <c r="OOH6" s="87"/>
      <c r="OOI6" s="87"/>
      <c r="OOJ6" s="87"/>
      <c r="OOK6" s="87"/>
      <c r="OOL6" s="87"/>
      <c r="OOM6" s="87"/>
      <c r="OON6" s="87"/>
      <c r="OOO6" s="87"/>
      <c r="OOP6" s="87"/>
      <c r="OOQ6" s="87"/>
      <c r="OOR6" s="87"/>
      <c r="OOS6" s="87"/>
      <c r="OOT6" s="87"/>
      <c r="OOU6" s="87"/>
      <c r="OOV6" s="87"/>
      <c r="OOW6" s="87"/>
      <c r="OOX6" s="87"/>
      <c r="OOY6" s="87"/>
      <c r="OOZ6" s="87"/>
      <c r="OPA6" s="87"/>
      <c r="OPB6" s="87"/>
      <c r="OPC6" s="87"/>
      <c r="OPD6" s="87"/>
      <c r="OPE6" s="87"/>
      <c r="OPF6" s="87"/>
      <c r="OPG6" s="87"/>
      <c r="OPH6" s="87"/>
      <c r="OPI6" s="87"/>
      <c r="OPJ6" s="87"/>
      <c r="OPK6" s="87"/>
      <c r="OPL6" s="87"/>
      <c r="OPM6" s="87"/>
      <c r="OPN6" s="87"/>
      <c r="OPO6" s="87"/>
      <c r="OPP6" s="87"/>
      <c r="OPQ6" s="87"/>
      <c r="OPR6" s="87"/>
      <c r="OPS6" s="87"/>
      <c r="OPT6" s="87"/>
      <c r="OPU6" s="87"/>
      <c r="OPV6" s="87"/>
      <c r="OPW6" s="87"/>
      <c r="OPX6" s="87"/>
      <c r="OPY6" s="87"/>
      <c r="OPZ6" s="87"/>
      <c r="OQA6" s="87"/>
      <c r="OQB6" s="87"/>
      <c r="OQC6" s="87"/>
      <c r="OQD6" s="87"/>
      <c r="OQE6" s="87"/>
      <c r="OQF6" s="87"/>
      <c r="OQG6" s="87"/>
      <c r="OQH6" s="87"/>
      <c r="OQI6" s="87"/>
      <c r="OQJ6" s="87"/>
      <c r="OQK6" s="87"/>
      <c r="OQL6" s="87"/>
      <c r="OQM6" s="87"/>
      <c r="OQN6" s="87"/>
      <c r="OQO6" s="87"/>
      <c r="OQP6" s="87"/>
      <c r="OQQ6" s="87"/>
      <c r="OQR6" s="87"/>
      <c r="OQS6" s="87"/>
      <c r="OQT6" s="87"/>
      <c r="OQU6" s="87"/>
      <c r="OQV6" s="87"/>
      <c r="OQW6" s="87"/>
      <c r="OQX6" s="87"/>
      <c r="OQY6" s="87"/>
      <c r="OQZ6" s="87"/>
      <c r="ORA6" s="87"/>
      <c r="ORB6" s="87"/>
      <c r="ORC6" s="87"/>
      <c r="ORD6" s="87"/>
      <c r="ORE6" s="87"/>
      <c r="ORF6" s="87"/>
      <c r="ORG6" s="87"/>
      <c r="ORH6" s="87"/>
      <c r="ORI6" s="87"/>
      <c r="ORJ6" s="87"/>
      <c r="ORK6" s="87"/>
      <c r="ORL6" s="87"/>
      <c r="ORM6" s="87"/>
      <c r="ORN6" s="87"/>
      <c r="ORO6" s="87"/>
      <c r="ORP6" s="87"/>
      <c r="ORQ6" s="87"/>
      <c r="ORR6" s="87"/>
      <c r="ORS6" s="87"/>
      <c r="ORT6" s="87"/>
      <c r="ORU6" s="87"/>
      <c r="ORV6" s="87"/>
      <c r="ORW6" s="87"/>
      <c r="ORX6" s="87"/>
      <c r="ORY6" s="87"/>
      <c r="ORZ6" s="87"/>
      <c r="OSA6" s="87"/>
      <c r="OSB6" s="87"/>
      <c r="OSC6" s="87"/>
      <c r="OSD6" s="87"/>
      <c r="OSE6" s="87"/>
      <c r="OSF6" s="87"/>
      <c r="OSG6" s="87"/>
      <c r="OSH6" s="87"/>
      <c r="OSI6" s="87"/>
      <c r="OSJ6" s="87"/>
      <c r="OSK6" s="87"/>
      <c r="OSL6" s="87"/>
      <c r="OSM6" s="87"/>
      <c r="OSN6" s="87"/>
      <c r="OSO6" s="87"/>
      <c r="OSP6" s="87"/>
      <c r="OSQ6" s="87"/>
      <c r="OSR6" s="87"/>
      <c r="OSS6" s="87"/>
      <c r="OST6" s="87"/>
      <c r="OSU6" s="87"/>
      <c r="OSV6" s="87"/>
      <c r="OSW6" s="87"/>
      <c r="OSX6" s="87"/>
      <c r="OSY6" s="87"/>
      <c r="OSZ6" s="87"/>
      <c r="OTA6" s="87"/>
      <c r="OTB6" s="87"/>
      <c r="OTC6" s="87"/>
      <c r="OTD6" s="87"/>
      <c r="OTE6" s="87"/>
      <c r="OTF6" s="87"/>
      <c r="OTG6" s="87"/>
      <c r="OTH6" s="87"/>
      <c r="OTI6" s="87"/>
      <c r="OTJ6" s="87"/>
      <c r="OTK6" s="87"/>
      <c r="OTL6" s="87"/>
      <c r="OTM6" s="87"/>
      <c r="OTN6" s="87"/>
      <c r="OTO6" s="87"/>
      <c r="OTP6" s="87"/>
      <c r="OTQ6" s="87"/>
      <c r="OTR6" s="87"/>
      <c r="OTS6" s="87"/>
      <c r="OTT6" s="87"/>
      <c r="OTU6" s="87"/>
      <c r="OTV6" s="87"/>
      <c r="OTW6" s="87"/>
      <c r="OTX6" s="87"/>
      <c r="OTY6" s="87"/>
      <c r="OTZ6" s="87"/>
      <c r="OUA6" s="87"/>
      <c r="OUB6" s="87"/>
      <c r="OUC6" s="87"/>
      <c r="OUD6" s="87"/>
      <c r="OUE6" s="87"/>
      <c r="OUF6" s="87"/>
      <c r="OUG6" s="87"/>
      <c r="OUH6" s="87"/>
      <c r="OUI6" s="87"/>
      <c r="OUJ6" s="87"/>
      <c r="OUK6" s="87"/>
      <c r="OUL6" s="87"/>
      <c r="OUM6" s="87"/>
      <c r="OUN6" s="87"/>
      <c r="OUO6" s="87"/>
      <c r="OUP6" s="87"/>
      <c r="OUQ6" s="87"/>
      <c r="OUR6" s="87"/>
      <c r="OUS6" s="87"/>
      <c r="OUT6" s="87"/>
      <c r="OUU6" s="87"/>
      <c r="OUV6" s="87"/>
      <c r="OUW6" s="87"/>
      <c r="OUX6" s="87"/>
      <c r="OUY6" s="87"/>
      <c r="OUZ6" s="87"/>
      <c r="OVA6" s="87"/>
      <c r="OVB6" s="87"/>
      <c r="OVC6" s="87"/>
      <c r="OVD6" s="87"/>
      <c r="OVE6" s="87"/>
      <c r="OVF6" s="87"/>
      <c r="OVG6" s="87"/>
      <c r="OVH6" s="87"/>
      <c r="OVI6" s="87"/>
      <c r="OVJ6" s="87"/>
      <c r="OVK6" s="87"/>
      <c r="OVL6" s="87"/>
      <c r="OVM6" s="87"/>
      <c r="OVN6" s="87"/>
      <c r="OVO6" s="87"/>
      <c r="OVP6" s="87"/>
      <c r="OVQ6" s="87"/>
      <c r="OVR6" s="87"/>
      <c r="OVS6" s="87"/>
      <c r="OVT6" s="87"/>
      <c r="OVU6" s="87"/>
      <c r="OVV6" s="87"/>
      <c r="OVW6" s="87"/>
      <c r="OVX6" s="87"/>
      <c r="OVY6" s="87"/>
      <c r="OVZ6" s="87"/>
      <c r="OWA6" s="87"/>
      <c r="OWB6" s="87"/>
      <c r="OWC6" s="87"/>
      <c r="OWD6" s="87"/>
      <c r="OWE6" s="87"/>
      <c r="OWF6" s="87"/>
      <c r="OWG6" s="87"/>
      <c r="OWH6" s="87"/>
      <c r="OWI6" s="87"/>
      <c r="OWJ6" s="87"/>
      <c r="OWK6" s="87"/>
      <c r="OWL6" s="87"/>
      <c r="OWM6" s="87"/>
      <c r="OWN6" s="87"/>
      <c r="OWO6" s="87"/>
      <c r="OWP6" s="87"/>
      <c r="OWQ6" s="87"/>
      <c r="OWR6" s="87"/>
      <c r="OWS6" s="87"/>
      <c r="OWT6" s="87"/>
      <c r="OWU6" s="87"/>
      <c r="OWV6" s="87"/>
      <c r="OWW6" s="87"/>
      <c r="OWX6" s="87"/>
      <c r="OWY6" s="87"/>
      <c r="OWZ6" s="87"/>
      <c r="OXA6" s="87"/>
      <c r="OXB6" s="87"/>
      <c r="OXC6" s="87"/>
      <c r="OXD6" s="87"/>
      <c r="OXE6" s="87"/>
      <c r="OXF6" s="87"/>
      <c r="OXG6" s="87"/>
      <c r="OXH6" s="87"/>
      <c r="OXI6" s="87"/>
      <c r="OXJ6" s="87"/>
      <c r="OXK6" s="87"/>
      <c r="OXL6" s="87"/>
      <c r="OXM6" s="87"/>
      <c r="OXN6" s="87"/>
      <c r="OXO6" s="87"/>
      <c r="OXP6" s="87"/>
      <c r="OXQ6" s="87"/>
      <c r="OXR6" s="87"/>
      <c r="OXS6" s="87"/>
      <c r="OXT6" s="87"/>
      <c r="OXU6" s="87"/>
      <c r="OXV6" s="87"/>
      <c r="OXW6" s="87"/>
      <c r="OXX6" s="87"/>
      <c r="OXY6" s="87"/>
      <c r="OXZ6" s="87"/>
      <c r="OYA6" s="87"/>
      <c r="OYB6" s="87"/>
      <c r="OYC6" s="87"/>
      <c r="OYD6" s="87"/>
      <c r="OYE6" s="87"/>
      <c r="OYF6" s="87"/>
      <c r="OYG6" s="87"/>
      <c r="OYH6" s="87"/>
      <c r="OYI6" s="87"/>
      <c r="OYJ6" s="87"/>
      <c r="OYK6" s="87"/>
      <c r="OYL6" s="87"/>
      <c r="OYM6" s="87"/>
      <c r="OYN6" s="87"/>
      <c r="OYO6" s="87"/>
      <c r="OYP6" s="87"/>
      <c r="OYQ6" s="87"/>
      <c r="OYR6" s="87"/>
      <c r="OYS6" s="87"/>
      <c r="OYT6" s="87"/>
      <c r="OYU6" s="87"/>
      <c r="OYV6" s="87"/>
      <c r="OYW6" s="87"/>
      <c r="OYX6" s="87"/>
      <c r="OYY6" s="87"/>
      <c r="OYZ6" s="87"/>
      <c r="OZA6" s="87"/>
      <c r="OZB6" s="87"/>
      <c r="OZC6" s="87"/>
      <c r="OZD6" s="87"/>
      <c r="OZE6" s="87"/>
      <c r="OZF6" s="87"/>
      <c r="OZG6" s="87"/>
      <c r="OZH6" s="87"/>
      <c r="OZI6" s="87"/>
      <c r="OZJ6" s="87"/>
      <c r="OZK6" s="87"/>
      <c r="OZL6" s="87"/>
      <c r="OZM6" s="87"/>
      <c r="OZN6" s="87"/>
      <c r="OZO6" s="87"/>
      <c r="OZP6" s="87"/>
      <c r="OZQ6" s="87"/>
      <c r="OZR6" s="87"/>
      <c r="OZS6" s="87"/>
      <c r="OZT6" s="87"/>
      <c r="OZU6" s="87"/>
      <c r="OZV6" s="87"/>
      <c r="OZW6" s="87"/>
      <c r="OZX6" s="87"/>
      <c r="OZY6" s="87"/>
      <c r="OZZ6" s="87"/>
      <c r="PAA6" s="87"/>
      <c r="PAB6" s="87"/>
      <c r="PAC6" s="87"/>
      <c r="PAD6" s="87"/>
      <c r="PAE6" s="87"/>
      <c r="PAF6" s="87"/>
      <c r="PAG6" s="87"/>
      <c r="PAH6" s="87"/>
      <c r="PAI6" s="87"/>
      <c r="PAJ6" s="87"/>
      <c r="PAK6" s="87"/>
      <c r="PAL6" s="87"/>
      <c r="PAM6" s="87"/>
      <c r="PAN6" s="87"/>
      <c r="PAO6" s="87"/>
      <c r="PAP6" s="87"/>
      <c r="PAQ6" s="87"/>
      <c r="PAR6" s="87"/>
      <c r="PAS6" s="87"/>
      <c r="PAT6" s="87"/>
      <c r="PAU6" s="87"/>
      <c r="PAV6" s="87"/>
      <c r="PAW6" s="87"/>
      <c r="PAX6" s="87"/>
      <c r="PAY6" s="87"/>
      <c r="PAZ6" s="87"/>
      <c r="PBA6" s="87"/>
      <c r="PBB6" s="87"/>
      <c r="PBC6" s="87"/>
      <c r="PBD6" s="87"/>
      <c r="PBE6" s="87"/>
      <c r="PBF6" s="87"/>
      <c r="PBG6" s="87"/>
      <c r="PBH6" s="87"/>
      <c r="PBI6" s="87"/>
      <c r="PBJ6" s="87"/>
      <c r="PBK6" s="87"/>
      <c r="PBL6" s="87"/>
      <c r="PBM6" s="87"/>
      <c r="PBN6" s="87"/>
      <c r="PBO6" s="87"/>
      <c r="PBP6" s="87"/>
      <c r="PBQ6" s="87"/>
      <c r="PBR6" s="87"/>
      <c r="PBS6" s="87"/>
      <c r="PBT6" s="87"/>
      <c r="PBU6" s="87"/>
      <c r="PBV6" s="87"/>
      <c r="PBW6" s="87"/>
      <c r="PBX6" s="87"/>
      <c r="PBY6" s="87"/>
      <c r="PBZ6" s="87"/>
      <c r="PCA6" s="87"/>
      <c r="PCB6" s="87"/>
      <c r="PCC6" s="87"/>
      <c r="PCD6" s="87"/>
      <c r="PCE6" s="87"/>
      <c r="PCF6" s="87"/>
      <c r="PCG6" s="87"/>
      <c r="PCH6" s="87"/>
      <c r="PCI6" s="87"/>
      <c r="PCJ6" s="87"/>
      <c r="PCK6" s="87"/>
      <c r="PCL6" s="87"/>
      <c r="PCM6" s="87"/>
      <c r="PCN6" s="87"/>
      <c r="PCO6" s="87"/>
      <c r="PCP6" s="87"/>
      <c r="PCQ6" s="87"/>
      <c r="PCR6" s="87"/>
      <c r="PCS6" s="87"/>
      <c r="PCT6" s="87"/>
      <c r="PCU6" s="87"/>
      <c r="PCV6" s="87"/>
      <c r="PCW6" s="87"/>
      <c r="PCX6" s="87"/>
      <c r="PCY6" s="87"/>
      <c r="PCZ6" s="87"/>
      <c r="PDA6" s="87"/>
      <c r="PDB6" s="87"/>
      <c r="PDC6" s="87"/>
      <c r="PDD6" s="87"/>
      <c r="PDE6" s="87"/>
      <c r="PDF6" s="87"/>
      <c r="PDG6" s="87"/>
      <c r="PDH6" s="87"/>
      <c r="PDI6" s="87"/>
      <c r="PDJ6" s="87"/>
      <c r="PDK6" s="87"/>
      <c r="PDL6" s="87"/>
      <c r="PDM6" s="87"/>
      <c r="PDN6" s="87"/>
      <c r="PDO6" s="87"/>
      <c r="PDP6" s="87"/>
      <c r="PDQ6" s="87"/>
      <c r="PDR6" s="87"/>
      <c r="PDS6" s="87"/>
      <c r="PDT6" s="87"/>
      <c r="PDU6" s="87"/>
      <c r="PDV6" s="87"/>
      <c r="PDW6" s="87"/>
      <c r="PDX6" s="87"/>
      <c r="PDY6" s="87"/>
      <c r="PDZ6" s="87"/>
      <c r="PEA6" s="87"/>
      <c r="PEB6" s="87"/>
      <c r="PEC6" s="87"/>
      <c r="PED6" s="87"/>
      <c r="PEE6" s="87"/>
      <c r="PEF6" s="87"/>
      <c r="PEG6" s="87"/>
      <c r="PEH6" s="87"/>
      <c r="PEI6" s="87"/>
      <c r="PEJ6" s="87"/>
      <c r="PEK6" s="87"/>
      <c r="PEL6" s="87"/>
      <c r="PEM6" s="87"/>
      <c r="PEN6" s="87"/>
      <c r="PEO6" s="87"/>
      <c r="PEP6" s="87"/>
      <c r="PEQ6" s="87"/>
      <c r="PER6" s="87"/>
      <c r="PES6" s="87"/>
      <c r="PET6" s="87"/>
      <c r="PEU6" s="87"/>
      <c r="PEV6" s="87"/>
      <c r="PEW6" s="87"/>
      <c r="PEX6" s="87"/>
      <c r="PEY6" s="87"/>
      <c r="PEZ6" s="87"/>
      <c r="PFA6" s="87"/>
      <c r="PFB6" s="87"/>
      <c r="PFC6" s="87"/>
      <c r="PFD6" s="87"/>
      <c r="PFE6" s="87"/>
      <c r="PFF6" s="87"/>
      <c r="PFG6" s="87"/>
      <c r="PFH6" s="87"/>
      <c r="PFI6" s="87"/>
      <c r="PFJ6" s="87"/>
      <c r="PFK6" s="87"/>
      <c r="PFL6" s="87"/>
      <c r="PFM6" s="87"/>
      <c r="PFN6" s="87"/>
      <c r="PFO6" s="87"/>
      <c r="PFP6" s="87"/>
      <c r="PFQ6" s="87"/>
      <c r="PFR6" s="87"/>
      <c r="PFS6" s="87"/>
      <c r="PFT6" s="87"/>
      <c r="PFU6" s="87"/>
      <c r="PFV6" s="87"/>
      <c r="PFW6" s="87"/>
      <c r="PFX6" s="87"/>
      <c r="PFY6" s="87"/>
      <c r="PFZ6" s="87"/>
      <c r="PGA6" s="87"/>
      <c r="PGB6" s="87"/>
      <c r="PGC6" s="87"/>
      <c r="PGD6" s="87"/>
      <c r="PGE6" s="87"/>
      <c r="PGF6" s="87"/>
      <c r="PGG6" s="87"/>
      <c r="PGH6" s="87"/>
      <c r="PGI6" s="87"/>
      <c r="PGJ6" s="87"/>
      <c r="PGK6" s="87"/>
      <c r="PGL6" s="87"/>
      <c r="PGM6" s="87"/>
      <c r="PGN6" s="87"/>
      <c r="PGO6" s="87"/>
      <c r="PGP6" s="87"/>
      <c r="PGQ6" s="87"/>
      <c r="PGR6" s="87"/>
      <c r="PGS6" s="87"/>
      <c r="PGT6" s="87"/>
      <c r="PGU6" s="87"/>
      <c r="PGV6" s="87"/>
      <c r="PGW6" s="87"/>
      <c r="PGX6" s="87"/>
      <c r="PGY6" s="87"/>
      <c r="PGZ6" s="87"/>
      <c r="PHA6" s="87"/>
      <c r="PHB6" s="87"/>
      <c r="PHC6" s="87"/>
      <c r="PHD6" s="87"/>
      <c r="PHE6" s="87"/>
      <c r="PHF6" s="87"/>
      <c r="PHG6" s="87"/>
      <c r="PHH6" s="87"/>
      <c r="PHI6" s="87"/>
      <c r="PHJ6" s="87"/>
      <c r="PHK6" s="87"/>
      <c r="PHL6" s="87"/>
      <c r="PHM6" s="87"/>
      <c r="PHN6" s="87"/>
      <c r="PHO6" s="87"/>
      <c r="PHP6" s="87"/>
      <c r="PHQ6" s="87"/>
      <c r="PHR6" s="87"/>
      <c r="PHS6" s="87"/>
      <c r="PHT6" s="87"/>
      <c r="PHU6" s="87"/>
      <c r="PHV6" s="87"/>
      <c r="PHW6" s="87"/>
      <c r="PHX6" s="87"/>
      <c r="PHY6" s="87"/>
      <c r="PHZ6" s="87"/>
      <c r="PIA6" s="87"/>
      <c r="PIB6" s="87"/>
      <c r="PIC6" s="87"/>
      <c r="PID6" s="87"/>
      <c r="PIE6" s="87"/>
      <c r="PIF6" s="87"/>
      <c r="PIG6" s="87"/>
      <c r="PIH6" s="87"/>
      <c r="PII6" s="87"/>
      <c r="PIJ6" s="87"/>
      <c r="PIK6" s="87"/>
      <c r="PIL6" s="87"/>
      <c r="PIM6" s="87"/>
      <c r="PIN6" s="87"/>
      <c r="PIO6" s="87"/>
      <c r="PIP6" s="87"/>
      <c r="PIQ6" s="87"/>
      <c r="PIR6" s="87"/>
      <c r="PIS6" s="87"/>
      <c r="PIT6" s="87"/>
      <c r="PIU6" s="87"/>
      <c r="PIV6" s="87"/>
      <c r="PIW6" s="87"/>
      <c r="PIX6" s="87"/>
      <c r="PIY6" s="87"/>
      <c r="PIZ6" s="87"/>
      <c r="PJA6" s="87"/>
      <c r="PJB6" s="87"/>
      <c r="PJC6" s="87"/>
      <c r="PJD6" s="87"/>
      <c r="PJE6" s="87"/>
      <c r="PJF6" s="87"/>
      <c r="PJG6" s="87"/>
      <c r="PJH6" s="87"/>
      <c r="PJI6" s="87"/>
      <c r="PJJ6" s="87"/>
      <c r="PJK6" s="87"/>
      <c r="PJL6" s="87"/>
      <c r="PJM6" s="87"/>
      <c r="PJN6" s="87"/>
      <c r="PJO6" s="87"/>
      <c r="PJP6" s="87"/>
      <c r="PJQ6" s="87"/>
      <c r="PJR6" s="87"/>
      <c r="PJS6" s="87"/>
      <c r="PJT6" s="87"/>
      <c r="PJU6" s="87"/>
      <c r="PJV6" s="87"/>
      <c r="PJW6" s="87"/>
      <c r="PJX6" s="87"/>
      <c r="PJY6" s="87"/>
      <c r="PJZ6" s="87"/>
      <c r="PKA6" s="87"/>
      <c r="PKB6" s="87"/>
      <c r="PKC6" s="87"/>
      <c r="PKD6" s="87"/>
      <c r="PKE6" s="87"/>
      <c r="PKF6" s="87"/>
      <c r="PKG6" s="87"/>
      <c r="PKH6" s="87"/>
      <c r="PKI6" s="87"/>
      <c r="PKJ6" s="87"/>
      <c r="PKK6" s="87"/>
      <c r="PKL6" s="87"/>
      <c r="PKM6" s="87"/>
      <c r="PKN6" s="87"/>
      <c r="PKO6" s="87"/>
      <c r="PKP6" s="87"/>
      <c r="PKQ6" s="87"/>
      <c r="PKR6" s="87"/>
      <c r="PKS6" s="87"/>
      <c r="PKT6" s="87"/>
      <c r="PKU6" s="87"/>
      <c r="PKV6" s="87"/>
      <c r="PKW6" s="87"/>
      <c r="PKX6" s="87"/>
      <c r="PKY6" s="87"/>
      <c r="PKZ6" s="87"/>
      <c r="PLA6" s="87"/>
      <c r="PLB6" s="87"/>
      <c r="PLC6" s="87"/>
      <c r="PLD6" s="87"/>
      <c r="PLE6" s="87"/>
      <c r="PLF6" s="87"/>
      <c r="PLG6" s="87"/>
      <c r="PLH6" s="87"/>
      <c r="PLI6" s="87"/>
      <c r="PLJ6" s="87"/>
      <c r="PLK6" s="87"/>
      <c r="PLL6" s="87"/>
      <c r="PLM6" s="87"/>
      <c r="PLN6" s="87"/>
      <c r="PLO6" s="87"/>
      <c r="PLP6" s="87"/>
      <c r="PLQ6" s="87"/>
      <c r="PLR6" s="87"/>
      <c r="PLS6" s="87"/>
      <c r="PLT6" s="87"/>
      <c r="PLU6" s="87"/>
      <c r="PLV6" s="87"/>
      <c r="PLW6" s="87"/>
      <c r="PLX6" s="87"/>
      <c r="PLY6" s="87"/>
      <c r="PLZ6" s="87"/>
      <c r="PMA6" s="87"/>
      <c r="PMB6" s="87"/>
      <c r="PMC6" s="87"/>
      <c r="PMD6" s="87"/>
      <c r="PME6" s="87"/>
      <c r="PMF6" s="87"/>
      <c r="PMG6" s="87"/>
      <c r="PMH6" s="87"/>
      <c r="PMI6" s="87"/>
      <c r="PMJ6" s="87"/>
      <c r="PMK6" s="87"/>
      <c r="PML6" s="87"/>
      <c r="PMM6" s="87"/>
      <c r="PMN6" s="87"/>
      <c r="PMO6" s="87"/>
      <c r="PMP6" s="87"/>
      <c r="PMQ6" s="87"/>
      <c r="PMR6" s="87"/>
      <c r="PMS6" s="87"/>
      <c r="PMT6" s="87"/>
      <c r="PMU6" s="87"/>
      <c r="PMV6" s="87"/>
      <c r="PMW6" s="87"/>
      <c r="PMX6" s="87"/>
      <c r="PMY6" s="87"/>
      <c r="PMZ6" s="87"/>
      <c r="PNA6" s="87"/>
      <c r="PNB6" s="87"/>
      <c r="PNC6" s="87"/>
      <c r="PND6" s="87"/>
      <c r="PNE6" s="87"/>
      <c r="PNF6" s="87"/>
      <c r="PNG6" s="87"/>
      <c r="PNH6" s="87"/>
      <c r="PNI6" s="87"/>
      <c r="PNJ6" s="87"/>
      <c r="PNK6" s="87"/>
      <c r="PNL6" s="87"/>
      <c r="PNM6" s="87"/>
      <c r="PNN6" s="87"/>
      <c r="PNO6" s="87"/>
      <c r="PNP6" s="87"/>
      <c r="PNQ6" s="87"/>
      <c r="PNR6" s="87"/>
      <c r="PNS6" s="87"/>
      <c r="PNT6" s="87"/>
      <c r="PNU6" s="87"/>
      <c r="PNV6" s="87"/>
      <c r="PNW6" s="87"/>
      <c r="PNX6" s="87"/>
      <c r="PNY6" s="87"/>
      <c r="PNZ6" s="87"/>
      <c r="POA6" s="87"/>
      <c r="POB6" s="87"/>
      <c r="POC6" s="87"/>
      <c r="POD6" s="87"/>
      <c r="POE6" s="87"/>
      <c r="POF6" s="87"/>
      <c r="POG6" s="87"/>
      <c r="POH6" s="87"/>
      <c r="POI6" s="87"/>
      <c r="POJ6" s="87"/>
      <c r="POK6" s="87"/>
      <c r="POL6" s="87"/>
      <c r="POM6" s="87"/>
      <c r="PON6" s="87"/>
      <c r="POO6" s="87"/>
      <c r="POP6" s="87"/>
      <c r="POQ6" s="87"/>
      <c r="POR6" s="87"/>
      <c r="POS6" s="87"/>
      <c r="POT6" s="87"/>
      <c r="POU6" s="87"/>
      <c r="POV6" s="87"/>
      <c r="POW6" s="87"/>
      <c r="POX6" s="87"/>
      <c r="POY6" s="87"/>
      <c r="POZ6" s="87"/>
      <c r="PPA6" s="87"/>
      <c r="PPB6" s="87"/>
      <c r="PPC6" s="87"/>
      <c r="PPD6" s="87"/>
      <c r="PPE6" s="87"/>
      <c r="PPF6" s="87"/>
      <c r="PPG6" s="87"/>
      <c r="PPH6" s="87"/>
      <c r="PPI6" s="87"/>
      <c r="PPJ6" s="87"/>
      <c r="PPK6" s="87"/>
      <c r="PPL6" s="87"/>
      <c r="PPM6" s="87"/>
      <c r="PPN6" s="87"/>
      <c r="PPO6" s="87"/>
      <c r="PPP6" s="87"/>
      <c r="PPQ6" s="87"/>
      <c r="PPR6" s="87"/>
      <c r="PPS6" s="87"/>
      <c r="PPT6" s="87"/>
      <c r="PPU6" s="87"/>
      <c r="PPV6" s="87"/>
      <c r="PPW6" s="87"/>
      <c r="PPX6" s="87"/>
      <c r="PPY6" s="87"/>
      <c r="PPZ6" s="87"/>
      <c r="PQA6" s="87"/>
      <c r="PQB6" s="87"/>
      <c r="PQC6" s="87"/>
      <c r="PQD6" s="87"/>
      <c r="PQE6" s="87"/>
      <c r="PQF6" s="87"/>
      <c r="PQG6" s="87"/>
      <c r="PQH6" s="87"/>
      <c r="PQI6" s="87"/>
      <c r="PQJ6" s="87"/>
      <c r="PQK6" s="87"/>
      <c r="PQL6" s="87"/>
      <c r="PQM6" s="87"/>
      <c r="PQN6" s="87"/>
      <c r="PQO6" s="87"/>
      <c r="PQP6" s="87"/>
      <c r="PQQ6" s="87"/>
      <c r="PQR6" s="87"/>
      <c r="PQS6" s="87"/>
      <c r="PQT6" s="87"/>
      <c r="PQU6" s="87"/>
      <c r="PQV6" s="87"/>
      <c r="PQW6" s="87"/>
      <c r="PQX6" s="87"/>
      <c r="PQY6" s="87"/>
      <c r="PQZ6" s="87"/>
      <c r="PRA6" s="87"/>
      <c r="PRB6" s="87"/>
      <c r="PRC6" s="87"/>
      <c r="PRD6" s="87"/>
      <c r="PRE6" s="87"/>
      <c r="PRF6" s="87"/>
      <c r="PRG6" s="87"/>
      <c r="PRH6" s="87"/>
      <c r="PRI6" s="87"/>
      <c r="PRJ6" s="87"/>
      <c r="PRK6" s="87"/>
      <c r="PRL6" s="87"/>
      <c r="PRM6" s="87"/>
      <c r="PRN6" s="87"/>
      <c r="PRO6" s="87"/>
      <c r="PRP6" s="87"/>
      <c r="PRQ6" s="87"/>
      <c r="PRR6" s="87"/>
      <c r="PRS6" s="87"/>
      <c r="PRT6" s="87"/>
      <c r="PRU6" s="87"/>
      <c r="PRV6" s="87"/>
      <c r="PRW6" s="87"/>
      <c r="PRX6" s="87"/>
      <c r="PRY6" s="87"/>
      <c r="PRZ6" s="87"/>
      <c r="PSA6" s="87"/>
      <c r="PSB6" s="87"/>
      <c r="PSC6" s="87"/>
      <c r="PSD6" s="87"/>
      <c r="PSE6" s="87"/>
      <c r="PSF6" s="87"/>
      <c r="PSG6" s="87"/>
      <c r="PSH6" s="87"/>
      <c r="PSI6" s="87"/>
      <c r="PSJ6" s="87"/>
      <c r="PSK6" s="87"/>
      <c r="PSL6" s="87"/>
      <c r="PSM6" s="87"/>
      <c r="PSN6" s="87"/>
      <c r="PSO6" s="87"/>
      <c r="PSP6" s="87"/>
      <c r="PSQ6" s="87"/>
      <c r="PSR6" s="87"/>
      <c r="PSS6" s="87"/>
      <c r="PST6" s="87"/>
      <c r="PSU6" s="87"/>
      <c r="PSV6" s="87"/>
      <c r="PSW6" s="87"/>
      <c r="PSX6" s="87"/>
      <c r="PSY6" s="87"/>
      <c r="PSZ6" s="87"/>
      <c r="PTA6" s="87"/>
      <c r="PTB6" s="87"/>
      <c r="PTC6" s="87"/>
      <c r="PTD6" s="87"/>
      <c r="PTE6" s="87"/>
      <c r="PTF6" s="87"/>
      <c r="PTG6" s="87"/>
      <c r="PTH6" s="87"/>
      <c r="PTI6" s="87"/>
      <c r="PTJ6" s="87"/>
      <c r="PTK6" s="87"/>
      <c r="PTL6" s="87"/>
      <c r="PTM6" s="87"/>
      <c r="PTN6" s="87"/>
      <c r="PTO6" s="87"/>
      <c r="PTP6" s="87"/>
      <c r="PTQ6" s="87"/>
      <c r="PTR6" s="87"/>
      <c r="PTS6" s="87"/>
      <c r="PTT6" s="87"/>
      <c r="PTU6" s="87"/>
      <c r="PTV6" s="87"/>
      <c r="PTW6" s="87"/>
      <c r="PTX6" s="87"/>
      <c r="PTY6" s="87"/>
      <c r="PTZ6" s="87"/>
      <c r="PUA6" s="87"/>
      <c r="PUB6" s="87"/>
      <c r="PUC6" s="87"/>
      <c r="PUD6" s="87"/>
      <c r="PUE6" s="87"/>
      <c r="PUF6" s="87"/>
      <c r="PUG6" s="87"/>
      <c r="PUH6" s="87"/>
      <c r="PUI6" s="87"/>
      <c r="PUJ6" s="87"/>
      <c r="PUK6" s="87"/>
      <c r="PUL6" s="87"/>
      <c r="PUM6" s="87"/>
      <c r="PUN6" s="87"/>
      <c r="PUO6" s="87"/>
      <c r="PUP6" s="87"/>
      <c r="PUQ6" s="87"/>
      <c r="PUR6" s="87"/>
      <c r="PUS6" s="87"/>
      <c r="PUT6" s="87"/>
      <c r="PUU6" s="87"/>
      <c r="PUV6" s="87"/>
      <c r="PUW6" s="87"/>
      <c r="PUX6" s="87"/>
      <c r="PUY6" s="87"/>
      <c r="PUZ6" s="87"/>
      <c r="PVA6" s="87"/>
      <c r="PVB6" s="87"/>
      <c r="PVC6" s="87"/>
      <c r="PVD6" s="87"/>
      <c r="PVE6" s="87"/>
      <c r="PVF6" s="87"/>
      <c r="PVG6" s="87"/>
      <c r="PVH6" s="87"/>
      <c r="PVI6" s="87"/>
      <c r="PVJ6" s="87"/>
      <c r="PVK6" s="87"/>
      <c r="PVL6" s="87"/>
      <c r="PVM6" s="87"/>
      <c r="PVN6" s="87"/>
      <c r="PVO6" s="87"/>
      <c r="PVP6" s="87"/>
      <c r="PVQ6" s="87"/>
      <c r="PVR6" s="87"/>
      <c r="PVS6" s="87"/>
      <c r="PVT6" s="87"/>
      <c r="PVU6" s="87"/>
      <c r="PVV6" s="87"/>
      <c r="PVW6" s="87"/>
      <c r="PVX6" s="87"/>
      <c r="PVY6" s="87"/>
      <c r="PVZ6" s="87"/>
      <c r="PWA6" s="87"/>
      <c r="PWB6" s="87"/>
      <c r="PWC6" s="87"/>
      <c r="PWD6" s="87"/>
      <c r="PWE6" s="87"/>
      <c r="PWF6" s="87"/>
      <c r="PWG6" s="87"/>
      <c r="PWH6" s="87"/>
      <c r="PWI6" s="87"/>
      <c r="PWJ6" s="87"/>
      <c r="PWK6" s="87"/>
      <c r="PWL6" s="87"/>
      <c r="PWM6" s="87"/>
      <c r="PWN6" s="87"/>
      <c r="PWO6" s="87"/>
      <c r="PWP6" s="87"/>
      <c r="PWQ6" s="87"/>
      <c r="PWR6" s="87"/>
      <c r="PWS6" s="87"/>
      <c r="PWT6" s="87"/>
      <c r="PWU6" s="87"/>
      <c r="PWV6" s="87"/>
      <c r="PWW6" s="87"/>
      <c r="PWX6" s="87"/>
      <c r="PWY6" s="87"/>
      <c r="PWZ6" s="87"/>
      <c r="PXA6" s="87"/>
      <c r="PXB6" s="87"/>
      <c r="PXC6" s="87"/>
      <c r="PXD6" s="87"/>
      <c r="PXE6" s="87"/>
      <c r="PXF6" s="87"/>
      <c r="PXG6" s="87"/>
      <c r="PXH6" s="87"/>
      <c r="PXI6" s="87"/>
      <c r="PXJ6" s="87"/>
      <c r="PXK6" s="87"/>
      <c r="PXL6" s="87"/>
      <c r="PXM6" s="87"/>
      <c r="PXN6" s="87"/>
      <c r="PXO6" s="87"/>
      <c r="PXP6" s="87"/>
      <c r="PXQ6" s="87"/>
      <c r="PXR6" s="87"/>
      <c r="PXS6" s="87"/>
      <c r="PXT6" s="87"/>
      <c r="PXU6" s="87"/>
      <c r="PXV6" s="87"/>
      <c r="PXW6" s="87"/>
      <c r="PXX6" s="87"/>
      <c r="PXY6" s="87"/>
      <c r="PXZ6" s="87"/>
      <c r="PYA6" s="87"/>
      <c r="PYB6" s="87"/>
      <c r="PYC6" s="87"/>
      <c r="PYD6" s="87"/>
      <c r="PYE6" s="87"/>
      <c r="PYF6" s="87"/>
      <c r="PYG6" s="87"/>
      <c r="PYH6" s="87"/>
      <c r="PYI6" s="87"/>
      <c r="PYJ6" s="87"/>
      <c r="PYK6" s="87"/>
      <c r="PYL6" s="87"/>
      <c r="PYM6" s="87"/>
      <c r="PYN6" s="87"/>
      <c r="PYO6" s="87"/>
      <c r="PYP6" s="87"/>
      <c r="PYQ6" s="87"/>
      <c r="PYR6" s="87"/>
      <c r="PYS6" s="87"/>
      <c r="PYT6" s="87"/>
      <c r="PYU6" s="87"/>
      <c r="PYV6" s="87"/>
      <c r="PYW6" s="87"/>
      <c r="PYX6" s="87"/>
      <c r="PYY6" s="87"/>
      <c r="PYZ6" s="87"/>
      <c r="PZA6" s="87"/>
      <c r="PZB6" s="87"/>
      <c r="PZC6" s="87"/>
      <c r="PZD6" s="87"/>
      <c r="PZE6" s="87"/>
      <c r="PZF6" s="87"/>
      <c r="PZG6" s="87"/>
      <c r="PZH6" s="87"/>
      <c r="PZI6" s="87"/>
      <c r="PZJ6" s="87"/>
      <c r="PZK6" s="87"/>
      <c r="PZL6" s="87"/>
      <c r="PZM6" s="87"/>
      <c r="PZN6" s="87"/>
      <c r="PZO6" s="87"/>
      <c r="PZP6" s="87"/>
      <c r="PZQ6" s="87"/>
      <c r="PZR6" s="87"/>
      <c r="PZS6" s="87"/>
      <c r="PZT6" s="87"/>
      <c r="PZU6" s="87"/>
      <c r="PZV6" s="87"/>
      <c r="PZW6" s="87"/>
      <c r="PZX6" s="87"/>
      <c r="PZY6" s="87"/>
      <c r="PZZ6" s="87"/>
      <c r="QAA6" s="87"/>
      <c r="QAB6" s="87"/>
      <c r="QAC6" s="87"/>
      <c r="QAD6" s="87"/>
      <c r="QAE6" s="87"/>
      <c r="QAF6" s="87"/>
      <c r="QAG6" s="87"/>
      <c r="QAH6" s="87"/>
      <c r="QAI6" s="87"/>
      <c r="QAJ6" s="87"/>
      <c r="QAK6" s="87"/>
      <c r="QAL6" s="87"/>
      <c r="QAM6" s="87"/>
      <c r="QAN6" s="87"/>
      <c r="QAO6" s="87"/>
      <c r="QAP6" s="87"/>
      <c r="QAQ6" s="87"/>
      <c r="QAR6" s="87"/>
      <c r="QAS6" s="87"/>
      <c r="QAT6" s="87"/>
      <c r="QAU6" s="87"/>
      <c r="QAV6" s="87"/>
      <c r="QAW6" s="87"/>
      <c r="QAX6" s="87"/>
      <c r="QAY6" s="87"/>
      <c r="QAZ6" s="87"/>
      <c r="QBA6" s="87"/>
      <c r="QBB6" s="87"/>
      <c r="QBC6" s="87"/>
      <c r="QBD6" s="87"/>
      <c r="QBE6" s="87"/>
      <c r="QBF6" s="87"/>
      <c r="QBG6" s="87"/>
      <c r="QBH6" s="87"/>
      <c r="QBI6" s="87"/>
      <c r="QBJ6" s="87"/>
      <c r="QBK6" s="87"/>
      <c r="QBL6" s="87"/>
      <c r="QBM6" s="87"/>
      <c r="QBN6" s="87"/>
      <c r="QBO6" s="87"/>
      <c r="QBP6" s="87"/>
      <c r="QBQ6" s="87"/>
      <c r="QBR6" s="87"/>
      <c r="QBS6" s="87"/>
      <c r="QBT6" s="87"/>
      <c r="QBU6" s="87"/>
      <c r="QBV6" s="87"/>
      <c r="QBW6" s="87"/>
      <c r="QBX6" s="87"/>
      <c r="QBY6" s="87"/>
      <c r="QBZ6" s="87"/>
      <c r="QCA6" s="87"/>
      <c r="QCB6" s="87"/>
      <c r="QCC6" s="87"/>
      <c r="QCD6" s="87"/>
      <c r="QCE6" s="87"/>
      <c r="QCF6" s="87"/>
      <c r="QCG6" s="87"/>
      <c r="QCH6" s="87"/>
      <c r="QCI6" s="87"/>
      <c r="QCJ6" s="87"/>
      <c r="QCK6" s="87"/>
      <c r="QCL6" s="87"/>
      <c r="QCM6" s="87"/>
      <c r="QCN6" s="87"/>
      <c r="QCO6" s="87"/>
      <c r="QCP6" s="87"/>
      <c r="QCQ6" s="87"/>
      <c r="QCR6" s="87"/>
      <c r="QCS6" s="87"/>
      <c r="QCT6" s="87"/>
      <c r="QCU6" s="87"/>
      <c r="QCV6" s="87"/>
      <c r="QCW6" s="87"/>
      <c r="QCX6" s="87"/>
      <c r="QCY6" s="87"/>
      <c r="QCZ6" s="87"/>
      <c r="QDA6" s="87"/>
      <c r="QDB6" s="87"/>
      <c r="QDC6" s="87"/>
      <c r="QDD6" s="87"/>
      <c r="QDE6" s="87"/>
      <c r="QDF6" s="87"/>
      <c r="QDG6" s="87"/>
      <c r="QDH6" s="87"/>
      <c r="QDI6" s="87"/>
      <c r="QDJ6" s="87"/>
      <c r="QDK6" s="87"/>
      <c r="QDL6" s="87"/>
      <c r="QDM6" s="87"/>
      <c r="QDN6" s="87"/>
      <c r="QDO6" s="87"/>
      <c r="QDP6" s="87"/>
      <c r="QDQ6" s="87"/>
      <c r="QDR6" s="87"/>
      <c r="QDS6" s="87"/>
      <c r="QDT6" s="87"/>
      <c r="QDU6" s="87"/>
      <c r="QDV6" s="87"/>
      <c r="QDW6" s="87"/>
      <c r="QDX6" s="87"/>
      <c r="QDY6" s="87"/>
      <c r="QDZ6" s="87"/>
      <c r="QEA6" s="87"/>
      <c r="QEB6" s="87"/>
      <c r="QEC6" s="87"/>
      <c r="QED6" s="87"/>
      <c r="QEE6" s="87"/>
      <c r="QEF6" s="87"/>
      <c r="QEG6" s="87"/>
      <c r="QEH6" s="87"/>
      <c r="QEI6" s="87"/>
      <c r="QEJ6" s="87"/>
      <c r="QEK6" s="87"/>
      <c r="QEL6" s="87"/>
      <c r="QEM6" s="87"/>
      <c r="QEN6" s="87"/>
      <c r="QEO6" s="87"/>
      <c r="QEP6" s="87"/>
      <c r="QEQ6" s="87"/>
      <c r="QER6" s="87"/>
      <c r="QES6" s="87"/>
      <c r="QET6" s="87"/>
      <c r="QEU6" s="87"/>
      <c r="QEV6" s="87"/>
      <c r="QEW6" s="87"/>
      <c r="QEX6" s="87"/>
      <c r="QEY6" s="87"/>
      <c r="QEZ6" s="87"/>
      <c r="QFA6" s="87"/>
      <c r="QFB6" s="87"/>
      <c r="QFC6" s="87"/>
      <c r="QFD6" s="87"/>
      <c r="QFE6" s="87"/>
      <c r="QFF6" s="87"/>
      <c r="QFG6" s="87"/>
      <c r="QFH6" s="87"/>
      <c r="QFI6" s="87"/>
      <c r="QFJ6" s="87"/>
      <c r="QFK6" s="87"/>
      <c r="QFL6" s="87"/>
      <c r="QFM6" s="87"/>
      <c r="QFN6" s="87"/>
      <c r="QFO6" s="87"/>
      <c r="QFP6" s="87"/>
      <c r="QFQ6" s="87"/>
      <c r="QFR6" s="87"/>
      <c r="QFS6" s="87"/>
      <c r="QFT6" s="87"/>
      <c r="QFU6" s="87"/>
      <c r="QFV6" s="87"/>
      <c r="QFW6" s="87"/>
      <c r="QFX6" s="87"/>
      <c r="QFY6" s="87"/>
      <c r="QFZ6" s="87"/>
      <c r="QGA6" s="87"/>
      <c r="QGB6" s="87"/>
      <c r="QGC6" s="87"/>
      <c r="QGD6" s="87"/>
      <c r="QGE6" s="87"/>
      <c r="QGF6" s="87"/>
      <c r="QGG6" s="87"/>
      <c r="QGH6" s="87"/>
      <c r="QGI6" s="87"/>
      <c r="QGJ6" s="87"/>
      <c r="QGK6" s="87"/>
      <c r="QGL6" s="87"/>
      <c r="QGM6" s="87"/>
      <c r="QGN6" s="87"/>
      <c r="QGO6" s="87"/>
      <c r="QGP6" s="87"/>
      <c r="QGQ6" s="87"/>
      <c r="QGR6" s="87"/>
      <c r="QGS6" s="87"/>
      <c r="QGT6" s="87"/>
      <c r="QGU6" s="87"/>
      <c r="QGV6" s="87"/>
      <c r="QGW6" s="87"/>
      <c r="QGX6" s="87"/>
      <c r="QGY6" s="87"/>
      <c r="QGZ6" s="87"/>
      <c r="QHA6" s="87"/>
      <c r="QHB6" s="87"/>
      <c r="QHC6" s="87"/>
      <c r="QHD6" s="87"/>
      <c r="QHE6" s="87"/>
      <c r="QHF6" s="87"/>
      <c r="QHG6" s="87"/>
      <c r="QHH6" s="87"/>
      <c r="QHI6" s="87"/>
      <c r="QHJ6" s="87"/>
      <c r="QHK6" s="87"/>
      <c r="QHL6" s="87"/>
      <c r="QHM6" s="87"/>
      <c r="QHN6" s="87"/>
      <c r="QHO6" s="87"/>
      <c r="QHP6" s="87"/>
      <c r="QHQ6" s="87"/>
      <c r="QHR6" s="87"/>
      <c r="QHS6" s="87"/>
      <c r="QHT6" s="87"/>
      <c r="QHU6" s="87"/>
      <c r="QHV6" s="87"/>
      <c r="QHW6" s="87"/>
      <c r="QHX6" s="87"/>
      <c r="QHY6" s="87"/>
      <c r="QHZ6" s="87"/>
      <c r="QIA6" s="87"/>
      <c r="QIB6" s="87"/>
      <c r="QIC6" s="87"/>
      <c r="QID6" s="87"/>
      <c r="QIE6" s="87"/>
      <c r="QIF6" s="87"/>
      <c r="QIG6" s="87"/>
      <c r="QIH6" s="87"/>
      <c r="QII6" s="87"/>
      <c r="QIJ6" s="87"/>
      <c r="QIK6" s="87"/>
      <c r="QIL6" s="87"/>
      <c r="QIM6" s="87"/>
      <c r="QIN6" s="87"/>
      <c r="QIO6" s="87"/>
      <c r="QIP6" s="87"/>
      <c r="QIQ6" s="87"/>
      <c r="QIR6" s="87"/>
      <c r="QIS6" s="87"/>
      <c r="QIT6" s="87"/>
      <c r="QIU6" s="87"/>
      <c r="QIV6" s="87"/>
      <c r="QIW6" s="87"/>
      <c r="QIX6" s="87"/>
      <c r="QIY6" s="87"/>
      <c r="QIZ6" s="87"/>
      <c r="QJA6" s="87"/>
      <c r="QJB6" s="87"/>
      <c r="QJC6" s="87"/>
      <c r="QJD6" s="87"/>
      <c r="QJE6" s="87"/>
      <c r="QJF6" s="87"/>
      <c r="QJG6" s="87"/>
      <c r="QJH6" s="87"/>
      <c r="QJI6" s="87"/>
      <c r="QJJ6" s="87"/>
      <c r="QJK6" s="87"/>
      <c r="QJL6" s="87"/>
      <c r="QJM6" s="87"/>
      <c r="QJN6" s="87"/>
      <c r="QJO6" s="87"/>
      <c r="QJP6" s="87"/>
      <c r="QJQ6" s="87"/>
      <c r="QJR6" s="87"/>
      <c r="QJS6" s="87"/>
      <c r="QJT6" s="87"/>
      <c r="QJU6" s="87"/>
      <c r="QJV6" s="87"/>
      <c r="QJW6" s="87"/>
      <c r="QJX6" s="87"/>
      <c r="QJY6" s="87"/>
      <c r="QJZ6" s="87"/>
      <c r="QKA6" s="87"/>
      <c r="QKB6" s="87"/>
      <c r="QKC6" s="87"/>
      <c r="QKD6" s="87"/>
      <c r="QKE6" s="87"/>
      <c r="QKF6" s="87"/>
      <c r="QKG6" s="87"/>
      <c r="QKH6" s="87"/>
      <c r="QKI6" s="87"/>
      <c r="QKJ6" s="87"/>
      <c r="QKK6" s="87"/>
      <c r="QKL6" s="87"/>
      <c r="QKM6" s="87"/>
      <c r="QKN6" s="87"/>
      <c r="QKO6" s="87"/>
      <c r="QKP6" s="87"/>
      <c r="QKQ6" s="87"/>
      <c r="QKR6" s="87"/>
      <c r="QKS6" s="87"/>
      <c r="QKT6" s="87"/>
      <c r="QKU6" s="87"/>
      <c r="QKV6" s="87"/>
      <c r="QKW6" s="87"/>
      <c r="QKX6" s="87"/>
      <c r="QKY6" s="87"/>
      <c r="QKZ6" s="87"/>
      <c r="QLA6" s="87"/>
      <c r="QLB6" s="87"/>
      <c r="QLC6" s="87"/>
      <c r="QLD6" s="87"/>
      <c r="QLE6" s="87"/>
      <c r="QLF6" s="87"/>
      <c r="QLG6" s="87"/>
      <c r="QLH6" s="87"/>
      <c r="QLI6" s="87"/>
      <c r="QLJ6" s="87"/>
      <c r="QLK6" s="87"/>
      <c r="QLL6" s="87"/>
      <c r="QLM6" s="87"/>
      <c r="QLN6" s="87"/>
      <c r="QLO6" s="87"/>
      <c r="QLP6" s="87"/>
      <c r="QLQ6" s="87"/>
      <c r="QLR6" s="87"/>
      <c r="QLS6" s="87"/>
      <c r="QLT6" s="87"/>
      <c r="QLU6" s="87"/>
      <c r="QLV6" s="87"/>
      <c r="QLW6" s="87"/>
      <c r="QLX6" s="87"/>
      <c r="QLY6" s="87"/>
      <c r="QLZ6" s="87"/>
      <c r="QMA6" s="87"/>
      <c r="QMB6" s="87"/>
      <c r="QMC6" s="87"/>
      <c r="QMD6" s="87"/>
      <c r="QME6" s="87"/>
      <c r="QMF6" s="87"/>
      <c r="QMG6" s="87"/>
      <c r="QMH6" s="87"/>
      <c r="QMI6" s="87"/>
      <c r="QMJ6" s="87"/>
      <c r="QMK6" s="87"/>
      <c r="QML6" s="87"/>
      <c r="QMM6" s="87"/>
      <c r="QMN6" s="87"/>
      <c r="QMO6" s="87"/>
      <c r="QMP6" s="87"/>
      <c r="QMQ6" s="87"/>
      <c r="QMR6" s="87"/>
      <c r="QMS6" s="87"/>
      <c r="QMT6" s="87"/>
      <c r="QMU6" s="87"/>
      <c r="QMV6" s="87"/>
      <c r="QMW6" s="87"/>
      <c r="QMX6" s="87"/>
      <c r="QMY6" s="87"/>
      <c r="QMZ6" s="87"/>
      <c r="QNA6" s="87"/>
      <c r="QNB6" s="87"/>
      <c r="QNC6" s="87"/>
      <c r="QND6" s="87"/>
      <c r="QNE6" s="87"/>
      <c r="QNF6" s="87"/>
      <c r="QNG6" s="87"/>
      <c r="QNH6" s="87"/>
      <c r="QNI6" s="87"/>
      <c r="QNJ6" s="87"/>
      <c r="QNK6" s="87"/>
      <c r="QNL6" s="87"/>
      <c r="QNM6" s="87"/>
      <c r="QNN6" s="87"/>
      <c r="QNO6" s="87"/>
      <c r="QNP6" s="87"/>
      <c r="QNQ6" s="87"/>
      <c r="QNR6" s="87"/>
      <c r="QNS6" s="87"/>
      <c r="QNT6" s="87"/>
      <c r="QNU6" s="87"/>
      <c r="QNV6" s="87"/>
      <c r="QNW6" s="87"/>
      <c r="QNX6" s="87"/>
      <c r="QNY6" s="87"/>
      <c r="QNZ6" s="87"/>
      <c r="QOA6" s="87"/>
      <c r="QOB6" s="87"/>
      <c r="QOC6" s="87"/>
      <c r="QOD6" s="87"/>
      <c r="QOE6" s="87"/>
      <c r="QOF6" s="87"/>
      <c r="QOG6" s="87"/>
      <c r="QOH6" s="87"/>
      <c r="QOI6" s="87"/>
      <c r="QOJ6" s="87"/>
      <c r="QOK6" s="87"/>
      <c r="QOL6" s="87"/>
      <c r="QOM6" s="87"/>
      <c r="QON6" s="87"/>
      <c r="QOO6" s="87"/>
      <c r="QOP6" s="87"/>
      <c r="QOQ6" s="87"/>
      <c r="QOR6" s="87"/>
      <c r="QOS6" s="87"/>
      <c r="QOT6" s="87"/>
      <c r="QOU6" s="87"/>
      <c r="QOV6" s="87"/>
      <c r="QOW6" s="87"/>
      <c r="QOX6" s="87"/>
      <c r="QOY6" s="87"/>
      <c r="QOZ6" s="87"/>
      <c r="QPA6" s="87"/>
      <c r="QPB6" s="87"/>
      <c r="QPC6" s="87"/>
      <c r="QPD6" s="87"/>
      <c r="QPE6" s="87"/>
      <c r="QPF6" s="87"/>
      <c r="QPG6" s="87"/>
      <c r="QPH6" s="87"/>
      <c r="QPI6" s="87"/>
      <c r="QPJ6" s="87"/>
      <c r="QPK6" s="87"/>
      <c r="QPL6" s="87"/>
      <c r="QPM6" s="87"/>
      <c r="QPN6" s="87"/>
      <c r="QPO6" s="87"/>
      <c r="QPP6" s="87"/>
      <c r="QPQ6" s="87"/>
      <c r="QPR6" s="87"/>
      <c r="QPS6" s="87"/>
      <c r="QPT6" s="87"/>
      <c r="QPU6" s="87"/>
      <c r="QPV6" s="87"/>
      <c r="QPW6" s="87"/>
      <c r="QPX6" s="87"/>
      <c r="QPY6" s="87"/>
      <c r="QPZ6" s="87"/>
      <c r="QQA6" s="87"/>
      <c r="QQB6" s="87"/>
      <c r="QQC6" s="87"/>
      <c r="QQD6" s="87"/>
      <c r="QQE6" s="87"/>
      <c r="QQF6" s="87"/>
      <c r="QQG6" s="87"/>
      <c r="QQH6" s="87"/>
      <c r="QQI6" s="87"/>
      <c r="QQJ6" s="87"/>
      <c r="QQK6" s="87"/>
      <c r="QQL6" s="87"/>
      <c r="QQM6" s="87"/>
      <c r="QQN6" s="87"/>
      <c r="QQO6" s="87"/>
      <c r="QQP6" s="87"/>
      <c r="QQQ6" s="87"/>
      <c r="QQR6" s="87"/>
      <c r="QQS6" s="87"/>
      <c r="QQT6" s="87"/>
      <c r="QQU6" s="87"/>
      <c r="QQV6" s="87"/>
      <c r="QQW6" s="87"/>
      <c r="QQX6" s="87"/>
      <c r="QQY6" s="87"/>
      <c r="QQZ6" s="87"/>
      <c r="QRA6" s="87"/>
      <c r="QRB6" s="87"/>
      <c r="QRC6" s="87"/>
      <c r="QRD6" s="87"/>
      <c r="QRE6" s="87"/>
      <c r="QRF6" s="87"/>
      <c r="QRG6" s="87"/>
      <c r="QRH6" s="87"/>
      <c r="QRI6" s="87"/>
      <c r="QRJ6" s="87"/>
      <c r="QRK6" s="87"/>
      <c r="QRL6" s="87"/>
      <c r="QRM6" s="87"/>
      <c r="QRN6" s="87"/>
      <c r="QRO6" s="87"/>
      <c r="QRP6" s="87"/>
      <c r="QRQ6" s="87"/>
      <c r="QRR6" s="87"/>
      <c r="QRS6" s="87"/>
      <c r="QRT6" s="87"/>
      <c r="QRU6" s="87"/>
      <c r="QRV6" s="87"/>
      <c r="QRW6" s="87"/>
      <c r="QRX6" s="87"/>
      <c r="QRY6" s="87"/>
      <c r="QRZ6" s="87"/>
      <c r="QSA6" s="87"/>
      <c r="QSB6" s="87"/>
      <c r="QSC6" s="87"/>
      <c r="QSD6" s="87"/>
      <c r="QSE6" s="87"/>
      <c r="QSF6" s="87"/>
      <c r="QSG6" s="87"/>
      <c r="QSH6" s="87"/>
      <c r="QSI6" s="87"/>
      <c r="QSJ6" s="87"/>
      <c r="QSK6" s="87"/>
      <c r="QSL6" s="87"/>
      <c r="QSM6" s="87"/>
      <c r="QSN6" s="87"/>
      <c r="QSO6" s="87"/>
      <c r="QSP6" s="87"/>
      <c r="QSQ6" s="87"/>
      <c r="QSR6" s="87"/>
      <c r="QSS6" s="87"/>
      <c r="QST6" s="87"/>
      <c r="QSU6" s="87"/>
      <c r="QSV6" s="87"/>
      <c r="QSW6" s="87"/>
      <c r="QSX6" s="87"/>
      <c r="QSY6" s="87"/>
      <c r="QSZ6" s="87"/>
      <c r="QTA6" s="87"/>
      <c r="QTB6" s="87"/>
      <c r="QTC6" s="87"/>
      <c r="QTD6" s="87"/>
      <c r="QTE6" s="87"/>
      <c r="QTF6" s="87"/>
      <c r="QTG6" s="87"/>
      <c r="QTH6" s="87"/>
      <c r="QTI6" s="87"/>
      <c r="QTJ6" s="87"/>
      <c r="QTK6" s="87"/>
      <c r="QTL6" s="87"/>
      <c r="QTM6" s="87"/>
      <c r="QTN6" s="87"/>
      <c r="QTO6" s="87"/>
      <c r="QTP6" s="87"/>
      <c r="QTQ6" s="87"/>
      <c r="QTR6" s="87"/>
      <c r="QTS6" s="87"/>
      <c r="QTT6" s="87"/>
      <c r="QTU6" s="87"/>
      <c r="QTV6" s="87"/>
      <c r="QTW6" s="87"/>
      <c r="QTX6" s="87"/>
      <c r="QTY6" s="87"/>
      <c r="QTZ6" s="87"/>
      <c r="QUA6" s="87"/>
      <c r="QUB6" s="87"/>
      <c r="QUC6" s="87"/>
      <c r="QUD6" s="87"/>
      <c r="QUE6" s="87"/>
      <c r="QUF6" s="87"/>
      <c r="QUG6" s="87"/>
      <c r="QUH6" s="87"/>
      <c r="QUI6" s="87"/>
      <c r="QUJ6" s="87"/>
      <c r="QUK6" s="87"/>
      <c r="QUL6" s="87"/>
      <c r="QUM6" s="87"/>
      <c r="QUN6" s="87"/>
      <c r="QUO6" s="87"/>
      <c r="QUP6" s="87"/>
      <c r="QUQ6" s="87"/>
      <c r="QUR6" s="87"/>
      <c r="QUS6" s="87"/>
      <c r="QUT6" s="87"/>
      <c r="QUU6" s="87"/>
      <c r="QUV6" s="87"/>
      <c r="QUW6" s="87"/>
      <c r="QUX6" s="87"/>
      <c r="QUY6" s="87"/>
      <c r="QUZ6" s="87"/>
      <c r="QVA6" s="87"/>
      <c r="QVB6" s="87"/>
      <c r="QVC6" s="87"/>
      <c r="QVD6" s="87"/>
      <c r="QVE6" s="87"/>
      <c r="QVF6" s="87"/>
      <c r="QVG6" s="87"/>
      <c r="QVH6" s="87"/>
      <c r="QVI6" s="87"/>
      <c r="QVJ6" s="87"/>
      <c r="QVK6" s="87"/>
      <c r="QVL6" s="87"/>
      <c r="QVM6" s="87"/>
      <c r="QVN6" s="87"/>
      <c r="QVO6" s="87"/>
      <c r="QVP6" s="87"/>
      <c r="QVQ6" s="87"/>
      <c r="QVR6" s="87"/>
      <c r="QVS6" s="87"/>
      <c r="QVT6" s="87"/>
      <c r="QVU6" s="87"/>
      <c r="QVV6" s="87"/>
      <c r="QVW6" s="87"/>
      <c r="QVX6" s="87"/>
      <c r="QVY6" s="87"/>
      <c r="QVZ6" s="87"/>
      <c r="QWA6" s="87"/>
      <c r="QWB6" s="87"/>
      <c r="QWC6" s="87"/>
      <c r="QWD6" s="87"/>
      <c r="QWE6" s="87"/>
      <c r="QWF6" s="87"/>
      <c r="QWG6" s="87"/>
      <c r="QWH6" s="87"/>
      <c r="QWI6" s="87"/>
      <c r="QWJ6" s="87"/>
      <c r="QWK6" s="87"/>
      <c r="QWL6" s="87"/>
      <c r="QWM6" s="87"/>
      <c r="QWN6" s="87"/>
      <c r="QWO6" s="87"/>
      <c r="QWP6" s="87"/>
      <c r="QWQ6" s="87"/>
      <c r="QWR6" s="87"/>
      <c r="QWS6" s="87"/>
      <c r="QWT6" s="87"/>
      <c r="QWU6" s="87"/>
      <c r="QWV6" s="87"/>
      <c r="QWW6" s="87"/>
      <c r="QWX6" s="87"/>
      <c r="QWY6" s="87"/>
      <c r="QWZ6" s="87"/>
      <c r="QXA6" s="87"/>
      <c r="QXB6" s="87"/>
      <c r="QXC6" s="87"/>
      <c r="QXD6" s="87"/>
      <c r="QXE6" s="87"/>
      <c r="QXF6" s="87"/>
      <c r="QXG6" s="87"/>
      <c r="QXH6" s="87"/>
      <c r="QXI6" s="87"/>
      <c r="QXJ6" s="87"/>
      <c r="QXK6" s="87"/>
      <c r="QXL6" s="87"/>
      <c r="QXM6" s="87"/>
      <c r="QXN6" s="87"/>
      <c r="QXO6" s="87"/>
      <c r="QXP6" s="87"/>
      <c r="QXQ6" s="87"/>
      <c r="QXR6" s="87"/>
      <c r="QXS6" s="87"/>
      <c r="QXT6" s="87"/>
      <c r="QXU6" s="87"/>
      <c r="QXV6" s="87"/>
      <c r="QXW6" s="87"/>
      <c r="QXX6" s="87"/>
      <c r="QXY6" s="87"/>
      <c r="QXZ6" s="87"/>
      <c r="QYA6" s="87"/>
      <c r="QYB6" s="87"/>
      <c r="QYC6" s="87"/>
      <c r="QYD6" s="87"/>
      <c r="QYE6" s="87"/>
      <c r="QYF6" s="87"/>
      <c r="QYG6" s="87"/>
      <c r="QYH6" s="87"/>
      <c r="QYI6" s="87"/>
      <c r="QYJ6" s="87"/>
      <c r="QYK6" s="87"/>
      <c r="QYL6" s="87"/>
      <c r="QYM6" s="87"/>
      <c r="QYN6" s="87"/>
      <c r="QYO6" s="87"/>
      <c r="QYP6" s="87"/>
      <c r="QYQ6" s="87"/>
      <c r="QYR6" s="87"/>
      <c r="QYS6" s="87"/>
      <c r="QYT6" s="87"/>
      <c r="QYU6" s="87"/>
      <c r="QYV6" s="87"/>
      <c r="QYW6" s="87"/>
      <c r="QYX6" s="87"/>
      <c r="QYY6" s="87"/>
      <c r="QYZ6" s="87"/>
      <c r="QZA6" s="87"/>
      <c r="QZB6" s="87"/>
      <c r="QZC6" s="87"/>
      <c r="QZD6" s="87"/>
      <c r="QZE6" s="87"/>
      <c r="QZF6" s="87"/>
      <c r="QZG6" s="87"/>
      <c r="QZH6" s="87"/>
      <c r="QZI6" s="87"/>
      <c r="QZJ6" s="87"/>
      <c r="QZK6" s="87"/>
      <c r="QZL6" s="87"/>
      <c r="QZM6" s="87"/>
      <c r="QZN6" s="87"/>
      <c r="QZO6" s="87"/>
      <c r="QZP6" s="87"/>
      <c r="QZQ6" s="87"/>
      <c r="QZR6" s="87"/>
      <c r="QZS6" s="87"/>
      <c r="QZT6" s="87"/>
      <c r="QZU6" s="87"/>
      <c r="QZV6" s="87"/>
      <c r="QZW6" s="87"/>
      <c r="QZX6" s="87"/>
      <c r="QZY6" s="87"/>
      <c r="QZZ6" s="87"/>
      <c r="RAA6" s="87"/>
      <c r="RAB6" s="87"/>
      <c r="RAC6" s="87"/>
      <c r="RAD6" s="87"/>
      <c r="RAE6" s="87"/>
      <c r="RAF6" s="87"/>
      <c r="RAG6" s="87"/>
      <c r="RAH6" s="87"/>
      <c r="RAI6" s="87"/>
      <c r="RAJ6" s="87"/>
      <c r="RAK6" s="87"/>
      <c r="RAL6" s="87"/>
      <c r="RAM6" s="87"/>
      <c r="RAN6" s="87"/>
      <c r="RAO6" s="87"/>
      <c r="RAP6" s="87"/>
      <c r="RAQ6" s="87"/>
      <c r="RAR6" s="87"/>
      <c r="RAS6" s="87"/>
      <c r="RAT6" s="87"/>
      <c r="RAU6" s="87"/>
      <c r="RAV6" s="87"/>
      <c r="RAW6" s="87"/>
      <c r="RAX6" s="87"/>
      <c r="RAY6" s="87"/>
      <c r="RAZ6" s="87"/>
      <c r="RBA6" s="87"/>
      <c r="RBB6" s="87"/>
      <c r="RBC6" s="87"/>
      <c r="RBD6" s="87"/>
      <c r="RBE6" s="87"/>
      <c r="RBF6" s="87"/>
      <c r="RBG6" s="87"/>
      <c r="RBH6" s="87"/>
      <c r="RBI6" s="87"/>
      <c r="RBJ6" s="87"/>
      <c r="RBK6" s="87"/>
      <c r="RBL6" s="87"/>
      <c r="RBM6" s="87"/>
      <c r="RBN6" s="87"/>
      <c r="RBO6" s="87"/>
      <c r="RBP6" s="87"/>
      <c r="RBQ6" s="87"/>
      <c r="RBR6" s="87"/>
      <c r="RBS6" s="87"/>
      <c r="RBT6" s="87"/>
      <c r="RBU6" s="87"/>
      <c r="RBV6" s="87"/>
      <c r="RBW6" s="87"/>
      <c r="RBX6" s="87"/>
      <c r="RBY6" s="87"/>
      <c r="RBZ6" s="87"/>
      <c r="RCA6" s="87"/>
      <c r="RCB6" s="87"/>
      <c r="RCC6" s="87"/>
      <c r="RCD6" s="87"/>
      <c r="RCE6" s="87"/>
      <c r="RCF6" s="87"/>
      <c r="RCG6" s="87"/>
      <c r="RCH6" s="87"/>
      <c r="RCI6" s="87"/>
      <c r="RCJ6" s="87"/>
      <c r="RCK6" s="87"/>
      <c r="RCL6" s="87"/>
      <c r="RCM6" s="87"/>
      <c r="RCN6" s="87"/>
      <c r="RCO6" s="87"/>
      <c r="RCP6" s="87"/>
      <c r="RCQ6" s="87"/>
      <c r="RCR6" s="87"/>
      <c r="RCS6" s="87"/>
      <c r="RCT6" s="87"/>
      <c r="RCU6" s="87"/>
      <c r="RCV6" s="87"/>
      <c r="RCW6" s="87"/>
      <c r="RCX6" s="87"/>
      <c r="RCY6" s="87"/>
      <c r="RCZ6" s="87"/>
      <c r="RDA6" s="87"/>
      <c r="RDB6" s="87"/>
      <c r="RDC6" s="87"/>
      <c r="RDD6" s="87"/>
      <c r="RDE6" s="87"/>
      <c r="RDF6" s="87"/>
      <c r="RDG6" s="87"/>
      <c r="RDH6" s="87"/>
      <c r="RDI6" s="87"/>
      <c r="RDJ6" s="87"/>
      <c r="RDK6" s="87"/>
      <c r="RDL6" s="87"/>
      <c r="RDM6" s="87"/>
      <c r="RDN6" s="87"/>
      <c r="RDO6" s="87"/>
      <c r="RDP6" s="87"/>
      <c r="RDQ6" s="87"/>
      <c r="RDR6" s="87"/>
      <c r="RDS6" s="87"/>
      <c r="RDT6" s="87"/>
      <c r="RDU6" s="87"/>
      <c r="RDV6" s="87"/>
      <c r="RDW6" s="87"/>
      <c r="RDX6" s="87"/>
      <c r="RDY6" s="87"/>
      <c r="RDZ6" s="87"/>
      <c r="REA6" s="87"/>
      <c r="REB6" s="87"/>
      <c r="REC6" s="87"/>
      <c r="RED6" s="87"/>
      <c r="REE6" s="87"/>
      <c r="REF6" s="87"/>
      <c r="REG6" s="87"/>
      <c r="REH6" s="87"/>
      <c r="REI6" s="87"/>
      <c r="REJ6" s="87"/>
      <c r="REK6" s="87"/>
      <c r="REL6" s="87"/>
      <c r="REM6" s="87"/>
      <c r="REN6" s="87"/>
      <c r="REO6" s="87"/>
      <c r="REP6" s="87"/>
      <c r="REQ6" s="87"/>
      <c r="RER6" s="87"/>
      <c r="RES6" s="87"/>
      <c r="RET6" s="87"/>
      <c r="REU6" s="87"/>
      <c r="REV6" s="87"/>
      <c r="REW6" s="87"/>
      <c r="REX6" s="87"/>
      <c r="REY6" s="87"/>
      <c r="REZ6" s="87"/>
      <c r="RFA6" s="87"/>
      <c r="RFB6" s="87"/>
      <c r="RFC6" s="87"/>
      <c r="RFD6" s="87"/>
      <c r="RFE6" s="87"/>
      <c r="RFF6" s="87"/>
      <c r="RFG6" s="87"/>
      <c r="RFH6" s="87"/>
      <c r="RFI6" s="87"/>
      <c r="RFJ6" s="87"/>
      <c r="RFK6" s="87"/>
      <c r="RFL6" s="87"/>
      <c r="RFM6" s="87"/>
      <c r="RFN6" s="87"/>
      <c r="RFO6" s="87"/>
      <c r="RFP6" s="87"/>
      <c r="RFQ6" s="87"/>
      <c r="RFR6" s="87"/>
      <c r="RFS6" s="87"/>
      <c r="RFT6" s="87"/>
      <c r="RFU6" s="87"/>
      <c r="RFV6" s="87"/>
      <c r="RFW6" s="87"/>
      <c r="RFX6" s="87"/>
      <c r="RFY6" s="87"/>
      <c r="RFZ6" s="87"/>
      <c r="RGA6" s="87"/>
      <c r="RGB6" s="87"/>
      <c r="RGC6" s="87"/>
      <c r="RGD6" s="87"/>
      <c r="RGE6" s="87"/>
      <c r="RGF6" s="87"/>
      <c r="RGG6" s="87"/>
      <c r="RGH6" s="87"/>
      <c r="RGI6" s="87"/>
      <c r="RGJ6" s="87"/>
      <c r="RGK6" s="87"/>
      <c r="RGL6" s="87"/>
      <c r="RGM6" s="87"/>
      <c r="RGN6" s="87"/>
      <c r="RGO6" s="87"/>
      <c r="RGP6" s="87"/>
      <c r="RGQ6" s="87"/>
      <c r="RGR6" s="87"/>
      <c r="RGS6" s="87"/>
      <c r="RGT6" s="87"/>
      <c r="RGU6" s="87"/>
      <c r="RGV6" s="87"/>
      <c r="RGW6" s="87"/>
      <c r="RGX6" s="87"/>
      <c r="RGY6" s="87"/>
      <c r="RGZ6" s="87"/>
      <c r="RHA6" s="87"/>
      <c r="RHB6" s="87"/>
      <c r="RHC6" s="87"/>
      <c r="RHD6" s="87"/>
      <c r="RHE6" s="87"/>
      <c r="RHF6" s="87"/>
      <c r="RHG6" s="87"/>
      <c r="RHH6" s="87"/>
      <c r="RHI6" s="87"/>
      <c r="RHJ6" s="87"/>
      <c r="RHK6" s="87"/>
      <c r="RHL6" s="87"/>
      <c r="RHM6" s="87"/>
      <c r="RHN6" s="87"/>
      <c r="RHO6" s="87"/>
      <c r="RHP6" s="87"/>
      <c r="RHQ6" s="87"/>
      <c r="RHR6" s="87"/>
      <c r="RHS6" s="87"/>
      <c r="RHT6" s="87"/>
      <c r="RHU6" s="87"/>
      <c r="RHV6" s="87"/>
      <c r="RHW6" s="87"/>
      <c r="RHX6" s="87"/>
      <c r="RHY6" s="87"/>
      <c r="RHZ6" s="87"/>
      <c r="RIA6" s="87"/>
      <c r="RIB6" s="87"/>
      <c r="RIC6" s="87"/>
      <c r="RID6" s="87"/>
      <c r="RIE6" s="87"/>
      <c r="RIF6" s="87"/>
      <c r="RIG6" s="87"/>
      <c r="RIH6" s="87"/>
      <c r="RII6" s="87"/>
      <c r="RIJ6" s="87"/>
      <c r="RIK6" s="87"/>
      <c r="RIL6" s="87"/>
      <c r="RIM6" s="87"/>
      <c r="RIN6" s="87"/>
      <c r="RIO6" s="87"/>
      <c r="RIP6" s="87"/>
      <c r="RIQ6" s="87"/>
      <c r="RIR6" s="87"/>
      <c r="RIS6" s="87"/>
      <c r="RIT6" s="87"/>
      <c r="RIU6" s="87"/>
      <c r="RIV6" s="87"/>
      <c r="RIW6" s="87"/>
      <c r="RIX6" s="87"/>
      <c r="RIY6" s="87"/>
      <c r="RIZ6" s="87"/>
      <c r="RJA6" s="87"/>
      <c r="RJB6" s="87"/>
      <c r="RJC6" s="87"/>
      <c r="RJD6" s="87"/>
      <c r="RJE6" s="87"/>
      <c r="RJF6" s="87"/>
      <c r="RJG6" s="87"/>
      <c r="RJH6" s="87"/>
      <c r="RJI6" s="87"/>
      <c r="RJJ6" s="87"/>
      <c r="RJK6" s="87"/>
      <c r="RJL6" s="87"/>
      <c r="RJM6" s="87"/>
      <c r="RJN6" s="87"/>
      <c r="RJO6" s="87"/>
      <c r="RJP6" s="87"/>
      <c r="RJQ6" s="87"/>
      <c r="RJR6" s="87"/>
      <c r="RJS6" s="87"/>
      <c r="RJT6" s="87"/>
      <c r="RJU6" s="87"/>
      <c r="RJV6" s="87"/>
      <c r="RJW6" s="87"/>
      <c r="RJX6" s="87"/>
      <c r="RJY6" s="87"/>
      <c r="RJZ6" s="87"/>
      <c r="RKA6" s="87"/>
      <c r="RKB6" s="87"/>
      <c r="RKC6" s="87"/>
      <c r="RKD6" s="87"/>
      <c r="RKE6" s="87"/>
      <c r="RKF6" s="87"/>
      <c r="RKG6" s="87"/>
      <c r="RKH6" s="87"/>
      <c r="RKI6" s="87"/>
      <c r="RKJ6" s="87"/>
      <c r="RKK6" s="87"/>
      <c r="RKL6" s="87"/>
      <c r="RKM6" s="87"/>
      <c r="RKN6" s="87"/>
      <c r="RKO6" s="87"/>
      <c r="RKP6" s="87"/>
      <c r="RKQ6" s="87"/>
      <c r="RKR6" s="87"/>
      <c r="RKS6" s="87"/>
      <c r="RKT6" s="87"/>
      <c r="RKU6" s="87"/>
      <c r="RKV6" s="87"/>
      <c r="RKW6" s="87"/>
      <c r="RKX6" s="87"/>
      <c r="RKY6" s="87"/>
      <c r="RKZ6" s="87"/>
      <c r="RLA6" s="87"/>
      <c r="RLB6" s="87"/>
      <c r="RLC6" s="87"/>
      <c r="RLD6" s="87"/>
      <c r="RLE6" s="87"/>
      <c r="RLF6" s="87"/>
      <c r="RLG6" s="87"/>
      <c r="RLH6" s="87"/>
      <c r="RLI6" s="87"/>
      <c r="RLJ6" s="87"/>
      <c r="RLK6" s="87"/>
      <c r="RLL6" s="87"/>
      <c r="RLM6" s="87"/>
      <c r="RLN6" s="87"/>
      <c r="RLO6" s="87"/>
      <c r="RLP6" s="87"/>
      <c r="RLQ6" s="87"/>
      <c r="RLR6" s="87"/>
      <c r="RLS6" s="87"/>
      <c r="RLT6" s="87"/>
      <c r="RLU6" s="87"/>
      <c r="RLV6" s="87"/>
      <c r="RLW6" s="87"/>
      <c r="RLX6" s="87"/>
      <c r="RLY6" s="87"/>
      <c r="RLZ6" s="87"/>
      <c r="RMA6" s="87"/>
      <c r="RMB6" s="87"/>
      <c r="RMC6" s="87"/>
      <c r="RMD6" s="87"/>
      <c r="RME6" s="87"/>
      <c r="RMF6" s="87"/>
      <c r="RMG6" s="87"/>
      <c r="RMH6" s="87"/>
      <c r="RMI6" s="87"/>
      <c r="RMJ6" s="87"/>
      <c r="RMK6" s="87"/>
      <c r="RML6" s="87"/>
      <c r="RMM6" s="87"/>
      <c r="RMN6" s="87"/>
      <c r="RMO6" s="87"/>
      <c r="RMP6" s="87"/>
      <c r="RMQ6" s="87"/>
      <c r="RMR6" s="87"/>
      <c r="RMS6" s="87"/>
      <c r="RMT6" s="87"/>
      <c r="RMU6" s="87"/>
      <c r="RMV6" s="87"/>
      <c r="RMW6" s="87"/>
      <c r="RMX6" s="87"/>
      <c r="RMY6" s="87"/>
      <c r="RMZ6" s="87"/>
      <c r="RNA6" s="87"/>
      <c r="RNB6" s="87"/>
      <c r="RNC6" s="87"/>
      <c r="RND6" s="87"/>
      <c r="RNE6" s="87"/>
      <c r="RNF6" s="87"/>
      <c r="RNG6" s="87"/>
      <c r="RNH6" s="87"/>
      <c r="RNI6" s="87"/>
      <c r="RNJ6" s="87"/>
      <c r="RNK6" s="87"/>
      <c r="RNL6" s="87"/>
      <c r="RNM6" s="87"/>
      <c r="RNN6" s="87"/>
      <c r="RNO6" s="87"/>
      <c r="RNP6" s="87"/>
      <c r="RNQ6" s="87"/>
      <c r="RNR6" s="87"/>
      <c r="RNS6" s="87"/>
      <c r="RNT6" s="87"/>
      <c r="RNU6" s="87"/>
      <c r="RNV6" s="87"/>
      <c r="RNW6" s="87"/>
      <c r="RNX6" s="87"/>
      <c r="RNY6" s="87"/>
      <c r="RNZ6" s="87"/>
      <c r="ROA6" s="87"/>
      <c r="ROB6" s="87"/>
      <c r="ROC6" s="87"/>
      <c r="ROD6" s="87"/>
      <c r="ROE6" s="87"/>
      <c r="ROF6" s="87"/>
      <c r="ROG6" s="87"/>
      <c r="ROH6" s="87"/>
      <c r="ROI6" s="87"/>
      <c r="ROJ6" s="87"/>
      <c r="ROK6" s="87"/>
      <c r="ROL6" s="87"/>
      <c r="ROM6" s="87"/>
      <c r="RON6" s="87"/>
      <c r="ROO6" s="87"/>
      <c r="ROP6" s="87"/>
      <c r="ROQ6" s="87"/>
      <c r="ROR6" s="87"/>
      <c r="ROS6" s="87"/>
      <c r="ROT6" s="87"/>
      <c r="ROU6" s="87"/>
      <c r="ROV6" s="87"/>
      <c r="ROW6" s="87"/>
      <c r="ROX6" s="87"/>
      <c r="ROY6" s="87"/>
      <c r="ROZ6" s="87"/>
      <c r="RPA6" s="87"/>
      <c r="RPB6" s="87"/>
      <c r="RPC6" s="87"/>
      <c r="RPD6" s="87"/>
      <c r="RPE6" s="87"/>
      <c r="RPF6" s="87"/>
      <c r="RPG6" s="87"/>
      <c r="RPH6" s="87"/>
      <c r="RPI6" s="87"/>
      <c r="RPJ6" s="87"/>
      <c r="RPK6" s="87"/>
      <c r="RPL6" s="87"/>
      <c r="RPM6" s="87"/>
      <c r="RPN6" s="87"/>
      <c r="RPO6" s="87"/>
      <c r="RPP6" s="87"/>
      <c r="RPQ6" s="87"/>
      <c r="RPR6" s="87"/>
      <c r="RPS6" s="87"/>
      <c r="RPT6" s="87"/>
      <c r="RPU6" s="87"/>
      <c r="RPV6" s="87"/>
      <c r="RPW6" s="87"/>
      <c r="RPX6" s="87"/>
      <c r="RPY6" s="87"/>
      <c r="RPZ6" s="87"/>
      <c r="RQA6" s="87"/>
      <c r="RQB6" s="87"/>
      <c r="RQC6" s="87"/>
      <c r="RQD6" s="87"/>
      <c r="RQE6" s="87"/>
      <c r="RQF6" s="87"/>
      <c r="RQG6" s="87"/>
      <c r="RQH6" s="87"/>
      <c r="RQI6" s="87"/>
      <c r="RQJ6" s="87"/>
      <c r="RQK6" s="87"/>
      <c r="RQL6" s="87"/>
      <c r="RQM6" s="87"/>
      <c r="RQN6" s="87"/>
      <c r="RQO6" s="87"/>
      <c r="RQP6" s="87"/>
      <c r="RQQ6" s="87"/>
      <c r="RQR6" s="87"/>
      <c r="RQS6" s="87"/>
      <c r="RQT6" s="87"/>
      <c r="RQU6" s="87"/>
      <c r="RQV6" s="87"/>
      <c r="RQW6" s="87"/>
      <c r="RQX6" s="87"/>
      <c r="RQY6" s="87"/>
      <c r="RQZ6" s="87"/>
      <c r="RRA6" s="87"/>
      <c r="RRB6" s="87"/>
      <c r="RRC6" s="87"/>
      <c r="RRD6" s="87"/>
      <c r="RRE6" s="87"/>
      <c r="RRF6" s="87"/>
      <c r="RRG6" s="87"/>
      <c r="RRH6" s="87"/>
      <c r="RRI6" s="87"/>
      <c r="RRJ6" s="87"/>
      <c r="RRK6" s="87"/>
      <c r="RRL6" s="87"/>
      <c r="RRM6" s="87"/>
      <c r="RRN6" s="87"/>
      <c r="RRO6" s="87"/>
      <c r="RRP6" s="87"/>
      <c r="RRQ6" s="87"/>
      <c r="RRR6" s="87"/>
      <c r="RRS6" s="87"/>
      <c r="RRT6" s="87"/>
      <c r="RRU6" s="87"/>
      <c r="RRV6" s="87"/>
      <c r="RRW6" s="87"/>
      <c r="RRX6" s="87"/>
      <c r="RRY6" s="87"/>
      <c r="RRZ6" s="87"/>
      <c r="RSA6" s="87"/>
      <c r="RSB6" s="87"/>
      <c r="RSC6" s="87"/>
      <c r="RSD6" s="87"/>
      <c r="RSE6" s="87"/>
      <c r="RSF6" s="87"/>
      <c r="RSG6" s="87"/>
      <c r="RSH6" s="87"/>
      <c r="RSI6" s="87"/>
      <c r="RSJ6" s="87"/>
      <c r="RSK6" s="87"/>
      <c r="RSL6" s="87"/>
      <c r="RSM6" s="87"/>
      <c r="RSN6" s="87"/>
      <c r="RSO6" s="87"/>
      <c r="RSP6" s="87"/>
      <c r="RSQ6" s="87"/>
      <c r="RSR6" s="87"/>
      <c r="RSS6" s="87"/>
      <c r="RST6" s="87"/>
      <c r="RSU6" s="87"/>
      <c r="RSV6" s="87"/>
      <c r="RSW6" s="87"/>
      <c r="RSX6" s="87"/>
      <c r="RSY6" s="87"/>
      <c r="RSZ6" s="87"/>
      <c r="RTA6" s="87"/>
      <c r="RTB6" s="87"/>
      <c r="RTC6" s="87"/>
      <c r="RTD6" s="87"/>
      <c r="RTE6" s="87"/>
      <c r="RTF6" s="87"/>
      <c r="RTG6" s="87"/>
      <c r="RTH6" s="87"/>
      <c r="RTI6" s="87"/>
      <c r="RTJ6" s="87"/>
      <c r="RTK6" s="87"/>
      <c r="RTL6" s="87"/>
      <c r="RTM6" s="87"/>
      <c r="RTN6" s="87"/>
      <c r="RTO6" s="87"/>
      <c r="RTP6" s="87"/>
      <c r="RTQ6" s="87"/>
      <c r="RTR6" s="87"/>
      <c r="RTS6" s="87"/>
      <c r="RTT6" s="87"/>
      <c r="RTU6" s="87"/>
      <c r="RTV6" s="87"/>
      <c r="RTW6" s="87"/>
      <c r="RTX6" s="87"/>
      <c r="RTY6" s="87"/>
      <c r="RTZ6" s="87"/>
      <c r="RUA6" s="87"/>
      <c r="RUB6" s="87"/>
      <c r="RUC6" s="87"/>
      <c r="RUD6" s="87"/>
      <c r="RUE6" s="87"/>
      <c r="RUF6" s="87"/>
      <c r="RUG6" s="87"/>
      <c r="RUH6" s="87"/>
      <c r="RUI6" s="87"/>
      <c r="RUJ6" s="87"/>
      <c r="RUK6" s="87"/>
      <c r="RUL6" s="87"/>
      <c r="RUM6" s="87"/>
      <c r="RUN6" s="87"/>
      <c r="RUO6" s="87"/>
      <c r="RUP6" s="87"/>
      <c r="RUQ6" s="87"/>
      <c r="RUR6" s="87"/>
      <c r="RUS6" s="87"/>
      <c r="RUT6" s="87"/>
      <c r="RUU6" s="87"/>
      <c r="RUV6" s="87"/>
      <c r="RUW6" s="87"/>
      <c r="RUX6" s="87"/>
      <c r="RUY6" s="87"/>
      <c r="RUZ6" s="87"/>
      <c r="RVA6" s="87"/>
      <c r="RVB6" s="87"/>
      <c r="RVC6" s="87"/>
      <c r="RVD6" s="87"/>
      <c r="RVE6" s="87"/>
      <c r="RVF6" s="87"/>
      <c r="RVG6" s="87"/>
      <c r="RVH6" s="87"/>
      <c r="RVI6" s="87"/>
      <c r="RVJ6" s="87"/>
      <c r="RVK6" s="87"/>
      <c r="RVL6" s="87"/>
      <c r="RVM6" s="87"/>
      <c r="RVN6" s="87"/>
      <c r="RVO6" s="87"/>
      <c r="RVP6" s="87"/>
      <c r="RVQ6" s="87"/>
      <c r="RVR6" s="87"/>
      <c r="RVS6" s="87"/>
      <c r="RVT6" s="87"/>
      <c r="RVU6" s="87"/>
      <c r="RVV6" s="87"/>
      <c r="RVW6" s="87"/>
      <c r="RVX6" s="87"/>
      <c r="RVY6" s="87"/>
      <c r="RVZ6" s="87"/>
      <c r="RWA6" s="87"/>
      <c r="RWB6" s="87"/>
      <c r="RWC6" s="87"/>
      <c r="RWD6" s="87"/>
      <c r="RWE6" s="87"/>
      <c r="RWF6" s="87"/>
      <c r="RWG6" s="87"/>
      <c r="RWH6" s="87"/>
      <c r="RWI6" s="87"/>
      <c r="RWJ6" s="87"/>
      <c r="RWK6" s="87"/>
      <c r="RWL6" s="87"/>
      <c r="RWM6" s="87"/>
      <c r="RWN6" s="87"/>
      <c r="RWO6" s="87"/>
      <c r="RWP6" s="87"/>
      <c r="RWQ6" s="87"/>
      <c r="RWR6" s="87"/>
      <c r="RWS6" s="87"/>
      <c r="RWT6" s="87"/>
      <c r="RWU6" s="87"/>
      <c r="RWV6" s="87"/>
      <c r="RWW6" s="87"/>
      <c r="RWX6" s="87"/>
      <c r="RWY6" s="87"/>
      <c r="RWZ6" s="87"/>
      <c r="RXA6" s="87"/>
      <c r="RXB6" s="87"/>
      <c r="RXC6" s="87"/>
      <c r="RXD6" s="87"/>
      <c r="RXE6" s="87"/>
      <c r="RXF6" s="87"/>
      <c r="RXG6" s="87"/>
      <c r="RXH6" s="87"/>
      <c r="RXI6" s="87"/>
      <c r="RXJ6" s="87"/>
      <c r="RXK6" s="87"/>
      <c r="RXL6" s="87"/>
      <c r="RXM6" s="87"/>
      <c r="RXN6" s="87"/>
      <c r="RXO6" s="87"/>
      <c r="RXP6" s="87"/>
      <c r="RXQ6" s="87"/>
      <c r="RXR6" s="87"/>
      <c r="RXS6" s="87"/>
      <c r="RXT6" s="87"/>
      <c r="RXU6" s="87"/>
      <c r="RXV6" s="87"/>
      <c r="RXW6" s="87"/>
      <c r="RXX6" s="87"/>
      <c r="RXY6" s="87"/>
      <c r="RXZ6" s="87"/>
      <c r="RYA6" s="87"/>
      <c r="RYB6" s="87"/>
      <c r="RYC6" s="87"/>
      <c r="RYD6" s="87"/>
      <c r="RYE6" s="87"/>
      <c r="RYF6" s="87"/>
      <c r="RYG6" s="87"/>
      <c r="RYH6" s="87"/>
      <c r="RYI6" s="87"/>
      <c r="RYJ6" s="87"/>
      <c r="RYK6" s="87"/>
      <c r="RYL6" s="87"/>
      <c r="RYM6" s="87"/>
      <c r="RYN6" s="87"/>
      <c r="RYO6" s="87"/>
      <c r="RYP6" s="87"/>
      <c r="RYQ6" s="87"/>
      <c r="RYR6" s="87"/>
      <c r="RYS6" s="87"/>
      <c r="RYT6" s="87"/>
      <c r="RYU6" s="87"/>
      <c r="RYV6" s="87"/>
      <c r="RYW6" s="87"/>
      <c r="RYX6" s="87"/>
      <c r="RYY6" s="87"/>
      <c r="RYZ6" s="87"/>
      <c r="RZA6" s="87"/>
      <c r="RZB6" s="87"/>
      <c r="RZC6" s="87"/>
      <c r="RZD6" s="87"/>
      <c r="RZE6" s="87"/>
      <c r="RZF6" s="87"/>
      <c r="RZG6" s="87"/>
      <c r="RZH6" s="87"/>
      <c r="RZI6" s="87"/>
      <c r="RZJ6" s="87"/>
      <c r="RZK6" s="87"/>
      <c r="RZL6" s="87"/>
      <c r="RZM6" s="87"/>
      <c r="RZN6" s="87"/>
      <c r="RZO6" s="87"/>
      <c r="RZP6" s="87"/>
      <c r="RZQ6" s="87"/>
      <c r="RZR6" s="87"/>
      <c r="RZS6" s="87"/>
      <c r="RZT6" s="87"/>
      <c r="RZU6" s="87"/>
      <c r="RZV6" s="87"/>
      <c r="RZW6" s="87"/>
      <c r="RZX6" s="87"/>
      <c r="RZY6" s="87"/>
      <c r="RZZ6" s="87"/>
      <c r="SAA6" s="87"/>
      <c r="SAB6" s="87"/>
      <c r="SAC6" s="87"/>
      <c r="SAD6" s="87"/>
      <c r="SAE6" s="87"/>
      <c r="SAF6" s="87"/>
      <c r="SAG6" s="87"/>
      <c r="SAH6" s="87"/>
      <c r="SAI6" s="87"/>
      <c r="SAJ6" s="87"/>
      <c r="SAK6" s="87"/>
      <c r="SAL6" s="87"/>
      <c r="SAM6" s="87"/>
      <c r="SAN6" s="87"/>
      <c r="SAO6" s="87"/>
      <c r="SAP6" s="87"/>
      <c r="SAQ6" s="87"/>
      <c r="SAR6" s="87"/>
      <c r="SAS6" s="87"/>
      <c r="SAT6" s="87"/>
      <c r="SAU6" s="87"/>
      <c r="SAV6" s="87"/>
      <c r="SAW6" s="87"/>
      <c r="SAX6" s="87"/>
      <c r="SAY6" s="87"/>
      <c r="SAZ6" s="87"/>
      <c r="SBA6" s="87"/>
      <c r="SBB6" s="87"/>
      <c r="SBC6" s="87"/>
      <c r="SBD6" s="87"/>
      <c r="SBE6" s="87"/>
      <c r="SBF6" s="87"/>
      <c r="SBG6" s="87"/>
      <c r="SBH6" s="87"/>
      <c r="SBI6" s="87"/>
      <c r="SBJ6" s="87"/>
      <c r="SBK6" s="87"/>
      <c r="SBL6" s="87"/>
      <c r="SBM6" s="87"/>
      <c r="SBN6" s="87"/>
      <c r="SBO6" s="87"/>
      <c r="SBP6" s="87"/>
      <c r="SBQ6" s="87"/>
      <c r="SBR6" s="87"/>
      <c r="SBS6" s="87"/>
      <c r="SBT6" s="87"/>
      <c r="SBU6" s="87"/>
      <c r="SBV6" s="87"/>
      <c r="SBW6" s="87"/>
      <c r="SBX6" s="87"/>
      <c r="SBY6" s="87"/>
      <c r="SBZ6" s="87"/>
      <c r="SCA6" s="87"/>
      <c r="SCB6" s="87"/>
      <c r="SCC6" s="87"/>
      <c r="SCD6" s="87"/>
      <c r="SCE6" s="87"/>
      <c r="SCF6" s="87"/>
      <c r="SCG6" s="87"/>
      <c r="SCH6" s="87"/>
      <c r="SCI6" s="87"/>
      <c r="SCJ6" s="87"/>
      <c r="SCK6" s="87"/>
      <c r="SCL6" s="87"/>
      <c r="SCM6" s="87"/>
      <c r="SCN6" s="87"/>
      <c r="SCO6" s="87"/>
      <c r="SCP6" s="87"/>
      <c r="SCQ6" s="87"/>
      <c r="SCR6" s="87"/>
      <c r="SCS6" s="87"/>
      <c r="SCT6" s="87"/>
      <c r="SCU6" s="87"/>
      <c r="SCV6" s="87"/>
      <c r="SCW6" s="87"/>
      <c r="SCX6" s="87"/>
      <c r="SCY6" s="87"/>
      <c r="SCZ6" s="87"/>
      <c r="SDA6" s="87"/>
      <c r="SDB6" s="87"/>
      <c r="SDC6" s="87"/>
      <c r="SDD6" s="87"/>
      <c r="SDE6" s="87"/>
      <c r="SDF6" s="87"/>
      <c r="SDG6" s="87"/>
      <c r="SDH6" s="87"/>
      <c r="SDI6" s="87"/>
      <c r="SDJ6" s="87"/>
      <c r="SDK6" s="87"/>
      <c r="SDL6" s="87"/>
      <c r="SDM6" s="87"/>
      <c r="SDN6" s="87"/>
      <c r="SDO6" s="87"/>
      <c r="SDP6" s="87"/>
      <c r="SDQ6" s="87"/>
      <c r="SDR6" s="87"/>
      <c r="SDS6" s="87"/>
      <c r="SDT6" s="87"/>
      <c r="SDU6" s="87"/>
      <c r="SDV6" s="87"/>
      <c r="SDW6" s="87"/>
      <c r="SDX6" s="87"/>
      <c r="SDY6" s="87"/>
      <c r="SDZ6" s="87"/>
      <c r="SEA6" s="87"/>
      <c r="SEB6" s="87"/>
      <c r="SEC6" s="87"/>
      <c r="SED6" s="87"/>
      <c r="SEE6" s="87"/>
      <c r="SEF6" s="87"/>
      <c r="SEG6" s="87"/>
      <c r="SEH6" s="87"/>
      <c r="SEI6" s="87"/>
      <c r="SEJ6" s="87"/>
      <c r="SEK6" s="87"/>
      <c r="SEL6" s="87"/>
      <c r="SEM6" s="87"/>
      <c r="SEN6" s="87"/>
      <c r="SEO6" s="87"/>
      <c r="SEP6" s="87"/>
      <c r="SEQ6" s="87"/>
      <c r="SER6" s="87"/>
      <c r="SES6" s="87"/>
      <c r="SET6" s="87"/>
      <c r="SEU6" s="87"/>
      <c r="SEV6" s="87"/>
      <c r="SEW6" s="87"/>
      <c r="SEX6" s="87"/>
      <c r="SEY6" s="87"/>
      <c r="SEZ6" s="87"/>
      <c r="SFA6" s="87"/>
      <c r="SFB6" s="87"/>
      <c r="SFC6" s="87"/>
      <c r="SFD6" s="87"/>
      <c r="SFE6" s="87"/>
      <c r="SFF6" s="87"/>
      <c r="SFG6" s="87"/>
      <c r="SFH6" s="87"/>
      <c r="SFI6" s="87"/>
      <c r="SFJ6" s="87"/>
      <c r="SFK6" s="87"/>
      <c r="SFL6" s="87"/>
      <c r="SFM6" s="87"/>
      <c r="SFN6" s="87"/>
      <c r="SFO6" s="87"/>
      <c r="SFP6" s="87"/>
      <c r="SFQ6" s="87"/>
      <c r="SFR6" s="87"/>
      <c r="SFS6" s="87"/>
      <c r="SFT6" s="87"/>
      <c r="SFU6" s="87"/>
      <c r="SFV6" s="87"/>
      <c r="SFW6" s="87"/>
      <c r="SFX6" s="87"/>
      <c r="SFY6" s="87"/>
      <c r="SFZ6" s="87"/>
      <c r="SGA6" s="87"/>
      <c r="SGB6" s="87"/>
      <c r="SGC6" s="87"/>
      <c r="SGD6" s="87"/>
      <c r="SGE6" s="87"/>
      <c r="SGF6" s="87"/>
      <c r="SGG6" s="87"/>
      <c r="SGH6" s="87"/>
      <c r="SGI6" s="87"/>
      <c r="SGJ6" s="87"/>
      <c r="SGK6" s="87"/>
      <c r="SGL6" s="87"/>
      <c r="SGM6" s="87"/>
      <c r="SGN6" s="87"/>
      <c r="SGO6" s="87"/>
      <c r="SGP6" s="87"/>
      <c r="SGQ6" s="87"/>
      <c r="SGR6" s="87"/>
      <c r="SGS6" s="87"/>
      <c r="SGT6" s="87"/>
      <c r="SGU6" s="87"/>
      <c r="SGV6" s="87"/>
      <c r="SGW6" s="87"/>
      <c r="SGX6" s="87"/>
      <c r="SGY6" s="87"/>
      <c r="SGZ6" s="87"/>
      <c r="SHA6" s="87"/>
      <c r="SHB6" s="87"/>
      <c r="SHC6" s="87"/>
      <c r="SHD6" s="87"/>
      <c r="SHE6" s="87"/>
      <c r="SHF6" s="87"/>
      <c r="SHG6" s="87"/>
      <c r="SHH6" s="87"/>
      <c r="SHI6" s="87"/>
      <c r="SHJ6" s="87"/>
      <c r="SHK6" s="87"/>
      <c r="SHL6" s="87"/>
      <c r="SHM6" s="87"/>
      <c r="SHN6" s="87"/>
      <c r="SHO6" s="87"/>
      <c r="SHP6" s="87"/>
      <c r="SHQ6" s="87"/>
      <c r="SHR6" s="87"/>
      <c r="SHS6" s="87"/>
      <c r="SHT6" s="87"/>
      <c r="SHU6" s="87"/>
      <c r="SHV6" s="87"/>
      <c r="SHW6" s="87"/>
      <c r="SHX6" s="87"/>
      <c r="SHY6" s="87"/>
      <c r="SHZ6" s="87"/>
      <c r="SIA6" s="87"/>
      <c r="SIB6" s="87"/>
      <c r="SIC6" s="87"/>
      <c r="SID6" s="87"/>
      <c r="SIE6" s="87"/>
      <c r="SIF6" s="87"/>
      <c r="SIG6" s="87"/>
      <c r="SIH6" s="87"/>
      <c r="SII6" s="87"/>
      <c r="SIJ6" s="87"/>
      <c r="SIK6" s="87"/>
      <c r="SIL6" s="87"/>
      <c r="SIM6" s="87"/>
      <c r="SIN6" s="87"/>
      <c r="SIO6" s="87"/>
      <c r="SIP6" s="87"/>
      <c r="SIQ6" s="87"/>
      <c r="SIR6" s="87"/>
      <c r="SIS6" s="87"/>
      <c r="SIT6" s="87"/>
      <c r="SIU6" s="87"/>
      <c r="SIV6" s="87"/>
      <c r="SIW6" s="87"/>
      <c r="SIX6" s="87"/>
      <c r="SIY6" s="87"/>
      <c r="SIZ6" s="87"/>
      <c r="SJA6" s="87"/>
      <c r="SJB6" s="87"/>
      <c r="SJC6" s="87"/>
      <c r="SJD6" s="87"/>
      <c r="SJE6" s="87"/>
      <c r="SJF6" s="87"/>
      <c r="SJG6" s="87"/>
      <c r="SJH6" s="87"/>
      <c r="SJI6" s="87"/>
      <c r="SJJ6" s="87"/>
      <c r="SJK6" s="87"/>
      <c r="SJL6" s="87"/>
      <c r="SJM6" s="87"/>
      <c r="SJN6" s="87"/>
      <c r="SJO6" s="87"/>
      <c r="SJP6" s="87"/>
      <c r="SJQ6" s="87"/>
      <c r="SJR6" s="87"/>
      <c r="SJS6" s="87"/>
      <c r="SJT6" s="87"/>
      <c r="SJU6" s="87"/>
      <c r="SJV6" s="87"/>
      <c r="SJW6" s="87"/>
      <c r="SJX6" s="87"/>
      <c r="SJY6" s="87"/>
      <c r="SJZ6" s="87"/>
      <c r="SKA6" s="87"/>
      <c r="SKB6" s="87"/>
      <c r="SKC6" s="87"/>
      <c r="SKD6" s="87"/>
      <c r="SKE6" s="87"/>
      <c r="SKF6" s="87"/>
      <c r="SKG6" s="87"/>
      <c r="SKH6" s="87"/>
      <c r="SKI6" s="87"/>
      <c r="SKJ6" s="87"/>
      <c r="SKK6" s="87"/>
      <c r="SKL6" s="87"/>
      <c r="SKM6" s="87"/>
      <c r="SKN6" s="87"/>
      <c r="SKO6" s="87"/>
      <c r="SKP6" s="87"/>
      <c r="SKQ6" s="87"/>
      <c r="SKR6" s="87"/>
      <c r="SKS6" s="87"/>
      <c r="SKT6" s="87"/>
      <c r="SKU6" s="87"/>
      <c r="SKV6" s="87"/>
      <c r="SKW6" s="87"/>
      <c r="SKX6" s="87"/>
      <c r="SKY6" s="87"/>
      <c r="SKZ6" s="87"/>
      <c r="SLA6" s="87"/>
      <c r="SLB6" s="87"/>
      <c r="SLC6" s="87"/>
      <c r="SLD6" s="87"/>
      <c r="SLE6" s="87"/>
      <c r="SLF6" s="87"/>
      <c r="SLG6" s="87"/>
      <c r="SLH6" s="87"/>
      <c r="SLI6" s="87"/>
      <c r="SLJ6" s="87"/>
      <c r="SLK6" s="87"/>
      <c r="SLL6" s="87"/>
      <c r="SLM6" s="87"/>
      <c r="SLN6" s="87"/>
      <c r="SLO6" s="87"/>
      <c r="SLP6" s="87"/>
      <c r="SLQ6" s="87"/>
      <c r="SLR6" s="87"/>
      <c r="SLS6" s="87"/>
      <c r="SLT6" s="87"/>
      <c r="SLU6" s="87"/>
      <c r="SLV6" s="87"/>
      <c r="SLW6" s="87"/>
      <c r="SLX6" s="87"/>
      <c r="SLY6" s="87"/>
      <c r="SLZ6" s="87"/>
      <c r="SMA6" s="87"/>
      <c r="SMB6" s="87"/>
      <c r="SMC6" s="87"/>
      <c r="SMD6" s="87"/>
      <c r="SME6" s="87"/>
      <c r="SMF6" s="87"/>
      <c r="SMG6" s="87"/>
      <c r="SMH6" s="87"/>
      <c r="SMI6" s="87"/>
      <c r="SMJ6" s="87"/>
      <c r="SMK6" s="87"/>
      <c r="SML6" s="87"/>
      <c r="SMM6" s="87"/>
      <c r="SMN6" s="87"/>
      <c r="SMO6" s="87"/>
      <c r="SMP6" s="87"/>
      <c r="SMQ6" s="87"/>
      <c r="SMR6" s="87"/>
      <c r="SMS6" s="87"/>
      <c r="SMT6" s="87"/>
      <c r="SMU6" s="87"/>
      <c r="SMV6" s="87"/>
      <c r="SMW6" s="87"/>
      <c r="SMX6" s="87"/>
      <c r="SMY6" s="87"/>
      <c r="SMZ6" s="87"/>
      <c r="SNA6" s="87"/>
      <c r="SNB6" s="87"/>
      <c r="SNC6" s="87"/>
      <c r="SND6" s="87"/>
      <c r="SNE6" s="87"/>
      <c r="SNF6" s="87"/>
      <c r="SNG6" s="87"/>
      <c r="SNH6" s="87"/>
      <c r="SNI6" s="87"/>
      <c r="SNJ6" s="87"/>
      <c r="SNK6" s="87"/>
      <c r="SNL6" s="87"/>
      <c r="SNM6" s="87"/>
      <c r="SNN6" s="87"/>
      <c r="SNO6" s="87"/>
      <c r="SNP6" s="87"/>
      <c r="SNQ6" s="87"/>
      <c r="SNR6" s="87"/>
      <c r="SNS6" s="87"/>
      <c r="SNT6" s="87"/>
      <c r="SNU6" s="87"/>
      <c r="SNV6" s="87"/>
      <c r="SNW6" s="87"/>
      <c r="SNX6" s="87"/>
      <c r="SNY6" s="87"/>
      <c r="SNZ6" s="87"/>
      <c r="SOA6" s="87"/>
      <c r="SOB6" s="87"/>
      <c r="SOC6" s="87"/>
      <c r="SOD6" s="87"/>
      <c r="SOE6" s="87"/>
      <c r="SOF6" s="87"/>
      <c r="SOG6" s="87"/>
      <c r="SOH6" s="87"/>
      <c r="SOI6" s="87"/>
      <c r="SOJ6" s="87"/>
      <c r="SOK6" s="87"/>
      <c r="SOL6" s="87"/>
      <c r="SOM6" s="87"/>
      <c r="SON6" s="87"/>
      <c r="SOO6" s="87"/>
      <c r="SOP6" s="87"/>
      <c r="SOQ6" s="87"/>
      <c r="SOR6" s="87"/>
      <c r="SOS6" s="87"/>
      <c r="SOT6" s="87"/>
      <c r="SOU6" s="87"/>
      <c r="SOV6" s="87"/>
      <c r="SOW6" s="87"/>
      <c r="SOX6" s="87"/>
      <c r="SOY6" s="87"/>
      <c r="SOZ6" s="87"/>
      <c r="SPA6" s="87"/>
      <c r="SPB6" s="87"/>
      <c r="SPC6" s="87"/>
      <c r="SPD6" s="87"/>
      <c r="SPE6" s="87"/>
      <c r="SPF6" s="87"/>
      <c r="SPG6" s="87"/>
      <c r="SPH6" s="87"/>
      <c r="SPI6" s="87"/>
      <c r="SPJ6" s="87"/>
      <c r="SPK6" s="87"/>
      <c r="SPL6" s="87"/>
      <c r="SPM6" s="87"/>
      <c r="SPN6" s="87"/>
      <c r="SPO6" s="87"/>
      <c r="SPP6" s="87"/>
      <c r="SPQ6" s="87"/>
      <c r="SPR6" s="87"/>
      <c r="SPS6" s="87"/>
      <c r="SPT6" s="87"/>
      <c r="SPU6" s="87"/>
      <c r="SPV6" s="87"/>
      <c r="SPW6" s="87"/>
      <c r="SPX6" s="87"/>
      <c r="SPY6" s="87"/>
      <c r="SPZ6" s="87"/>
      <c r="SQA6" s="87"/>
      <c r="SQB6" s="87"/>
      <c r="SQC6" s="87"/>
      <c r="SQD6" s="87"/>
      <c r="SQE6" s="87"/>
      <c r="SQF6" s="87"/>
      <c r="SQG6" s="87"/>
      <c r="SQH6" s="87"/>
      <c r="SQI6" s="87"/>
      <c r="SQJ6" s="87"/>
      <c r="SQK6" s="87"/>
      <c r="SQL6" s="87"/>
      <c r="SQM6" s="87"/>
      <c r="SQN6" s="87"/>
      <c r="SQO6" s="87"/>
      <c r="SQP6" s="87"/>
      <c r="SQQ6" s="87"/>
      <c r="SQR6" s="87"/>
      <c r="SQS6" s="87"/>
      <c r="SQT6" s="87"/>
      <c r="SQU6" s="87"/>
      <c r="SQV6" s="87"/>
      <c r="SQW6" s="87"/>
      <c r="SQX6" s="87"/>
      <c r="SQY6" s="87"/>
      <c r="SQZ6" s="87"/>
      <c r="SRA6" s="87"/>
      <c r="SRB6" s="87"/>
      <c r="SRC6" s="87"/>
      <c r="SRD6" s="87"/>
      <c r="SRE6" s="87"/>
      <c r="SRF6" s="87"/>
      <c r="SRG6" s="87"/>
      <c r="SRH6" s="87"/>
      <c r="SRI6" s="87"/>
      <c r="SRJ6" s="87"/>
      <c r="SRK6" s="87"/>
      <c r="SRL6" s="87"/>
      <c r="SRM6" s="87"/>
      <c r="SRN6" s="87"/>
      <c r="SRO6" s="87"/>
      <c r="SRP6" s="87"/>
      <c r="SRQ6" s="87"/>
      <c r="SRR6" s="87"/>
      <c r="SRS6" s="87"/>
      <c r="SRT6" s="87"/>
      <c r="SRU6" s="87"/>
      <c r="SRV6" s="87"/>
      <c r="SRW6" s="87"/>
      <c r="SRX6" s="87"/>
      <c r="SRY6" s="87"/>
      <c r="SRZ6" s="87"/>
      <c r="SSA6" s="87"/>
      <c r="SSB6" s="87"/>
      <c r="SSC6" s="87"/>
      <c r="SSD6" s="87"/>
      <c r="SSE6" s="87"/>
      <c r="SSF6" s="87"/>
      <c r="SSG6" s="87"/>
      <c r="SSH6" s="87"/>
      <c r="SSI6" s="87"/>
      <c r="SSJ6" s="87"/>
      <c r="SSK6" s="87"/>
      <c r="SSL6" s="87"/>
      <c r="SSM6" s="87"/>
      <c r="SSN6" s="87"/>
      <c r="SSO6" s="87"/>
      <c r="SSP6" s="87"/>
      <c r="SSQ6" s="87"/>
      <c r="SSR6" s="87"/>
      <c r="SSS6" s="87"/>
      <c r="SST6" s="87"/>
      <c r="SSU6" s="87"/>
      <c r="SSV6" s="87"/>
      <c r="SSW6" s="87"/>
      <c r="SSX6" s="87"/>
      <c r="SSY6" s="87"/>
      <c r="SSZ6" s="87"/>
      <c r="STA6" s="87"/>
      <c r="STB6" s="87"/>
      <c r="STC6" s="87"/>
      <c r="STD6" s="87"/>
      <c r="STE6" s="87"/>
      <c r="STF6" s="87"/>
      <c r="STG6" s="87"/>
      <c r="STH6" s="87"/>
      <c r="STI6" s="87"/>
      <c r="STJ6" s="87"/>
      <c r="STK6" s="87"/>
      <c r="STL6" s="87"/>
      <c r="STM6" s="87"/>
      <c r="STN6" s="87"/>
      <c r="STO6" s="87"/>
      <c r="STP6" s="87"/>
      <c r="STQ6" s="87"/>
      <c r="STR6" s="87"/>
      <c r="STS6" s="87"/>
      <c r="STT6" s="87"/>
      <c r="STU6" s="87"/>
      <c r="STV6" s="87"/>
      <c r="STW6" s="87"/>
      <c r="STX6" s="87"/>
      <c r="STY6" s="87"/>
      <c r="STZ6" s="87"/>
      <c r="SUA6" s="87"/>
      <c r="SUB6" s="87"/>
      <c r="SUC6" s="87"/>
      <c r="SUD6" s="87"/>
      <c r="SUE6" s="87"/>
      <c r="SUF6" s="87"/>
      <c r="SUG6" s="87"/>
      <c r="SUH6" s="87"/>
      <c r="SUI6" s="87"/>
      <c r="SUJ6" s="87"/>
      <c r="SUK6" s="87"/>
      <c r="SUL6" s="87"/>
      <c r="SUM6" s="87"/>
      <c r="SUN6" s="87"/>
      <c r="SUO6" s="87"/>
      <c r="SUP6" s="87"/>
      <c r="SUQ6" s="87"/>
      <c r="SUR6" s="87"/>
      <c r="SUS6" s="87"/>
      <c r="SUT6" s="87"/>
      <c r="SUU6" s="87"/>
      <c r="SUV6" s="87"/>
      <c r="SUW6" s="87"/>
      <c r="SUX6" s="87"/>
      <c r="SUY6" s="87"/>
      <c r="SUZ6" s="87"/>
      <c r="SVA6" s="87"/>
      <c r="SVB6" s="87"/>
      <c r="SVC6" s="87"/>
      <c r="SVD6" s="87"/>
      <c r="SVE6" s="87"/>
      <c r="SVF6" s="87"/>
      <c r="SVG6" s="87"/>
      <c r="SVH6" s="87"/>
      <c r="SVI6" s="87"/>
      <c r="SVJ6" s="87"/>
      <c r="SVK6" s="87"/>
      <c r="SVL6" s="87"/>
      <c r="SVM6" s="87"/>
      <c r="SVN6" s="87"/>
      <c r="SVO6" s="87"/>
      <c r="SVP6" s="87"/>
      <c r="SVQ6" s="87"/>
      <c r="SVR6" s="87"/>
      <c r="SVS6" s="87"/>
      <c r="SVT6" s="87"/>
      <c r="SVU6" s="87"/>
      <c r="SVV6" s="87"/>
      <c r="SVW6" s="87"/>
      <c r="SVX6" s="87"/>
      <c r="SVY6" s="87"/>
      <c r="SVZ6" s="87"/>
      <c r="SWA6" s="87"/>
      <c r="SWB6" s="87"/>
      <c r="SWC6" s="87"/>
      <c r="SWD6" s="87"/>
      <c r="SWE6" s="87"/>
      <c r="SWF6" s="87"/>
      <c r="SWG6" s="87"/>
      <c r="SWH6" s="87"/>
      <c r="SWI6" s="87"/>
      <c r="SWJ6" s="87"/>
      <c r="SWK6" s="87"/>
      <c r="SWL6" s="87"/>
      <c r="SWM6" s="87"/>
      <c r="SWN6" s="87"/>
      <c r="SWO6" s="87"/>
      <c r="SWP6" s="87"/>
      <c r="SWQ6" s="87"/>
      <c r="SWR6" s="87"/>
      <c r="SWS6" s="87"/>
      <c r="SWT6" s="87"/>
      <c r="SWU6" s="87"/>
      <c r="SWV6" s="87"/>
      <c r="SWW6" s="87"/>
      <c r="SWX6" s="87"/>
      <c r="SWY6" s="87"/>
      <c r="SWZ6" s="87"/>
      <c r="SXA6" s="87"/>
      <c r="SXB6" s="87"/>
      <c r="SXC6" s="87"/>
      <c r="SXD6" s="87"/>
      <c r="SXE6" s="87"/>
      <c r="SXF6" s="87"/>
      <c r="SXG6" s="87"/>
      <c r="SXH6" s="87"/>
      <c r="SXI6" s="87"/>
      <c r="SXJ6" s="87"/>
      <c r="SXK6" s="87"/>
      <c r="SXL6" s="87"/>
      <c r="SXM6" s="87"/>
      <c r="SXN6" s="87"/>
      <c r="SXO6" s="87"/>
      <c r="SXP6" s="87"/>
      <c r="SXQ6" s="87"/>
      <c r="SXR6" s="87"/>
      <c r="SXS6" s="87"/>
      <c r="SXT6" s="87"/>
      <c r="SXU6" s="87"/>
      <c r="SXV6" s="87"/>
      <c r="SXW6" s="87"/>
      <c r="SXX6" s="87"/>
      <c r="SXY6" s="87"/>
      <c r="SXZ6" s="87"/>
      <c r="SYA6" s="87"/>
      <c r="SYB6" s="87"/>
      <c r="SYC6" s="87"/>
      <c r="SYD6" s="87"/>
      <c r="SYE6" s="87"/>
      <c r="SYF6" s="87"/>
      <c r="SYG6" s="87"/>
      <c r="SYH6" s="87"/>
      <c r="SYI6" s="87"/>
      <c r="SYJ6" s="87"/>
      <c r="SYK6" s="87"/>
      <c r="SYL6" s="87"/>
      <c r="SYM6" s="87"/>
      <c r="SYN6" s="87"/>
      <c r="SYO6" s="87"/>
      <c r="SYP6" s="87"/>
      <c r="SYQ6" s="87"/>
      <c r="SYR6" s="87"/>
      <c r="SYS6" s="87"/>
      <c r="SYT6" s="87"/>
      <c r="SYU6" s="87"/>
      <c r="SYV6" s="87"/>
      <c r="SYW6" s="87"/>
      <c r="SYX6" s="87"/>
      <c r="SYY6" s="87"/>
      <c r="SYZ6" s="87"/>
      <c r="SZA6" s="87"/>
      <c r="SZB6" s="87"/>
      <c r="SZC6" s="87"/>
      <c r="SZD6" s="87"/>
      <c r="SZE6" s="87"/>
      <c r="SZF6" s="87"/>
      <c r="SZG6" s="87"/>
      <c r="SZH6" s="87"/>
      <c r="SZI6" s="87"/>
      <c r="SZJ6" s="87"/>
      <c r="SZK6" s="87"/>
      <c r="SZL6" s="87"/>
      <c r="SZM6" s="87"/>
      <c r="SZN6" s="87"/>
      <c r="SZO6" s="87"/>
      <c r="SZP6" s="87"/>
      <c r="SZQ6" s="87"/>
      <c r="SZR6" s="87"/>
      <c r="SZS6" s="87"/>
      <c r="SZT6" s="87"/>
      <c r="SZU6" s="87"/>
      <c r="SZV6" s="87"/>
      <c r="SZW6" s="87"/>
      <c r="SZX6" s="87"/>
      <c r="SZY6" s="87"/>
      <c r="SZZ6" s="87"/>
      <c r="TAA6" s="87"/>
      <c r="TAB6" s="87"/>
      <c r="TAC6" s="87"/>
      <c r="TAD6" s="87"/>
      <c r="TAE6" s="87"/>
      <c r="TAF6" s="87"/>
      <c r="TAG6" s="87"/>
      <c r="TAH6" s="87"/>
      <c r="TAI6" s="87"/>
      <c r="TAJ6" s="87"/>
      <c r="TAK6" s="87"/>
      <c r="TAL6" s="87"/>
      <c r="TAM6" s="87"/>
      <c r="TAN6" s="87"/>
      <c r="TAO6" s="87"/>
      <c r="TAP6" s="87"/>
      <c r="TAQ6" s="87"/>
      <c r="TAR6" s="87"/>
      <c r="TAS6" s="87"/>
      <c r="TAT6" s="87"/>
      <c r="TAU6" s="87"/>
      <c r="TAV6" s="87"/>
      <c r="TAW6" s="87"/>
      <c r="TAX6" s="87"/>
      <c r="TAY6" s="87"/>
      <c r="TAZ6" s="87"/>
      <c r="TBA6" s="87"/>
      <c r="TBB6" s="87"/>
      <c r="TBC6" s="87"/>
      <c r="TBD6" s="87"/>
      <c r="TBE6" s="87"/>
      <c r="TBF6" s="87"/>
      <c r="TBG6" s="87"/>
      <c r="TBH6" s="87"/>
      <c r="TBI6" s="87"/>
      <c r="TBJ6" s="87"/>
      <c r="TBK6" s="87"/>
      <c r="TBL6" s="87"/>
      <c r="TBM6" s="87"/>
      <c r="TBN6" s="87"/>
      <c r="TBO6" s="87"/>
      <c r="TBP6" s="87"/>
      <c r="TBQ6" s="87"/>
      <c r="TBR6" s="87"/>
      <c r="TBS6" s="87"/>
      <c r="TBT6" s="87"/>
      <c r="TBU6" s="87"/>
      <c r="TBV6" s="87"/>
      <c r="TBW6" s="87"/>
      <c r="TBX6" s="87"/>
      <c r="TBY6" s="87"/>
      <c r="TBZ6" s="87"/>
      <c r="TCA6" s="87"/>
      <c r="TCB6" s="87"/>
      <c r="TCC6" s="87"/>
      <c r="TCD6" s="87"/>
      <c r="TCE6" s="87"/>
      <c r="TCF6" s="87"/>
      <c r="TCG6" s="87"/>
      <c r="TCH6" s="87"/>
      <c r="TCI6" s="87"/>
      <c r="TCJ6" s="87"/>
      <c r="TCK6" s="87"/>
      <c r="TCL6" s="87"/>
      <c r="TCM6" s="87"/>
      <c r="TCN6" s="87"/>
      <c r="TCO6" s="87"/>
      <c r="TCP6" s="87"/>
      <c r="TCQ6" s="87"/>
      <c r="TCR6" s="87"/>
      <c r="TCS6" s="87"/>
      <c r="TCT6" s="87"/>
      <c r="TCU6" s="87"/>
      <c r="TCV6" s="87"/>
      <c r="TCW6" s="87"/>
      <c r="TCX6" s="87"/>
      <c r="TCY6" s="87"/>
      <c r="TCZ6" s="87"/>
      <c r="TDA6" s="87"/>
      <c r="TDB6" s="87"/>
      <c r="TDC6" s="87"/>
      <c r="TDD6" s="87"/>
      <c r="TDE6" s="87"/>
      <c r="TDF6" s="87"/>
      <c r="TDG6" s="87"/>
      <c r="TDH6" s="87"/>
      <c r="TDI6" s="87"/>
      <c r="TDJ6" s="87"/>
      <c r="TDK6" s="87"/>
      <c r="TDL6" s="87"/>
      <c r="TDM6" s="87"/>
      <c r="TDN6" s="87"/>
      <c r="TDO6" s="87"/>
      <c r="TDP6" s="87"/>
      <c r="TDQ6" s="87"/>
      <c r="TDR6" s="87"/>
      <c r="TDS6" s="87"/>
      <c r="TDT6" s="87"/>
      <c r="TDU6" s="87"/>
      <c r="TDV6" s="87"/>
      <c r="TDW6" s="87"/>
      <c r="TDX6" s="87"/>
      <c r="TDY6" s="87"/>
      <c r="TDZ6" s="87"/>
      <c r="TEA6" s="87"/>
      <c r="TEB6" s="87"/>
      <c r="TEC6" s="87"/>
      <c r="TED6" s="87"/>
      <c r="TEE6" s="87"/>
      <c r="TEF6" s="87"/>
      <c r="TEG6" s="87"/>
      <c r="TEH6" s="87"/>
      <c r="TEI6" s="87"/>
      <c r="TEJ6" s="87"/>
      <c r="TEK6" s="87"/>
      <c r="TEL6" s="87"/>
      <c r="TEM6" s="87"/>
      <c r="TEN6" s="87"/>
      <c r="TEO6" s="87"/>
      <c r="TEP6" s="87"/>
      <c r="TEQ6" s="87"/>
      <c r="TER6" s="87"/>
      <c r="TES6" s="87"/>
      <c r="TET6" s="87"/>
      <c r="TEU6" s="87"/>
      <c r="TEV6" s="87"/>
      <c r="TEW6" s="87"/>
      <c r="TEX6" s="87"/>
      <c r="TEY6" s="87"/>
      <c r="TEZ6" s="87"/>
      <c r="TFA6" s="87"/>
      <c r="TFB6" s="87"/>
      <c r="TFC6" s="87"/>
      <c r="TFD6" s="87"/>
      <c r="TFE6" s="87"/>
      <c r="TFF6" s="87"/>
      <c r="TFG6" s="87"/>
      <c r="TFH6" s="87"/>
      <c r="TFI6" s="87"/>
      <c r="TFJ6" s="87"/>
      <c r="TFK6" s="87"/>
      <c r="TFL6" s="87"/>
      <c r="TFM6" s="87"/>
      <c r="TFN6" s="87"/>
      <c r="TFO6" s="87"/>
      <c r="TFP6" s="87"/>
      <c r="TFQ6" s="87"/>
      <c r="TFR6" s="87"/>
      <c r="TFS6" s="87"/>
      <c r="TFT6" s="87"/>
      <c r="TFU6" s="87"/>
      <c r="TFV6" s="87"/>
      <c r="TFW6" s="87"/>
      <c r="TFX6" s="87"/>
      <c r="TFY6" s="87"/>
      <c r="TFZ6" s="87"/>
      <c r="TGA6" s="87"/>
      <c r="TGB6" s="87"/>
      <c r="TGC6" s="87"/>
      <c r="TGD6" s="87"/>
      <c r="TGE6" s="87"/>
      <c r="TGF6" s="87"/>
      <c r="TGG6" s="87"/>
      <c r="TGH6" s="87"/>
      <c r="TGI6" s="87"/>
      <c r="TGJ6" s="87"/>
      <c r="TGK6" s="87"/>
      <c r="TGL6" s="87"/>
      <c r="TGM6" s="87"/>
      <c r="TGN6" s="87"/>
      <c r="TGO6" s="87"/>
      <c r="TGP6" s="87"/>
      <c r="TGQ6" s="87"/>
      <c r="TGR6" s="87"/>
      <c r="TGS6" s="87"/>
      <c r="TGT6" s="87"/>
      <c r="TGU6" s="87"/>
      <c r="TGV6" s="87"/>
      <c r="TGW6" s="87"/>
      <c r="TGX6" s="87"/>
      <c r="TGY6" s="87"/>
      <c r="TGZ6" s="87"/>
      <c r="THA6" s="87"/>
      <c r="THB6" s="87"/>
      <c r="THC6" s="87"/>
      <c r="THD6" s="87"/>
      <c r="THE6" s="87"/>
      <c r="THF6" s="87"/>
      <c r="THG6" s="87"/>
      <c r="THH6" s="87"/>
      <c r="THI6" s="87"/>
      <c r="THJ6" s="87"/>
      <c r="THK6" s="87"/>
      <c r="THL6" s="87"/>
      <c r="THM6" s="87"/>
      <c r="THN6" s="87"/>
      <c r="THO6" s="87"/>
      <c r="THP6" s="87"/>
      <c r="THQ6" s="87"/>
      <c r="THR6" s="87"/>
      <c r="THS6" s="87"/>
      <c r="THT6" s="87"/>
      <c r="THU6" s="87"/>
      <c r="THV6" s="87"/>
      <c r="THW6" s="87"/>
      <c r="THX6" s="87"/>
      <c r="THY6" s="87"/>
      <c r="THZ6" s="87"/>
      <c r="TIA6" s="87"/>
      <c r="TIB6" s="87"/>
      <c r="TIC6" s="87"/>
      <c r="TID6" s="87"/>
      <c r="TIE6" s="87"/>
      <c r="TIF6" s="87"/>
      <c r="TIG6" s="87"/>
      <c r="TIH6" s="87"/>
      <c r="TII6" s="87"/>
      <c r="TIJ6" s="87"/>
      <c r="TIK6" s="87"/>
      <c r="TIL6" s="87"/>
      <c r="TIM6" s="87"/>
      <c r="TIN6" s="87"/>
      <c r="TIO6" s="87"/>
      <c r="TIP6" s="87"/>
      <c r="TIQ6" s="87"/>
      <c r="TIR6" s="87"/>
      <c r="TIS6" s="87"/>
      <c r="TIT6" s="87"/>
      <c r="TIU6" s="87"/>
      <c r="TIV6" s="87"/>
      <c r="TIW6" s="87"/>
      <c r="TIX6" s="87"/>
      <c r="TIY6" s="87"/>
      <c r="TIZ6" s="87"/>
      <c r="TJA6" s="87"/>
      <c r="TJB6" s="87"/>
      <c r="TJC6" s="87"/>
      <c r="TJD6" s="87"/>
      <c r="TJE6" s="87"/>
      <c r="TJF6" s="87"/>
      <c r="TJG6" s="87"/>
      <c r="TJH6" s="87"/>
      <c r="TJI6" s="87"/>
      <c r="TJJ6" s="87"/>
      <c r="TJK6" s="87"/>
      <c r="TJL6" s="87"/>
      <c r="TJM6" s="87"/>
      <c r="TJN6" s="87"/>
      <c r="TJO6" s="87"/>
      <c r="TJP6" s="87"/>
      <c r="TJQ6" s="87"/>
      <c r="TJR6" s="87"/>
      <c r="TJS6" s="87"/>
      <c r="TJT6" s="87"/>
      <c r="TJU6" s="87"/>
      <c r="TJV6" s="87"/>
      <c r="TJW6" s="87"/>
      <c r="TJX6" s="87"/>
      <c r="TJY6" s="87"/>
      <c r="TJZ6" s="87"/>
      <c r="TKA6" s="87"/>
      <c r="TKB6" s="87"/>
      <c r="TKC6" s="87"/>
      <c r="TKD6" s="87"/>
      <c r="TKE6" s="87"/>
      <c r="TKF6" s="87"/>
      <c r="TKG6" s="87"/>
      <c r="TKH6" s="87"/>
      <c r="TKI6" s="87"/>
      <c r="TKJ6" s="87"/>
      <c r="TKK6" s="87"/>
      <c r="TKL6" s="87"/>
      <c r="TKM6" s="87"/>
      <c r="TKN6" s="87"/>
      <c r="TKO6" s="87"/>
      <c r="TKP6" s="87"/>
      <c r="TKQ6" s="87"/>
      <c r="TKR6" s="87"/>
      <c r="TKS6" s="87"/>
      <c r="TKT6" s="87"/>
      <c r="TKU6" s="87"/>
      <c r="TKV6" s="87"/>
      <c r="TKW6" s="87"/>
      <c r="TKX6" s="87"/>
      <c r="TKY6" s="87"/>
      <c r="TKZ6" s="87"/>
      <c r="TLA6" s="87"/>
      <c r="TLB6" s="87"/>
      <c r="TLC6" s="87"/>
      <c r="TLD6" s="87"/>
      <c r="TLE6" s="87"/>
      <c r="TLF6" s="87"/>
      <c r="TLG6" s="87"/>
      <c r="TLH6" s="87"/>
      <c r="TLI6" s="87"/>
      <c r="TLJ6" s="87"/>
      <c r="TLK6" s="87"/>
      <c r="TLL6" s="87"/>
      <c r="TLM6" s="87"/>
      <c r="TLN6" s="87"/>
      <c r="TLO6" s="87"/>
      <c r="TLP6" s="87"/>
      <c r="TLQ6" s="87"/>
      <c r="TLR6" s="87"/>
      <c r="TLS6" s="87"/>
      <c r="TLT6" s="87"/>
      <c r="TLU6" s="87"/>
      <c r="TLV6" s="87"/>
      <c r="TLW6" s="87"/>
      <c r="TLX6" s="87"/>
      <c r="TLY6" s="87"/>
      <c r="TLZ6" s="87"/>
      <c r="TMA6" s="87"/>
      <c r="TMB6" s="87"/>
      <c r="TMC6" s="87"/>
      <c r="TMD6" s="87"/>
      <c r="TME6" s="87"/>
      <c r="TMF6" s="87"/>
      <c r="TMG6" s="87"/>
      <c r="TMH6" s="87"/>
      <c r="TMI6" s="87"/>
      <c r="TMJ6" s="87"/>
      <c r="TMK6" s="87"/>
      <c r="TML6" s="87"/>
      <c r="TMM6" s="87"/>
      <c r="TMN6" s="87"/>
      <c r="TMO6" s="87"/>
      <c r="TMP6" s="87"/>
      <c r="TMQ6" s="87"/>
      <c r="TMR6" s="87"/>
      <c r="TMS6" s="87"/>
      <c r="TMT6" s="87"/>
      <c r="TMU6" s="87"/>
      <c r="TMV6" s="87"/>
      <c r="TMW6" s="87"/>
      <c r="TMX6" s="87"/>
      <c r="TMY6" s="87"/>
      <c r="TMZ6" s="87"/>
      <c r="TNA6" s="87"/>
      <c r="TNB6" s="87"/>
      <c r="TNC6" s="87"/>
      <c r="TND6" s="87"/>
      <c r="TNE6" s="87"/>
      <c r="TNF6" s="87"/>
      <c r="TNG6" s="87"/>
      <c r="TNH6" s="87"/>
      <c r="TNI6" s="87"/>
      <c r="TNJ6" s="87"/>
      <c r="TNK6" s="87"/>
      <c r="TNL6" s="87"/>
      <c r="TNM6" s="87"/>
      <c r="TNN6" s="87"/>
      <c r="TNO6" s="87"/>
      <c r="TNP6" s="87"/>
      <c r="TNQ6" s="87"/>
      <c r="TNR6" s="87"/>
      <c r="TNS6" s="87"/>
      <c r="TNT6" s="87"/>
      <c r="TNU6" s="87"/>
      <c r="TNV6" s="87"/>
      <c r="TNW6" s="87"/>
      <c r="TNX6" s="87"/>
      <c r="TNY6" s="87"/>
      <c r="TNZ6" s="87"/>
      <c r="TOA6" s="87"/>
      <c r="TOB6" s="87"/>
      <c r="TOC6" s="87"/>
      <c r="TOD6" s="87"/>
      <c r="TOE6" s="87"/>
      <c r="TOF6" s="87"/>
      <c r="TOG6" s="87"/>
      <c r="TOH6" s="87"/>
      <c r="TOI6" s="87"/>
      <c r="TOJ6" s="87"/>
      <c r="TOK6" s="87"/>
      <c r="TOL6" s="87"/>
      <c r="TOM6" s="87"/>
      <c r="TON6" s="87"/>
      <c r="TOO6" s="87"/>
      <c r="TOP6" s="87"/>
      <c r="TOQ6" s="87"/>
      <c r="TOR6" s="87"/>
      <c r="TOS6" s="87"/>
      <c r="TOT6" s="87"/>
      <c r="TOU6" s="87"/>
      <c r="TOV6" s="87"/>
      <c r="TOW6" s="87"/>
      <c r="TOX6" s="87"/>
      <c r="TOY6" s="87"/>
      <c r="TOZ6" s="87"/>
      <c r="TPA6" s="87"/>
      <c r="TPB6" s="87"/>
      <c r="TPC6" s="87"/>
      <c r="TPD6" s="87"/>
      <c r="TPE6" s="87"/>
      <c r="TPF6" s="87"/>
      <c r="TPG6" s="87"/>
      <c r="TPH6" s="87"/>
      <c r="TPI6" s="87"/>
      <c r="TPJ6" s="87"/>
      <c r="TPK6" s="87"/>
      <c r="TPL6" s="87"/>
      <c r="TPM6" s="87"/>
      <c r="TPN6" s="87"/>
      <c r="TPO6" s="87"/>
      <c r="TPP6" s="87"/>
      <c r="TPQ6" s="87"/>
      <c r="TPR6" s="87"/>
      <c r="TPS6" s="87"/>
      <c r="TPT6" s="87"/>
      <c r="TPU6" s="87"/>
      <c r="TPV6" s="87"/>
      <c r="TPW6" s="87"/>
      <c r="TPX6" s="87"/>
      <c r="TPY6" s="87"/>
      <c r="TPZ6" s="87"/>
      <c r="TQA6" s="87"/>
      <c r="TQB6" s="87"/>
      <c r="TQC6" s="87"/>
      <c r="TQD6" s="87"/>
      <c r="TQE6" s="87"/>
      <c r="TQF6" s="87"/>
      <c r="TQG6" s="87"/>
      <c r="TQH6" s="87"/>
      <c r="TQI6" s="87"/>
      <c r="TQJ6" s="87"/>
      <c r="TQK6" s="87"/>
      <c r="TQL6" s="87"/>
      <c r="TQM6" s="87"/>
      <c r="TQN6" s="87"/>
      <c r="TQO6" s="87"/>
      <c r="TQP6" s="87"/>
      <c r="TQQ6" s="87"/>
      <c r="TQR6" s="87"/>
      <c r="TQS6" s="87"/>
      <c r="TQT6" s="87"/>
      <c r="TQU6" s="87"/>
      <c r="TQV6" s="87"/>
      <c r="TQW6" s="87"/>
      <c r="TQX6" s="87"/>
      <c r="TQY6" s="87"/>
      <c r="TQZ6" s="87"/>
      <c r="TRA6" s="87"/>
      <c r="TRB6" s="87"/>
      <c r="TRC6" s="87"/>
      <c r="TRD6" s="87"/>
      <c r="TRE6" s="87"/>
      <c r="TRF6" s="87"/>
      <c r="TRG6" s="87"/>
      <c r="TRH6" s="87"/>
      <c r="TRI6" s="87"/>
      <c r="TRJ6" s="87"/>
      <c r="TRK6" s="87"/>
      <c r="TRL6" s="87"/>
      <c r="TRM6" s="87"/>
      <c r="TRN6" s="87"/>
      <c r="TRO6" s="87"/>
      <c r="TRP6" s="87"/>
      <c r="TRQ6" s="87"/>
      <c r="TRR6" s="87"/>
      <c r="TRS6" s="87"/>
      <c r="TRT6" s="87"/>
      <c r="TRU6" s="87"/>
      <c r="TRV6" s="87"/>
      <c r="TRW6" s="87"/>
      <c r="TRX6" s="87"/>
      <c r="TRY6" s="87"/>
      <c r="TRZ6" s="87"/>
      <c r="TSA6" s="87"/>
      <c r="TSB6" s="87"/>
      <c r="TSC6" s="87"/>
      <c r="TSD6" s="87"/>
      <c r="TSE6" s="87"/>
      <c r="TSF6" s="87"/>
      <c r="TSG6" s="87"/>
      <c r="TSH6" s="87"/>
      <c r="TSI6" s="87"/>
      <c r="TSJ6" s="87"/>
      <c r="TSK6" s="87"/>
      <c r="TSL6" s="87"/>
      <c r="TSM6" s="87"/>
      <c r="TSN6" s="87"/>
      <c r="TSO6" s="87"/>
      <c r="TSP6" s="87"/>
      <c r="TSQ6" s="87"/>
      <c r="TSR6" s="87"/>
      <c r="TSS6" s="87"/>
      <c r="TST6" s="87"/>
      <c r="TSU6" s="87"/>
      <c r="TSV6" s="87"/>
      <c r="TSW6" s="87"/>
      <c r="TSX6" s="87"/>
      <c r="TSY6" s="87"/>
      <c r="TSZ6" s="87"/>
      <c r="TTA6" s="87"/>
      <c r="TTB6" s="87"/>
      <c r="TTC6" s="87"/>
      <c r="TTD6" s="87"/>
      <c r="TTE6" s="87"/>
      <c r="TTF6" s="87"/>
      <c r="TTG6" s="87"/>
      <c r="TTH6" s="87"/>
      <c r="TTI6" s="87"/>
      <c r="TTJ6" s="87"/>
      <c r="TTK6" s="87"/>
      <c r="TTL6" s="87"/>
      <c r="TTM6" s="87"/>
      <c r="TTN6" s="87"/>
      <c r="TTO6" s="87"/>
      <c r="TTP6" s="87"/>
      <c r="TTQ6" s="87"/>
      <c r="TTR6" s="87"/>
      <c r="TTS6" s="87"/>
      <c r="TTT6" s="87"/>
      <c r="TTU6" s="87"/>
      <c r="TTV6" s="87"/>
      <c r="TTW6" s="87"/>
      <c r="TTX6" s="87"/>
      <c r="TTY6" s="87"/>
      <c r="TTZ6" s="87"/>
      <c r="TUA6" s="87"/>
      <c r="TUB6" s="87"/>
      <c r="TUC6" s="87"/>
      <c r="TUD6" s="87"/>
      <c r="TUE6" s="87"/>
      <c r="TUF6" s="87"/>
      <c r="TUG6" s="87"/>
      <c r="TUH6" s="87"/>
      <c r="TUI6" s="87"/>
      <c r="TUJ6" s="87"/>
      <c r="TUK6" s="87"/>
      <c r="TUL6" s="87"/>
      <c r="TUM6" s="87"/>
      <c r="TUN6" s="87"/>
      <c r="TUO6" s="87"/>
      <c r="TUP6" s="87"/>
      <c r="TUQ6" s="87"/>
      <c r="TUR6" s="87"/>
      <c r="TUS6" s="87"/>
      <c r="TUT6" s="87"/>
      <c r="TUU6" s="87"/>
      <c r="TUV6" s="87"/>
      <c r="TUW6" s="87"/>
      <c r="TUX6" s="87"/>
      <c r="TUY6" s="87"/>
      <c r="TUZ6" s="87"/>
      <c r="TVA6" s="87"/>
      <c r="TVB6" s="87"/>
      <c r="TVC6" s="87"/>
      <c r="TVD6" s="87"/>
      <c r="TVE6" s="87"/>
      <c r="TVF6" s="87"/>
      <c r="TVG6" s="87"/>
      <c r="TVH6" s="87"/>
      <c r="TVI6" s="87"/>
      <c r="TVJ6" s="87"/>
      <c r="TVK6" s="87"/>
      <c r="TVL6" s="87"/>
      <c r="TVM6" s="87"/>
      <c r="TVN6" s="87"/>
      <c r="TVO6" s="87"/>
      <c r="TVP6" s="87"/>
      <c r="TVQ6" s="87"/>
      <c r="TVR6" s="87"/>
      <c r="TVS6" s="87"/>
      <c r="TVT6" s="87"/>
      <c r="TVU6" s="87"/>
      <c r="TVV6" s="87"/>
      <c r="TVW6" s="87"/>
      <c r="TVX6" s="87"/>
      <c r="TVY6" s="87"/>
      <c r="TVZ6" s="87"/>
      <c r="TWA6" s="87"/>
      <c r="TWB6" s="87"/>
      <c r="TWC6" s="87"/>
      <c r="TWD6" s="87"/>
      <c r="TWE6" s="87"/>
      <c r="TWF6" s="87"/>
      <c r="TWG6" s="87"/>
      <c r="TWH6" s="87"/>
      <c r="TWI6" s="87"/>
      <c r="TWJ6" s="87"/>
      <c r="TWK6" s="87"/>
      <c r="TWL6" s="87"/>
      <c r="TWM6" s="87"/>
      <c r="TWN6" s="87"/>
      <c r="TWO6" s="87"/>
      <c r="TWP6" s="87"/>
      <c r="TWQ6" s="87"/>
      <c r="TWR6" s="87"/>
      <c r="TWS6" s="87"/>
      <c r="TWT6" s="87"/>
      <c r="TWU6" s="87"/>
      <c r="TWV6" s="87"/>
      <c r="TWW6" s="87"/>
      <c r="TWX6" s="87"/>
      <c r="TWY6" s="87"/>
      <c r="TWZ6" s="87"/>
      <c r="TXA6" s="87"/>
      <c r="TXB6" s="87"/>
      <c r="TXC6" s="87"/>
      <c r="TXD6" s="87"/>
      <c r="TXE6" s="87"/>
      <c r="TXF6" s="87"/>
      <c r="TXG6" s="87"/>
      <c r="TXH6" s="87"/>
      <c r="TXI6" s="87"/>
      <c r="TXJ6" s="87"/>
      <c r="TXK6" s="87"/>
      <c r="TXL6" s="87"/>
      <c r="TXM6" s="87"/>
      <c r="TXN6" s="87"/>
      <c r="TXO6" s="87"/>
      <c r="TXP6" s="87"/>
      <c r="TXQ6" s="87"/>
      <c r="TXR6" s="87"/>
      <c r="TXS6" s="87"/>
      <c r="TXT6" s="87"/>
      <c r="TXU6" s="87"/>
      <c r="TXV6" s="87"/>
      <c r="TXW6" s="87"/>
      <c r="TXX6" s="87"/>
      <c r="TXY6" s="87"/>
      <c r="TXZ6" s="87"/>
      <c r="TYA6" s="87"/>
      <c r="TYB6" s="87"/>
      <c r="TYC6" s="87"/>
      <c r="TYD6" s="87"/>
      <c r="TYE6" s="87"/>
      <c r="TYF6" s="87"/>
      <c r="TYG6" s="87"/>
      <c r="TYH6" s="87"/>
      <c r="TYI6" s="87"/>
      <c r="TYJ6" s="87"/>
      <c r="TYK6" s="87"/>
      <c r="TYL6" s="87"/>
      <c r="TYM6" s="87"/>
      <c r="TYN6" s="87"/>
      <c r="TYO6" s="87"/>
      <c r="TYP6" s="87"/>
      <c r="TYQ6" s="87"/>
      <c r="TYR6" s="87"/>
      <c r="TYS6" s="87"/>
      <c r="TYT6" s="87"/>
      <c r="TYU6" s="87"/>
      <c r="TYV6" s="87"/>
      <c r="TYW6" s="87"/>
      <c r="TYX6" s="87"/>
      <c r="TYY6" s="87"/>
      <c r="TYZ6" s="87"/>
      <c r="TZA6" s="87"/>
      <c r="TZB6" s="87"/>
      <c r="TZC6" s="87"/>
      <c r="TZD6" s="87"/>
      <c r="TZE6" s="87"/>
      <c r="TZF6" s="87"/>
      <c r="TZG6" s="87"/>
      <c r="TZH6" s="87"/>
      <c r="TZI6" s="87"/>
      <c r="TZJ6" s="87"/>
      <c r="TZK6" s="87"/>
      <c r="TZL6" s="87"/>
      <c r="TZM6" s="87"/>
      <c r="TZN6" s="87"/>
      <c r="TZO6" s="87"/>
      <c r="TZP6" s="87"/>
      <c r="TZQ6" s="87"/>
      <c r="TZR6" s="87"/>
      <c r="TZS6" s="87"/>
      <c r="TZT6" s="87"/>
      <c r="TZU6" s="87"/>
      <c r="TZV6" s="87"/>
      <c r="TZW6" s="87"/>
      <c r="TZX6" s="87"/>
      <c r="TZY6" s="87"/>
      <c r="TZZ6" s="87"/>
      <c r="UAA6" s="87"/>
      <c r="UAB6" s="87"/>
      <c r="UAC6" s="87"/>
      <c r="UAD6" s="87"/>
      <c r="UAE6" s="87"/>
      <c r="UAF6" s="87"/>
      <c r="UAG6" s="87"/>
      <c r="UAH6" s="87"/>
      <c r="UAI6" s="87"/>
      <c r="UAJ6" s="87"/>
      <c r="UAK6" s="87"/>
      <c r="UAL6" s="87"/>
      <c r="UAM6" s="87"/>
      <c r="UAN6" s="87"/>
      <c r="UAO6" s="87"/>
      <c r="UAP6" s="87"/>
      <c r="UAQ6" s="87"/>
      <c r="UAR6" s="87"/>
      <c r="UAS6" s="87"/>
      <c r="UAT6" s="87"/>
      <c r="UAU6" s="87"/>
      <c r="UAV6" s="87"/>
      <c r="UAW6" s="87"/>
      <c r="UAX6" s="87"/>
      <c r="UAY6" s="87"/>
      <c r="UAZ6" s="87"/>
      <c r="UBA6" s="87"/>
      <c r="UBB6" s="87"/>
      <c r="UBC6" s="87"/>
      <c r="UBD6" s="87"/>
      <c r="UBE6" s="87"/>
      <c r="UBF6" s="87"/>
      <c r="UBG6" s="87"/>
      <c r="UBH6" s="87"/>
      <c r="UBI6" s="87"/>
      <c r="UBJ6" s="87"/>
      <c r="UBK6" s="87"/>
      <c r="UBL6" s="87"/>
      <c r="UBM6" s="87"/>
      <c r="UBN6" s="87"/>
      <c r="UBO6" s="87"/>
      <c r="UBP6" s="87"/>
      <c r="UBQ6" s="87"/>
      <c r="UBR6" s="87"/>
      <c r="UBS6" s="87"/>
      <c r="UBT6" s="87"/>
      <c r="UBU6" s="87"/>
      <c r="UBV6" s="87"/>
      <c r="UBW6" s="87"/>
      <c r="UBX6" s="87"/>
      <c r="UBY6" s="87"/>
      <c r="UBZ6" s="87"/>
      <c r="UCA6" s="87"/>
      <c r="UCB6" s="87"/>
      <c r="UCC6" s="87"/>
      <c r="UCD6" s="87"/>
      <c r="UCE6" s="87"/>
      <c r="UCF6" s="87"/>
      <c r="UCG6" s="87"/>
      <c r="UCH6" s="87"/>
      <c r="UCI6" s="87"/>
      <c r="UCJ6" s="87"/>
      <c r="UCK6" s="87"/>
      <c r="UCL6" s="87"/>
      <c r="UCM6" s="87"/>
      <c r="UCN6" s="87"/>
      <c r="UCO6" s="87"/>
      <c r="UCP6" s="87"/>
      <c r="UCQ6" s="87"/>
      <c r="UCR6" s="87"/>
      <c r="UCS6" s="87"/>
      <c r="UCT6" s="87"/>
      <c r="UCU6" s="87"/>
      <c r="UCV6" s="87"/>
      <c r="UCW6" s="87"/>
      <c r="UCX6" s="87"/>
      <c r="UCY6" s="87"/>
      <c r="UCZ6" s="87"/>
      <c r="UDA6" s="87"/>
      <c r="UDB6" s="87"/>
      <c r="UDC6" s="87"/>
      <c r="UDD6" s="87"/>
      <c r="UDE6" s="87"/>
      <c r="UDF6" s="87"/>
      <c r="UDG6" s="87"/>
      <c r="UDH6" s="87"/>
      <c r="UDI6" s="87"/>
      <c r="UDJ6" s="87"/>
      <c r="UDK6" s="87"/>
      <c r="UDL6" s="87"/>
      <c r="UDM6" s="87"/>
      <c r="UDN6" s="87"/>
      <c r="UDO6" s="87"/>
      <c r="UDP6" s="87"/>
      <c r="UDQ6" s="87"/>
      <c r="UDR6" s="87"/>
      <c r="UDS6" s="87"/>
      <c r="UDT6" s="87"/>
      <c r="UDU6" s="87"/>
      <c r="UDV6" s="87"/>
      <c r="UDW6" s="87"/>
      <c r="UDX6" s="87"/>
      <c r="UDY6" s="87"/>
      <c r="UDZ6" s="87"/>
      <c r="UEA6" s="87"/>
      <c r="UEB6" s="87"/>
      <c r="UEC6" s="87"/>
      <c r="UED6" s="87"/>
      <c r="UEE6" s="87"/>
      <c r="UEF6" s="87"/>
      <c r="UEG6" s="87"/>
      <c r="UEH6" s="87"/>
      <c r="UEI6" s="87"/>
      <c r="UEJ6" s="87"/>
      <c r="UEK6" s="87"/>
      <c r="UEL6" s="87"/>
      <c r="UEM6" s="87"/>
      <c r="UEN6" s="87"/>
      <c r="UEO6" s="87"/>
      <c r="UEP6" s="87"/>
      <c r="UEQ6" s="87"/>
      <c r="UER6" s="87"/>
      <c r="UES6" s="87"/>
      <c r="UET6" s="87"/>
      <c r="UEU6" s="87"/>
      <c r="UEV6" s="87"/>
      <c r="UEW6" s="87"/>
      <c r="UEX6" s="87"/>
      <c r="UEY6" s="87"/>
      <c r="UEZ6" s="87"/>
      <c r="UFA6" s="87"/>
      <c r="UFB6" s="87"/>
      <c r="UFC6" s="87"/>
      <c r="UFD6" s="87"/>
      <c r="UFE6" s="87"/>
      <c r="UFF6" s="87"/>
      <c r="UFG6" s="87"/>
      <c r="UFH6" s="87"/>
      <c r="UFI6" s="87"/>
      <c r="UFJ6" s="87"/>
      <c r="UFK6" s="87"/>
      <c r="UFL6" s="87"/>
      <c r="UFM6" s="87"/>
      <c r="UFN6" s="87"/>
      <c r="UFO6" s="87"/>
      <c r="UFP6" s="87"/>
      <c r="UFQ6" s="87"/>
      <c r="UFR6" s="87"/>
      <c r="UFS6" s="87"/>
      <c r="UFT6" s="87"/>
      <c r="UFU6" s="87"/>
      <c r="UFV6" s="87"/>
      <c r="UFW6" s="87"/>
      <c r="UFX6" s="87"/>
      <c r="UFY6" s="87"/>
      <c r="UFZ6" s="87"/>
      <c r="UGA6" s="87"/>
      <c r="UGB6" s="87"/>
      <c r="UGC6" s="87"/>
      <c r="UGD6" s="87"/>
      <c r="UGE6" s="87"/>
      <c r="UGF6" s="87"/>
      <c r="UGG6" s="87"/>
      <c r="UGH6" s="87"/>
      <c r="UGI6" s="87"/>
      <c r="UGJ6" s="87"/>
      <c r="UGK6" s="87"/>
      <c r="UGL6" s="87"/>
      <c r="UGM6" s="87"/>
      <c r="UGN6" s="87"/>
      <c r="UGO6" s="87"/>
      <c r="UGP6" s="87"/>
      <c r="UGQ6" s="87"/>
      <c r="UGR6" s="87"/>
      <c r="UGS6" s="87"/>
      <c r="UGT6" s="87"/>
      <c r="UGU6" s="87"/>
      <c r="UGV6" s="87"/>
      <c r="UGW6" s="87"/>
      <c r="UGX6" s="87"/>
      <c r="UGY6" s="87"/>
      <c r="UGZ6" s="87"/>
      <c r="UHA6" s="87"/>
      <c r="UHB6" s="87"/>
      <c r="UHC6" s="87"/>
      <c r="UHD6" s="87"/>
      <c r="UHE6" s="87"/>
      <c r="UHF6" s="87"/>
      <c r="UHG6" s="87"/>
      <c r="UHH6" s="87"/>
      <c r="UHI6" s="87"/>
      <c r="UHJ6" s="87"/>
      <c r="UHK6" s="87"/>
      <c r="UHL6" s="87"/>
      <c r="UHM6" s="87"/>
      <c r="UHN6" s="87"/>
      <c r="UHO6" s="87"/>
      <c r="UHP6" s="87"/>
      <c r="UHQ6" s="87"/>
      <c r="UHR6" s="87"/>
      <c r="UHS6" s="87"/>
      <c r="UHT6" s="87"/>
      <c r="UHU6" s="87"/>
      <c r="UHV6" s="87"/>
      <c r="UHW6" s="87"/>
      <c r="UHX6" s="87"/>
      <c r="UHY6" s="87"/>
      <c r="UHZ6" s="87"/>
      <c r="UIA6" s="87"/>
      <c r="UIB6" s="87"/>
      <c r="UIC6" s="87"/>
      <c r="UID6" s="87"/>
      <c r="UIE6" s="87"/>
      <c r="UIF6" s="87"/>
      <c r="UIG6" s="87"/>
      <c r="UIH6" s="87"/>
      <c r="UII6" s="87"/>
      <c r="UIJ6" s="87"/>
      <c r="UIK6" s="87"/>
      <c r="UIL6" s="87"/>
      <c r="UIM6" s="87"/>
      <c r="UIN6" s="87"/>
      <c r="UIO6" s="87"/>
      <c r="UIP6" s="87"/>
      <c r="UIQ6" s="87"/>
      <c r="UIR6" s="87"/>
      <c r="UIS6" s="87"/>
      <c r="UIT6" s="87"/>
      <c r="UIU6" s="87"/>
      <c r="UIV6" s="87"/>
      <c r="UIW6" s="87"/>
      <c r="UIX6" s="87"/>
      <c r="UIY6" s="87"/>
      <c r="UIZ6" s="87"/>
      <c r="UJA6" s="87"/>
      <c r="UJB6" s="87"/>
      <c r="UJC6" s="87"/>
      <c r="UJD6" s="87"/>
      <c r="UJE6" s="87"/>
      <c r="UJF6" s="87"/>
      <c r="UJG6" s="87"/>
      <c r="UJH6" s="87"/>
      <c r="UJI6" s="87"/>
      <c r="UJJ6" s="87"/>
      <c r="UJK6" s="87"/>
      <c r="UJL6" s="87"/>
      <c r="UJM6" s="87"/>
      <c r="UJN6" s="87"/>
      <c r="UJO6" s="87"/>
      <c r="UJP6" s="87"/>
      <c r="UJQ6" s="87"/>
      <c r="UJR6" s="87"/>
      <c r="UJS6" s="87"/>
      <c r="UJT6" s="87"/>
      <c r="UJU6" s="87"/>
      <c r="UJV6" s="87"/>
      <c r="UJW6" s="87"/>
      <c r="UJX6" s="87"/>
      <c r="UJY6" s="87"/>
      <c r="UJZ6" s="87"/>
      <c r="UKA6" s="87"/>
      <c r="UKB6" s="87"/>
      <c r="UKC6" s="87"/>
      <c r="UKD6" s="87"/>
      <c r="UKE6" s="87"/>
      <c r="UKF6" s="87"/>
      <c r="UKG6" s="87"/>
      <c r="UKH6" s="87"/>
      <c r="UKI6" s="87"/>
      <c r="UKJ6" s="87"/>
      <c r="UKK6" s="87"/>
      <c r="UKL6" s="87"/>
      <c r="UKM6" s="87"/>
      <c r="UKN6" s="87"/>
      <c r="UKO6" s="87"/>
      <c r="UKP6" s="87"/>
      <c r="UKQ6" s="87"/>
      <c r="UKR6" s="87"/>
      <c r="UKS6" s="87"/>
      <c r="UKT6" s="87"/>
      <c r="UKU6" s="87"/>
      <c r="UKV6" s="87"/>
      <c r="UKW6" s="87"/>
      <c r="UKX6" s="87"/>
      <c r="UKY6" s="87"/>
      <c r="UKZ6" s="87"/>
      <c r="ULA6" s="87"/>
      <c r="ULB6" s="87"/>
      <c r="ULC6" s="87"/>
      <c r="ULD6" s="87"/>
      <c r="ULE6" s="87"/>
      <c r="ULF6" s="87"/>
      <c r="ULG6" s="87"/>
      <c r="ULH6" s="87"/>
      <c r="ULI6" s="87"/>
      <c r="ULJ6" s="87"/>
      <c r="ULK6" s="87"/>
      <c r="ULL6" s="87"/>
      <c r="ULM6" s="87"/>
      <c r="ULN6" s="87"/>
      <c r="ULO6" s="87"/>
      <c r="ULP6" s="87"/>
      <c r="ULQ6" s="87"/>
      <c r="ULR6" s="87"/>
      <c r="ULS6" s="87"/>
      <c r="ULT6" s="87"/>
      <c r="ULU6" s="87"/>
      <c r="ULV6" s="87"/>
      <c r="ULW6" s="87"/>
      <c r="ULX6" s="87"/>
      <c r="ULY6" s="87"/>
      <c r="ULZ6" s="87"/>
      <c r="UMA6" s="87"/>
      <c r="UMB6" s="87"/>
      <c r="UMC6" s="87"/>
      <c r="UMD6" s="87"/>
      <c r="UME6" s="87"/>
      <c r="UMF6" s="87"/>
      <c r="UMG6" s="87"/>
      <c r="UMH6" s="87"/>
      <c r="UMI6" s="87"/>
      <c r="UMJ6" s="87"/>
      <c r="UMK6" s="87"/>
      <c r="UML6" s="87"/>
      <c r="UMM6" s="87"/>
      <c r="UMN6" s="87"/>
      <c r="UMO6" s="87"/>
      <c r="UMP6" s="87"/>
      <c r="UMQ6" s="87"/>
      <c r="UMR6" s="87"/>
      <c r="UMS6" s="87"/>
      <c r="UMT6" s="87"/>
      <c r="UMU6" s="87"/>
      <c r="UMV6" s="87"/>
      <c r="UMW6" s="87"/>
      <c r="UMX6" s="87"/>
      <c r="UMY6" s="87"/>
      <c r="UMZ6" s="87"/>
      <c r="UNA6" s="87"/>
      <c r="UNB6" s="87"/>
      <c r="UNC6" s="87"/>
      <c r="UND6" s="87"/>
      <c r="UNE6" s="87"/>
      <c r="UNF6" s="87"/>
      <c r="UNG6" s="87"/>
      <c r="UNH6" s="87"/>
      <c r="UNI6" s="87"/>
      <c r="UNJ6" s="87"/>
      <c r="UNK6" s="87"/>
      <c r="UNL6" s="87"/>
      <c r="UNM6" s="87"/>
      <c r="UNN6" s="87"/>
      <c r="UNO6" s="87"/>
      <c r="UNP6" s="87"/>
      <c r="UNQ6" s="87"/>
      <c r="UNR6" s="87"/>
      <c r="UNS6" s="87"/>
      <c r="UNT6" s="87"/>
      <c r="UNU6" s="87"/>
      <c r="UNV6" s="87"/>
      <c r="UNW6" s="87"/>
      <c r="UNX6" s="87"/>
      <c r="UNY6" s="87"/>
      <c r="UNZ6" s="87"/>
      <c r="UOA6" s="87"/>
      <c r="UOB6" s="87"/>
      <c r="UOC6" s="87"/>
      <c r="UOD6" s="87"/>
      <c r="UOE6" s="87"/>
      <c r="UOF6" s="87"/>
      <c r="UOG6" s="87"/>
      <c r="UOH6" s="87"/>
      <c r="UOI6" s="87"/>
      <c r="UOJ6" s="87"/>
      <c r="UOK6" s="87"/>
      <c r="UOL6" s="87"/>
      <c r="UOM6" s="87"/>
      <c r="UON6" s="87"/>
      <c r="UOO6" s="87"/>
      <c r="UOP6" s="87"/>
      <c r="UOQ6" s="87"/>
      <c r="UOR6" s="87"/>
      <c r="UOS6" s="87"/>
      <c r="UOT6" s="87"/>
      <c r="UOU6" s="87"/>
      <c r="UOV6" s="87"/>
      <c r="UOW6" s="87"/>
      <c r="UOX6" s="87"/>
      <c r="UOY6" s="87"/>
      <c r="UOZ6" s="87"/>
      <c r="UPA6" s="87"/>
      <c r="UPB6" s="87"/>
      <c r="UPC6" s="87"/>
      <c r="UPD6" s="87"/>
      <c r="UPE6" s="87"/>
      <c r="UPF6" s="87"/>
      <c r="UPG6" s="87"/>
      <c r="UPH6" s="87"/>
      <c r="UPI6" s="87"/>
      <c r="UPJ6" s="87"/>
      <c r="UPK6" s="87"/>
      <c r="UPL6" s="87"/>
      <c r="UPM6" s="87"/>
      <c r="UPN6" s="87"/>
      <c r="UPO6" s="87"/>
      <c r="UPP6" s="87"/>
      <c r="UPQ6" s="87"/>
      <c r="UPR6" s="87"/>
      <c r="UPS6" s="87"/>
      <c r="UPT6" s="87"/>
      <c r="UPU6" s="87"/>
      <c r="UPV6" s="87"/>
      <c r="UPW6" s="87"/>
      <c r="UPX6" s="87"/>
      <c r="UPY6" s="87"/>
      <c r="UPZ6" s="87"/>
      <c r="UQA6" s="87"/>
      <c r="UQB6" s="87"/>
      <c r="UQC6" s="87"/>
      <c r="UQD6" s="87"/>
      <c r="UQE6" s="87"/>
      <c r="UQF6" s="87"/>
      <c r="UQG6" s="87"/>
      <c r="UQH6" s="87"/>
      <c r="UQI6" s="87"/>
      <c r="UQJ6" s="87"/>
      <c r="UQK6" s="87"/>
      <c r="UQL6" s="87"/>
      <c r="UQM6" s="87"/>
      <c r="UQN6" s="87"/>
      <c r="UQO6" s="87"/>
      <c r="UQP6" s="87"/>
      <c r="UQQ6" s="87"/>
      <c r="UQR6" s="87"/>
      <c r="UQS6" s="87"/>
      <c r="UQT6" s="87"/>
      <c r="UQU6" s="87"/>
      <c r="UQV6" s="87"/>
      <c r="UQW6" s="87"/>
      <c r="UQX6" s="87"/>
      <c r="UQY6" s="87"/>
      <c r="UQZ6" s="87"/>
      <c r="URA6" s="87"/>
      <c r="URB6" s="87"/>
      <c r="URC6" s="87"/>
      <c r="URD6" s="87"/>
      <c r="URE6" s="87"/>
      <c r="URF6" s="87"/>
      <c r="URG6" s="87"/>
      <c r="URH6" s="87"/>
      <c r="URI6" s="87"/>
      <c r="URJ6" s="87"/>
      <c r="URK6" s="87"/>
      <c r="URL6" s="87"/>
      <c r="URM6" s="87"/>
      <c r="URN6" s="87"/>
      <c r="URO6" s="87"/>
      <c r="URP6" s="87"/>
      <c r="URQ6" s="87"/>
      <c r="URR6" s="87"/>
      <c r="URS6" s="87"/>
      <c r="URT6" s="87"/>
      <c r="URU6" s="87"/>
      <c r="URV6" s="87"/>
      <c r="URW6" s="87"/>
      <c r="URX6" s="87"/>
      <c r="URY6" s="87"/>
      <c r="URZ6" s="87"/>
      <c r="USA6" s="87"/>
      <c r="USB6" s="87"/>
      <c r="USC6" s="87"/>
      <c r="USD6" s="87"/>
      <c r="USE6" s="87"/>
      <c r="USF6" s="87"/>
      <c r="USG6" s="87"/>
      <c r="USH6" s="87"/>
      <c r="USI6" s="87"/>
      <c r="USJ6" s="87"/>
      <c r="USK6" s="87"/>
      <c r="USL6" s="87"/>
      <c r="USM6" s="87"/>
      <c r="USN6" s="87"/>
      <c r="USO6" s="87"/>
      <c r="USP6" s="87"/>
      <c r="USQ6" s="87"/>
      <c r="USR6" s="87"/>
      <c r="USS6" s="87"/>
      <c r="UST6" s="87"/>
      <c r="USU6" s="87"/>
      <c r="USV6" s="87"/>
      <c r="USW6" s="87"/>
      <c r="USX6" s="87"/>
      <c r="USY6" s="87"/>
      <c r="USZ6" s="87"/>
      <c r="UTA6" s="87"/>
      <c r="UTB6" s="87"/>
      <c r="UTC6" s="87"/>
      <c r="UTD6" s="87"/>
      <c r="UTE6" s="87"/>
      <c r="UTF6" s="87"/>
      <c r="UTG6" s="87"/>
      <c r="UTH6" s="87"/>
      <c r="UTI6" s="87"/>
      <c r="UTJ6" s="87"/>
      <c r="UTK6" s="87"/>
      <c r="UTL6" s="87"/>
      <c r="UTM6" s="87"/>
      <c r="UTN6" s="87"/>
      <c r="UTO6" s="87"/>
      <c r="UTP6" s="87"/>
      <c r="UTQ6" s="87"/>
      <c r="UTR6" s="87"/>
      <c r="UTS6" s="87"/>
      <c r="UTT6" s="87"/>
      <c r="UTU6" s="87"/>
      <c r="UTV6" s="87"/>
      <c r="UTW6" s="87"/>
      <c r="UTX6" s="87"/>
      <c r="UTY6" s="87"/>
      <c r="UTZ6" s="87"/>
      <c r="UUA6" s="87"/>
      <c r="UUB6" s="87"/>
      <c r="UUC6" s="87"/>
      <c r="UUD6" s="87"/>
      <c r="UUE6" s="87"/>
      <c r="UUF6" s="87"/>
      <c r="UUG6" s="87"/>
      <c r="UUH6" s="87"/>
      <c r="UUI6" s="87"/>
      <c r="UUJ6" s="87"/>
      <c r="UUK6" s="87"/>
      <c r="UUL6" s="87"/>
      <c r="UUM6" s="87"/>
      <c r="UUN6" s="87"/>
      <c r="UUO6" s="87"/>
      <c r="UUP6" s="87"/>
      <c r="UUQ6" s="87"/>
      <c r="UUR6" s="87"/>
      <c r="UUS6" s="87"/>
      <c r="UUT6" s="87"/>
      <c r="UUU6" s="87"/>
      <c r="UUV6" s="87"/>
      <c r="UUW6" s="87"/>
      <c r="UUX6" s="87"/>
      <c r="UUY6" s="87"/>
      <c r="UUZ6" s="87"/>
      <c r="UVA6" s="87"/>
      <c r="UVB6" s="87"/>
      <c r="UVC6" s="87"/>
      <c r="UVD6" s="87"/>
      <c r="UVE6" s="87"/>
      <c r="UVF6" s="87"/>
      <c r="UVG6" s="87"/>
      <c r="UVH6" s="87"/>
      <c r="UVI6" s="87"/>
      <c r="UVJ6" s="87"/>
      <c r="UVK6" s="87"/>
      <c r="UVL6" s="87"/>
      <c r="UVM6" s="87"/>
      <c r="UVN6" s="87"/>
      <c r="UVO6" s="87"/>
      <c r="UVP6" s="87"/>
      <c r="UVQ6" s="87"/>
      <c r="UVR6" s="87"/>
      <c r="UVS6" s="87"/>
      <c r="UVT6" s="87"/>
      <c r="UVU6" s="87"/>
      <c r="UVV6" s="87"/>
      <c r="UVW6" s="87"/>
      <c r="UVX6" s="87"/>
      <c r="UVY6" s="87"/>
      <c r="UVZ6" s="87"/>
      <c r="UWA6" s="87"/>
      <c r="UWB6" s="87"/>
      <c r="UWC6" s="87"/>
      <c r="UWD6" s="87"/>
      <c r="UWE6" s="87"/>
      <c r="UWF6" s="87"/>
      <c r="UWG6" s="87"/>
      <c r="UWH6" s="87"/>
      <c r="UWI6" s="87"/>
      <c r="UWJ6" s="87"/>
      <c r="UWK6" s="87"/>
      <c r="UWL6" s="87"/>
      <c r="UWM6" s="87"/>
      <c r="UWN6" s="87"/>
      <c r="UWO6" s="87"/>
      <c r="UWP6" s="87"/>
      <c r="UWQ6" s="87"/>
      <c r="UWR6" s="87"/>
      <c r="UWS6" s="87"/>
      <c r="UWT6" s="87"/>
      <c r="UWU6" s="87"/>
      <c r="UWV6" s="87"/>
      <c r="UWW6" s="87"/>
      <c r="UWX6" s="87"/>
      <c r="UWY6" s="87"/>
      <c r="UWZ6" s="87"/>
      <c r="UXA6" s="87"/>
      <c r="UXB6" s="87"/>
      <c r="UXC6" s="87"/>
      <c r="UXD6" s="87"/>
      <c r="UXE6" s="87"/>
      <c r="UXF6" s="87"/>
      <c r="UXG6" s="87"/>
      <c r="UXH6" s="87"/>
      <c r="UXI6" s="87"/>
      <c r="UXJ6" s="87"/>
      <c r="UXK6" s="87"/>
      <c r="UXL6" s="87"/>
      <c r="UXM6" s="87"/>
      <c r="UXN6" s="87"/>
      <c r="UXO6" s="87"/>
      <c r="UXP6" s="87"/>
      <c r="UXQ6" s="87"/>
      <c r="UXR6" s="87"/>
      <c r="UXS6" s="87"/>
      <c r="UXT6" s="87"/>
      <c r="UXU6" s="87"/>
      <c r="UXV6" s="87"/>
      <c r="UXW6" s="87"/>
      <c r="UXX6" s="87"/>
      <c r="UXY6" s="87"/>
      <c r="UXZ6" s="87"/>
      <c r="UYA6" s="87"/>
      <c r="UYB6" s="87"/>
      <c r="UYC6" s="87"/>
      <c r="UYD6" s="87"/>
      <c r="UYE6" s="87"/>
      <c r="UYF6" s="87"/>
      <c r="UYG6" s="87"/>
      <c r="UYH6" s="87"/>
      <c r="UYI6" s="87"/>
      <c r="UYJ6" s="87"/>
      <c r="UYK6" s="87"/>
      <c r="UYL6" s="87"/>
      <c r="UYM6" s="87"/>
      <c r="UYN6" s="87"/>
      <c r="UYO6" s="87"/>
      <c r="UYP6" s="87"/>
      <c r="UYQ6" s="87"/>
      <c r="UYR6" s="87"/>
      <c r="UYS6" s="87"/>
      <c r="UYT6" s="87"/>
      <c r="UYU6" s="87"/>
      <c r="UYV6" s="87"/>
      <c r="UYW6" s="87"/>
      <c r="UYX6" s="87"/>
      <c r="UYY6" s="87"/>
      <c r="UYZ6" s="87"/>
      <c r="UZA6" s="87"/>
      <c r="UZB6" s="87"/>
      <c r="UZC6" s="87"/>
      <c r="UZD6" s="87"/>
      <c r="UZE6" s="87"/>
      <c r="UZF6" s="87"/>
      <c r="UZG6" s="87"/>
      <c r="UZH6" s="87"/>
      <c r="UZI6" s="87"/>
      <c r="UZJ6" s="87"/>
      <c r="UZK6" s="87"/>
      <c r="UZL6" s="87"/>
      <c r="UZM6" s="87"/>
      <c r="UZN6" s="87"/>
      <c r="UZO6" s="87"/>
      <c r="UZP6" s="87"/>
      <c r="UZQ6" s="87"/>
      <c r="UZR6" s="87"/>
      <c r="UZS6" s="87"/>
      <c r="UZT6" s="87"/>
      <c r="UZU6" s="87"/>
      <c r="UZV6" s="87"/>
      <c r="UZW6" s="87"/>
      <c r="UZX6" s="87"/>
      <c r="UZY6" s="87"/>
      <c r="UZZ6" s="87"/>
      <c r="VAA6" s="87"/>
      <c r="VAB6" s="87"/>
      <c r="VAC6" s="87"/>
      <c r="VAD6" s="87"/>
      <c r="VAE6" s="87"/>
      <c r="VAF6" s="87"/>
      <c r="VAG6" s="87"/>
      <c r="VAH6" s="87"/>
      <c r="VAI6" s="87"/>
      <c r="VAJ6" s="87"/>
      <c r="VAK6" s="87"/>
      <c r="VAL6" s="87"/>
      <c r="VAM6" s="87"/>
      <c r="VAN6" s="87"/>
      <c r="VAO6" s="87"/>
      <c r="VAP6" s="87"/>
      <c r="VAQ6" s="87"/>
      <c r="VAR6" s="87"/>
      <c r="VAS6" s="87"/>
      <c r="VAT6" s="87"/>
      <c r="VAU6" s="87"/>
      <c r="VAV6" s="87"/>
      <c r="VAW6" s="87"/>
      <c r="VAX6" s="87"/>
      <c r="VAY6" s="87"/>
      <c r="VAZ6" s="87"/>
      <c r="VBA6" s="87"/>
      <c r="VBB6" s="87"/>
      <c r="VBC6" s="87"/>
      <c r="VBD6" s="87"/>
      <c r="VBE6" s="87"/>
      <c r="VBF6" s="87"/>
      <c r="VBG6" s="87"/>
      <c r="VBH6" s="87"/>
      <c r="VBI6" s="87"/>
      <c r="VBJ6" s="87"/>
      <c r="VBK6" s="87"/>
      <c r="VBL6" s="87"/>
      <c r="VBM6" s="87"/>
      <c r="VBN6" s="87"/>
      <c r="VBO6" s="87"/>
      <c r="VBP6" s="87"/>
      <c r="VBQ6" s="87"/>
      <c r="VBR6" s="87"/>
      <c r="VBS6" s="87"/>
      <c r="VBT6" s="87"/>
      <c r="VBU6" s="87"/>
      <c r="VBV6" s="87"/>
      <c r="VBW6" s="87"/>
      <c r="VBX6" s="87"/>
      <c r="VBY6" s="87"/>
      <c r="VBZ6" s="87"/>
      <c r="VCA6" s="87"/>
      <c r="VCB6" s="87"/>
      <c r="VCC6" s="87"/>
      <c r="VCD6" s="87"/>
      <c r="VCE6" s="87"/>
      <c r="VCF6" s="87"/>
      <c r="VCG6" s="87"/>
      <c r="VCH6" s="87"/>
      <c r="VCI6" s="87"/>
      <c r="VCJ6" s="87"/>
      <c r="VCK6" s="87"/>
      <c r="VCL6" s="87"/>
      <c r="VCM6" s="87"/>
      <c r="VCN6" s="87"/>
      <c r="VCO6" s="87"/>
      <c r="VCP6" s="87"/>
      <c r="VCQ6" s="87"/>
      <c r="VCR6" s="87"/>
      <c r="VCS6" s="87"/>
      <c r="VCT6" s="87"/>
      <c r="VCU6" s="87"/>
      <c r="VCV6" s="87"/>
      <c r="VCW6" s="87"/>
      <c r="VCX6" s="87"/>
      <c r="VCY6" s="87"/>
      <c r="VCZ6" s="87"/>
      <c r="VDA6" s="87"/>
      <c r="VDB6" s="87"/>
      <c r="VDC6" s="87"/>
      <c r="VDD6" s="87"/>
      <c r="VDE6" s="87"/>
      <c r="VDF6" s="87"/>
      <c r="VDG6" s="87"/>
      <c r="VDH6" s="87"/>
      <c r="VDI6" s="87"/>
      <c r="VDJ6" s="87"/>
      <c r="VDK6" s="87"/>
      <c r="VDL6" s="87"/>
      <c r="VDM6" s="87"/>
      <c r="VDN6" s="87"/>
      <c r="VDO6" s="87"/>
      <c r="VDP6" s="87"/>
      <c r="VDQ6" s="87"/>
      <c r="VDR6" s="87"/>
      <c r="VDS6" s="87"/>
      <c r="VDT6" s="87"/>
      <c r="VDU6" s="87"/>
      <c r="VDV6" s="87"/>
      <c r="VDW6" s="87"/>
      <c r="VDX6" s="87"/>
      <c r="VDY6" s="87"/>
      <c r="VDZ6" s="87"/>
      <c r="VEA6" s="87"/>
      <c r="VEB6" s="87"/>
      <c r="VEC6" s="87"/>
      <c r="VED6" s="87"/>
      <c r="VEE6" s="87"/>
      <c r="VEF6" s="87"/>
      <c r="VEG6" s="87"/>
      <c r="VEH6" s="87"/>
      <c r="VEI6" s="87"/>
      <c r="VEJ6" s="87"/>
      <c r="VEK6" s="87"/>
      <c r="VEL6" s="87"/>
      <c r="VEM6" s="87"/>
      <c r="VEN6" s="87"/>
      <c r="VEO6" s="87"/>
      <c r="VEP6" s="87"/>
      <c r="VEQ6" s="87"/>
      <c r="VER6" s="87"/>
      <c r="VES6" s="87"/>
      <c r="VET6" s="87"/>
      <c r="VEU6" s="87"/>
      <c r="VEV6" s="87"/>
      <c r="VEW6" s="87"/>
      <c r="VEX6" s="87"/>
      <c r="VEY6" s="87"/>
      <c r="VEZ6" s="87"/>
      <c r="VFA6" s="87"/>
      <c r="VFB6" s="87"/>
      <c r="VFC6" s="87"/>
      <c r="VFD6" s="87"/>
      <c r="VFE6" s="87"/>
      <c r="VFF6" s="87"/>
      <c r="VFG6" s="87"/>
      <c r="VFH6" s="87"/>
      <c r="VFI6" s="87"/>
      <c r="VFJ6" s="87"/>
      <c r="VFK6" s="87"/>
      <c r="VFL6" s="87"/>
      <c r="VFM6" s="87"/>
      <c r="VFN6" s="87"/>
      <c r="VFO6" s="87"/>
      <c r="VFP6" s="87"/>
      <c r="VFQ6" s="87"/>
      <c r="VFR6" s="87"/>
      <c r="VFS6" s="87"/>
      <c r="VFT6" s="87"/>
      <c r="VFU6" s="87"/>
      <c r="VFV6" s="87"/>
      <c r="VFW6" s="87"/>
      <c r="VFX6" s="87"/>
      <c r="VFY6" s="87"/>
      <c r="VFZ6" s="87"/>
      <c r="VGA6" s="87"/>
      <c r="VGB6" s="87"/>
      <c r="VGC6" s="87"/>
      <c r="VGD6" s="87"/>
      <c r="VGE6" s="87"/>
      <c r="VGF6" s="87"/>
      <c r="VGG6" s="87"/>
      <c r="VGH6" s="87"/>
      <c r="VGI6" s="87"/>
      <c r="VGJ6" s="87"/>
      <c r="VGK6" s="87"/>
      <c r="VGL6" s="87"/>
      <c r="VGM6" s="87"/>
      <c r="VGN6" s="87"/>
      <c r="VGO6" s="87"/>
      <c r="VGP6" s="87"/>
      <c r="VGQ6" s="87"/>
      <c r="VGR6" s="87"/>
      <c r="VGS6" s="87"/>
      <c r="VGT6" s="87"/>
      <c r="VGU6" s="87"/>
      <c r="VGV6" s="87"/>
      <c r="VGW6" s="87"/>
      <c r="VGX6" s="87"/>
      <c r="VGY6" s="87"/>
      <c r="VGZ6" s="87"/>
      <c r="VHA6" s="87"/>
      <c r="VHB6" s="87"/>
      <c r="VHC6" s="87"/>
      <c r="VHD6" s="87"/>
      <c r="VHE6" s="87"/>
      <c r="VHF6" s="87"/>
      <c r="VHG6" s="87"/>
      <c r="VHH6" s="87"/>
      <c r="VHI6" s="87"/>
      <c r="VHJ6" s="87"/>
      <c r="VHK6" s="87"/>
      <c r="VHL6" s="87"/>
      <c r="VHM6" s="87"/>
      <c r="VHN6" s="87"/>
      <c r="VHO6" s="87"/>
      <c r="VHP6" s="87"/>
      <c r="VHQ6" s="87"/>
      <c r="VHR6" s="87"/>
      <c r="VHS6" s="87"/>
      <c r="VHT6" s="87"/>
      <c r="VHU6" s="87"/>
      <c r="VHV6" s="87"/>
      <c r="VHW6" s="87"/>
      <c r="VHX6" s="87"/>
      <c r="VHY6" s="87"/>
      <c r="VHZ6" s="87"/>
      <c r="VIA6" s="87"/>
      <c r="VIB6" s="87"/>
      <c r="VIC6" s="87"/>
      <c r="VID6" s="87"/>
      <c r="VIE6" s="87"/>
      <c r="VIF6" s="87"/>
      <c r="VIG6" s="87"/>
      <c r="VIH6" s="87"/>
      <c r="VII6" s="87"/>
      <c r="VIJ6" s="87"/>
      <c r="VIK6" s="87"/>
      <c r="VIL6" s="87"/>
      <c r="VIM6" s="87"/>
      <c r="VIN6" s="87"/>
      <c r="VIO6" s="87"/>
      <c r="VIP6" s="87"/>
      <c r="VIQ6" s="87"/>
      <c r="VIR6" s="87"/>
      <c r="VIS6" s="87"/>
      <c r="VIT6" s="87"/>
      <c r="VIU6" s="87"/>
      <c r="VIV6" s="87"/>
      <c r="VIW6" s="87"/>
      <c r="VIX6" s="87"/>
      <c r="VIY6" s="87"/>
      <c r="VIZ6" s="87"/>
      <c r="VJA6" s="87"/>
      <c r="VJB6" s="87"/>
      <c r="VJC6" s="87"/>
      <c r="VJD6" s="87"/>
      <c r="VJE6" s="87"/>
      <c r="VJF6" s="87"/>
      <c r="VJG6" s="87"/>
      <c r="VJH6" s="87"/>
      <c r="VJI6" s="87"/>
      <c r="VJJ6" s="87"/>
      <c r="VJK6" s="87"/>
      <c r="VJL6" s="87"/>
      <c r="VJM6" s="87"/>
      <c r="VJN6" s="87"/>
      <c r="VJO6" s="87"/>
      <c r="VJP6" s="87"/>
      <c r="VJQ6" s="87"/>
      <c r="VJR6" s="87"/>
      <c r="VJS6" s="87"/>
      <c r="VJT6" s="87"/>
      <c r="VJU6" s="87"/>
      <c r="VJV6" s="87"/>
      <c r="VJW6" s="87"/>
      <c r="VJX6" s="87"/>
      <c r="VJY6" s="87"/>
      <c r="VJZ6" s="87"/>
      <c r="VKA6" s="87"/>
      <c r="VKB6" s="87"/>
      <c r="VKC6" s="87"/>
      <c r="VKD6" s="87"/>
      <c r="VKE6" s="87"/>
      <c r="VKF6" s="87"/>
      <c r="VKG6" s="87"/>
      <c r="VKH6" s="87"/>
      <c r="VKI6" s="87"/>
      <c r="VKJ6" s="87"/>
      <c r="VKK6" s="87"/>
      <c r="VKL6" s="87"/>
      <c r="VKM6" s="87"/>
      <c r="VKN6" s="87"/>
      <c r="VKO6" s="87"/>
      <c r="VKP6" s="87"/>
      <c r="VKQ6" s="87"/>
      <c r="VKR6" s="87"/>
      <c r="VKS6" s="87"/>
      <c r="VKT6" s="87"/>
      <c r="VKU6" s="87"/>
      <c r="VKV6" s="87"/>
      <c r="VKW6" s="87"/>
      <c r="VKX6" s="87"/>
      <c r="VKY6" s="87"/>
      <c r="VKZ6" s="87"/>
      <c r="VLA6" s="87"/>
      <c r="VLB6" s="87"/>
      <c r="VLC6" s="87"/>
      <c r="VLD6" s="87"/>
      <c r="VLE6" s="87"/>
      <c r="VLF6" s="87"/>
      <c r="VLG6" s="87"/>
      <c r="VLH6" s="87"/>
      <c r="VLI6" s="87"/>
      <c r="VLJ6" s="87"/>
      <c r="VLK6" s="87"/>
      <c r="VLL6" s="87"/>
      <c r="VLM6" s="87"/>
      <c r="VLN6" s="87"/>
      <c r="VLO6" s="87"/>
      <c r="VLP6" s="87"/>
      <c r="VLQ6" s="87"/>
      <c r="VLR6" s="87"/>
      <c r="VLS6" s="87"/>
      <c r="VLT6" s="87"/>
      <c r="VLU6" s="87"/>
      <c r="VLV6" s="87"/>
      <c r="VLW6" s="87"/>
      <c r="VLX6" s="87"/>
      <c r="VLY6" s="87"/>
      <c r="VLZ6" s="87"/>
      <c r="VMA6" s="87"/>
      <c r="VMB6" s="87"/>
      <c r="VMC6" s="87"/>
      <c r="VMD6" s="87"/>
      <c r="VME6" s="87"/>
      <c r="VMF6" s="87"/>
      <c r="VMG6" s="87"/>
      <c r="VMH6" s="87"/>
      <c r="VMI6" s="87"/>
      <c r="VMJ6" s="87"/>
      <c r="VMK6" s="87"/>
      <c r="VML6" s="87"/>
      <c r="VMM6" s="87"/>
      <c r="VMN6" s="87"/>
      <c r="VMO6" s="87"/>
      <c r="VMP6" s="87"/>
      <c r="VMQ6" s="87"/>
      <c r="VMR6" s="87"/>
      <c r="VMS6" s="87"/>
      <c r="VMT6" s="87"/>
      <c r="VMU6" s="87"/>
      <c r="VMV6" s="87"/>
      <c r="VMW6" s="87"/>
      <c r="VMX6" s="87"/>
      <c r="VMY6" s="87"/>
      <c r="VMZ6" s="87"/>
      <c r="VNA6" s="87"/>
      <c r="VNB6" s="87"/>
      <c r="VNC6" s="87"/>
      <c r="VND6" s="87"/>
      <c r="VNE6" s="87"/>
      <c r="VNF6" s="87"/>
      <c r="VNG6" s="87"/>
      <c r="VNH6" s="87"/>
      <c r="VNI6" s="87"/>
      <c r="VNJ6" s="87"/>
      <c r="VNK6" s="87"/>
      <c r="VNL6" s="87"/>
      <c r="VNM6" s="87"/>
      <c r="VNN6" s="87"/>
      <c r="VNO6" s="87"/>
      <c r="VNP6" s="87"/>
      <c r="VNQ6" s="87"/>
      <c r="VNR6" s="87"/>
      <c r="VNS6" s="87"/>
      <c r="VNT6" s="87"/>
      <c r="VNU6" s="87"/>
      <c r="VNV6" s="87"/>
      <c r="VNW6" s="87"/>
      <c r="VNX6" s="87"/>
      <c r="VNY6" s="87"/>
      <c r="VNZ6" s="87"/>
      <c r="VOA6" s="87"/>
      <c r="VOB6" s="87"/>
      <c r="VOC6" s="87"/>
      <c r="VOD6" s="87"/>
      <c r="VOE6" s="87"/>
      <c r="VOF6" s="87"/>
      <c r="VOG6" s="87"/>
      <c r="VOH6" s="87"/>
      <c r="VOI6" s="87"/>
      <c r="VOJ6" s="87"/>
      <c r="VOK6" s="87"/>
      <c r="VOL6" s="87"/>
      <c r="VOM6" s="87"/>
      <c r="VON6" s="87"/>
      <c r="VOO6" s="87"/>
      <c r="VOP6" s="87"/>
      <c r="VOQ6" s="87"/>
      <c r="VOR6" s="87"/>
      <c r="VOS6" s="87"/>
      <c r="VOT6" s="87"/>
      <c r="VOU6" s="87"/>
      <c r="VOV6" s="87"/>
      <c r="VOW6" s="87"/>
      <c r="VOX6" s="87"/>
      <c r="VOY6" s="87"/>
      <c r="VOZ6" s="87"/>
      <c r="VPA6" s="87"/>
      <c r="VPB6" s="87"/>
      <c r="VPC6" s="87"/>
      <c r="VPD6" s="87"/>
      <c r="VPE6" s="87"/>
      <c r="VPF6" s="87"/>
      <c r="VPG6" s="87"/>
      <c r="VPH6" s="87"/>
      <c r="VPI6" s="87"/>
      <c r="VPJ6" s="87"/>
      <c r="VPK6" s="87"/>
      <c r="VPL6" s="87"/>
      <c r="VPM6" s="87"/>
      <c r="VPN6" s="87"/>
      <c r="VPO6" s="87"/>
      <c r="VPP6" s="87"/>
      <c r="VPQ6" s="87"/>
      <c r="VPR6" s="87"/>
      <c r="VPS6" s="87"/>
      <c r="VPT6" s="87"/>
      <c r="VPU6" s="87"/>
      <c r="VPV6" s="87"/>
      <c r="VPW6" s="87"/>
      <c r="VPX6" s="87"/>
      <c r="VPY6" s="87"/>
      <c r="VPZ6" s="87"/>
      <c r="VQA6" s="87"/>
      <c r="VQB6" s="87"/>
      <c r="VQC6" s="87"/>
      <c r="VQD6" s="87"/>
      <c r="VQE6" s="87"/>
      <c r="VQF6" s="87"/>
      <c r="VQG6" s="87"/>
      <c r="VQH6" s="87"/>
      <c r="VQI6" s="87"/>
      <c r="VQJ6" s="87"/>
      <c r="VQK6" s="87"/>
      <c r="VQL6" s="87"/>
      <c r="VQM6" s="87"/>
      <c r="VQN6" s="87"/>
      <c r="VQO6" s="87"/>
      <c r="VQP6" s="87"/>
      <c r="VQQ6" s="87"/>
      <c r="VQR6" s="87"/>
      <c r="VQS6" s="87"/>
      <c r="VQT6" s="87"/>
      <c r="VQU6" s="87"/>
      <c r="VQV6" s="87"/>
      <c r="VQW6" s="87"/>
      <c r="VQX6" s="87"/>
      <c r="VQY6" s="87"/>
      <c r="VQZ6" s="87"/>
      <c r="VRA6" s="87"/>
      <c r="VRB6" s="87"/>
      <c r="VRC6" s="87"/>
      <c r="VRD6" s="87"/>
      <c r="VRE6" s="87"/>
      <c r="VRF6" s="87"/>
      <c r="VRG6" s="87"/>
      <c r="VRH6" s="87"/>
      <c r="VRI6" s="87"/>
      <c r="VRJ6" s="87"/>
      <c r="VRK6" s="87"/>
      <c r="VRL6" s="87"/>
      <c r="VRM6" s="87"/>
      <c r="VRN6" s="87"/>
      <c r="VRO6" s="87"/>
      <c r="VRP6" s="87"/>
      <c r="VRQ6" s="87"/>
      <c r="VRR6" s="87"/>
      <c r="VRS6" s="87"/>
      <c r="VRT6" s="87"/>
      <c r="VRU6" s="87"/>
      <c r="VRV6" s="87"/>
      <c r="VRW6" s="87"/>
      <c r="VRX6" s="87"/>
      <c r="VRY6" s="87"/>
      <c r="VRZ6" s="87"/>
      <c r="VSA6" s="87"/>
      <c r="VSB6" s="87"/>
      <c r="VSC6" s="87"/>
      <c r="VSD6" s="87"/>
      <c r="VSE6" s="87"/>
      <c r="VSF6" s="87"/>
      <c r="VSG6" s="87"/>
      <c r="VSH6" s="87"/>
      <c r="VSI6" s="87"/>
      <c r="VSJ6" s="87"/>
      <c r="VSK6" s="87"/>
      <c r="VSL6" s="87"/>
      <c r="VSM6" s="87"/>
      <c r="VSN6" s="87"/>
      <c r="VSO6" s="87"/>
      <c r="VSP6" s="87"/>
      <c r="VSQ6" s="87"/>
      <c r="VSR6" s="87"/>
      <c r="VSS6" s="87"/>
      <c r="VST6" s="87"/>
      <c r="VSU6" s="87"/>
      <c r="VSV6" s="87"/>
      <c r="VSW6" s="87"/>
      <c r="VSX6" s="87"/>
      <c r="VSY6" s="87"/>
      <c r="VSZ6" s="87"/>
      <c r="VTA6" s="87"/>
      <c r="VTB6" s="87"/>
      <c r="VTC6" s="87"/>
      <c r="VTD6" s="87"/>
      <c r="VTE6" s="87"/>
      <c r="VTF6" s="87"/>
      <c r="VTG6" s="87"/>
      <c r="VTH6" s="87"/>
      <c r="VTI6" s="87"/>
      <c r="VTJ6" s="87"/>
      <c r="VTK6" s="87"/>
      <c r="VTL6" s="87"/>
      <c r="VTM6" s="87"/>
      <c r="VTN6" s="87"/>
      <c r="VTO6" s="87"/>
      <c r="VTP6" s="87"/>
      <c r="VTQ6" s="87"/>
      <c r="VTR6" s="87"/>
      <c r="VTS6" s="87"/>
      <c r="VTT6" s="87"/>
      <c r="VTU6" s="87"/>
      <c r="VTV6" s="87"/>
      <c r="VTW6" s="87"/>
      <c r="VTX6" s="87"/>
      <c r="VTY6" s="87"/>
      <c r="VTZ6" s="87"/>
      <c r="VUA6" s="87"/>
      <c r="VUB6" s="87"/>
      <c r="VUC6" s="87"/>
      <c r="VUD6" s="87"/>
      <c r="VUE6" s="87"/>
      <c r="VUF6" s="87"/>
      <c r="VUG6" s="87"/>
      <c r="VUH6" s="87"/>
      <c r="VUI6" s="87"/>
      <c r="VUJ6" s="87"/>
      <c r="VUK6" s="87"/>
      <c r="VUL6" s="87"/>
      <c r="VUM6" s="87"/>
      <c r="VUN6" s="87"/>
      <c r="VUO6" s="87"/>
      <c r="VUP6" s="87"/>
      <c r="VUQ6" s="87"/>
      <c r="VUR6" s="87"/>
      <c r="VUS6" s="87"/>
      <c r="VUT6" s="87"/>
      <c r="VUU6" s="87"/>
      <c r="VUV6" s="87"/>
      <c r="VUW6" s="87"/>
      <c r="VUX6" s="87"/>
      <c r="VUY6" s="87"/>
      <c r="VUZ6" s="87"/>
      <c r="VVA6" s="87"/>
      <c r="VVB6" s="87"/>
      <c r="VVC6" s="87"/>
      <c r="VVD6" s="87"/>
      <c r="VVE6" s="87"/>
      <c r="VVF6" s="87"/>
      <c r="VVG6" s="87"/>
      <c r="VVH6" s="87"/>
      <c r="VVI6" s="87"/>
      <c r="VVJ6" s="87"/>
      <c r="VVK6" s="87"/>
      <c r="VVL6" s="87"/>
      <c r="VVM6" s="87"/>
      <c r="VVN6" s="87"/>
      <c r="VVO6" s="87"/>
      <c r="VVP6" s="87"/>
      <c r="VVQ6" s="87"/>
      <c r="VVR6" s="87"/>
      <c r="VVS6" s="87"/>
      <c r="VVT6" s="87"/>
      <c r="VVU6" s="87"/>
      <c r="VVV6" s="87"/>
      <c r="VVW6" s="87"/>
      <c r="VVX6" s="87"/>
      <c r="VVY6" s="87"/>
      <c r="VVZ6" s="87"/>
      <c r="VWA6" s="87"/>
      <c r="VWB6" s="87"/>
      <c r="VWC6" s="87"/>
      <c r="VWD6" s="87"/>
      <c r="VWE6" s="87"/>
      <c r="VWF6" s="87"/>
      <c r="VWG6" s="87"/>
      <c r="VWH6" s="87"/>
      <c r="VWI6" s="87"/>
      <c r="VWJ6" s="87"/>
      <c r="VWK6" s="87"/>
      <c r="VWL6" s="87"/>
      <c r="VWM6" s="87"/>
      <c r="VWN6" s="87"/>
      <c r="VWO6" s="87"/>
      <c r="VWP6" s="87"/>
      <c r="VWQ6" s="87"/>
      <c r="VWR6" s="87"/>
      <c r="VWS6" s="87"/>
      <c r="VWT6" s="87"/>
      <c r="VWU6" s="87"/>
      <c r="VWV6" s="87"/>
      <c r="VWW6" s="87"/>
      <c r="VWX6" s="87"/>
      <c r="VWY6" s="87"/>
      <c r="VWZ6" s="87"/>
      <c r="VXA6" s="87"/>
      <c r="VXB6" s="87"/>
      <c r="VXC6" s="87"/>
      <c r="VXD6" s="87"/>
      <c r="VXE6" s="87"/>
      <c r="VXF6" s="87"/>
      <c r="VXG6" s="87"/>
      <c r="VXH6" s="87"/>
      <c r="VXI6" s="87"/>
      <c r="VXJ6" s="87"/>
      <c r="VXK6" s="87"/>
      <c r="VXL6" s="87"/>
      <c r="VXM6" s="87"/>
      <c r="VXN6" s="87"/>
      <c r="VXO6" s="87"/>
      <c r="VXP6" s="87"/>
      <c r="VXQ6" s="87"/>
      <c r="VXR6" s="87"/>
      <c r="VXS6" s="87"/>
      <c r="VXT6" s="87"/>
      <c r="VXU6" s="87"/>
      <c r="VXV6" s="87"/>
      <c r="VXW6" s="87"/>
      <c r="VXX6" s="87"/>
      <c r="VXY6" s="87"/>
      <c r="VXZ6" s="87"/>
      <c r="VYA6" s="87"/>
      <c r="VYB6" s="87"/>
      <c r="VYC6" s="87"/>
      <c r="VYD6" s="87"/>
      <c r="VYE6" s="87"/>
      <c r="VYF6" s="87"/>
      <c r="VYG6" s="87"/>
      <c r="VYH6" s="87"/>
      <c r="VYI6" s="87"/>
      <c r="VYJ6" s="87"/>
      <c r="VYK6" s="87"/>
      <c r="VYL6" s="87"/>
      <c r="VYM6" s="87"/>
      <c r="VYN6" s="87"/>
      <c r="VYO6" s="87"/>
      <c r="VYP6" s="87"/>
      <c r="VYQ6" s="87"/>
      <c r="VYR6" s="87"/>
      <c r="VYS6" s="87"/>
      <c r="VYT6" s="87"/>
      <c r="VYU6" s="87"/>
      <c r="VYV6" s="87"/>
      <c r="VYW6" s="87"/>
      <c r="VYX6" s="87"/>
      <c r="VYY6" s="87"/>
      <c r="VYZ6" s="87"/>
      <c r="VZA6" s="87"/>
      <c r="VZB6" s="87"/>
      <c r="VZC6" s="87"/>
      <c r="VZD6" s="87"/>
      <c r="VZE6" s="87"/>
      <c r="VZF6" s="87"/>
      <c r="VZG6" s="87"/>
      <c r="VZH6" s="87"/>
      <c r="VZI6" s="87"/>
      <c r="VZJ6" s="87"/>
      <c r="VZK6" s="87"/>
      <c r="VZL6" s="87"/>
      <c r="VZM6" s="87"/>
      <c r="VZN6" s="87"/>
      <c r="VZO6" s="87"/>
      <c r="VZP6" s="87"/>
      <c r="VZQ6" s="87"/>
      <c r="VZR6" s="87"/>
      <c r="VZS6" s="87"/>
      <c r="VZT6" s="87"/>
      <c r="VZU6" s="87"/>
      <c r="VZV6" s="87"/>
      <c r="VZW6" s="87"/>
      <c r="VZX6" s="87"/>
      <c r="VZY6" s="87"/>
      <c r="VZZ6" s="87"/>
      <c r="WAA6" s="87"/>
      <c r="WAB6" s="87"/>
      <c r="WAC6" s="87"/>
      <c r="WAD6" s="87"/>
      <c r="WAE6" s="87"/>
      <c r="WAF6" s="87"/>
      <c r="WAG6" s="87"/>
      <c r="WAH6" s="87"/>
      <c r="WAI6" s="87"/>
      <c r="WAJ6" s="87"/>
      <c r="WAK6" s="87"/>
      <c r="WAL6" s="87"/>
      <c r="WAM6" s="87"/>
      <c r="WAN6" s="87"/>
      <c r="WAO6" s="87"/>
      <c r="WAP6" s="87"/>
      <c r="WAQ6" s="87"/>
      <c r="WAR6" s="87"/>
      <c r="WAS6" s="87"/>
      <c r="WAT6" s="87"/>
      <c r="WAU6" s="87"/>
      <c r="WAV6" s="87"/>
      <c r="WAW6" s="87"/>
      <c r="WAX6" s="87"/>
      <c r="WAY6" s="87"/>
      <c r="WAZ6" s="87"/>
      <c r="WBA6" s="87"/>
      <c r="WBB6" s="87"/>
      <c r="WBC6" s="87"/>
      <c r="WBD6" s="87"/>
      <c r="WBE6" s="87"/>
      <c r="WBF6" s="87"/>
      <c r="WBG6" s="87"/>
      <c r="WBH6" s="87"/>
      <c r="WBI6" s="87"/>
      <c r="WBJ6" s="87"/>
      <c r="WBK6" s="87"/>
      <c r="WBL6" s="87"/>
      <c r="WBM6" s="87"/>
      <c r="WBN6" s="87"/>
      <c r="WBO6" s="87"/>
      <c r="WBP6" s="87"/>
      <c r="WBQ6" s="87"/>
      <c r="WBR6" s="87"/>
      <c r="WBS6" s="87"/>
      <c r="WBT6" s="87"/>
      <c r="WBU6" s="87"/>
      <c r="WBV6" s="87"/>
      <c r="WBW6" s="87"/>
      <c r="WBX6" s="87"/>
      <c r="WBY6" s="87"/>
      <c r="WBZ6" s="87"/>
      <c r="WCA6" s="87"/>
      <c r="WCB6" s="87"/>
      <c r="WCC6" s="87"/>
      <c r="WCD6" s="87"/>
      <c r="WCE6" s="87"/>
      <c r="WCF6" s="87"/>
      <c r="WCG6" s="87"/>
      <c r="WCH6" s="87"/>
      <c r="WCI6" s="87"/>
      <c r="WCJ6" s="87"/>
      <c r="WCK6" s="87"/>
      <c r="WCL6" s="87"/>
      <c r="WCM6" s="87"/>
      <c r="WCN6" s="87"/>
      <c r="WCO6" s="87"/>
      <c r="WCP6" s="87"/>
      <c r="WCQ6" s="87"/>
      <c r="WCR6" s="87"/>
      <c r="WCS6" s="87"/>
      <c r="WCT6" s="87"/>
      <c r="WCU6" s="87"/>
      <c r="WCV6" s="87"/>
      <c r="WCW6" s="87"/>
      <c r="WCX6" s="87"/>
      <c r="WCY6" s="87"/>
      <c r="WCZ6" s="87"/>
      <c r="WDA6" s="87"/>
      <c r="WDB6" s="87"/>
      <c r="WDC6" s="87"/>
      <c r="WDD6" s="87"/>
      <c r="WDE6" s="87"/>
      <c r="WDF6" s="87"/>
      <c r="WDG6" s="87"/>
      <c r="WDH6" s="87"/>
      <c r="WDI6" s="87"/>
      <c r="WDJ6" s="87"/>
      <c r="WDK6" s="87"/>
      <c r="WDL6" s="87"/>
      <c r="WDM6" s="87"/>
      <c r="WDN6" s="87"/>
      <c r="WDO6" s="87"/>
      <c r="WDP6" s="87"/>
      <c r="WDQ6" s="87"/>
      <c r="WDR6" s="87"/>
      <c r="WDS6" s="87"/>
      <c r="WDT6" s="87"/>
      <c r="WDU6" s="87"/>
      <c r="WDV6" s="87"/>
      <c r="WDW6" s="87"/>
      <c r="WDX6" s="87"/>
      <c r="WDY6" s="87"/>
      <c r="WDZ6" s="87"/>
      <c r="WEA6" s="87"/>
      <c r="WEB6" s="87"/>
      <c r="WEC6" s="87"/>
      <c r="WED6" s="87"/>
      <c r="WEE6" s="87"/>
      <c r="WEF6" s="87"/>
      <c r="WEG6" s="87"/>
      <c r="WEH6" s="87"/>
      <c r="WEI6" s="87"/>
      <c r="WEJ6" s="87"/>
      <c r="WEK6" s="87"/>
      <c r="WEL6" s="87"/>
      <c r="WEM6" s="87"/>
      <c r="WEN6" s="87"/>
      <c r="WEO6" s="87"/>
      <c r="WEP6" s="87"/>
      <c r="WEQ6" s="87"/>
      <c r="WER6" s="87"/>
      <c r="WES6" s="87"/>
      <c r="WET6" s="87"/>
      <c r="WEU6" s="87"/>
      <c r="WEV6" s="87"/>
      <c r="WEW6" s="87"/>
      <c r="WEX6" s="87"/>
      <c r="WEY6" s="87"/>
      <c r="WEZ6" s="87"/>
      <c r="WFA6" s="87"/>
      <c r="WFB6" s="87"/>
      <c r="WFC6" s="87"/>
      <c r="WFD6" s="87"/>
      <c r="WFE6" s="87"/>
      <c r="WFF6" s="87"/>
      <c r="WFG6" s="87"/>
      <c r="WFH6" s="87"/>
      <c r="WFI6" s="87"/>
      <c r="WFJ6" s="87"/>
      <c r="WFK6" s="87"/>
      <c r="WFL6" s="87"/>
      <c r="WFM6" s="87"/>
      <c r="WFN6" s="87"/>
      <c r="WFO6" s="87"/>
      <c r="WFP6" s="87"/>
      <c r="WFQ6" s="87"/>
      <c r="WFR6" s="87"/>
      <c r="WFS6" s="87"/>
      <c r="WFT6" s="87"/>
      <c r="WFU6" s="87"/>
      <c r="WFV6" s="87"/>
      <c r="WFW6" s="87"/>
      <c r="WFX6" s="87"/>
      <c r="WFY6" s="87"/>
      <c r="WFZ6" s="87"/>
      <c r="WGA6" s="87"/>
      <c r="WGB6" s="87"/>
      <c r="WGC6" s="87"/>
      <c r="WGD6" s="87"/>
      <c r="WGE6" s="87"/>
      <c r="WGF6" s="87"/>
      <c r="WGG6" s="87"/>
      <c r="WGH6" s="87"/>
      <c r="WGI6" s="87"/>
      <c r="WGJ6" s="87"/>
      <c r="WGK6" s="87"/>
      <c r="WGL6" s="87"/>
      <c r="WGM6" s="87"/>
      <c r="WGN6" s="87"/>
      <c r="WGO6" s="87"/>
      <c r="WGP6" s="87"/>
      <c r="WGQ6" s="87"/>
      <c r="WGR6" s="87"/>
      <c r="WGS6" s="87"/>
      <c r="WGT6" s="87"/>
      <c r="WGU6" s="87"/>
      <c r="WGV6" s="87"/>
      <c r="WGW6" s="87"/>
      <c r="WGX6" s="87"/>
      <c r="WGY6" s="87"/>
      <c r="WGZ6" s="87"/>
      <c r="WHA6" s="87"/>
      <c r="WHB6" s="87"/>
      <c r="WHC6" s="87"/>
      <c r="WHD6" s="87"/>
      <c r="WHE6" s="87"/>
      <c r="WHF6" s="87"/>
      <c r="WHG6" s="87"/>
      <c r="WHH6" s="87"/>
      <c r="WHI6" s="87"/>
      <c r="WHJ6" s="87"/>
      <c r="WHK6" s="87"/>
      <c r="WHL6" s="87"/>
      <c r="WHM6" s="87"/>
      <c r="WHN6" s="87"/>
      <c r="WHO6" s="87"/>
      <c r="WHP6" s="87"/>
      <c r="WHQ6" s="87"/>
      <c r="WHR6" s="87"/>
      <c r="WHS6" s="87"/>
      <c r="WHT6" s="87"/>
      <c r="WHU6" s="87"/>
      <c r="WHV6" s="87"/>
      <c r="WHW6" s="87"/>
      <c r="WHX6" s="87"/>
      <c r="WHY6" s="87"/>
      <c r="WHZ6" s="87"/>
      <c r="WIA6" s="87"/>
      <c r="WIB6" s="87"/>
      <c r="WIC6" s="87"/>
      <c r="WID6" s="87"/>
      <c r="WIE6" s="87"/>
      <c r="WIF6" s="87"/>
      <c r="WIG6" s="87"/>
      <c r="WIH6" s="87"/>
      <c r="WII6" s="87"/>
      <c r="WIJ6" s="87"/>
      <c r="WIK6" s="87"/>
      <c r="WIL6" s="87"/>
      <c r="WIM6" s="87"/>
      <c r="WIN6" s="87"/>
      <c r="WIO6" s="87"/>
      <c r="WIP6" s="87"/>
      <c r="WIQ6" s="87"/>
      <c r="WIR6" s="87"/>
      <c r="WIS6" s="87"/>
      <c r="WIT6" s="87"/>
      <c r="WIU6" s="87"/>
      <c r="WIV6" s="87"/>
      <c r="WIW6" s="87"/>
      <c r="WIX6" s="87"/>
      <c r="WIY6" s="87"/>
      <c r="WIZ6" s="87"/>
      <c r="WJA6" s="87"/>
      <c r="WJB6" s="87"/>
      <c r="WJC6" s="87"/>
      <c r="WJD6" s="87"/>
      <c r="WJE6" s="87"/>
      <c r="WJF6" s="87"/>
      <c r="WJG6" s="87"/>
      <c r="WJH6" s="87"/>
      <c r="WJI6" s="87"/>
      <c r="WJJ6" s="87"/>
      <c r="WJK6" s="87"/>
      <c r="WJL6" s="87"/>
      <c r="WJM6" s="87"/>
      <c r="WJN6" s="87"/>
      <c r="WJO6" s="87"/>
      <c r="WJP6" s="87"/>
      <c r="WJQ6" s="87"/>
      <c r="WJR6" s="87"/>
      <c r="WJS6" s="87"/>
      <c r="WJT6" s="87"/>
      <c r="WJU6" s="87"/>
      <c r="WJV6" s="87"/>
      <c r="WJW6" s="87"/>
      <c r="WJX6" s="87"/>
      <c r="WJY6" s="87"/>
      <c r="WJZ6" s="87"/>
      <c r="WKA6" s="87"/>
      <c r="WKB6" s="87"/>
      <c r="WKC6" s="87"/>
      <c r="WKD6" s="87"/>
      <c r="WKE6" s="87"/>
      <c r="WKF6" s="87"/>
      <c r="WKG6" s="87"/>
      <c r="WKH6" s="87"/>
      <c r="WKI6" s="87"/>
      <c r="WKJ6" s="87"/>
      <c r="WKK6" s="87"/>
      <c r="WKL6" s="87"/>
      <c r="WKM6" s="87"/>
      <c r="WKN6" s="87"/>
      <c r="WKO6" s="87"/>
      <c r="WKP6" s="87"/>
      <c r="WKQ6" s="87"/>
      <c r="WKR6" s="87"/>
      <c r="WKS6" s="87"/>
      <c r="WKT6" s="87"/>
      <c r="WKU6" s="87"/>
      <c r="WKV6" s="87"/>
      <c r="WKW6" s="87"/>
      <c r="WKX6" s="87"/>
      <c r="WKY6" s="87"/>
      <c r="WKZ6" s="87"/>
      <c r="WLA6" s="87"/>
      <c r="WLB6" s="87"/>
      <c r="WLC6" s="87"/>
      <c r="WLD6" s="87"/>
      <c r="WLE6" s="87"/>
      <c r="WLF6" s="87"/>
      <c r="WLG6" s="87"/>
      <c r="WLH6" s="87"/>
      <c r="WLI6" s="87"/>
      <c r="WLJ6" s="87"/>
      <c r="WLK6" s="87"/>
      <c r="WLL6" s="87"/>
      <c r="WLM6" s="87"/>
      <c r="WLN6" s="87"/>
      <c r="WLO6" s="87"/>
      <c r="WLP6" s="87"/>
      <c r="WLQ6" s="87"/>
      <c r="WLR6" s="87"/>
      <c r="WLS6" s="87"/>
      <c r="WLT6" s="87"/>
      <c r="WLU6" s="87"/>
      <c r="WLV6" s="87"/>
      <c r="WLW6" s="87"/>
      <c r="WLX6" s="87"/>
      <c r="WLY6" s="87"/>
      <c r="WLZ6" s="87"/>
      <c r="WMA6" s="87"/>
      <c r="WMB6" s="87"/>
      <c r="WMC6" s="87"/>
      <c r="WMD6" s="87"/>
      <c r="WME6" s="87"/>
      <c r="WMF6" s="87"/>
      <c r="WMG6" s="87"/>
      <c r="WMH6" s="87"/>
      <c r="WMI6" s="87"/>
      <c r="WMJ6" s="87"/>
      <c r="WMK6" s="87"/>
      <c r="WML6" s="87"/>
      <c r="WMM6" s="87"/>
      <c r="WMN6" s="87"/>
      <c r="WMO6" s="87"/>
      <c r="WMP6" s="87"/>
      <c r="WMQ6" s="87"/>
      <c r="WMR6" s="87"/>
      <c r="WMS6" s="87"/>
      <c r="WMT6" s="87"/>
      <c r="WMU6" s="87"/>
      <c r="WMV6" s="87"/>
      <c r="WMW6" s="87"/>
      <c r="WMX6" s="87"/>
      <c r="WMY6" s="87"/>
      <c r="WMZ6" s="87"/>
      <c r="WNA6" s="87"/>
      <c r="WNB6" s="87"/>
      <c r="WNC6" s="87"/>
      <c r="WND6" s="87"/>
      <c r="WNE6" s="87"/>
      <c r="WNF6" s="87"/>
      <c r="WNG6" s="87"/>
      <c r="WNH6" s="87"/>
      <c r="WNI6" s="87"/>
      <c r="WNJ6" s="87"/>
      <c r="WNK6" s="87"/>
      <c r="WNL6" s="87"/>
      <c r="WNM6" s="87"/>
      <c r="WNN6" s="87"/>
      <c r="WNO6" s="87"/>
      <c r="WNP6" s="87"/>
      <c r="WNQ6" s="87"/>
      <c r="WNR6" s="87"/>
      <c r="WNS6" s="87"/>
      <c r="WNT6" s="87"/>
      <c r="WNU6" s="87"/>
      <c r="WNV6" s="87"/>
      <c r="WNW6" s="87"/>
      <c r="WNX6" s="87"/>
      <c r="WNY6" s="87"/>
      <c r="WNZ6" s="87"/>
      <c r="WOA6" s="87"/>
      <c r="WOB6" s="87"/>
      <c r="WOC6" s="87"/>
      <c r="WOD6" s="87"/>
      <c r="WOE6" s="87"/>
      <c r="WOF6" s="87"/>
      <c r="WOG6" s="87"/>
      <c r="WOH6" s="87"/>
      <c r="WOI6" s="87"/>
      <c r="WOJ6" s="87"/>
      <c r="WOK6" s="87"/>
      <c r="WOL6" s="87"/>
      <c r="WOM6" s="87"/>
      <c r="WON6" s="87"/>
      <c r="WOO6" s="87"/>
      <c r="WOP6" s="87"/>
      <c r="WOQ6" s="87"/>
      <c r="WOR6" s="87"/>
      <c r="WOS6" s="87"/>
      <c r="WOT6" s="87"/>
      <c r="WOU6" s="87"/>
      <c r="WOV6" s="87"/>
      <c r="WOW6" s="87"/>
      <c r="WOX6" s="87"/>
      <c r="WOY6" s="87"/>
      <c r="WOZ6" s="87"/>
      <c r="WPA6" s="87"/>
      <c r="WPB6" s="87"/>
      <c r="WPC6" s="87"/>
      <c r="WPD6" s="87"/>
      <c r="WPE6" s="87"/>
      <c r="WPF6" s="87"/>
      <c r="WPG6" s="87"/>
      <c r="WPH6" s="87"/>
      <c r="WPI6" s="87"/>
      <c r="WPJ6" s="87"/>
      <c r="WPK6" s="87"/>
      <c r="WPL6" s="87"/>
      <c r="WPM6" s="87"/>
      <c r="WPN6" s="87"/>
      <c r="WPO6" s="87"/>
      <c r="WPP6" s="87"/>
      <c r="WPQ6" s="87"/>
      <c r="WPR6" s="87"/>
      <c r="WPS6" s="87"/>
      <c r="WPT6" s="87"/>
      <c r="WPU6" s="87"/>
      <c r="WPV6" s="87"/>
      <c r="WPW6" s="87"/>
      <c r="WPX6" s="87"/>
      <c r="WPY6" s="87"/>
      <c r="WPZ6" s="87"/>
      <c r="WQA6" s="87"/>
      <c r="WQB6" s="87"/>
      <c r="WQC6" s="87"/>
      <c r="WQD6" s="87"/>
      <c r="WQE6" s="87"/>
      <c r="WQF6" s="87"/>
      <c r="WQG6" s="87"/>
      <c r="WQH6" s="87"/>
      <c r="WQI6" s="87"/>
      <c r="WQJ6" s="87"/>
      <c r="WQK6" s="87"/>
      <c r="WQL6" s="87"/>
      <c r="WQM6" s="87"/>
      <c r="WQN6" s="87"/>
      <c r="WQO6" s="87"/>
      <c r="WQP6" s="87"/>
      <c r="WQQ6" s="87"/>
      <c r="WQR6" s="87"/>
      <c r="WQS6" s="87"/>
      <c r="WQT6" s="87"/>
      <c r="WQU6" s="87"/>
      <c r="WQV6" s="87"/>
      <c r="WQW6" s="87"/>
      <c r="WQX6" s="87"/>
      <c r="WQY6" s="87"/>
      <c r="WQZ6" s="87"/>
      <c r="WRA6" s="87"/>
      <c r="WRB6" s="87"/>
      <c r="WRC6" s="87"/>
      <c r="WRD6" s="87"/>
      <c r="WRE6" s="87"/>
      <c r="WRF6" s="87"/>
      <c r="WRG6" s="87"/>
      <c r="WRH6" s="87"/>
      <c r="WRI6" s="87"/>
      <c r="WRJ6" s="87"/>
      <c r="WRK6" s="87"/>
      <c r="WRL6" s="87"/>
      <c r="WRM6" s="87"/>
      <c r="WRN6" s="87"/>
      <c r="WRO6" s="87"/>
      <c r="WRP6" s="87"/>
      <c r="WRQ6" s="87"/>
      <c r="WRR6" s="87"/>
      <c r="WRS6" s="87"/>
      <c r="WRT6" s="87"/>
      <c r="WRU6" s="87"/>
      <c r="WRV6" s="87"/>
      <c r="WRW6" s="87"/>
      <c r="WRX6" s="87"/>
      <c r="WRY6" s="87"/>
      <c r="WRZ6" s="87"/>
      <c r="WSA6" s="87"/>
      <c r="WSB6" s="87"/>
      <c r="WSC6" s="87"/>
      <c r="WSD6" s="87"/>
      <c r="WSE6" s="87"/>
      <c r="WSF6" s="87"/>
      <c r="WSG6" s="87"/>
      <c r="WSH6" s="87"/>
      <c r="WSI6" s="87"/>
      <c r="WSJ6" s="87"/>
      <c r="WSK6" s="87"/>
      <c r="WSL6" s="87"/>
      <c r="WSM6" s="87"/>
      <c r="WSN6" s="87"/>
      <c r="WSO6" s="87"/>
      <c r="WSP6" s="87"/>
      <c r="WSQ6" s="87"/>
      <c r="WSR6" s="87"/>
      <c r="WSS6" s="87"/>
      <c r="WST6" s="87"/>
      <c r="WSU6" s="87"/>
      <c r="WSV6" s="87"/>
      <c r="WSW6" s="87"/>
      <c r="WSX6" s="87"/>
      <c r="WSY6" s="87"/>
      <c r="WSZ6" s="87"/>
      <c r="WTA6" s="87"/>
      <c r="WTB6" s="87"/>
      <c r="WTC6" s="87"/>
      <c r="WTD6" s="87"/>
      <c r="WTE6" s="87"/>
      <c r="WTF6" s="87"/>
      <c r="WTG6" s="87"/>
      <c r="WTH6" s="87"/>
      <c r="WTI6" s="87"/>
      <c r="WTJ6" s="87"/>
      <c r="WTK6" s="87"/>
      <c r="WTL6" s="87"/>
      <c r="WTM6" s="87"/>
      <c r="WTN6" s="87"/>
      <c r="WTO6" s="87"/>
      <c r="WTP6" s="87"/>
      <c r="WTQ6" s="87"/>
      <c r="WTR6" s="87"/>
      <c r="WTS6" s="87"/>
      <c r="WTT6" s="87"/>
      <c r="WTU6" s="87"/>
      <c r="WTV6" s="87"/>
      <c r="WTW6" s="87"/>
      <c r="WTX6" s="87"/>
      <c r="WTY6" s="87"/>
      <c r="WTZ6" s="87"/>
      <c r="WUA6" s="87"/>
      <c r="WUB6" s="87"/>
      <c r="WUC6" s="87"/>
      <c r="WUD6" s="87"/>
      <c r="WUE6" s="87"/>
      <c r="WUF6" s="87"/>
      <c r="WUG6" s="87"/>
      <c r="WUH6" s="87"/>
      <c r="WUI6" s="87"/>
      <c r="WUJ6" s="87"/>
      <c r="WUK6" s="87"/>
      <c r="WUL6" s="87"/>
      <c r="WUM6" s="87"/>
      <c r="WUN6" s="87"/>
      <c r="WUO6" s="87"/>
      <c r="WUP6" s="87"/>
      <c r="WUQ6" s="87"/>
      <c r="WUR6" s="87"/>
      <c r="WUS6" s="87"/>
      <c r="WUT6" s="87"/>
      <c r="WUU6" s="87"/>
      <c r="WUV6" s="87"/>
      <c r="WUW6" s="87"/>
      <c r="WUX6" s="87"/>
      <c r="WUY6" s="87"/>
      <c r="WUZ6" s="87"/>
      <c r="WVA6" s="87"/>
      <c r="WVB6" s="87"/>
      <c r="WVC6" s="87"/>
      <c r="WVD6" s="87"/>
      <c r="WVE6" s="87"/>
      <c r="WVF6" s="87"/>
      <c r="WVG6" s="87"/>
      <c r="WVH6" s="87"/>
      <c r="WVI6" s="87"/>
      <c r="WVJ6" s="87"/>
      <c r="WVK6" s="87"/>
      <c r="WVL6" s="87"/>
      <c r="WVM6" s="87"/>
      <c r="WVN6" s="87"/>
      <c r="WVO6" s="87"/>
      <c r="WVP6" s="87"/>
      <c r="WVQ6" s="87"/>
      <c r="WVR6" s="87"/>
      <c r="WVS6" s="87"/>
      <c r="WVT6" s="87"/>
      <c r="WVU6" s="87"/>
      <c r="WVV6" s="87"/>
      <c r="WVW6" s="87"/>
      <c r="WVX6" s="87"/>
      <c r="WVY6" s="87"/>
      <c r="WVZ6" s="87"/>
      <c r="WWA6" s="87"/>
      <c r="WWB6" s="87"/>
      <c r="WWC6" s="87"/>
      <c r="WWD6" s="87"/>
      <c r="WWE6" s="87"/>
      <c r="WWF6" s="87"/>
      <c r="WWG6" s="87"/>
      <c r="WWH6" s="87"/>
      <c r="WWI6" s="87"/>
      <c r="WWJ6" s="87"/>
      <c r="WWK6" s="87"/>
      <c r="WWL6" s="87"/>
      <c r="WWM6" s="87"/>
      <c r="WWN6" s="87"/>
      <c r="WWO6" s="87"/>
      <c r="WWP6" s="87"/>
      <c r="WWQ6" s="87"/>
      <c r="WWR6" s="87"/>
      <c r="WWS6" s="87"/>
      <c r="WWT6" s="87"/>
      <c r="WWU6" s="87"/>
      <c r="WWV6" s="87"/>
      <c r="WWW6" s="87"/>
      <c r="WWX6" s="87"/>
      <c r="WWY6" s="87"/>
      <c r="WWZ6" s="87"/>
      <c r="WXA6" s="87"/>
      <c r="WXB6" s="87"/>
      <c r="WXC6" s="87"/>
      <c r="WXD6" s="87"/>
      <c r="WXE6" s="87"/>
      <c r="WXF6" s="87"/>
      <c r="WXG6" s="87"/>
      <c r="WXH6" s="87"/>
      <c r="WXI6" s="87"/>
      <c r="WXJ6" s="87"/>
      <c r="WXK6" s="87"/>
      <c r="WXL6" s="87"/>
      <c r="WXM6" s="87"/>
      <c r="WXN6" s="87"/>
      <c r="WXO6" s="87"/>
      <c r="WXP6" s="87"/>
      <c r="WXQ6" s="87"/>
      <c r="WXR6" s="87"/>
      <c r="WXS6" s="87"/>
      <c r="WXT6" s="87"/>
      <c r="WXU6" s="87"/>
      <c r="WXV6" s="87"/>
      <c r="WXW6" s="87"/>
      <c r="WXX6" s="87"/>
      <c r="WXY6" s="87"/>
      <c r="WXZ6" s="87"/>
      <c r="WYA6" s="87"/>
      <c r="WYB6" s="87"/>
      <c r="WYC6" s="87"/>
      <c r="WYD6" s="87"/>
      <c r="WYE6" s="87"/>
      <c r="WYF6" s="87"/>
      <c r="WYG6" s="87"/>
      <c r="WYH6" s="87"/>
      <c r="WYI6" s="87"/>
      <c r="WYJ6" s="87"/>
      <c r="WYK6" s="87"/>
      <c r="WYL6" s="87"/>
      <c r="WYM6" s="87"/>
      <c r="WYN6" s="87"/>
      <c r="WYO6" s="87"/>
      <c r="WYP6" s="87"/>
      <c r="WYQ6" s="87"/>
      <c r="WYR6" s="87"/>
      <c r="WYS6" s="87"/>
      <c r="WYT6" s="87"/>
      <c r="WYU6" s="87"/>
      <c r="WYV6" s="87"/>
      <c r="WYW6" s="87"/>
      <c r="WYX6" s="87"/>
      <c r="WYY6" s="87"/>
      <c r="WYZ6" s="87"/>
      <c r="WZA6" s="87"/>
      <c r="WZB6" s="87"/>
      <c r="WZC6" s="87"/>
      <c r="WZD6" s="87"/>
      <c r="WZE6" s="87"/>
      <c r="WZF6" s="87"/>
      <c r="WZG6" s="87"/>
      <c r="WZH6" s="87"/>
      <c r="WZI6" s="87"/>
      <c r="WZJ6" s="87"/>
      <c r="WZK6" s="87"/>
      <c r="WZL6" s="87"/>
      <c r="WZM6" s="87"/>
      <c r="WZN6" s="87"/>
      <c r="WZO6" s="87"/>
      <c r="WZP6" s="87"/>
      <c r="WZQ6" s="87"/>
      <c r="WZR6" s="87"/>
      <c r="WZS6" s="87"/>
      <c r="WZT6" s="87"/>
      <c r="WZU6" s="87"/>
      <c r="WZV6" s="87"/>
      <c r="WZW6" s="87"/>
      <c r="WZX6" s="87"/>
      <c r="WZY6" s="87"/>
      <c r="WZZ6" s="87"/>
      <c r="XAA6" s="87"/>
      <c r="XAB6" s="87"/>
      <c r="XAC6" s="87"/>
      <c r="XAD6" s="87"/>
      <c r="XAE6" s="87"/>
      <c r="XAF6" s="87"/>
      <c r="XAG6" s="87"/>
      <c r="XAH6" s="87"/>
      <c r="XAI6" s="87"/>
      <c r="XAJ6" s="87"/>
      <c r="XAK6" s="87"/>
      <c r="XAL6" s="87"/>
      <c r="XAM6" s="87"/>
      <c r="XAN6" s="87"/>
      <c r="XAO6" s="87"/>
      <c r="XAP6" s="87"/>
      <c r="XAQ6" s="87"/>
      <c r="XAR6" s="87"/>
      <c r="XAS6" s="87"/>
      <c r="XAT6" s="87"/>
      <c r="XAU6" s="87"/>
      <c r="XAV6" s="87"/>
      <c r="XAW6" s="87"/>
      <c r="XAX6" s="87"/>
      <c r="XAY6" s="87"/>
      <c r="XAZ6" s="87"/>
      <c r="XBA6" s="87"/>
      <c r="XBB6" s="87"/>
      <c r="XBC6" s="87"/>
      <c r="XBD6" s="87"/>
      <c r="XBE6" s="87"/>
      <c r="XBF6" s="87"/>
      <c r="XBG6" s="87"/>
      <c r="XBH6" s="87"/>
      <c r="XBI6" s="87"/>
      <c r="XBJ6" s="87"/>
      <c r="XBK6" s="87"/>
      <c r="XBL6" s="87"/>
      <c r="XBM6" s="87"/>
      <c r="XBN6" s="87"/>
      <c r="XBO6" s="87"/>
      <c r="XBP6" s="87"/>
      <c r="XBQ6" s="87"/>
      <c r="XBR6" s="87"/>
      <c r="XBS6" s="87"/>
      <c r="XBT6" s="87"/>
      <c r="XBU6" s="87"/>
      <c r="XBV6" s="87"/>
      <c r="XBW6" s="87"/>
      <c r="XBX6" s="87"/>
      <c r="XBY6" s="87"/>
      <c r="XBZ6" s="87"/>
      <c r="XCA6" s="87"/>
      <c r="XCB6" s="87"/>
      <c r="XCC6" s="87"/>
      <c r="XCD6" s="87"/>
      <c r="XCE6" s="87"/>
      <c r="XCF6" s="87"/>
      <c r="XCG6" s="87"/>
      <c r="XCH6" s="87"/>
      <c r="XCI6" s="87"/>
      <c r="XCJ6" s="87"/>
      <c r="XCK6" s="87"/>
      <c r="XCL6" s="87"/>
      <c r="XCM6" s="87"/>
      <c r="XCN6" s="87"/>
      <c r="XCO6" s="87"/>
      <c r="XCP6" s="87"/>
      <c r="XCQ6" s="87"/>
      <c r="XCR6" s="87"/>
      <c r="XCS6" s="87"/>
      <c r="XCT6" s="87"/>
      <c r="XCU6" s="87"/>
      <c r="XCV6" s="87"/>
    </row>
    <row r="7" spans="1:16324" ht="14.5">
      <c r="A7" s="102">
        <v>11</v>
      </c>
      <c r="B7" s="94">
        <v>100</v>
      </c>
      <c r="C7" s="103" t="s">
        <v>999</v>
      </c>
      <c r="D7" s="100" t="s">
        <v>1000</v>
      </c>
      <c r="E7" s="95">
        <v>220</v>
      </c>
      <c r="F7" s="19" t="s">
        <v>890</v>
      </c>
      <c r="G7" s="96">
        <v>0.5</v>
      </c>
      <c r="H7" s="96">
        <f t="shared" si="0"/>
        <v>2.2727272727272729</v>
      </c>
      <c r="I7" s="95">
        <v>1</v>
      </c>
      <c r="J7" s="96">
        <v>1</v>
      </c>
      <c r="K7" s="96">
        <f t="shared" ref="K7:K11" si="27">ROUND(SQRT(1-(J7)^2)/J7,2)</f>
        <v>0</v>
      </c>
      <c r="L7" s="97">
        <f t="shared" ref="L7:L48" si="28">I7*G7</f>
        <v>0.5</v>
      </c>
      <c r="M7" s="97">
        <f t="shared" ref="M7:M48" si="29">I7*G7*K7</f>
        <v>0</v>
      </c>
      <c r="N7" s="97">
        <f t="shared" ref="N7:N48" si="30">1*G7^2</f>
        <v>0.25</v>
      </c>
      <c r="O7" s="97"/>
      <c r="P7" s="97"/>
      <c r="Q7" s="97"/>
      <c r="R7" s="97"/>
      <c r="S7" s="97"/>
      <c r="T7" s="97"/>
      <c r="U7" s="86">
        <f>16*1.2</f>
        <v>19.2</v>
      </c>
      <c r="V7" s="86">
        <f t="shared" ref="V7:V13" si="31">7*H7</f>
        <v>15.90909090909091</v>
      </c>
      <c r="W7" s="116" t="s">
        <v>872</v>
      </c>
      <c r="X7" s="87" t="s">
        <v>300</v>
      </c>
      <c r="Y7" s="87">
        <f t="shared" ref="Y7:Y13" si="32">IF(U7&lt;=6,6,IF(U7&lt;=10,10,IF(U7&lt;=16,16,IF(U7&lt;=20,20,IF(U7&lt;=25,25,IF(U7&lt;=32,32,IF(U7&lt;=40,40,IF(U7&lt;=50,50,IF(U7&lt;=63,63,"др.выкл")))))))))</f>
        <v>20</v>
      </c>
      <c r="Z7" s="87" t="str">
        <f>INDEX(автоматы!$B$3:$D$11,MATCH(Y7,автоматы!$A$3:$A$11,0),MATCH(X7,кол_пол,0))</f>
        <v>EZ9F34120</v>
      </c>
      <c r="AA7" s="87">
        <f t="shared" ref="AA7:AA13" si="33">IF(U7&lt;=0.16,0.16,IF(U7&lt;=0.25,0.25,IF(U7&lt;=0.4,0.4,IF(U7&lt;=0.63,0.63,IF(U7&lt;=1,1,IF(U7&lt;=1.6,1.6,IF(U7&lt;=2.5,2.5,IF(U7&lt;=4,4,IF(U7&lt;=6.3,6.3,IF(U7&lt;=10,10,IF(U7&lt;=14,14,IF(U7&lt;=18,18,IF(U7&lt;=23,23,IF(U7&lt;=25,25,IF(U7&lt;=32,32,"др.авт")))))))))))))))</f>
        <v>23</v>
      </c>
      <c r="AB7" s="87" t="str">
        <f>VLOOKUP(AA7,автоматы!$H$3:$I$17,2,0)</f>
        <v>GZ1 E21</v>
      </c>
      <c r="AC7" s="87">
        <f t="shared" ref="AC7:AC13" si="34">IF(U7&lt;=20,20,IF(U7&lt;=25,25,IF(U7&lt;=32,32,IF(U7&lt;=40,40,IF(U7&lt;=50,50,IF(U7&lt;=63,63,IF(U7&lt;=80,80,IF(U7&lt;=100,100,IF(U7&lt;=125,125,IF(U7&lt;=160,160,IF(U7&lt;=200,200,IF(U7&lt;=250,250,IF(U7&lt;=300,300,IF(U7&lt;=320,320,IF(U7&lt;=400,400,IF(U7&lt;=500,500,IF(U7&lt;=630,630,"др.авт")))))))))))))))))</f>
        <v>20</v>
      </c>
      <c r="AD7" s="87" t="str">
        <f>VLOOKUP(AC7,автоматы!$N$3:$O$19,2,0)</f>
        <v>LZMB1-A20-I</v>
      </c>
      <c r="AE7" s="88">
        <f t="shared" ref="AE7:AE13" si="35">IF(U7&lt;=6,6,IF(U7&lt;=10,10,IF(U7&lt;=16,16,IF(U7&lt;=20,20,IF(U7&lt;=25,25,IF(U7&lt;=32,32,IF(U7&lt;=40,40,IF(U7&lt;=50,50,IF(U7&lt;=63,63,"др.выкл")))))))))</f>
        <v>20</v>
      </c>
      <c r="AF7" s="87" t="str">
        <f>INDEX(автоматы!$T$2:$V$15,MATCH(AE7,автоматы!$S$2:$S$15,0),MATCH(X7,автоматы!$T$1:$V$1,0))</f>
        <v>iC60N C20 1P</v>
      </c>
      <c r="AG7" s="87">
        <f t="shared" ref="AG7:AG13" si="36">IF(U7&lt;=6,6,IF(U7&lt;=10,10,IF(U7&lt;=16,16,IF(U7&lt;=20,20,IF(U7&lt;=25,25,IF(U7&lt;=32,32,IF(U7&lt;=40,40,"др.выкл")))))))</f>
        <v>20</v>
      </c>
      <c r="AH7" s="87" t="str">
        <f>VLOOKUP(AG7,автоматы!$Z$3:$AA$9,2,0)</f>
        <v>A9D31620</v>
      </c>
      <c r="AI7" s="2">
        <f t="shared" ref="AI7:AI13" si="37">IF(U7&lt;=15,15,IF(U7&lt;=16,16,IF(U7&lt;=20,20,IF(U7&lt;=25,25,IF(U7&lt;=32,32,IF(U7&lt;=40,40,IF(U7&lt;=45,45,IF(U7&lt;=50,50,IF(U7&lt;=60,60,IF(U7&lt;=63,63,IF(U7&lt;=75,75,IF(U7&lt;=80,80,IF(U7&lt;=100,100,IF(U7&lt;=125,125,IF(U7&lt;=150,150,IF(U7&lt;=160,160,IF(U7&lt;=175,175,IF(U7&lt;=200,200,IF(U7&lt;=225,225,IF(U7&lt;=250,250,IF(U7&lt;=320,320,IF(U7&lt;=350,350,IF(U7&lt;=400,400,"др.выкл")))))))))))))))))))))))</f>
        <v>20</v>
      </c>
      <c r="AJ7" t="str">
        <f>VLOOKUP(AI7,автоматы!$AE$3:$AF$26,2,0)</f>
        <v>EZC100F3020</v>
      </c>
      <c r="AK7" s="3">
        <f t="shared" ref="AK7:AK13" si="38">IF(U7&lt;=0.16,0.16,IF(U7&lt;=0.25,0.25,IF(U7&lt;=0.4,0.4,IF(U7&lt;=0.63,0.63,IF(U7&lt;=1,1,IF(U7&lt;=1.6,1.6,IF(U7&lt;=2.5,2.5,IF(U7&lt;=4,4,IF(U7&lt;=6.3,6.3,IF(U7&lt;=10,10,IF(U7&lt;=14,14,IF(U7&lt;=18,18,IF(U7&lt;=23,23,IF(U7&lt;=25,25,IF(U7&lt;=32,32,"др.авт")))))))))))))))</f>
        <v>23</v>
      </c>
      <c r="AL7" t="str">
        <f>VLOOKUP(AK7,DEKraft!$I$2:$J$16,2,0)</f>
        <v>21232DEK</v>
      </c>
      <c r="AM7">
        <f t="shared" ref="AM7:AM13" si="39">IF(U7&lt;=0.16,0.16,IF(U7&lt;=0.25,0.25,IF(U7&lt;=0.4,0.4,IF(U7&lt;=0.63,0.63,IF(U7&lt;=1,1,IF(U7&lt;=1.6,1.6,IF(U7&lt;=2.5,2.5,IF(U7&lt;=4,4,IF(U7&lt;=6.3,6.3,IF(U7&lt;=10,10,IF(U7&lt;=14,14,IF(U7&lt;=18,18,IF(U7&lt;=23,23,IF(U7&lt;=25,25,IF(U7&lt;=32,32,"др.авт")))))))))))))))</f>
        <v>23</v>
      </c>
      <c r="AN7" t="str">
        <f>VLOOKUP(AM7,systeme!$A$33:$B$47,2,0)</f>
        <v>GM2ME21</v>
      </c>
      <c r="AO7">
        <f t="shared" ref="AO7:AO13" si="40">IF(U7&lt;=0.16,0.16,IF(U7&lt;=0.25,0.25,IF(U7&lt;=0.4,0.4,IF(U7&lt;=0.63,0.63,IF(U7&lt;=1,1,IF(U7&lt;=1.6,1.6,IF(U7&lt;=2.5,2.5,IF(U7&lt;=4,4,IF(U7&lt;=6.3,6.3,IF(U7&lt;=10,10,IF(U7&lt;=14,14,IF(U7&lt;=18,18,IF(U7&lt;=23,23,IF(U7&lt;=25,25,IF(U7&lt;=32,32,"др.авт")))))))))))))))</f>
        <v>23</v>
      </c>
      <c r="AP7">
        <f>VLOOKUP(AO7,chint!$A$34:$B$48,2,0)</f>
        <v>495084</v>
      </c>
      <c r="AQ7" s="3">
        <f t="shared" ref="AQ7:AQ13" si="41">IF(U7&lt;=6,6,IF(U7&lt;=10,10,IF(U7&lt;=16,16,IF(U7&lt;=20,20,IF(U7&lt;=25,25,IF(U7&lt;=32,32,IF(U7&lt;=40,40,IF(U7&lt;=50,50,IF(U7&lt;=63,63,"др.выкл")))))))))</f>
        <v>20</v>
      </c>
      <c r="AR7" t="str">
        <f>INDEX(DEKraft!$B$2:$D$13,MATCH(AQ7,DEKraft!$A$2:$A$13,0),MATCH(X7,DEKraft!$B$1:$D$1,0))</f>
        <v>13154DEK</v>
      </c>
      <c r="AS7" t="str">
        <f>INDEX(DEKraft!$B$21:$D$32,MATCH(AQ7,DEKraft!$A$21:$A$32,0),MATCH(X7,DEKraft!$B$20:$D$20,0))</f>
        <v>12274DEK</v>
      </c>
      <c r="AT7" t="str">
        <f>INDEX(systeme!$B$2:$D$10,MATCH(AQ7,systeme!$A$2:$A$10,0),MATCH(X7,systeme!$B$1:$D$1,0))</f>
        <v>C9F36120</v>
      </c>
      <c r="AU7">
        <f>INDEX(chint!$B$2:$D$10,MATCH(AQ7,chint!$A$2:$A$10,0),MATCH(X7,chint!$B$1:$D$1,0))</f>
        <v>179618</v>
      </c>
      <c r="AV7" s="3">
        <f t="shared" ref="AV7:AV13" si="42">IF(U7&lt;=6,6,IF(U7&lt;=10,10,IF(U7&lt;=16,16,IF(U7&lt;=20,20,IF(U7&lt;=25,25,IF(U7&lt;=32,32,IF(U7&lt;=40,40,"др.выкл")))))))</f>
        <v>20</v>
      </c>
      <c r="AW7" t="str">
        <f>VLOOKUP(AV7,DEKraft!$A$41:$B$47,2,0)</f>
        <v>16205DEK</v>
      </c>
      <c r="AX7">
        <f t="shared" ref="AX7:AX13" si="43">IF(U7&lt;=10,10,IF(U7&lt;=16,16,IF(U7&lt;=20,20,IF(U7&lt;=25,25,IF(U7&lt;=32,32,IF(U7&lt;=40,40,"др.выкл"))))))</f>
        <v>20</v>
      </c>
      <c r="AY7" t="str">
        <f>VLOOKUP(AX7,systeme!$G$2:$H$7,2,0)</f>
        <v>C9D36620</v>
      </c>
      <c r="AZ7">
        <f t="shared" ref="AZ7:AZ13" si="44">IF(U7&lt;=6,6,IF(U7&lt;=10,10,IF(U7&lt;=16,16,IF(U7&lt;=20,20,IF(U7&lt;=25,25,IF(U7&lt;=32,32,IF(U7&lt;=40,40,"др.выкл")))))))</f>
        <v>20</v>
      </c>
      <c r="BA7">
        <f>VLOOKUP(AV7,chint!$G$2:$H$8,2,0)</f>
        <v>689003</v>
      </c>
      <c r="BB7" s="3">
        <f t="shared" ref="BB7:BB13" si="45">IF(U7&lt;=25,25,IF(U7&lt;=32,32,IF(U7&lt;=40,40,IF(U7&lt;=50,50,IF(U7&lt;=63,63,IF(U7&lt;=80,80,IF(U7&lt;=100,100,IF(U7&lt;=125,125,IF(U7&lt;=140,140,IF(U7&lt;=160,160,IF(U7&lt;=200,200,IF(U7&lt;=250,250,IF(U7&lt;=320,320,IF(U7&lt;=400,400,IF(U7&lt;=500,500,IF(U7&lt;=630,630,"др.выкл"))))))))))))))))</f>
        <v>25</v>
      </c>
      <c r="BC7" t="str">
        <f>VLOOKUP(BB7,DEKraft!$I$21:$J$36,2,0)</f>
        <v>28100DEK</v>
      </c>
      <c r="BD7">
        <f t="shared" ref="BD7:BD13" si="46">IF(U7&lt;=16,16,IF(U7&lt;=25,25,IF(U7&lt;=32,32,IF(U7&lt;=40,40,IF(U7&lt;=50,50,IF(U7&lt;=63,63,IF(U7&lt;=80,80,IF(U7&lt;=100,100,IF(U7&lt;=125,125,IF(U7&lt;=160,160,IF(U7&lt;=200,200,IF(U7&lt;=250,250,IF(U7&lt;=400,400,IF(U7&lt;=500,500,IF(U7&lt;=600,600,"др.авт")))))))))))))))</f>
        <v>25</v>
      </c>
      <c r="BE7" t="str">
        <f>VLOOKUP(BD7,systeme!$A$16:$B$30,2,0)</f>
        <v>SPC100F025L3DF</v>
      </c>
      <c r="BF7">
        <f t="shared" ref="BF7:BF13" si="47">IF(U7&lt;=16,16,IF(U7&lt;=25,25,IF(U7&lt;=32,32,IF(U7&lt;=40,40,IF(U7&lt;=50,50,IF(U7&lt;=63,63,IF(U7&lt;=80,80,IF(U7&lt;=100,100,IF(U7&lt;=125,125,IF(U7&lt;=160,160,IF(U7&lt;=200,200,IF(U7&lt;=225,225,IF(U7&lt;=250,250,IF(U7&lt;=315,315,IF(U7&lt;=350,350,IF(U7&lt;=400,400,IF(U7&lt;=500,500,IF(U7&lt;=630,630,"др.выкл"))))))))))))))))))</f>
        <v>25</v>
      </c>
      <c r="BG7" s="4">
        <f>VLOOKUP(BF7,chint!$A$14:$B$31,2,0)</f>
        <v>271583</v>
      </c>
      <c r="BH7">
        <f t="shared" ref="BH7:BH13" si="48">IF(U7&lt;=6,6,IF(U7&lt;=10,10,IF(U7&lt;=16,16,IF(U7&lt;=20,20,IF(U7&lt;=25,25,IF(U7&lt;=32,32,IF(U7&lt;=40,40,IF(U7&lt;=50,50,IF(U7&lt;=63,63,"др.выкл")))))))))</f>
        <v>20</v>
      </c>
      <c r="BI7" t="str">
        <f>INDEX(КЭАЗ!$B$2:$E$14,MATCH(BH7,КЭАЗ!$A$2:$A$14,0),MATCH(X7,КЭАЗ!$B$1:$D$1,0))</f>
        <v>kea.341882</v>
      </c>
      <c r="BJ7">
        <f t="shared" ref="BJ7:BJ13" si="49">IF(U7&lt;=6,6,IF(U7&lt;=10,10,IF(U7&lt;=16,16,IF(U7&lt;=20,20,IF(U7&lt;=25,25,IF(U7&lt;=32,32,IF(U7&lt;=40,40,IF(U7&lt;=50,50,IF(U7&lt;=63,63,IF(U7&lt;=80,80,IF(U7&lt;=100,100,IF(U7&lt;=125,125,"др.выкл"))))))))))))</f>
        <v>20</v>
      </c>
      <c r="BK7" t="str">
        <f>INDEX(hy!$B$2:$D$18,MATCH(BJ7,hy!$A$2:$A$18,0),MATCH(X7,hy!$B$1:$D$1,0))</f>
        <v>HGD63M 1PMCS0000C 00020</v>
      </c>
      <c r="BL7" t="str">
        <f>VLOOKUP(BJ7,hy!$G$2:$H$15,2,0)</f>
        <v>HRO63M 1NG4С0000C00020G</v>
      </c>
      <c r="BM7">
        <f t="shared" ref="BM7:BM13" si="50">IF(U7&lt;=0.16,0.16,IF(U7&lt;=0.25,0.25,IF(U7&lt;=0.4,0.4,IF(U7&lt;=0.63,0.63,IF(U7&lt;=1,1,IF(U7&lt;=1.6,1.6,IF(U7&lt;=2.5,2.5,IF(U7&lt;=4,4,IF(U7&lt;=6.3,6.3,IF(U7&lt;=10,10,IF(U7&lt;=14,14,IF(U7&lt;=18,18,IF(U7&lt;=23,23,IF(U7&lt;=25,25,IF(U7&lt;=32,32,"др.авт")))))))))))))))</f>
        <v>23</v>
      </c>
      <c r="BN7" t="str">
        <f>VLOOKUP(BM7,hy!$A$41:$B$55,2,0)</f>
        <v>MMS32K 0023</v>
      </c>
      <c r="BO7">
        <f t="shared" ref="BO7:BO13" si="51">IF(U7&lt;=100,100,IF(U7&lt;=125,125,IF(U7&lt;=150,150,IF(U7&lt;=160,160,IF(U7&lt;=175,175,IF(U7&lt;=200,200,IF(U7&lt;=225,225,IF(U7&lt;=250,250,IF(U7&lt;=300,300,IF(U7&lt;=350,350,IF(U7&lt;=400,400,IF(U7&lt;=500,500,IF(U7&lt;=630,630,IF(U7&lt;=700,700,IF(U7&lt;=800,800,"др.выкл")))))))))))))))</f>
        <v>100</v>
      </c>
      <c r="BP7" t="str">
        <f>VLOOKUP(BO7,hy!$A$21:$B$35,2,0)</f>
        <v>HGP100S-G 3PT4S0000C 00100H</v>
      </c>
      <c r="BQ7" s="89">
        <f>IF($W7=автоматы!$D$45,Z7,IF($W7=автоматы!$D$46,AF7,IF($W7=автоматы!$D$47,AH7,IF($W7=автоматы!$D$48,AB7,IF($W7=автоматы!$D$49,AJ7,IF($W7=автоматы!$D$50,AD7,IF($W7=автоматы!$D$51,BI7,IF($W7=автоматы!$D$52,AR7,IF($W7=автоматы!$D$53,AS7,IF($W7=автоматы!$D$54,AW7,IF($W7=автоматы!$D$55,AL7,IF($W7=автоматы!$D$56,BC7,IF($W7=автоматы!$D$57,AT7,IF($W7=автоматы!$D$58,AY7,IF($W7=автоматы!$D$59,AN7,IF($W7=автоматы!$D$60,BE7,IF($W7=автоматы!$D$61,AU7,IF($W7=автоматы!$D$62,BA7,IF($W7=автоматы!$D$63,AP7,IF($W7=автоматы!$D$64,BG7,IF($W7=автоматы!$D$65,BK7,IF($W7=автоматы!$D$66,BL7,IF($W7=автоматы!$D$67,BN7,IF($W7=автоматы!$D$68,BP7,"др"))))))))))))))))))))))))</f>
        <v>179618</v>
      </c>
      <c r="BR7" s="89">
        <f>IF($W7=автоматы!$D$45,Y7,IF($W7=автоматы!$D$46,AE7,IF($W7=автоматы!$D$47,AG7,IF($W7=автоматы!$D$48,AA7,IF($W7=автоматы!$D$49,AI7,IF($W7=автоматы!$D$50,AC7,IF($W7=автоматы!$D$51,BH7,IF($W7=автоматы!$D$52,AQ7,IF($W7=автоматы!$D$53,AQ7,IF($W7=автоматы!$D$54,AV7,IF($W7=автоматы!$D$55,AK7,IF($W7=автоматы!$D$56,BB7,IF($W7=автоматы!$D$57,AQ7,IF($W7=автоматы!$D$58,AX7,IF($W7=автоматы!$D$59,AM7,IF($W7=автоматы!$D$60,BD7,IF($W7=автоматы!$D$61,AQ7,IF($W7=автоматы!$D$62,AZ7,IF($W7=автоматы!$D$63,AO7,IF($W7=автоматы!$D$64,BF7,IF($W7=автоматы!$D$65,BJ7,IF($W7=автоматы!$D$66,BJ7,IF($W7=автоматы!$D$67,BM7,IF($W7=автоматы!$D$68,BO7,"др"))))))))))))))))))))))))</f>
        <v>20</v>
      </c>
      <c r="BS7" s="89" t="str">
        <f>CONCATENATE(IF($W7=автоматы!$A$1,Y7,IF($W7=автоматы!$H$1,VLOOKUP(AA7,автоматы!$H$3:$K$17,3,0),IF($W7=автоматы!$N$1,VLOOKUP(AC7,автоматы!$N$3:$Q$19,3,0),IF($W7=автоматы!$S$17,AE7,IF($W7=автоматы!$Z$1,AG7,IF($W7=автоматы!$AE$1,AI7,"др"))))))," А")</f>
        <v>др А</v>
      </c>
      <c r="BT7" s="89" t="str">
        <f>IF($W7=автоматы!$A$1,Y7*10,IF($W7=автоматы!$H$1,VLOOKUP(AA7,автоматы!$H$3:$K$17,4,0),IF($W7=автоматы!$N$1,VLOOKUP(AC7,автоматы!$N$3:$Q$19,4,0),IF($W7=автоматы!$S$17,AE7*10,IF($W7=автоматы!$Z$1,AG7*10,IF($W7=автоматы!$AE$1,AI7*10,"др"))))))</f>
        <v>др</v>
      </c>
      <c r="BU7" s="85"/>
      <c r="BV7" s="90" t="s">
        <v>147</v>
      </c>
      <c r="BW7" s="90">
        <v>1</v>
      </c>
      <c r="BX7" s="91">
        <v>3</v>
      </c>
      <c r="BY7" s="92">
        <v>2.5</v>
      </c>
      <c r="BZ7" s="91">
        <f>HLOOKUP(BV7,каталог!$CG$1:$CO$22,MATCH(BY7,каталог!$CF$1:$CF$22,0),0)*BW7</f>
        <v>25</v>
      </c>
      <c r="CA7" s="87" t="str">
        <f t="shared" ref="CA7:CA13" si="52">CONCATENATE("н",C7,"")</f>
        <v>нЩУТ</v>
      </c>
      <c r="CB7" s="87" t="str">
        <f t="shared" ref="CB7:CB13" si="53">CONCATENATE(BV7," ",BX7,"x",BY7)</f>
        <v>ВВГнг(А)-LS 3x2,5</v>
      </c>
      <c r="CC7" s="87"/>
      <c r="CD7" s="87"/>
      <c r="CE7" s="87"/>
      <c r="CF7" s="87"/>
      <c r="CG7" s="87"/>
      <c r="CH7" s="87"/>
      <c r="CI7" s="87"/>
      <c r="CJ7" s="87"/>
      <c r="CK7" s="87"/>
      <c r="CL7" s="87"/>
      <c r="CM7" s="87"/>
      <c r="CN7" s="87"/>
      <c r="CO7" s="87"/>
      <c r="CP7" s="87"/>
      <c r="CQ7" s="87"/>
      <c r="CR7" s="87"/>
      <c r="CS7" s="87"/>
      <c r="CT7" s="87"/>
      <c r="CU7" s="87"/>
      <c r="CV7" s="87"/>
      <c r="CW7" s="87"/>
      <c r="CX7" s="87"/>
      <c r="CY7" s="87"/>
      <c r="CZ7" s="87"/>
      <c r="DA7" s="87"/>
      <c r="DB7" s="87"/>
      <c r="DC7" s="87"/>
      <c r="DD7" s="87"/>
      <c r="DE7" s="87"/>
      <c r="DF7" s="87"/>
      <c r="DG7" s="87"/>
      <c r="DH7" s="87"/>
      <c r="DI7" s="87"/>
      <c r="DJ7" s="87"/>
      <c r="DK7" s="87"/>
      <c r="DL7" s="87"/>
      <c r="DM7" s="87"/>
      <c r="DN7" s="87"/>
      <c r="DO7" s="87"/>
      <c r="DP7" s="87"/>
      <c r="DQ7" s="87"/>
      <c r="DR7" s="87"/>
      <c r="DS7" s="87"/>
      <c r="DT7" s="87"/>
      <c r="DU7" s="87"/>
      <c r="DV7" s="87"/>
      <c r="DW7" s="87"/>
      <c r="DX7" s="87"/>
      <c r="DY7" s="87"/>
      <c r="DZ7" s="87"/>
      <c r="EA7" s="87"/>
      <c r="EB7" s="87"/>
      <c r="EC7" s="87"/>
      <c r="ED7" s="87"/>
      <c r="EE7" s="87"/>
      <c r="EF7" s="87"/>
      <c r="EG7" s="87"/>
      <c r="EH7" s="87"/>
      <c r="EI7" s="87"/>
      <c r="EJ7" s="87"/>
      <c r="EK7" s="87"/>
      <c r="EL7" s="87"/>
      <c r="EM7" s="87"/>
      <c r="EN7" s="87"/>
      <c r="EO7" s="87"/>
      <c r="EP7" s="87"/>
      <c r="EQ7" s="87"/>
      <c r="ER7" s="87"/>
      <c r="ES7" s="87"/>
      <c r="ET7" s="87"/>
      <c r="EU7" s="87"/>
      <c r="EV7" s="87"/>
      <c r="EW7" s="87"/>
      <c r="EX7" s="87"/>
      <c r="EY7" s="87"/>
      <c r="EZ7" s="87"/>
      <c r="FA7" s="87"/>
      <c r="FB7" s="87"/>
      <c r="FC7" s="87"/>
      <c r="FD7" s="87"/>
      <c r="FE7" s="87"/>
      <c r="FF7" s="87"/>
      <c r="FG7" s="87"/>
      <c r="FH7" s="87"/>
      <c r="FI7" s="87"/>
      <c r="FJ7" s="87"/>
      <c r="FK7" s="87"/>
      <c r="FL7" s="87"/>
      <c r="FM7" s="87"/>
      <c r="FN7" s="87"/>
      <c r="FO7" s="87"/>
      <c r="FP7" s="87"/>
      <c r="FQ7" s="87"/>
      <c r="FR7" s="87"/>
      <c r="FS7" s="87"/>
      <c r="FT7" s="87"/>
      <c r="FU7" s="87"/>
      <c r="FV7" s="87"/>
      <c r="FW7" s="87"/>
      <c r="FX7" s="87"/>
      <c r="FY7" s="87"/>
      <c r="FZ7" s="87"/>
      <c r="GA7" s="87"/>
      <c r="GB7" s="87"/>
      <c r="GC7" s="87"/>
      <c r="GD7" s="87"/>
      <c r="GE7" s="87"/>
      <c r="GF7" s="87"/>
      <c r="GG7" s="87"/>
      <c r="GH7" s="87"/>
      <c r="GI7" s="87"/>
      <c r="GJ7" s="87"/>
      <c r="GK7" s="87"/>
      <c r="GL7" s="87"/>
      <c r="GM7" s="87"/>
      <c r="GN7" s="87"/>
      <c r="GO7" s="87"/>
      <c r="GP7" s="87"/>
      <c r="GQ7" s="87"/>
      <c r="GR7" s="87"/>
      <c r="GS7" s="87"/>
      <c r="GT7" s="87"/>
      <c r="GU7" s="87"/>
      <c r="GV7" s="87"/>
      <c r="GW7" s="87"/>
      <c r="GX7" s="87"/>
      <c r="GY7" s="87"/>
      <c r="GZ7" s="87"/>
      <c r="HA7" s="87"/>
      <c r="HB7" s="87"/>
      <c r="HC7" s="87"/>
      <c r="HD7" s="87"/>
      <c r="HE7" s="87"/>
      <c r="HF7" s="87"/>
      <c r="HG7" s="87"/>
      <c r="HH7" s="87"/>
      <c r="HI7" s="87"/>
      <c r="HJ7" s="87"/>
      <c r="HK7" s="87"/>
      <c r="HL7" s="87"/>
      <c r="HM7" s="87"/>
      <c r="HN7" s="87"/>
      <c r="HO7" s="87"/>
      <c r="HP7" s="87"/>
      <c r="HQ7" s="87"/>
      <c r="HR7" s="87"/>
      <c r="HS7" s="87"/>
      <c r="HT7" s="87"/>
      <c r="HU7" s="87"/>
      <c r="HV7" s="87"/>
      <c r="HW7" s="87"/>
      <c r="HX7" s="87"/>
      <c r="HY7" s="87"/>
      <c r="HZ7" s="87"/>
      <c r="IA7" s="87"/>
      <c r="IB7" s="87"/>
      <c r="IC7" s="87"/>
      <c r="ID7" s="87"/>
      <c r="IE7" s="87"/>
      <c r="IF7" s="87"/>
      <c r="IG7" s="87"/>
      <c r="IH7" s="87"/>
      <c r="II7" s="87"/>
      <c r="IJ7" s="87"/>
      <c r="IK7" s="87"/>
      <c r="IL7" s="87"/>
      <c r="IM7" s="87"/>
      <c r="IN7" s="87"/>
      <c r="IO7" s="87"/>
      <c r="IP7" s="87"/>
      <c r="IQ7" s="87"/>
      <c r="IR7" s="87"/>
      <c r="IS7" s="87"/>
      <c r="IT7" s="87"/>
      <c r="IU7" s="87"/>
      <c r="IV7" s="87"/>
      <c r="IW7" s="87"/>
      <c r="IX7" s="87"/>
      <c r="IY7" s="87"/>
      <c r="IZ7" s="87"/>
      <c r="JA7" s="87"/>
      <c r="JB7" s="87"/>
      <c r="JC7" s="87"/>
      <c r="JD7" s="87"/>
      <c r="JE7" s="87"/>
      <c r="JF7" s="87"/>
      <c r="JG7" s="87"/>
      <c r="JH7" s="87"/>
      <c r="JI7" s="87"/>
      <c r="JJ7" s="87"/>
      <c r="JK7" s="87"/>
      <c r="JL7" s="87"/>
      <c r="JM7" s="87"/>
      <c r="JN7" s="87"/>
      <c r="JO7" s="87"/>
      <c r="JP7" s="87"/>
      <c r="JQ7" s="87"/>
      <c r="JR7" s="87"/>
      <c r="JS7" s="87"/>
      <c r="JT7" s="87"/>
      <c r="JU7" s="87"/>
      <c r="JV7" s="87"/>
      <c r="JW7" s="87"/>
      <c r="JX7" s="87"/>
      <c r="JY7" s="87"/>
      <c r="JZ7" s="87"/>
      <c r="KA7" s="87"/>
      <c r="KB7" s="87"/>
      <c r="KC7" s="87"/>
      <c r="KD7" s="87"/>
      <c r="KE7" s="87"/>
      <c r="KF7" s="87"/>
      <c r="KG7" s="87"/>
      <c r="KH7" s="87"/>
      <c r="KI7" s="87"/>
      <c r="KJ7" s="87"/>
      <c r="KK7" s="87"/>
      <c r="KL7" s="87"/>
      <c r="KM7" s="87"/>
      <c r="KN7" s="87"/>
      <c r="KO7" s="87"/>
      <c r="KP7" s="87"/>
      <c r="KQ7" s="87"/>
      <c r="KR7" s="87"/>
      <c r="KS7" s="87"/>
      <c r="KT7" s="87"/>
      <c r="KU7" s="87"/>
      <c r="KV7" s="87"/>
      <c r="KW7" s="87"/>
      <c r="KX7" s="87"/>
      <c r="KY7" s="87"/>
      <c r="KZ7" s="87"/>
      <c r="LA7" s="87"/>
      <c r="LB7" s="87"/>
      <c r="LC7" s="87"/>
      <c r="LD7" s="87"/>
      <c r="LE7" s="87"/>
      <c r="LF7" s="87"/>
      <c r="LG7" s="87"/>
      <c r="LH7" s="87"/>
      <c r="LI7" s="87"/>
      <c r="LJ7" s="87"/>
      <c r="LK7" s="87"/>
      <c r="LL7" s="87"/>
      <c r="LM7" s="87"/>
      <c r="LN7" s="87"/>
      <c r="LO7" s="87"/>
      <c r="LP7" s="87"/>
      <c r="LQ7" s="87"/>
      <c r="LR7" s="87"/>
      <c r="LS7" s="87"/>
      <c r="LT7" s="87"/>
      <c r="LU7" s="87"/>
      <c r="LV7" s="87"/>
      <c r="LW7" s="87"/>
      <c r="LX7" s="87"/>
      <c r="LY7" s="87"/>
      <c r="LZ7" s="87"/>
      <c r="MA7" s="87"/>
      <c r="MB7" s="87"/>
      <c r="MC7" s="87"/>
      <c r="MD7" s="87"/>
      <c r="ME7" s="87"/>
      <c r="MF7" s="87"/>
      <c r="MG7" s="87"/>
      <c r="MH7" s="87"/>
      <c r="MI7" s="87"/>
      <c r="MJ7" s="87"/>
      <c r="MK7" s="87"/>
      <c r="ML7" s="87"/>
      <c r="MM7" s="87"/>
      <c r="MN7" s="87"/>
      <c r="MO7" s="87"/>
      <c r="MP7" s="87"/>
      <c r="MQ7" s="87"/>
      <c r="MR7" s="87"/>
      <c r="MS7" s="87"/>
      <c r="MT7" s="87"/>
      <c r="MU7" s="87"/>
      <c r="MV7" s="87"/>
      <c r="MW7" s="87"/>
      <c r="MX7" s="87"/>
      <c r="MY7" s="87"/>
      <c r="MZ7" s="87"/>
      <c r="NA7" s="87"/>
      <c r="NB7" s="87"/>
      <c r="NC7" s="87"/>
      <c r="ND7" s="87"/>
      <c r="NE7" s="87"/>
      <c r="NF7" s="87"/>
      <c r="NG7" s="87"/>
      <c r="NH7" s="87"/>
      <c r="NI7" s="87"/>
      <c r="NJ7" s="87"/>
      <c r="NK7" s="87"/>
      <c r="NL7" s="87"/>
      <c r="NM7" s="87"/>
      <c r="NN7" s="87"/>
      <c r="NO7" s="87"/>
      <c r="NP7" s="87"/>
      <c r="NQ7" s="87"/>
      <c r="NR7" s="87"/>
      <c r="NS7" s="87"/>
      <c r="NT7" s="87"/>
      <c r="NU7" s="87"/>
      <c r="NV7" s="87"/>
      <c r="NW7" s="87"/>
      <c r="NX7" s="87"/>
      <c r="NY7" s="87"/>
      <c r="NZ7" s="87"/>
      <c r="OA7" s="87"/>
      <c r="OB7" s="87"/>
      <c r="OC7" s="87"/>
      <c r="OD7" s="87"/>
      <c r="OE7" s="87"/>
      <c r="OF7" s="87"/>
      <c r="OG7" s="87"/>
      <c r="OH7" s="87"/>
      <c r="OI7" s="87"/>
      <c r="OJ7" s="87"/>
      <c r="OK7" s="87"/>
      <c r="OL7" s="87"/>
      <c r="OM7" s="87"/>
      <c r="ON7" s="87"/>
      <c r="OO7" s="87"/>
      <c r="OP7" s="87"/>
      <c r="OQ7" s="87"/>
      <c r="OR7" s="87"/>
      <c r="OS7" s="87"/>
      <c r="OT7" s="87"/>
      <c r="OU7" s="87"/>
      <c r="OV7" s="87"/>
      <c r="OW7" s="87"/>
      <c r="OX7" s="87"/>
      <c r="OY7" s="87"/>
      <c r="OZ7" s="87"/>
      <c r="PA7" s="87"/>
      <c r="PB7" s="87"/>
      <c r="PC7" s="87"/>
      <c r="PD7" s="87"/>
      <c r="PE7" s="87"/>
      <c r="PF7" s="87"/>
      <c r="PG7" s="87"/>
      <c r="PH7" s="87"/>
      <c r="PI7" s="87"/>
      <c r="PJ7" s="87"/>
      <c r="PK7" s="87"/>
      <c r="PL7" s="87"/>
      <c r="PM7" s="87"/>
      <c r="PN7" s="87"/>
      <c r="PO7" s="87"/>
      <c r="PP7" s="87"/>
      <c r="PQ7" s="87"/>
      <c r="PR7" s="87"/>
      <c r="PS7" s="87"/>
      <c r="PT7" s="87"/>
      <c r="PU7" s="87"/>
      <c r="PV7" s="87"/>
      <c r="PW7" s="87"/>
      <c r="PX7" s="87"/>
      <c r="PY7" s="87"/>
      <c r="PZ7" s="87"/>
      <c r="QA7" s="87"/>
      <c r="QB7" s="87"/>
      <c r="QC7" s="87"/>
      <c r="QD7" s="87"/>
      <c r="QE7" s="87"/>
      <c r="QF7" s="87"/>
      <c r="QG7" s="87"/>
      <c r="QH7" s="87"/>
      <c r="QI7" s="87"/>
      <c r="QJ7" s="87"/>
      <c r="QK7" s="87"/>
      <c r="QL7" s="87"/>
      <c r="QM7" s="87"/>
      <c r="QN7" s="87"/>
      <c r="QO7" s="87"/>
      <c r="QP7" s="87"/>
      <c r="QQ7" s="87"/>
      <c r="QR7" s="87"/>
      <c r="QS7" s="87"/>
      <c r="QT7" s="87"/>
      <c r="QU7" s="87"/>
      <c r="QV7" s="87"/>
      <c r="QW7" s="87"/>
      <c r="QX7" s="87"/>
      <c r="QY7" s="87"/>
      <c r="QZ7" s="87"/>
      <c r="RA7" s="87"/>
      <c r="RB7" s="87"/>
      <c r="RC7" s="87"/>
      <c r="RD7" s="87"/>
      <c r="RE7" s="87"/>
      <c r="RF7" s="87"/>
      <c r="RG7" s="87"/>
      <c r="RH7" s="87"/>
      <c r="RI7" s="87"/>
      <c r="RJ7" s="87"/>
      <c r="RK7" s="87"/>
      <c r="RL7" s="87"/>
      <c r="RM7" s="87"/>
      <c r="RN7" s="87"/>
      <c r="RO7" s="87"/>
      <c r="RP7" s="87"/>
      <c r="RQ7" s="87"/>
      <c r="RR7" s="87"/>
      <c r="RS7" s="87"/>
      <c r="RT7" s="87"/>
      <c r="RU7" s="87"/>
      <c r="RV7" s="87"/>
      <c r="RW7" s="87"/>
      <c r="RX7" s="87"/>
      <c r="RY7" s="87"/>
      <c r="RZ7" s="87"/>
      <c r="SA7" s="87"/>
      <c r="SB7" s="87"/>
      <c r="SC7" s="87"/>
      <c r="SD7" s="87"/>
      <c r="SE7" s="87"/>
      <c r="SF7" s="87"/>
      <c r="SG7" s="87"/>
      <c r="SH7" s="87"/>
      <c r="SI7" s="87"/>
      <c r="SJ7" s="87"/>
      <c r="SK7" s="87"/>
      <c r="SL7" s="87"/>
      <c r="SM7" s="87"/>
      <c r="SN7" s="87"/>
      <c r="SO7" s="87"/>
      <c r="SP7" s="87"/>
      <c r="SQ7" s="87"/>
      <c r="SR7" s="87"/>
      <c r="SS7" s="87"/>
      <c r="ST7" s="87"/>
      <c r="SU7" s="87"/>
      <c r="SV7" s="87"/>
      <c r="SW7" s="87"/>
      <c r="SX7" s="87"/>
      <c r="SY7" s="87"/>
      <c r="SZ7" s="87"/>
      <c r="TA7" s="87"/>
      <c r="TB7" s="87"/>
      <c r="TC7" s="87"/>
      <c r="TD7" s="87"/>
      <c r="TE7" s="87"/>
      <c r="TF7" s="87"/>
      <c r="TG7" s="87"/>
      <c r="TH7" s="87"/>
      <c r="TI7" s="87"/>
      <c r="TJ7" s="87"/>
      <c r="TK7" s="87"/>
      <c r="TL7" s="87"/>
      <c r="TM7" s="87"/>
      <c r="TN7" s="87"/>
      <c r="TO7" s="87"/>
      <c r="TP7" s="87"/>
      <c r="TQ7" s="87"/>
      <c r="TR7" s="87"/>
      <c r="TS7" s="87"/>
      <c r="TT7" s="87"/>
      <c r="TU7" s="87"/>
      <c r="TV7" s="87"/>
      <c r="TW7" s="87"/>
      <c r="TX7" s="87"/>
      <c r="TY7" s="87"/>
      <c r="TZ7" s="87"/>
      <c r="UA7" s="87"/>
      <c r="UB7" s="87"/>
      <c r="UC7" s="87"/>
      <c r="UD7" s="87"/>
      <c r="UE7" s="87"/>
      <c r="UF7" s="87"/>
      <c r="UG7" s="87"/>
      <c r="UH7" s="87"/>
      <c r="UI7" s="87"/>
      <c r="UJ7" s="87"/>
      <c r="UK7" s="87"/>
      <c r="UL7" s="87"/>
      <c r="UM7" s="87"/>
      <c r="UN7" s="87"/>
      <c r="UO7" s="87"/>
      <c r="UP7" s="87"/>
      <c r="UQ7" s="87"/>
      <c r="UR7" s="87"/>
      <c r="US7" s="87"/>
      <c r="UT7" s="87"/>
      <c r="UU7" s="87"/>
      <c r="UV7" s="87"/>
      <c r="UW7" s="87"/>
      <c r="UX7" s="87"/>
      <c r="UY7" s="87"/>
      <c r="UZ7" s="87"/>
      <c r="VA7" s="87"/>
      <c r="VB7" s="87"/>
      <c r="VC7" s="87"/>
      <c r="VD7" s="87"/>
      <c r="VE7" s="87"/>
      <c r="VF7" s="87"/>
      <c r="VG7" s="87"/>
      <c r="VH7" s="87"/>
      <c r="VI7" s="87"/>
      <c r="VJ7" s="87"/>
      <c r="VK7" s="87"/>
      <c r="VL7" s="87"/>
      <c r="VM7" s="87"/>
      <c r="VN7" s="87"/>
      <c r="VO7" s="87"/>
      <c r="VP7" s="87"/>
      <c r="VQ7" s="87"/>
      <c r="VR7" s="87"/>
      <c r="VS7" s="87"/>
      <c r="VT7" s="87"/>
      <c r="VU7" s="87"/>
      <c r="VV7" s="87"/>
      <c r="VW7" s="87"/>
      <c r="VX7" s="87"/>
      <c r="VY7" s="87"/>
      <c r="VZ7" s="87"/>
      <c r="WA7" s="87"/>
      <c r="WB7" s="87"/>
      <c r="WC7" s="87"/>
      <c r="WD7" s="87"/>
      <c r="WE7" s="87"/>
      <c r="WF7" s="87"/>
      <c r="WG7" s="87"/>
      <c r="WH7" s="87"/>
      <c r="WI7" s="87"/>
      <c r="WJ7" s="87"/>
      <c r="WK7" s="87"/>
      <c r="WL7" s="87"/>
      <c r="WM7" s="87"/>
      <c r="WN7" s="87"/>
      <c r="WO7" s="87"/>
      <c r="WP7" s="87"/>
      <c r="WQ7" s="87"/>
      <c r="WR7" s="87"/>
      <c r="WS7" s="87"/>
      <c r="WT7" s="87"/>
      <c r="WU7" s="87"/>
      <c r="WV7" s="87"/>
      <c r="WW7" s="87"/>
      <c r="WX7" s="87"/>
      <c r="WY7" s="87"/>
      <c r="WZ7" s="87"/>
      <c r="XA7" s="87"/>
      <c r="XB7" s="87"/>
      <c r="XC7" s="87"/>
      <c r="XD7" s="87"/>
      <c r="XE7" s="87"/>
      <c r="XF7" s="87"/>
      <c r="XG7" s="87"/>
      <c r="XH7" s="87"/>
      <c r="XI7" s="87"/>
      <c r="XJ7" s="87"/>
      <c r="XK7" s="87"/>
      <c r="XL7" s="87"/>
      <c r="XM7" s="87"/>
      <c r="XN7" s="87"/>
      <c r="XO7" s="87"/>
      <c r="XP7" s="87"/>
      <c r="XQ7" s="87"/>
      <c r="XR7" s="87"/>
      <c r="XS7" s="87"/>
      <c r="XT7" s="87"/>
      <c r="XU7" s="87"/>
      <c r="XV7" s="87"/>
      <c r="XW7" s="87"/>
      <c r="XX7" s="87"/>
      <c r="XY7" s="87"/>
      <c r="XZ7" s="87"/>
      <c r="YA7" s="87"/>
      <c r="YB7" s="87"/>
      <c r="YC7" s="87"/>
      <c r="YD7" s="87"/>
      <c r="YE7" s="87"/>
      <c r="YF7" s="87"/>
      <c r="YG7" s="87"/>
      <c r="YH7" s="87"/>
      <c r="YI7" s="87"/>
      <c r="YJ7" s="87"/>
      <c r="YK7" s="87"/>
      <c r="YL7" s="87"/>
      <c r="YM7" s="87"/>
      <c r="YN7" s="87"/>
      <c r="YO7" s="87"/>
      <c r="YP7" s="87"/>
      <c r="YQ7" s="87"/>
      <c r="YR7" s="87"/>
      <c r="YS7" s="87"/>
      <c r="YT7" s="87"/>
      <c r="YU7" s="87"/>
      <c r="YV7" s="87"/>
      <c r="YW7" s="87"/>
      <c r="YX7" s="87"/>
      <c r="YY7" s="87"/>
      <c r="YZ7" s="87"/>
      <c r="ZA7" s="87"/>
      <c r="ZB7" s="87"/>
      <c r="ZC7" s="87"/>
      <c r="ZD7" s="87"/>
      <c r="ZE7" s="87"/>
      <c r="ZF7" s="87"/>
      <c r="ZG7" s="87"/>
      <c r="ZH7" s="87"/>
      <c r="ZI7" s="87"/>
      <c r="ZJ7" s="87"/>
      <c r="ZK7" s="87"/>
      <c r="ZL7" s="87"/>
      <c r="ZM7" s="87"/>
      <c r="ZN7" s="87"/>
      <c r="ZO7" s="87"/>
      <c r="ZP7" s="87"/>
      <c r="ZQ7" s="87"/>
      <c r="ZR7" s="87"/>
      <c r="ZS7" s="87"/>
      <c r="ZT7" s="87"/>
      <c r="ZU7" s="87"/>
      <c r="ZV7" s="87"/>
      <c r="ZW7" s="87"/>
      <c r="ZX7" s="87"/>
      <c r="ZY7" s="87"/>
      <c r="ZZ7" s="87"/>
      <c r="AAA7" s="87"/>
      <c r="AAB7" s="87"/>
      <c r="AAC7" s="87"/>
      <c r="AAD7" s="87"/>
      <c r="AAE7" s="87"/>
      <c r="AAF7" s="87"/>
      <c r="AAG7" s="87"/>
      <c r="AAH7" s="87"/>
      <c r="AAI7" s="87"/>
      <c r="AAJ7" s="87"/>
      <c r="AAK7" s="87"/>
      <c r="AAL7" s="87"/>
      <c r="AAM7" s="87"/>
      <c r="AAN7" s="87"/>
      <c r="AAO7" s="87"/>
      <c r="AAP7" s="87"/>
      <c r="AAQ7" s="87"/>
      <c r="AAR7" s="87"/>
      <c r="AAS7" s="87"/>
      <c r="AAT7" s="87"/>
      <c r="AAU7" s="87"/>
      <c r="AAV7" s="87"/>
      <c r="AAW7" s="87"/>
      <c r="AAX7" s="87"/>
      <c r="AAY7" s="87"/>
      <c r="AAZ7" s="87"/>
      <c r="ABA7" s="87"/>
      <c r="ABB7" s="87"/>
      <c r="ABC7" s="87"/>
      <c r="ABD7" s="87"/>
      <c r="ABE7" s="87"/>
      <c r="ABF7" s="87"/>
      <c r="ABG7" s="87"/>
      <c r="ABH7" s="87"/>
      <c r="ABI7" s="87"/>
      <c r="ABJ7" s="87"/>
      <c r="ABK7" s="87"/>
      <c r="ABL7" s="87"/>
      <c r="ABM7" s="87"/>
      <c r="ABN7" s="87"/>
      <c r="ABO7" s="87"/>
      <c r="ABP7" s="87"/>
      <c r="ABQ7" s="87"/>
      <c r="ABR7" s="87"/>
      <c r="ABS7" s="87"/>
      <c r="ABT7" s="87"/>
      <c r="ABU7" s="87"/>
      <c r="ABV7" s="87"/>
      <c r="ABW7" s="87"/>
      <c r="ABX7" s="87"/>
      <c r="ABY7" s="87"/>
      <c r="ABZ7" s="87"/>
      <c r="ACA7" s="87"/>
      <c r="ACB7" s="87"/>
      <c r="ACC7" s="87"/>
      <c r="ACD7" s="87"/>
      <c r="ACE7" s="87"/>
      <c r="ACF7" s="87"/>
      <c r="ACG7" s="87"/>
      <c r="ACH7" s="87"/>
      <c r="ACI7" s="87"/>
      <c r="ACJ7" s="87"/>
      <c r="ACK7" s="87"/>
      <c r="ACL7" s="87"/>
      <c r="ACM7" s="87"/>
      <c r="ACN7" s="87"/>
      <c r="ACO7" s="87"/>
      <c r="ACP7" s="87"/>
      <c r="ACQ7" s="87"/>
      <c r="ACR7" s="87"/>
      <c r="ACS7" s="87"/>
      <c r="ACT7" s="87"/>
      <c r="ACU7" s="87"/>
      <c r="ACV7" s="87"/>
      <c r="ACW7" s="87"/>
      <c r="ACX7" s="87"/>
      <c r="ACY7" s="87"/>
      <c r="ACZ7" s="87"/>
      <c r="ADA7" s="87"/>
      <c r="ADB7" s="87"/>
      <c r="ADC7" s="87"/>
      <c r="ADD7" s="87"/>
      <c r="ADE7" s="87"/>
      <c r="ADF7" s="87"/>
      <c r="ADG7" s="87"/>
      <c r="ADH7" s="87"/>
      <c r="ADI7" s="87"/>
      <c r="ADJ7" s="87"/>
      <c r="ADK7" s="87"/>
      <c r="ADL7" s="87"/>
      <c r="ADM7" s="87"/>
      <c r="ADN7" s="87"/>
      <c r="ADO7" s="87"/>
      <c r="ADP7" s="87"/>
      <c r="ADQ7" s="87"/>
      <c r="ADR7" s="87"/>
      <c r="ADS7" s="87"/>
      <c r="ADT7" s="87"/>
      <c r="ADU7" s="87"/>
      <c r="ADV7" s="87"/>
      <c r="ADW7" s="87"/>
      <c r="ADX7" s="87"/>
      <c r="ADY7" s="87"/>
      <c r="ADZ7" s="87"/>
      <c r="AEA7" s="87"/>
      <c r="AEB7" s="87"/>
      <c r="AEC7" s="87"/>
      <c r="AED7" s="87"/>
      <c r="AEE7" s="87"/>
      <c r="AEF7" s="87"/>
      <c r="AEG7" s="87"/>
      <c r="AEH7" s="87"/>
      <c r="AEI7" s="87"/>
      <c r="AEJ7" s="87"/>
      <c r="AEK7" s="87"/>
      <c r="AEL7" s="87"/>
      <c r="AEM7" s="87"/>
      <c r="AEN7" s="87"/>
      <c r="AEO7" s="87"/>
      <c r="AEP7" s="87"/>
      <c r="AEQ7" s="87"/>
      <c r="AER7" s="87"/>
      <c r="AES7" s="87"/>
      <c r="AET7" s="87"/>
      <c r="AEU7" s="87"/>
      <c r="AEV7" s="87"/>
      <c r="AEW7" s="87"/>
      <c r="AEX7" s="87"/>
      <c r="AEY7" s="87"/>
      <c r="AEZ7" s="87"/>
      <c r="AFA7" s="87"/>
      <c r="AFB7" s="87"/>
      <c r="AFC7" s="87"/>
      <c r="AFD7" s="87"/>
      <c r="AFE7" s="87"/>
      <c r="AFF7" s="87"/>
      <c r="AFG7" s="87"/>
      <c r="AFH7" s="87"/>
      <c r="AFI7" s="87"/>
      <c r="AFJ7" s="87"/>
      <c r="AFK7" s="87"/>
      <c r="AFL7" s="87"/>
      <c r="AFM7" s="87"/>
      <c r="AFN7" s="87"/>
      <c r="AFO7" s="87"/>
      <c r="AFP7" s="87"/>
      <c r="AFQ7" s="87"/>
      <c r="AFR7" s="87"/>
      <c r="AFS7" s="87"/>
      <c r="AFT7" s="87"/>
      <c r="AFU7" s="87"/>
      <c r="AFV7" s="87"/>
      <c r="AFW7" s="87"/>
      <c r="AFX7" s="87"/>
      <c r="AFY7" s="87"/>
      <c r="AFZ7" s="87"/>
      <c r="AGA7" s="87"/>
      <c r="AGB7" s="87"/>
      <c r="AGC7" s="87"/>
      <c r="AGD7" s="87"/>
      <c r="AGE7" s="87"/>
      <c r="AGF7" s="87"/>
      <c r="AGG7" s="87"/>
      <c r="AGH7" s="87"/>
      <c r="AGI7" s="87"/>
      <c r="AGJ7" s="87"/>
      <c r="AGK7" s="87"/>
      <c r="AGL7" s="87"/>
      <c r="AGM7" s="87"/>
      <c r="AGN7" s="87"/>
      <c r="AGO7" s="87"/>
      <c r="AGP7" s="87"/>
      <c r="AGQ7" s="87"/>
      <c r="AGR7" s="87"/>
      <c r="AGS7" s="87"/>
      <c r="AGT7" s="87"/>
      <c r="AGU7" s="87"/>
      <c r="AGV7" s="87"/>
      <c r="AGW7" s="87"/>
      <c r="AGX7" s="87"/>
      <c r="AGY7" s="87"/>
      <c r="AGZ7" s="87"/>
      <c r="AHA7" s="87"/>
      <c r="AHB7" s="87"/>
      <c r="AHC7" s="87"/>
      <c r="AHD7" s="87"/>
      <c r="AHE7" s="87"/>
      <c r="AHF7" s="87"/>
      <c r="AHG7" s="87"/>
      <c r="AHH7" s="87"/>
      <c r="AHI7" s="87"/>
      <c r="AHJ7" s="87"/>
      <c r="AHK7" s="87"/>
      <c r="AHL7" s="87"/>
      <c r="AHM7" s="87"/>
      <c r="AHN7" s="87"/>
      <c r="AHO7" s="87"/>
      <c r="AHP7" s="87"/>
      <c r="AHQ7" s="87"/>
      <c r="AHR7" s="87"/>
      <c r="AHS7" s="87"/>
      <c r="AHT7" s="87"/>
      <c r="AHU7" s="87"/>
      <c r="AHV7" s="87"/>
      <c r="AHW7" s="87"/>
      <c r="AHX7" s="87"/>
      <c r="AHY7" s="87"/>
      <c r="AHZ7" s="87"/>
      <c r="AIA7" s="87"/>
      <c r="AIB7" s="87"/>
      <c r="AIC7" s="87"/>
      <c r="AID7" s="87"/>
      <c r="AIE7" s="87"/>
      <c r="AIF7" s="87"/>
      <c r="AIG7" s="87"/>
      <c r="AIH7" s="87"/>
      <c r="AII7" s="87"/>
      <c r="AIJ7" s="87"/>
      <c r="AIK7" s="87"/>
      <c r="AIL7" s="87"/>
      <c r="AIM7" s="87"/>
      <c r="AIN7" s="87"/>
      <c r="AIO7" s="87"/>
      <c r="AIP7" s="87"/>
      <c r="AIQ7" s="87"/>
      <c r="AIR7" s="87"/>
      <c r="AIS7" s="87"/>
      <c r="AIT7" s="87"/>
      <c r="AIU7" s="87"/>
      <c r="AIV7" s="87"/>
      <c r="AIW7" s="87"/>
      <c r="AIX7" s="87"/>
      <c r="AIY7" s="87"/>
      <c r="AIZ7" s="87"/>
      <c r="AJA7" s="87"/>
      <c r="AJB7" s="87"/>
      <c r="AJC7" s="87"/>
      <c r="AJD7" s="87"/>
      <c r="AJE7" s="87"/>
      <c r="AJF7" s="87"/>
      <c r="AJG7" s="87"/>
      <c r="AJH7" s="87"/>
      <c r="AJI7" s="87"/>
      <c r="AJJ7" s="87"/>
      <c r="AJK7" s="87"/>
      <c r="AJL7" s="87"/>
      <c r="AJM7" s="87"/>
      <c r="AJN7" s="87"/>
      <c r="AJO7" s="87"/>
      <c r="AJP7" s="87"/>
      <c r="AJQ7" s="87"/>
      <c r="AJR7" s="87"/>
      <c r="AJS7" s="87"/>
      <c r="AJT7" s="87"/>
      <c r="AJU7" s="87"/>
      <c r="AJV7" s="87"/>
      <c r="AJW7" s="87"/>
      <c r="AJX7" s="87"/>
      <c r="AJY7" s="87"/>
      <c r="AJZ7" s="87"/>
      <c r="AKA7" s="87"/>
      <c r="AKB7" s="87"/>
      <c r="AKC7" s="87"/>
      <c r="AKD7" s="87"/>
      <c r="AKE7" s="87"/>
      <c r="AKF7" s="87"/>
      <c r="AKG7" s="87"/>
      <c r="AKH7" s="87"/>
      <c r="AKI7" s="87"/>
      <c r="AKJ7" s="87"/>
      <c r="AKK7" s="87"/>
      <c r="AKL7" s="87"/>
      <c r="AKM7" s="87"/>
      <c r="AKN7" s="87"/>
      <c r="AKO7" s="87"/>
      <c r="AKP7" s="87"/>
      <c r="AKQ7" s="87"/>
      <c r="AKR7" s="87"/>
      <c r="AKS7" s="87"/>
      <c r="AKT7" s="87"/>
      <c r="AKU7" s="87"/>
      <c r="AKV7" s="87"/>
      <c r="AKW7" s="87"/>
      <c r="AKX7" s="87"/>
      <c r="AKY7" s="87"/>
      <c r="AKZ7" s="87"/>
      <c r="ALA7" s="87"/>
      <c r="ALB7" s="87"/>
      <c r="ALC7" s="87"/>
      <c r="ALD7" s="87"/>
      <c r="ALE7" s="87"/>
      <c r="ALF7" s="87"/>
      <c r="ALG7" s="87"/>
      <c r="ALH7" s="87"/>
      <c r="ALI7" s="87"/>
      <c r="ALJ7" s="87"/>
      <c r="ALK7" s="87"/>
      <c r="ALL7" s="87"/>
      <c r="ALM7" s="87"/>
      <c r="ALN7" s="87"/>
      <c r="ALO7" s="87"/>
      <c r="ALP7" s="87"/>
      <c r="ALQ7" s="87"/>
      <c r="ALR7" s="87"/>
      <c r="ALS7" s="87"/>
      <c r="ALT7" s="87"/>
      <c r="ALU7" s="87"/>
      <c r="ALV7" s="87"/>
      <c r="ALW7" s="87"/>
      <c r="ALX7" s="87"/>
      <c r="ALY7" s="87"/>
      <c r="ALZ7" s="87"/>
      <c r="AMA7" s="87"/>
      <c r="AMB7" s="87"/>
      <c r="AMC7" s="87"/>
      <c r="AMD7" s="87"/>
      <c r="AME7" s="87"/>
      <c r="AMF7" s="87"/>
      <c r="AMG7" s="87"/>
      <c r="AMH7" s="87"/>
      <c r="AMI7" s="87"/>
      <c r="AMJ7" s="87"/>
      <c r="AMK7" s="87"/>
      <c r="AML7" s="87"/>
      <c r="AMM7" s="87"/>
      <c r="AMN7" s="87"/>
      <c r="AMO7" s="87"/>
      <c r="AMP7" s="87"/>
      <c r="AMQ7" s="87"/>
      <c r="AMR7" s="87"/>
      <c r="AMS7" s="87"/>
      <c r="AMT7" s="87"/>
      <c r="AMU7" s="87"/>
      <c r="AMV7" s="87"/>
      <c r="AMW7" s="87"/>
      <c r="AMX7" s="87"/>
      <c r="AMY7" s="87"/>
      <c r="AMZ7" s="87"/>
      <c r="ANA7" s="87"/>
      <c r="ANB7" s="87"/>
      <c r="ANC7" s="87"/>
      <c r="AND7" s="87"/>
      <c r="ANE7" s="87"/>
      <c r="ANF7" s="87"/>
      <c r="ANG7" s="87"/>
      <c r="ANH7" s="87"/>
      <c r="ANI7" s="87"/>
      <c r="ANJ7" s="87"/>
      <c r="ANK7" s="87"/>
      <c r="ANL7" s="87"/>
      <c r="ANM7" s="87"/>
      <c r="ANN7" s="87"/>
      <c r="ANO7" s="87"/>
      <c r="ANP7" s="87"/>
      <c r="ANQ7" s="87"/>
      <c r="ANR7" s="87"/>
      <c r="ANS7" s="87"/>
      <c r="ANT7" s="87"/>
      <c r="ANU7" s="87"/>
      <c r="ANV7" s="87"/>
      <c r="ANW7" s="87"/>
      <c r="ANX7" s="87"/>
      <c r="ANY7" s="87"/>
      <c r="ANZ7" s="87"/>
      <c r="AOA7" s="87"/>
      <c r="AOB7" s="87"/>
      <c r="AOC7" s="87"/>
      <c r="AOD7" s="87"/>
      <c r="AOE7" s="87"/>
      <c r="AOF7" s="87"/>
      <c r="AOG7" s="87"/>
      <c r="AOH7" s="87"/>
      <c r="AOI7" s="87"/>
      <c r="AOJ7" s="87"/>
      <c r="AOK7" s="87"/>
      <c r="AOL7" s="87"/>
      <c r="AOM7" s="87"/>
      <c r="AON7" s="87"/>
      <c r="AOO7" s="87"/>
      <c r="AOP7" s="87"/>
      <c r="AOQ7" s="87"/>
      <c r="AOR7" s="87"/>
      <c r="AOS7" s="87"/>
      <c r="AOT7" s="87"/>
      <c r="AOU7" s="87"/>
      <c r="AOV7" s="87"/>
      <c r="AOW7" s="87"/>
      <c r="AOX7" s="87"/>
      <c r="AOY7" s="87"/>
      <c r="AOZ7" s="87"/>
      <c r="APA7" s="87"/>
      <c r="APB7" s="87"/>
      <c r="APC7" s="87"/>
      <c r="APD7" s="87"/>
      <c r="APE7" s="87"/>
      <c r="APF7" s="87"/>
      <c r="APG7" s="87"/>
      <c r="APH7" s="87"/>
      <c r="API7" s="87"/>
      <c r="APJ7" s="87"/>
      <c r="APK7" s="87"/>
      <c r="APL7" s="87"/>
      <c r="APM7" s="87"/>
      <c r="APN7" s="87"/>
      <c r="APO7" s="87"/>
      <c r="APP7" s="87"/>
      <c r="APQ7" s="87"/>
      <c r="APR7" s="87"/>
      <c r="APS7" s="87"/>
      <c r="APT7" s="87"/>
      <c r="APU7" s="87"/>
      <c r="APV7" s="87"/>
      <c r="APW7" s="87"/>
      <c r="APX7" s="87"/>
      <c r="APY7" s="87"/>
      <c r="APZ7" s="87"/>
      <c r="AQA7" s="87"/>
      <c r="AQB7" s="87"/>
      <c r="AQC7" s="87"/>
      <c r="AQD7" s="87"/>
      <c r="AQE7" s="87"/>
      <c r="AQF7" s="87"/>
      <c r="AQG7" s="87"/>
      <c r="AQH7" s="87"/>
      <c r="AQI7" s="87"/>
      <c r="AQJ7" s="87"/>
      <c r="AQK7" s="87"/>
      <c r="AQL7" s="87"/>
      <c r="AQM7" s="87"/>
      <c r="AQN7" s="87"/>
      <c r="AQO7" s="87"/>
      <c r="AQP7" s="87"/>
      <c r="AQQ7" s="87"/>
      <c r="AQR7" s="87"/>
      <c r="AQS7" s="87"/>
      <c r="AQT7" s="87"/>
      <c r="AQU7" s="87"/>
      <c r="AQV7" s="87"/>
      <c r="AQW7" s="87"/>
      <c r="AQX7" s="87"/>
      <c r="AQY7" s="87"/>
      <c r="AQZ7" s="87"/>
      <c r="ARA7" s="87"/>
      <c r="ARB7" s="87"/>
      <c r="ARC7" s="87"/>
      <c r="ARD7" s="87"/>
      <c r="ARE7" s="87"/>
      <c r="ARF7" s="87"/>
      <c r="ARG7" s="87"/>
      <c r="ARH7" s="87"/>
      <c r="ARI7" s="87"/>
      <c r="ARJ7" s="87"/>
      <c r="ARK7" s="87"/>
      <c r="ARL7" s="87"/>
      <c r="ARM7" s="87"/>
      <c r="ARN7" s="87"/>
      <c r="ARO7" s="87"/>
      <c r="ARP7" s="87"/>
      <c r="ARQ7" s="87"/>
      <c r="ARR7" s="87"/>
      <c r="ARS7" s="87"/>
      <c r="ART7" s="87"/>
      <c r="ARU7" s="87"/>
      <c r="ARV7" s="87"/>
      <c r="ARW7" s="87"/>
      <c r="ARX7" s="87"/>
      <c r="ARY7" s="87"/>
      <c r="ARZ7" s="87"/>
      <c r="ASA7" s="87"/>
      <c r="ASB7" s="87"/>
      <c r="ASC7" s="87"/>
      <c r="ASD7" s="87"/>
      <c r="ASE7" s="87"/>
      <c r="ASF7" s="87"/>
      <c r="ASG7" s="87"/>
      <c r="ASH7" s="87"/>
      <c r="ASI7" s="87"/>
      <c r="ASJ7" s="87"/>
      <c r="ASK7" s="87"/>
      <c r="ASL7" s="87"/>
      <c r="ASM7" s="87"/>
      <c r="ASN7" s="87"/>
      <c r="ASO7" s="87"/>
      <c r="ASP7" s="87"/>
      <c r="ASQ7" s="87"/>
      <c r="ASR7" s="87"/>
      <c r="ASS7" s="87"/>
      <c r="AST7" s="87"/>
      <c r="ASU7" s="87"/>
      <c r="ASV7" s="87"/>
      <c r="ASW7" s="87"/>
      <c r="ASX7" s="87"/>
      <c r="ASY7" s="87"/>
      <c r="ASZ7" s="87"/>
      <c r="ATA7" s="87"/>
      <c r="ATB7" s="87"/>
      <c r="ATC7" s="87"/>
      <c r="ATD7" s="87"/>
      <c r="ATE7" s="87"/>
      <c r="ATF7" s="87"/>
      <c r="ATG7" s="87"/>
      <c r="ATH7" s="87"/>
      <c r="ATI7" s="87"/>
      <c r="ATJ7" s="87"/>
      <c r="ATK7" s="87"/>
      <c r="ATL7" s="87"/>
      <c r="ATM7" s="87"/>
      <c r="ATN7" s="87"/>
      <c r="ATO7" s="87"/>
      <c r="ATP7" s="87"/>
      <c r="ATQ7" s="87"/>
      <c r="ATR7" s="87"/>
      <c r="ATS7" s="87"/>
      <c r="ATT7" s="87"/>
      <c r="ATU7" s="87"/>
      <c r="ATV7" s="87"/>
      <c r="ATW7" s="87"/>
      <c r="ATX7" s="87"/>
      <c r="ATY7" s="87"/>
      <c r="ATZ7" s="87"/>
      <c r="AUA7" s="87"/>
      <c r="AUB7" s="87"/>
      <c r="AUC7" s="87"/>
      <c r="AUD7" s="87"/>
      <c r="AUE7" s="87"/>
      <c r="AUF7" s="87"/>
      <c r="AUG7" s="87"/>
      <c r="AUH7" s="87"/>
      <c r="AUI7" s="87"/>
      <c r="AUJ7" s="87"/>
      <c r="AUK7" s="87"/>
      <c r="AUL7" s="87"/>
      <c r="AUM7" s="87"/>
      <c r="AUN7" s="87"/>
      <c r="AUO7" s="87"/>
      <c r="AUP7" s="87"/>
      <c r="AUQ7" s="87"/>
      <c r="AUR7" s="87"/>
      <c r="AUS7" s="87"/>
      <c r="AUT7" s="87"/>
      <c r="AUU7" s="87"/>
      <c r="AUV7" s="87"/>
      <c r="AUW7" s="87"/>
      <c r="AUX7" s="87"/>
      <c r="AUY7" s="87"/>
      <c r="AUZ7" s="87"/>
      <c r="AVA7" s="87"/>
      <c r="AVB7" s="87"/>
      <c r="AVC7" s="87"/>
      <c r="AVD7" s="87"/>
      <c r="AVE7" s="87"/>
      <c r="AVF7" s="87"/>
      <c r="AVG7" s="87"/>
      <c r="AVH7" s="87"/>
      <c r="AVI7" s="87"/>
      <c r="AVJ7" s="87"/>
      <c r="AVK7" s="87"/>
      <c r="AVL7" s="87"/>
      <c r="AVM7" s="87"/>
      <c r="AVN7" s="87"/>
      <c r="AVO7" s="87"/>
      <c r="AVP7" s="87"/>
      <c r="AVQ7" s="87"/>
      <c r="AVR7" s="87"/>
      <c r="AVS7" s="87"/>
      <c r="AVT7" s="87"/>
      <c r="AVU7" s="87"/>
      <c r="AVV7" s="87"/>
      <c r="AVW7" s="87"/>
      <c r="AVX7" s="87"/>
      <c r="AVY7" s="87"/>
      <c r="AVZ7" s="87"/>
      <c r="AWA7" s="87"/>
      <c r="AWB7" s="87"/>
      <c r="AWC7" s="87"/>
      <c r="AWD7" s="87"/>
      <c r="AWE7" s="87"/>
      <c r="AWF7" s="87"/>
      <c r="AWG7" s="87"/>
      <c r="AWH7" s="87"/>
      <c r="AWI7" s="87"/>
      <c r="AWJ7" s="87"/>
      <c r="AWK7" s="87"/>
      <c r="AWL7" s="87"/>
      <c r="AWM7" s="87"/>
      <c r="AWN7" s="87"/>
      <c r="AWO7" s="87"/>
      <c r="AWP7" s="87"/>
      <c r="AWQ7" s="87"/>
      <c r="AWR7" s="87"/>
      <c r="AWS7" s="87"/>
      <c r="AWT7" s="87"/>
      <c r="AWU7" s="87"/>
      <c r="AWV7" s="87"/>
      <c r="AWW7" s="87"/>
      <c r="AWX7" s="87"/>
      <c r="AWY7" s="87"/>
      <c r="AWZ7" s="87"/>
      <c r="AXA7" s="87"/>
      <c r="AXB7" s="87"/>
      <c r="AXC7" s="87"/>
      <c r="AXD7" s="87"/>
      <c r="AXE7" s="87"/>
      <c r="AXF7" s="87"/>
      <c r="AXG7" s="87"/>
      <c r="AXH7" s="87"/>
      <c r="AXI7" s="87"/>
      <c r="AXJ7" s="87"/>
      <c r="AXK7" s="87"/>
      <c r="AXL7" s="87"/>
      <c r="AXM7" s="87"/>
      <c r="AXN7" s="87"/>
      <c r="AXO7" s="87"/>
      <c r="AXP7" s="87"/>
      <c r="AXQ7" s="87"/>
      <c r="AXR7" s="87"/>
      <c r="AXS7" s="87"/>
      <c r="AXT7" s="87"/>
      <c r="AXU7" s="87"/>
      <c r="AXV7" s="87"/>
      <c r="AXW7" s="87"/>
      <c r="AXX7" s="87"/>
      <c r="AXY7" s="87"/>
      <c r="AXZ7" s="87"/>
      <c r="AYA7" s="87"/>
      <c r="AYB7" s="87"/>
      <c r="AYC7" s="87"/>
      <c r="AYD7" s="87"/>
      <c r="AYE7" s="87"/>
      <c r="AYF7" s="87"/>
      <c r="AYG7" s="87"/>
      <c r="AYH7" s="87"/>
      <c r="AYI7" s="87"/>
      <c r="AYJ7" s="87"/>
      <c r="AYK7" s="87"/>
      <c r="AYL7" s="87"/>
      <c r="AYM7" s="87"/>
      <c r="AYN7" s="87"/>
      <c r="AYO7" s="87"/>
      <c r="AYP7" s="87"/>
      <c r="AYQ7" s="87"/>
      <c r="AYR7" s="87"/>
      <c r="AYS7" s="87"/>
      <c r="AYT7" s="87"/>
      <c r="AYU7" s="87"/>
      <c r="AYV7" s="87"/>
      <c r="AYW7" s="87"/>
      <c r="AYX7" s="87"/>
      <c r="AYY7" s="87"/>
      <c r="AYZ7" s="87"/>
      <c r="AZA7" s="87"/>
      <c r="AZB7" s="87"/>
      <c r="AZC7" s="87"/>
      <c r="AZD7" s="87"/>
      <c r="AZE7" s="87"/>
      <c r="AZF7" s="87"/>
      <c r="AZG7" s="87"/>
      <c r="AZH7" s="87"/>
      <c r="AZI7" s="87"/>
      <c r="AZJ7" s="87"/>
      <c r="AZK7" s="87"/>
      <c r="AZL7" s="87"/>
      <c r="AZM7" s="87"/>
      <c r="AZN7" s="87"/>
      <c r="AZO7" s="87"/>
      <c r="AZP7" s="87"/>
      <c r="AZQ7" s="87"/>
      <c r="AZR7" s="87"/>
      <c r="AZS7" s="87"/>
      <c r="AZT7" s="87"/>
      <c r="AZU7" s="87"/>
      <c r="AZV7" s="87"/>
      <c r="AZW7" s="87"/>
      <c r="AZX7" s="87"/>
      <c r="AZY7" s="87"/>
      <c r="AZZ7" s="87"/>
      <c r="BAA7" s="87"/>
      <c r="BAB7" s="87"/>
      <c r="BAC7" s="87"/>
      <c r="BAD7" s="87"/>
      <c r="BAE7" s="87"/>
      <c r="BAF7" s="87"/>
      <c r="BAG7" s="87"/>
      <c r="BAH7" s="87"/>
      <c r="BAI7" s="87"/>
      <c r="BAJ7" s="87"/>
      <c r="BAK7" s="87"/>
      <c r="BAL7" s="87"/>
      <c r="BAM7" s="87"/>
      <c r="BAN7" s="87"/>
      <c r="BAO7" s="87"/>
      <c r="BAP7" s="87"/>
      <c r="BAQ7" s="87"/>
      <c r="BAR7" s="87"/>
      <c r="BAS7" s="87"/>
      <c r="BAT7" s="87"/>
      <c r="BAU7" s="87"/>
      <c r="BAV7" s="87"/>
      <c r="BAW7" s="87"/>
      <c r="BAX7" s="87"/>
      <c r="BAY7" s="87"/>
      <c r="BAZ7" s="87"/>
      <c r="BBA7" s="87"/>
      <c r="BBB7" s="87"/>
      <c r="BBC7" s="87"/>
      <c r="BBD7" s="87"/>
      <c r="BBE7" s="87"/>
      <c r="BBF7" s="87"/>
      <c r="BBG7" s="87"/>
      <c r="BBH7" s="87"/>
      <c r="BBI7" s="87"/>
      <c r="BBJ7" s="87"/>
      <c r="BBK7" s="87"/>
      <c r="BBL7" s="87"/>
      <c r="BBM7" s="87"/>
      <c r="BBN7" s="87"/>
      <c r="BBO7" s="87"/>
      <c r="BBP7" s="87"/>
      <c r="BBQ7" s="87"/>
      <c r="BBR7" s="87"/>
      <c r="BBS7" s="87"/>
      <c r="BBT7" s="87"/>
      <c r="BBU7" s="87"/>
      <c r="BBV7" s="87"/>
      <c r="BBW7" s="87"/>
      <c r="BBX7" s="87"/>
      <c r="BBY7" s="87"/>
      <c r="BBZ7" s="87"/>
      <c r="BCA7" s="87"/>
      <c r="BCB7" s="87"/>
      <c r="BCC7" s="87"/>
      <c r="BCD7" s="87"/>
      <c r="BCE7" s="87"/>
      <c r="BCF7" s="87"/>
      <c r="BCG7" s="87"/>
      <c r="BCH7" s="87"/>
      <c r="BCI7" s="87"/>
      <c r="BCJ7" s="87"/>
      <c r="BCK7" s="87"/>
      <c r="BCL7" s="87"/>
      <c r="BCM7" s="87"/>
      <c r="BCN7" s="87"/>
      <c r="BCO7" s="87"/>
      <c r="BCP7" s="87"/>
      <c r="BCQ7" s="87"/>
      <c r="BCR7" s="87"/>
      <c r="BCS7" s="87"/>
      <c r="BCT7" s="87"/>
      <c r="BCU7" s="87"/>
      <c r="BCV7" s="87"/>
      <c r="BCW7" s="87"/>
      <c r="BCX7" s="87"/>
      <c r="BCY7" s="87"/>
      <c r="BCZ7" s="87"/>
      <c r="BDA7" s="87"/>
      <c r="BDB7" s="87"/>
      <c r="BDC7" s="87"/>
      <c r="BDD7" s="87"/>
      <c r="BDE7" s="87"/>
      <c r="BDF7" s="87"/>
      <c r="BDG7" s="87"/>
      <c r="BDH7" s="87"/>
      <c r="BDI7" s="87"/>
      <c r="BDJ7" s="87"/>
      <c r="BDK7" s="87"/>
      <c r="BDL7" s="87"/>
      <c r="BDM7" s="87"/>
      <c r="BDN7" s="87"/>
      <c r="BDO7" s="87"/>
      <c r="BDP7" s="87"/>
      <c r="BDQ7" s="87"/>
      <c r="BDR7" s="87"/>
      <c r="BDS7" s="87"/>
      <c r="BDT7" s="87"/>
      <c r="BDU7" s="87"/>
      <c r="BDV7" s="87"/>
      <c r="BDW7" s="87"/>
      <c r="BDX7" s="87"/>
      <c r="BDY7" s="87"/>
      <c r="BDZ7" s="87"/>
      <c r="BEA7" s="87"/>
      <c r="BEB7" s="87"/>
      <c r="BEC7" s="87"/>
      <c r="BED7" s="87"/>
      <c r="BEE7" s="87"/>
      <c r="BEF7" s="87"/>
      <c r="BEG7" s="87"/>
      <c r="BEH7" s="87"/>
      <c r="BEI7" s="87"/>
      <c r="BEJ7" s="87"/>
      <c r="BEK7" s="87"/>
      <c r="BEL7" s="87"/>
      <c r="BEM7" s="87"/>
      <c r="BEN7" s="87"/>
      <c r="BEO7" s="87"/>
      <c r="BEP7" s="87"/>
      <c r="BEQ7" s="87"/>
      <c r="BER7" s="87"/>
      <c r="BES7" s="87"/>
      <c r="BET7" s="87"/>
      <c r="BEU7" s="87"/>
      <c r="BEV7" s="87"/>
      <c r="BEW7" s="87"/>
      <c r="BEX7" s="87"/>
      <c r="BEY7" s="87"/>
      <c r="BEZ7" s="87"/>
      <c r="BFA7" s="87"/>
      <c r="BFB7" s="87"/>
      <c r="BFC7" s="87"/>
      <c r="BFD7" s="87"/>
      <c r="BFE7" s="87"/>
      <c r="BFF7" s="87"/>
      <c r="BFG7" s="87"/>
      <c r="BFH7" s="87"/>
      <c r="BFI7" s="87"/>
      <c r="BFJ7" s="87"/>
      <c r="BFK7" s="87"/>
      <c r="BFL7" s="87"/>
      <c r="BFM7" s="87"/>
      <c r="BFN7" s="87"/>
      <c r="BFO7" s="87"/>
      <c r="BFP7" s="87"/>
      <c r="BFQ7" s="87"/>
      <c r="BFR7" s="87"/>
      <c r="BFS7" s="87"/>
      <c r="BFT7" s="87"/>
      <c r="BFU7" s="87"/>
      <c r="BFV7" s="87"/>
      <c r="BFW7" s="87"/>
      <c r="BFX7" s="87"/>
      <c r="BFY7" s="87"/>
      <c r="BFZ7" s="87"/>
      <c r="BGA7" s="87"/>
      <c r="BGB7" s="87"/>
      <c r="BGC7" s="87"/>
      <c r="BGD7" s="87"/>
      <c r="BGE7" s="87"/>
      <c r="BGF7" s="87"/>
      <c r="BGG7" s="87"/>
      <c r="BGH7" s="87"/>
      <c r="BGI7" s="87"/>
      <c r="BGJ7" s="87"/>
      <c r="BGK7" s="87"/>
      <c r="BGL7" s="87"/>
      <c r="BGM7" s="87"/>
      <c r="BGN7" s="87"/>
      <c r="BGO7" s="87"/>
      <c r="BGP7" s="87"/>
      <c r="BGQ7" s="87"/>
      <c r="BGR7" s="87"/>
      <c r="BGS7" s="87"/>
      <c r="BGT7" s="87"/>
      <c r="BGU7" s="87"/>
      <c r="BGV7" s="87"/>
      <c r="BGW7" s="87"/>
      <c r="BGX7" s="87"/>
      <c r="BGY7" s="87"/>
      <c r="BGZ7" s="87"/>
      <c r="BHA7" s="87"/>
      <c r="BHB7" s="87"/>
      <c r="BHC7" s="87"/>
      <c r="BHD7" s="87"/>
      <c r="BHE7" s="87"/>
      <c r="BHF7" s="87"/>
      <c r="BHG7" s="87"/>
      <c r="BHH7" s="87"/>
      <c r="BHI7" s="87"/>
      <c r="BHJ7" s="87"/>
      <c r="BHK7" s="87"/>
      <c r="BHL7" s="87"/>
      <c r="BHM7" s="87"/>
      <c r="BHN7" s="87"/>
      <c r="BHO7" s="87"/>
      <c r="BHP7" s="87"/>
      <c r="BHQ7" s="87"/>
      <c r="BHR7" s="87"/>
      <c r="BHS7" s="87"/>
      <c r="BHT7" s="87"/>
      <c r="BHU7" s="87"/>
      <c r="BHV7" s="87"/>
      <c r="BHW7" s="87"/>
      <c r="BHX7" s="87"/>
      <c r="BHY7" s="87"/>
      <c r="BHZ7" s="87"/>
      <c r="BIA7" s="87"/>
      <c r="BIB7" s="87"/>
      <c r="BIC7" s="87"/>
      <c r="BID7" s="87"/>
      <c r="BIE7" s="87"/>
      <c r="BIF7" s="87"/>
      <c r="BIG7" s="87"/>
      <c r="BIH7" s="87"/>
      <c r="BII7" s="87"/>
      <c r="BIJ7" s="87"/>
      <c r="BIK7" s="87"/>
      <c r="BIL7" s="87"/>
      <c r="BIM7" s="87"/>
      <c r="BIN7" s="87"/>
      <c r="BIO7" s="87"/>
      <c r="BIP7" s="87"/>
      <c r="BIQ7" s="87"/>
      <c r="BIR7" s="87"/>
      <c r="BIS7" s="87"/>
      <c r="BIT7" s="87"/>
      <c r="BIU7" s="87"/>
      <c r="BIV7" s="87"/>
      <c r="BIW7" s="87"/>
      <c r="BIX7" s="87"/>
      <c r="BIY7" s="87"/>
      <c r="BIZ7" s="87"/>
      <c r="BJA7" s="87"/>
      <c r="BJB7" s="87"/>
      <c r="BJC7" s="87"/>
      <c r="BJD7" s="87"/>
      <c r="BJE7" s="87"/>
      <c r="BJF7" s="87"/>
      <c r="BJG7" s="87"/>
      <c r="BJH7" s="87"/>
      <c r="BJI7" s="87"/>
      <c r="BJJ7" s="87"/>
      <c r="BJK7" s="87"/>
      <c r="BJL7" s="87"/>
      <c r="BJM7" s="87"/>
      <c r="BJN7" s="87"/>
      <c r="BJO7" s="87"/>
      <c r="BJP7" s="87"/>
      <c r="BJQ7" s="87"/>
      <c r="BJR7" s="87"/>
      <c r="BJS7" s="87"/>
      <c r="BJT7" s="87"/>
      <c r="BJU7" s="87"/>
      <c r="BJV7" s="87"/>
      <c r="BJW7" s="87"/>
      <c r="BJX7" s="87"/>
      <c r="BJY7" s="87"/>
      <c r="BJZ7" s="87"/>
      <c r="BKA7" s="87"/>
      <c r="BKB7" s="87"/>
      <c r="BKC7" s="87"/>
      <c r="BKD7" s="87"/>
      <c r="BKE7" s="87"/>
      <c r="BKF7" s="87"/>
      <c r="BKG7" s="87"/>
      <c r="BKH7" s="87"/>
      <c r="BKI7" s="87"/>
      <c r="BKJ7" s="87"/>
      <c r="BKK7" s="87"/>
      <c r="BKL7" s="87"/>
      <c r="BKM7" s="87"/>
      <c r="BKN7" s="87"/>
      <c r="BKO7" s="87"/>
      <c r="BKP7" s="87"/>
      <c r="BKQ7" s="87"/>
      <c r="BKR7" s="87"/>
      <c r="BKS7" s="87"/>
      <c r="BKT7" s="87"/>
      <c r="BKU7" s="87"/>
      <c r="BKV7" s="87"/>
      <c r="BKW7" s="87"/>
      <c r="BKX7" s="87"/>
      <c r="BKY7" s="87"/>
      <c r="BKZ7" s="87"/>
      <c r="BLA7" s="87"/>
      <c r="BLB7" s="87"/>
      <c r="BLC7" s="87"/>
      <c r="BLD7" s="87"/>
      <c r="BLE7" s="87"/>
      <c r="BLF7" s="87"/>
      <c r="BLG7" s="87"/>
      <c r="BLH7" s="87"/>
      <c r="BLI7" s="87"/>
      <c r="BLJ7" s="87"/>
      <c r="BLK7" s="87"/>
      <c r="BLL7" s="87"/>
      <c r="BLM7" s="87"/>
      <c r="BLN7" s="87"/>
      <c r="BLO7" s="87"/>
      <c r="BLP7" s="87"/>
      <c r="BLQ7" s="87"/>
      <c r="BLR7" s="87"/>
      <c r="BLS7" s="87"/>
      <c r="BLT7" s="87"/>
      <c r="BLU7" s="87"/>
      <c r="BLV7" s="87"/>
      <c r="BLW7" s="87"/>
      <c r="BLX7" s="87"/>
      <c r="BLY7" s="87"/>
      <c r="BLZ7" s="87"/>
      <c r="BMA7" s="87"/>
      <c r="BMB7" s="87"/>
      <c r="BMC7" s="87"/>
      <c r="BMD7" s="87"/>
      <c r="BME7" s="87"/>
      <c r="BMF7" s="87"/>
      <c r="BMG7" s="87"/>
      <c r="BMH7" s="87"/>
      <c r="BMI7" s="87"/>
      <c r="BMJ7" s="87"/>
      <c r="BMK7" s="87"/>
      <c r="BML7" s="87"/>
      <c r="BMM7" s="87"/>
      <c r="BMN7" s="87"/>
      <c r="BMO7" s="87"/>
      <c r="BMP7" s="87"/>
      <c r="BMQ7" s="87"/>
      <c r="BMR7" s="87"/>
      <c r="BMS7" s="87"/>
      <c r="BMT7" s="87"/>
      <c r="BMU7" s="87"/>
      <c r="BMV7" s="87"/>
      <c r="BMW7" s="87"/>
      <c r="BMX7" s="87"/>
      <c r="BMY7" s="87"/>
      <c r="BMZ7" s="87"/>
      <c r="BNA7" s="87"/>
      <c r="BNB7" s="87"/>
      <c r="BNC7" s="87"/>
      <c r="BND7" s="87"/>
      <c r="BNE7" s="87"/>
      <c r="BNF7" s="87"/>
      <c r="BNG7" s="87"/>
      <c r="BNH7" s="87"/>
      <c r="BNI7" s="87"/>
      <c r="BNJ7" s="87"/>
      <c r="BNK7" s="87"/>
      <c r="BNL7" s="87"/>
      <c r="BNM7" s="87"/>
      <c r="BNN7" s="87"/>
      <c r="BNO7" s="87"/>
      <c r="BNP7" s="87"/>
      <c r="BNQ7" s="87"/>
      <c r="BNR7" s="87"/>
      <c r="BNS7" s="87"/>
      <c r="BNT7" s="87"/>
      <c r="BNU7" s="87"/>
      <c r="BNV7" s="87"/>
      <c r="BNW7" s="87"/>
      <c r="BNX7" s="87"/>
      <c r="BNY7" s="87"/>
      <c r="BNZ7" s="87"/>
      <c r="BOA7" s="87"/>
      <c r="BOB7" s="87"/>
      <c r="BOC7" s="87"/>
      <c r="BOD7" s="87"/>
      <c r="BOE7" s="87"/>
      <c r="BOF7" s="87"/>
      <c r="BOG7" s="87"/>
      <c r="BOH7" s="87"/>
      <c r="BOI7" s="87"/>
      <c r="BOJ7" s="87"/>
      <c r="BOK7" s="87"/>
      <c r="BOL7" s="87"/>
      <c r="BOM7" s="87"/>
      <c r="BON7" s="87"/>
      <c r="BOO7" s="87"/>
      <c r="BOP7" s="87"/>
      <c r="BOQ7" s="87"/>
      <c r="BOR7" s="87"/>
      <c r="BOS7" s="87"/>
      <c r="BOT7" s="87"/>
      <c r="BOU7" s="87"/>
      <c r="BOV7" s="87"/>
      <c r="BOW7" s="87"/>
      <c r="BOX7" s="87"/>
      <c r="BOY7" s="87"/>
      <c r="BOZ7" s="87"/>
      <c r="BPA7" s="87"/>
      <c r="BPB7" s="87"/>
      <c r="BPC7" s="87"/>
      <c r="BPD7" s="87"/>
      <c r="BPE7" s="87"/>
      <c r="BPF7" s="87"/>
      <c r="BPG7" s="87"/>
      <c r="BPH7" s="87"/>
      <c r="BPI7" s="87"/>
      <c r="BPJ7" s="87"/>
      <c r="BPK7" s="87"/>
      <c r="BPL7" s="87"/>
      <c r="BPM7" s="87"/>
      <c r="BPN7" s="87"/>
      <c r="BPO7" s="87"/>
      <c r="BPP7" s="87"/>
      <c r="BPQ7" s="87"/>
      <c r="BPR7" s="87"/>
      <c r="BPS7" s="87"/>
      <c r="BPT7" s="87"/>
      <c r="BPU7" s="87"/>
      <c r="BPV7" s="87"/>
      <c r="BPW7" s="87"/>
      <c r="BPX7" s="87"/>
      <c r="BPY7" s="87"/>
      <c r="BPZ7" s="87"/>
      <c r="BQA7" s="87"/>
      <c r="BQB7" s="87"/>
      <c r="BQC7" s="87"/>
      <c r="BQD7" s="87"/>
      <c r="BQE7" s="87"/>
      <c r="BQF7" s="87"/>
      <c r="BQG7" s="87"/>
      <c r="BQH7" s="87"/>
      <c r="BQI7" s="87"/>
      <c r="BQJ7" s="87"/>
      <c r="BQK7" s="87"/>
      <c r="BQL7" s="87"/>
      <c r="BQM7" s="87"/>
      <c r="BQN7" s="87"/>
      <c r="BQO7" s="87"/>
      <c r="BQP7" s="87"/>
      <c r="BQQ7" s="87"/>
      <c r="BQR7" s="87"/>
      <c r="BQS7" s="87"/>
      <c r="BQT7" s="87"/>
      <c r="BQU7" s="87"/>
      <c r="BQV7" s="87"/>
      <c r="BQW7" s="87"/>
      <c r="BQX7" s="87"/>
      <c r="BQY7" s="87"/>
      <c r="BQZ7" s="87"/>
      <c r="BRA7" s="87"/>
      <c r="BRB7" s="87"/>
      <c r="BRC7" s="87"/>
      <c r="BRD7" s="87"/>
      <c r="BRE7" s="87"/>
      <c r="BRF7" s="87"/>
      <c r="BRG7" s="87"/>
      <c r="BRH7" s="87"/>
      <c r="BRI7" s="87"/>
      <c r="BRJ7" s="87"/>
      <c r="BRK7" s="87"/>
      <c r="BRL7" s="87"/>
      <c r="BRM7" s="87"/>
      <c r="BRN7" s="87"/>
      <c r="BRO7" s="87"/>
      <c r="BRP7" s="87"/>
      <c r="BRQ7" s="87"/>
      <c r="BRR7" s="87"/>
      <c r="BRS7" s="87"/>
      <c r="BRT7" s="87"/>
      <c r="BRU7" s="87"/>
      <c r="BRV7" s="87"/>
      <c r="BRW7" s="87"/>
      <c r="BRX7" s="87"/>
      <c r="BRY7" s="87"/>
      <c r="BRZ7" s="87"/>
      <c r="BSA7" s="87"/>
      <c r="BSB7" s="87"/>
      <c r="BSC7" s="87"/>
      <c r="BSD7" s="87"/>
      <c r="BSE7" s="87"/>
      <c r="BSF7" s="87"/>
      <c r="BSG7" s="87"/>
      <c r="BSH7" s="87"/>
      <c r="BSI7" s="87"/>
      <c r="BSJ7" s="87"/>
      <c r="BSK7" s="87"/>
      <c r="BSL7" s="87"/>
      <c r="BSM7" s="87"/>
      <c r="BSN7" s="87"/>
      <c r="BSO7" s="87"/>
      <c r="BSP7" s="87"/>
      <c r="BSQ7" s="87"/>
      <c r="BSR7" s="87"/>
      <c r="BSS7" s="87"/>
      <c r="BST7" s="87"/>
      <c r="BSU7" s="87"/>
      <c r="BSV7" s="87"/>
      <c r="BSW7" s="87"/>
      <c r="BSX7" s="87"/>
      <c r="BSY7" s="87"/>
      <c r="BSZ7" s="87"/>
      <c r="BTA7" s="87"/>
      <c r="BTB7" s="87"/>
      <c r="BTC7" s="87"/>
      <c r="BTD7" s="87"/>
      <c r="BTE7" s="87"/>
      <c r="BTF7" s="87"/>
      <c r="BTG7" s="87"/>
      <c r="BTH7" s="87"/>
      <c r="BTI7" s="87"/>
      <c r="BTJ7" s="87"/>
      <c r="BTK7" s="87"/>
      <c r="BTL7" s="87"/>
      <c r="BTM7" s="87"/>
      <c r="BTN7" s="87"/>
      <c r="BTO7" s="87"/>
      <c r="BTP7" s="87"/>
      <c r="BTQ7" s="87"/>
      <c r="BTR7" s="87"/>
      <c r="BTS7" s="87"/>
      <c r="BTT7" s="87"/>
      <c r="BTU7" s="87"/>
      <c r="BTV7" s="87"/>
      <c r="BTW7" s="87"/>
      <c r="BTX7" s="87"/>
      <c r="BTY7" s="87"/>
      <c r="BTZ7" s="87"/>
      <c r="BUA7" s="87"/>
      <c r="BUB7" s="87"/>
      <c r="BUC7" s="87"/>
      <c r="BUD7" s="87"/>
      <c r="BUE7" s="87"/>
      <c r="BUF7" s="87"/>
      <c r="BUG7" s="87"/>
      <c r="BUH7" s="87"/>
      <c r="BUI7" s="87"/>
      <c r="BUJ7" s="87"/>
      <c r="BUK7" s="87"/>
      <c r="BUL7" s="87"/>
      <c r="BUM7" s="87"/>
      <c r="BUN7" s="87"/>
      <c r="BUO7" s="87"/>
      <c r="BUP7" s="87"/>
      <c r="BUQ7" s="87"/>
      <c r="BUR7" s="87"/>
      <c r="BUS7" s="87"/>
      <c r="BUT7" s="87"/>
      <c r="BUU7" s="87"/>
      <c r="BUV7" s="87"/>
      <c r="BUW7" s="87"/>
      <c r="BUX7" s="87"/>
      <c r="BUY7" s="87"/>
      <c r="BUZ7" s="87"/>
      <c r="BVA7" s="87"/>
      <c r="BVB7" s="87"/>
      <c r="BVC7" s="87"/>
      <c r="BVD7" s="87"/>
      <c r="BVE7" s="87"/>
      <c r="BVF7" s="87"/>
      <c r="BVG7" s="87"/>
      <c r="BVH7" s="87"/>
      <c r="BVI7" s="87"/>
      <c r="BVJ7" s="87"/>
      <c r="BVK7" s="87"/>
      <c r="BVL7" s="87"/>
      <c r="BVM7" s="87"/>
      <c r="BVN7" s="87"/>
      <c r="BVO7" s="87"/>
      <c r="BVP7" s="87"/>
      <c r="BVQ7" s="87"/>
      <c r="BVR7" s="87"/>
      <c r="BVS7" s="87"/>
      <c r="BVT7" s="87"/>
      <c r="BVU7" s="87"/>
      <c r="BVV7" s="87"/>
      <c r="BVW7" s="87"/>
      <c r="BVX7" s="87"/>
      <c r="BVY7" s="87"/>
      <c r="BVZ7" s="87"/>
      <c r="BWA7" s="87"/>
      <c r="BWB7" s="87"/>
      <c r="BWC7" s="87"/>
      <c r="BWD7" s="87"/>
      <c r="BWE7" s="87"/>
      <c r="BWF7" s="87"/>
      <c r="BWG7" s="87"/>
      <c r="BWH7" s="87"/>
      <c r="BWI7" s="87"/>
      <c r="BWJ7" s="87"/>
      <c r="BWK7" s="87"/>
      <c r="BWL7" s="87"/>
      <c r="BWM7" s="87"/>
      <c r="BWN7" s="87"/>
      <c r="BWO7" s="87"/>
      <c r="BWP7" s="87"/>
      <c r="BWQ7" s="87"/>
      <c r="BWR7" s="87"/>
      <c r="BWS7" s="87"/>
      <c r="BWT7" s="87"/>
      <c r="BWU7" s="87"/>
      <c r="BWV7" s="87"/>
      <c r="BWW7" s="87"/>
      <c r="BWX7" s="87"/>
      <c r="BWY7" s="87"/>
      <c r="BWZ7" s="87"/>
      <c r="BXA7" s="87"/>
      <c r="BXB7" s="87"/>
      <c r="BXC7" s="87"/>
      <c r="BXD7" s="87"/>
      <c r="BXE7" s="87"/>
      <c r="BXF7" s="87"/>
      <c r="BXG7" s="87"/>
      <c r="BXH7" s="87"/>
      <c r="BXI7" s="87"/>
      <c r="BXJ7" s="87"/>
      <c r="BXK7" s="87"/>
      <c r="BXL7" s="87"/>
      <c r="BXM7" s="87"/>
      <c r="BXN7" s="87"/>
      <c r="BXO7" s="87"/>
      <c r="BXP7" s="87"/>
      <c r="BXQ7" s="87"/>
      <c r="BXR7" s="87"/>
      <c r="BXS7" s="87"/>
      <c r="BXT7" s="87"/>
      <c r="BXU7" s="87"/>
      <c r="BXV7" s="87"/>
      <c r="BXW7" s="87"/>
      <c r="BXX7" s="87"/>
      <c r="BXY7" s="87"/>
      <c r="BXZ7" s="87"/>
      <c r="BYA7" s="87"/>
      <c r="BYB7" s="87"/>
      <c r="BYC7" s="87"/>
      <c r="BYD7" s="87"/>
      <c r="BYE7" s="87"/>
      <c r="BYF7" s="87"/>
      <c r="BYG7" s="87"/>
      <c r="BYH7" s="87"/>
      <c r="BYI7" s="87"/>
      <c r="BYJ7" s="87"/>
      <c r="BYK7" s="87"/>
      <c r="BYL7" s="87"/>
      <c r="BYM7" s="87"/>
      <c r="BYN7" s="87"/>
      <c r="BYO7" s="87"/>
      <c r="BYP7" s="87"/>
      <c r="BYQ7" s="87"/>
      <c r="BYR7" s="87"/>
      <c r="BYS7" s="87"/>
      <c r="BYT7" s="87"/>
      <c r="BYU7" s="87"/>
      <c r="BYV7" s="87"/>
      <c r="BYW7" s="87"/>
      <c r="BYX7" s="87"/>
      <c r="BYY7" s="87"/>
      <c r="BYZ7" s="87"/>
      <c r="BZA7" s="87"/>
      <c r="BZB7" s="87"/>
      <c r="BZC7" s="87"/>
      <c r="BZD7" s="87"/>
      <c r="BZE7" s="87"/>
      <c r="BZF7" s="87"/>
      <c r="BZG7" s="87"/>
      <c r="BZH7" s="87"/>
      <c r="BZI7" s="87"/>
      <c r="BZJ7" s="87"/>
      <c r="BZK7" s="87"/>
      <c r="BZL7" s="87"/>
      <c r="BZM7" s="87"/>
      <c r="BZN7" s="87"/>
      <c r="BZO7" s="87"/>
      <c r="BZP7" s="87"/>
      <c r="BZQ7" s="87"/>
      <c r="BZR7" s="87"/>
      <c r="BZS7" s="87"/>
      <c r="BZT7" s="87"/>
      <c r="BZU7" s="87"/>
      <c r="BZV7" s="87"/>
      <c r="BZW7" s="87"/>
      <c r="BZX7" s="87"/>
      <c r="BZY7" s="87"/>
      <c r="BZZ7" s="87"/>
      <c r="CAA7" s="87"/>
      <c r="CAB7" s="87"/>
      <c r="CAC7" s="87"/>
      <c r="CAD7" s="87"/>
      <c r="CAE7" s="87"/>
      <c r="CAF7" s="87"/>
      <c r="CAG7" s="87"/>
      <c r="CAH7" s="87"/>
      <c r="CAI7" s="87"/>
      <c r="CAJ7" s="87"/>
      <c r="CAK7" s="87"/>
      <c r="CAL7" s="87"/>
      <c r="CAM7" s="87"/>
      <c r="CAN7" s="87"/>
      <c r="CAO7" s="87"/>
      <c r="CAP7" s="87"/>
      <c r="CAQ7" s="87"/>
      <c r="CAR7" s="87"/>
      <c r="CAS7" s="87"/>
      <c r="CAT7" s="87"/>
      <c r="CAU7" s="87"/>
      <c r="CAV7" s="87"/>
      <c r="CAW7" s="87"/>
      <c r="CAX7" s="87"/>
      <c r="CAY7" s="87"/>
      <c r="CAZ7" s="87"/>
      <c r="CBA7" s="87"/>
      <c r="CBB7" s="87"/>
      <c r="CBC7" s="87"/>
      <c r="CBD7" s="87"/>
      <c r="CBE7" s="87"/>
      <c r="CBF7" s="87"/>
      <c r="CBG7" s="87"/>
      <c r="CBH7" s="87"/>
      <c r="CBI7" s="87"/>
      <c r="CBJ7" s="87"/>
      <c r="CBK7" s="87"/>
      <c r="CBL7" s="87"/>
      <c r="CBM7" s="87"/>
      <c r="CBN7" s="87"/>
      <c r="CBO7" s="87"/>
      <c r="CBP7" s="87"/>
      <c r="CBQ7" s="87"/>
      <c r="CBR7" s="87"/>
      <c r="CBS7" s="87"/>
      <c r="CBT7" s="87"/>
      <c r="CBU7" s="87"/>
      <c r="CBV7" s="87"/>
      <c r="CBW7" s="87"/>
      <c r="CBX7" s="87"/>
      <c r="CBY7" s="87"/>
      <c r="CBZ7" s="87"/>
      <c r="CCA7" s="87"/>
      <c r="CCB7" s="87"/>
      <c r="CCC7" s="87"/>
      <c r="CCD7" s="87"/>
      <c r="CCE7" s="87"/>
      <c r="CCF7" s="87"/>
      <c r="CCG7" s="87"/>
      <c r="CCH7" s="87"/>
      <c r="CCI7" s="87"/>
      <c r="CCJ7" s="87"/>
      <c r="CCK7" s="87"/>
      <c r="CCL7" s="87"/>
      <c r="CCM7" s="87"/>
      <c r="CCN7" s="87"/>
      <c r="CCO7" s="87"/>
      <c r="CCP7" s="87"/>
      <c r="CCQ7" s="87"/>
      <c r="CCR7" s="87"/>
      <c r="CCS7" s="87"/>
      <c r="CCT7" s="87"/>
      <c r="CCU7" s="87"/>
      <c r="CCV7" s="87"/>
      <c r="CCW7" s="87"/>
      <c r="CCX7" s="87"/>
      <c r="CCY7" s="87"/>
      <c r="CCZ7" s="87"/>
      <c r="CDA7" s="87"/>
      <c r="CDB7" s="87"/>
      <c r="CDC7" s="87"/>
      <c r="CDD7" s="87"/>
      <c r="CDE7" s="87"/>
      <c r="CDF7" s="87"/>
      <c r="CDG7" s="87"/>
      <c r="CDH7" s="87"/>
      <c r="CDI7" s="87"/>
      <c r="CDJ7" s="87"/>
      <c r="CDK7" s="87"/>
      <c r="CDL7" s="87"/>
      <c r="CDM7" s="87"/>
      <c r="CDN7" s="87"/>
      <c r="CDO7" s="87"/>
      <c r="CDP7" s="87"/>
      <c r="CDQ7" s="87"/>
      <c r="CDR7" s="87"/>
      <c r="CDS7" s="87"/>
      <c r="CDT7" s="87"/>
      <c r="CDU7" s="87"/>
      <c r="CDV7" s="87"/>
      <c r="CDW7" s="87"/>
      <c r="CDX7" s="87"/>
      <c r="CDY7" s="87"/>
      <c r="CDZ7" s="87"/>
      <c r="CEA7" s="87"/>
      <c r="CEB7" s="87"/>
      <c r="CEC7" s="87"/>
      <c r="CED7" s="87"/>
      <c r="CEE7" s="87"/>
      <c r="CEF7" s="87"/>
      <c r="CEG7" s="87"/>
      <c r="CEH7" s="87"/>
      <c r="CEI7" s="87"/>
      <c r="CEJ7" s="87"/>
      <c r="CEK7" s="87"/>
      <c r="CEL7" s="87"/>
      <c r="CEM7" s="87"/>
      <c r="CEN7" s="87"/>
      <c r="CEO7" s="87"/>
      <c r="CEP7" s="87"/>
      <c r="CEQ7" s="87"/>
      <c r="CER7" s="87"/>
      <c r="CES7" s="87"/>
      <c r="CET7" s="87"/>
      <c r="CEU7" s="87"/>
      <c r="CEV7" s="87"/>
      <c r="CEW7" s="87"/>
      <c r="CEX7" s="87"/>
      <c r="CEY7" s="87"/>
      <c r="CEZ7" s="87"/>
      <c r="CFA7" s="87"/>
      <c r="CFB7" s="87"/>
      <c r="CFC7" s="87"/>
      <c r="CFD7" s="87"/>
      <c r="CFE7" s="87"/>
      <c r="CFF7" s="87"/>
      <c r="CFG7" s="87"/>
      <c r="CFH7" s="87"/>
      <c r="CFI7" s="87"/>
      <c r="CFJ7" s="87"/>
      <c r="CFK7" s="87"/>
      <c r="CFL7" s="87"/>
      <c r="CFM7" s="87"/>
      <c r="CFN7" s="87"/>
      <c r="CFO7" s="87"/>
      <c r="CFP7" s="87"/>
      <c r="CFQ7" s="87"/>
      <c r="CFR7" s="87"/>
      <c r="CFS7" s="87"/>
      <c r="CFT7" s="87"/>
      <c r="CFU7" s="87"/>
      <c r="CFV7" s="87"/>
      <c r="CFW7" s="87"/>
      <c r="CFX7" s="87"/>
      <c r="CFY7" s="87"/>
      <c r="CFZ7" s="87"/>
      <c r="CGA7" s="87"/>
      <c r="CGB7" s="87"/>
      <c r="CGC7" s="87"/>
      <c r="CGD7" s="87"/>
      <c r="CGE7" s="87"/>
      <c r="CGF7" s="87"/>
      <c r="CGG7" s="87"/>
      <c r="CGH7" s="87"/>
      <c r="CGI7" s="87"/>
      <c r="CGJ7" s="87"/>
      <c r="CGK7" s="87"/>
      <c r="CGL7" s="87"/>
      <c r="CGM7" s="87"/>
      <c r="CGN7" s="87"/>
      <c r="CGO7" s="87"/>
      <c r="CGP7" s="87"/>
      <c r="CGQ7" s="87"/>
      <c r="CGR7" s="87"/>
      <c r="CGS7" s="87"/>
      <c r="CGT7" s="87"/>
      <c r="CGU7" s="87"/>
      <c r="CGV7" s="87"/>
      <c r="CGW7" s="87"/>
      <c r="CGX7" s="87"/>
      <c r="CGY7" s="87"/>
      <c r="CGZ7" s="87"/>
      <c r="CHA7" s="87"/>
      <c r="CHB7" s="87"/>
      <c r="CHC7" s="87"/>
      <c r="CHD7" s="87"/>
      <c r="CHE7" s="87"/>
      <c r="CHF7" s="87"/>
      <c r="CHG7" s="87"/>
      <c r="CHH7" s="87"/>
      <c r="CHI7" s="87"/>
      <c r="CHJ7" s="87"/>
      <c r="CHK7" s="87"/>
      <c r="CHL7" s="87"/>
      <c r="CHM7" s="87"/>
      <c r="CHN7" s="87"/>
      <c r="CHO7" s="87"/>
      <c r="CHP7" s="87"/>
      <c r="CHQ7" s="87"/>
      <c r="CHR7" s="87"/>
      <c r="CHS7" s="87"/>
      <c r="CHT7" s="87"/>
      <c r="CHU7" s="87"/>
      <c r="CHV7" s="87"/>
      <c r="CHW7" s="87"/>
      <c r="CHX7" s="87"/>
      <c r="CHY7" s="87"/>
      <c r="CHZ7" s="87"/>
      <c r="CIA7" s="87"/>
      <c r="CIB7" s="87"/>
      <c r="CIC7" s="87"/>
      <c r="CID7" s="87"/>
      <c r="CIE7" s="87"/>
      <c r="CIF7" s="87"/>
      <c r="CIG7" s="87"/>
      <c r="CIH7" s="87"/>
      <c r="CII7" s="87"/>
      <c r="CIJ7" s="87"/>
      <c r="CIK7" s="87"/>
      <c r="CIL7" s="87"/>
      <c r="CIM7" s="87"/>
      <c r="CIN7" s="87"/>
      <c r="CIO7" s="87"/>
      <c r="CIP7" s="87"/>
      <c r="CIQ7" s="87"/>
      <c r="CIR7" s="87"/>
      <c r="CIS7" s="87"/>
      <c r="CIT7" s="87"/>
      <c r="CIU7" s="87"/>
      <c r="CIV7" s="87"/>
      <c r="CIW7" s="87"/>
      <c r="CIX7" s="87"/>
      <c r="CIY7" s="87"/>
      <c r="CIZ7" s="87"/>
      <c r="CJA7" s="87"/>
      <c r="CJB7" s="87"/>
      <c r="CJC7" s="87"/>
      <c r="CJD7" s="87"/>
      <c r="CJE7" s="87"/>
      <c r="CJF7" s="87"/>
      <c r="CJG7" s="87"/>
      <c r="CJH7" s="87"/>
      <c r="CJI7" s="87"/>
      <c r="CJJ7" s="87"/>
      <c r="CJK7" s="87"/>
      <c r="CJL7" s="87"/>
      <c r="CJM7" s="87"/>
      <c r="CJN7" s="87"/>
      <c r="CJO7" s="87"/>
      <c r="CJP7" s="87"/>
      <c r="CJQ7" s="87"/>
      <c r="CJR7" s="87"/>
      <c r="CJS7" s="87"/>
      <c r="CJT7" s="87"/>
      <c r="CJU7" s="87"/>
      <c r="CJV7" s="87"/>
      <c r="CJW7" s="87"/>
      <c r="CJX7" s="87"/>
      <c r="CJY7" s="87"/>
      <c r="CJZ7" s="87"/>
      <c r="CKA7" s="87"/>
      <c r="CKB7" s="87"/>
      <c r="CKC7" s="87"/>
      <c r="CKD7" s="87"/>
      <c r="CKE7" s="87"/>
      <c r="CKF7" s="87"/>
      <c r="CKG7" s="87"/>
      <c r="CKH7" s="87"/>
      <c r="CKI7" s="87"/>
      <c r="CKJ7" s="87"/>
      <c r="CKK7" s="87"/>
      <c r="CKL7" s="87"/>
      <c r="CKM7" s="87"/>
      <c r="CKN7" s="87"/>
      <c r="CKO7" s="87"/>
      <c r="CKP7" s="87"/>
      <c r="CKQ7" s="87"/>
      <c r="CKR7" s="87"/>
      <c r="CKS7" s="87"/>
      <c r="CKT7" s="87"/>
      <c r="CKU7" s="87"/>
      <c r="CKV7" s="87"/>
      <c r="CKW7" s="87"/>
      <c r="CKX7" s="87"/>
      <c r="CKY7" s="87"/>
      <c r="CKZ7" s="87"/>
      <c r="CLA7" s="87"/>
      <c r="CLB7" s="87"/>
      <c r="CLC7" s="87"/>
      <c r="CLD7" s="87"/>
      <c r="CLE7" s="87"/>
      <c r="CLF7" s="87"/>
      <c r="CLG7" s="87"/>
      <c r="CLH7" s="87"/>
      <c r="CLI7" s="87"/>
      <c r="CLJ7" s="87"/>
      <c r="CLK7" s="87"/>
      <c r="CLL7" s="87"/>
      <c r="CLM7" s="87"/>
      <c r="CLN7" s="87"/>
      <c r="CLO7" s="87"/>
      <c r="CLP7" s="87"/>
      <c r="CLQ7" s="87"/>
      <c r="CLR7" s="87"/>
      <c r="CLS7" s="87"/>
      <c r="CLT7" s="87"/>
      <c r="CLU7" s="87"/>
      <c r="CLV7" s="87"/>
      <c r="CLW7" s="87"/>
      <c r="CLX7" s="87"/>
      <c r="CLY7" s="87"/>
      <c r="CLZ7" s="87"/>
      <c r="CMA7" s="87"/>
      <c r="CMB7" s="87"/>
      <c r="CMC7" s="87"/>
      <c r="CMD7" s="87"/>
      <c r="CME7" s="87"/>
      <c r="CMF7" s="87"/>
      <c r="CMG7" s="87"/>
      <c r="CMH7" s="87"/>
      <c r="CMI7" s="87"/>
      <c r="CMJ7" s="87"/>
      <c r="CMK7" s="87"/>
      <c r="CML7" s="87"/>
      <c r="CMM7" s="87"/>
      <c r="CMN7" s="87"/>
      <c r="CMO7" s="87"/>
      <c r="CMP7" s="87"/>
      <c r="CMQ7" s="87"/>
      <c r="CMR7" s="87"/>
      <c r="CMS7" s="87"/>
      <c r="CMT7" s="87"/>
      <c r="CMU7" s="87"/>
      <c r="CMV7" s="87"/>
      <c r="CMW7" s="87"/>
      <c r="CMX7" s="87"/>
      <c r="CMY7" s="87"/>
      <c r="CMZ7" s="87"/>
      <c r="CNA7" s="87"/>
      <c r="CNB7" s="87"/>
      <c r="CNC7" s="87"/>
      <c r="CND7" s="87"/>
      <c r="CNE7" s="87"/>
      <c r="CNF7" s="87"/>
      <c r="CNG7" s="87"/>
      <c r="CNH7" s="87"/>
      <c r="CNI7" s="87"/>
      <c r="CNJ7" s="87"/>
      <c r="CNK7" s="87"/>
      <c r="CNL7" s="87"/>
      <c r="CNM7" s="87"/>
      <c r="CNN7" s="87"/>
      <c r="CNO7" s="87"/>
      <c r="CNP7" s="87"/>
      <c r="CNQ7" s="87"/>
      <c r="CNR7" s="87"/>
      <c r="CNS7" s="87"/>
      <c r="CNT7" s="87"/>
      <c r="CNU7" s="87"/>
      <c r="CNV7" s="87"/>
      <c r="CNW7" s="87"/>
      <c r="CNX7" s="87"/>
      <c r="CNY7" s="87"/>
      <c r="CNZ7" s="87"/>
      <c r="COA7" s="87"/>
      <c r="COB7" s="87"/>
      <c r="COC7" s="87"/>
      <c r="COD7" s="87"/>
      <c r="COE7" s="87"/>
      <c r="COF7" s="87"/>
      <c r="COG7" s="87"/>
      <c r="COH7" s="87"/>
      <c r="COI7" s="87"/>
      <c r="COJ7" s="87"/>
      <c r="COK7" s="87"/>
      <c r="COL7" s="87"/>
      <c r="COM7" s="87"/>
      <c r="CON7" s="87"/>
      <c r="COO7" s="87"/>
      <c r="COP7" s="87"/>
      <c r="COQ7" s="87"/>
      <c r="COR7" s="87"/>
      <c r="COS7" s="87"/>
      <c r="COT7" s="87"/>
      <c r="COU7" s="87"/>
      <c r="COV7" s="87"/>
      <c r="COW7" s="87"/>
      <c r="COX7" s="87"/>
      <c r="COY7" s="87"/>
      <c r="COZ7" s="87"/>
      <c r="CPA7" s="87"/>
      <c r="CPB7" s="87"/>
      <c r="CPC7" s="87"/>
      <c r="CPD7" s="87"/>
      <c r="CPE7" s="87"/>
      <c r="CPF7" s="87"/>
      <c r="CPG7" s="87"/>
      <c r="CPH7" s="87"/>
      <c r="CPI7" s="87"/>
      <c r="CPJ7" s="87"/>
      <c r="CPK7" s="87"/>
      <c r="CPL7" s="87"/>
      <c r="CPM7" s="87"/>
      <c r="CPN7" s="87"/>
      <c r="CPO7" s="87"/>
      <c r="CPP7" s="87"/>
      <c r="CPQ7" s="87"/>
      <c r="CPR7" s="87"/>
      <c r="CPS7" s="87"/>
      <c r="CPT7" s="87"/>
      <c r="CPU7" s="87"/>
      <c r="CPV7" s="87"/>
      <c r="CPW7" s="87"/>
      <c r="CPX7" s="87"/>
      <c r="CPY7" s="87"/>
      <c r="CPZ7" s="87"/>
      <c r="CQA7" s="87"/>
      <c r="CQB7" s="87"/>
      <c r="CQC7" s="87"/>
      <c r="CQD7" s="87"/>
      <c r="CQE7" s="87"/>
      <c r="CQF7" s="87"/>
      <c r="CQG7" s="87"/>
      <c r="CQH7" s="87"/>
      <c r="CQI7" s="87"/>
      <c r="CQJ7" s="87"/>
      <c r="CQK7" s="87"/>
      <c r="CQL7" s="87"/>
      <c r="CQM7" s="87"/>
      <c r="CQN7" s="87"/>
      <c r="CQO7" s="87"/>
      <c r="CQP7" s="87"/>
      <c r="CQQ7" s="87"/>
      <c r="CQR7" s="87"/>
      <c r="CQS7" s="87"/>
      <c r="CQT7" s="87"/>
      <c r="CQU7" s="87"/>
      <c r="CQV7" s="87"/>
      <c r="CQW7" s="87"/>
      <c r="CQX7" s="87"/>
      <c r="CQY7" s="87"/>
      <c r="CQZ7" s="87"/>
      <c r="CRA7" s="87"/>
      <c r="CRB7" s="87"/>
      <c r="CRC7" s="87"/>
      <c r="CRD7" s="87"/>
      <c r="CRE7" s="87"/>
      <c r="CRF7" s="87"/>
      <c r="CRG7" s="87"/>
      <c r="CRH7" s="87"/>
      <c r="CRI7" s="87"/>
      <c r="CRJ7" s="87"/>
      <c r="CRK7" s="87"/>
      <c r="CRL7" s="87"/>
      <c r="CRM7" s="87"/>
      <c r="CRN7" s="87"/>
      <c r="CRO7" s="87"/>
      <c r="CRP7" s="87"/>
      <c r="CRQ7" s="87"/>
      <c r="CRR7" s="87"/>
      <c r="CRS7" s="87"/>
      <c r="CRT7" s="87"/>
      <c r="CRU7" s="87"/>
      <c r="CRV7" s="87"/>
      <c r="CRW7" s="87"/>
      <c r="CRX7" s="87"/>
      <c r="CRY7" s="87"/>
      <c r="CRZ7" s="87"/>
      <c r="CSA7" s="87"/>
      <c r="CSB7" s="87"/>
      <c r="CSC7" s="87"/>
      <c r="CSD7" s="87"/>
      <c r="CSE7" s="87"/>
      <c r="CSF7" s="87"/>
      <c r="CSG7" s="87"/>
      <c r="CSH7" s="87"/>
      <c r="CSI7" s="87"/>
      <c r="CSJ7" s="87"/>
      <c r="CSK7" s="87"/>
      <c r="CSL7" s="87"/>
      <c r="CSM7" s="87"/>
      <c r="CSN7" s="87"/>
      <c r="CSO7" s="87"/>
      <c r="CSP7" s="87"/>
      <c r="CSQ7" s="87"/>
      <c r="CSR7" s="87"/>
      <c r="CSS7" s="87"/>
      <c r="CST7" s="87"/>
      <c r="CSU7" s="87"/>
      <c r="CSV7" s="87"/>
      <c r="CSW7" s="87"/>
      <c r="CSX7" s="87"/>
      <c r="CSY7" s="87"/>
      <c r="CSZ7" s="87"/>
      <c r="CTA7" s="87"/>
      <c r="CTB7" s="87"/>
      <c r="CTC7" s="87"/>
      <c r="CTD7" s="87"/>
      <c r="CTE7" s="87"/>
      <c r="CTF7" s="87"/>
      <c r="CTG7" s="87"/>
      <c r="CTH7" s="87"/>
      <c r="CTI7" s="87"/>
      <c r="CTJ7" s="87"/>
      <c r="CTK7" s="87"/>
      <c r="CTL7" s="87"/>
      <c r="CTM7" s="87"/>
      <c r="CTN7" s="87"/>
      <c r="CTO7" s="87"/>
      <c r="CTP7" s="87"/>
      <c r="CTQ7" s="87"/>
      <c r="CTR7" s="87"/>
      <c r="CTS7" s="87"/>
      <c r="CTT7" s="87"/>
      <c r="CTU7" s="87"/>
      <c r="CTV7" s="87"/>
      <c r="CTW7" s="87"/>
      <c r="CTX7" s="87"/>
      <c r="CTY7" s="87"/>
      <c r="CTZ7" s="87"/>
      <c r="CUA7" s="87"/>
      <c r="CUB7" s="87"/>
      <c r="CUC7" s="87"/>
      <c r="CUD7" s="87"/>
      <c r="CUE7" s="87"/>
      <c r="CUF7" s="87"/>
      <c r="CUG7" s="87"/>
      <c r="CUH7" s="87"/>
      <c r="CUI7" s="87"/>
      <c r="CUJ7" s="87"/>
      <c r="CUK7" s="87"/>
      <c r="CUL7" s="87"/>
      <c r="CUM7" s="87"/>
      <c r="CUN7" s="87"/>
      <c r="CUO7" s="87"/>
      <c r="CUP7" s="87"/>
      <c r="CUQ7" s="87"/>
      <c r="CUR7" s="87"/>
      <c r="CUS7" s="87"/>
      <c r="CUT7" s="87"/>
      <c r="CUU7" s="87"/>
      <c r="CUV7" s="87"/>
      <c r="CUW7" s="87"/>
      <c r="CUX7" s="87"/>
      <c r="CUY7" s="87"/>
      <c r="CUZ7" s="87"/>
      <c r="CVA7" s="87"/>
      <c r="CVB7" s="87"/>
      <c r="CVC7" s="87"/>
      <c r="CVD7" s="87"/>
      <c r="CVE7" s="87"/>
      <c r="CVF7" s="87"/>
      <c r="CVG7" s="87"/>
      <c r="CVH7" s="87"/>
      <c r="CVI7" s="87"/>
      <c r="CVJ7" s="87"/>
      <c r="CVK7" s="87"/>
      <c r="CVL7" s="87"/>
      <c r="CVM7" s="87"/>
      <c r="CVN7" s="87"/>
      <c r="CVO7" s="87"/>
      <c r="CVP7" s="87"/>
      <c r="CVQ7" s="87"/>
      <c r="CVR7" s="87"/>
      <c r="CVS7" s="87"/>
      <c r="CVT7" s="87"/>
      <c r="CVU7" s="87"/>
      <c r="CVV7" s="87"/>
      <c r="CVW7" s="87"/>
      <c r="CVX7" s="87"/>
      <c r="CVY7" s="87"/>
      <c r="CVZ7" s="87"/>
      <c r="CWA7" s="87"/>
      <c r="CWB7" s="87"/>
      <c r="CWC7" s="87"/>
      <c r="CWD7" s="87"/>
      <c r="CWE7" s="87"/>
      <c r="CWF7" s="87"/>
      <c r="CWG7" s="87"/>
      <c r="CWH7" s="87"/>
      <c r="CWI7" s="87"/>
      <c r="CWJ7" s="87"/>
      <c r="CWK7" s="87"/>
      <c r="CWL7" s="87"/>
      <c r="CWM7" s="87"/>
      <c r="CWN7" s="87"/>
      <c r="CWO7" s="87"/>
      <c r="CWP7" s="87"/>
      <c r="CWQ7" s="87"/>
      <c r="CWR7" s="87"/>
      <c r="CWS7" s="87"/>
      <c r="CWT7" s="87"/>
      <c r="CWU7" s="87"/>
      <c r="CWV7" s="87"/>
      <c r="CWW7" s="87"/>
      <c r="CWX7" s="87"/>
      <c r="CWY7" s="87"/>
      <c r="CWZ7" s="87"/>
      <c r="CXA7" s="87"/>
      <c r="CXB7" s="87"/>
      <c r="CXC7" s="87"/>
      <c r="CXD7" s="87"/>
      <c r="CXE7" s="87"/>
      <c r="CXF7" s="87"/>
      <c r="CXG7" s="87"/>
      <c r="CXH7" s="87"/>
      <c r="CXI7" s="87"/>
      <c r="CXJ7" s="87"/>
      <c r="CXK7" s="87"/>
      <c r="CXL7" s="87"/>
      <c r="CXM7" s="87"/>
      <c r="CXN7" s="87"/>
      <c r="CXO7" s="87"/>
      <c r="CXP7" s="87"/>
      <c r="CXQ7" s="87"/>
      <c r="CXR7" s="87"/>
      <c r="CXS7" s="87"/>
      <c r="CXT7" s="87"/>
      <c r="CXU7" s="87"/>
      <c r="CXV7" s="87"/>
      <c r="CXW7" s="87"/>
      <c r="CXX7" s="87"/>
      <c r="CXY7" s="87"/>
      <c r="CXZ7" s="87"/>
      <c r="CYA7" s="87"/>
      <c r="CYB7" s="87"/>
      <c r="CYC7" s="87"/>
      <c r="CYD7" s="87"/>
      <c r="CYE7" s="87"/>
      <c r="CYF7" s="87"/>
      <c r="CYG7" s="87"/>
      <c r="CYH7" s="87"/>
      <c r="CYI7" s="87"/>
      <c r="CYJ7" s="87"/>
      <c r="CYK7" s="87"/>
      <c r="CYL7" s="87"/>
      <c r="CYM7" s="87"/>
      <c r="CYN7" s="87"/>
      <c r="CYO7" s="87"/>
      <c r="CYP7" s="87"/>
      <c r="CYQ7" s="87"/>
      <c r="CYR7" s="87"/>
      <c r="CYS7" s="87"/>
      <c r="CYT7" s="87"/>
      <c r="CYU7" s="87"/>
      <c r="CYV7" s="87"/>
      <c r="CYW7" s="87"/>
      <c r="CYX7" s="87"/>
      <c r="CYY7" s="87"/>
      <c r="CYZ7" s="87"/>
      <c r="CZA7" s="87"/>
      <c r="CZB7" s="87"/>
      <c r="CZC7" s="87"/>
      <c r="CZD7" s="87"/>
      <c r="CZE7" s="87"/>
      <c r="CZF7" s="87"/>
      <c r="CZG7" s="87"/>
      <c r="CZH7" s="87"/>
      <c r="CZI7" s="87"/>
      <c r="CZJ7" s="87"/>
      <c r="CZK7" s="87"/>
      <c r="CZL7" s="87"/>
      <c r="CZM7" s="87"/>
      <c r="CZN7" s="87"/>
      <c r="CZO7" s="87"/>
      <c r="CZP7" s="87"/>
      <c r="CZQ7" s="87"/>
      <c r="CZR7" s="87"/>
      <c r="CZS7" s="87"/>
      <c r="CZT7" s="87"/>
      <c r="CZU7" s="87"/>
      <c r="CZV7" s="87"/>
      <c r="CZW7" s="87"/>
      <c r="CZX7" s="87"/>
      <c r="CZY7" s="87"/>
      <c r="CZZ7" s="87"/>
      <c r="DAA7" s="87"/>
      <c r="DAB7" s="87"/>
      <c r="DAC7" s="87"/>
      <c r="DAD7" s="87"/>
      <c r="DAE7" s="87"/>
      <c r="DAF7" s="87"/>
      <c r="DAG7" s="87"/>
      <c r="DAH7" s="87"/>
      <c r="DAI7" s="87"/>
      <c r="DAJ7" s="87"/>
      <c r="DAK7" s="87"/>
      <c r="DAL7" s="87"/>
      <c r="DAM7" s="87"/>
      <c r="DAN7" s="87"/>
      <c r="DAO7" s="87"/>
      <c r="DAP7" s="87"/>
      <c r="DAQ7" s="87"/>
      <c r="DAR7" s="87"/>
      <c r="DAS7" s="87"/>
      <c r="DAT7" s="87"/>
      <c r="DAU7" s="87"/>
      <c r="DAV7" s="87"/>
      <c r="DAW7" s="87"/>
      <c r="DAX7" s="87"/>
      <c r="DAY7" s="87"/>
      <c r="DAZ7" s="87"/>
      <c r="DBA7" s="87"/>
      <c r="DBB7" s="87"/>
      <c r="DBC7" s="87"/>
      <c r="DBD7" s="87"/>
      <c r="DBE7" s="87"/>
      <c r="DBF7" s="87"/>
      <c r="DBG7" s="87"/>
      <c r="DBH7" s="87"/>
      <c r="DBI7" s="87"/>
      <c r="DBJ7" s="87"/>
      <c r="DBK7" s="87"/>
      <c r="DBL7" s="87"/>
      <c r="DBM7" s="87"/>
      <c r="DBN7" s="87"/>
      <c r="DBO7" s="87"/>
      <c r="DBP7" s="87"/>
      <c r="DBQ7" s="87"/>
      <c r="DBR7" s="87"/>
      <c r="DBS7" s="87"/>
      <c r="DBT7" s="87"/>
      <c r="DBU7" s="87"/>
      <c r="DBV7" s="87"/>
      <c r="DBW7" s="87"/>
      <c r="DBX7" s="87"/>
      <c r="DBY7" s="87"/>
      <c r="DBZ7" s="87"/>
      <c r="DCA7" s="87"/>
      <c r="DCB7" s="87"/>
      <c r="DCC7" s="87"/>
      <c r="DCD7" s="87"/>
      <c r="DCE7" s="87"/>
      <c r="DCF7" s="87"/>
      <c r="DCG7" s="87"/>
      <c r="DCH7" s="87"/>
      <c r="DCI7" s="87"/>
      <c r="DCJ7" s="87"/>
      <c r="DCK7" s="87"/>
      <c r="DCL7" s="87"/>
      <c r="DCM7" s="87"/>
      <c r="DCN7" s="87"/>
      <c r="DCO7" s="87"/>
      <c r="DCP7" s="87"/>
      <c r="DCQ7" s="87"/>
      <c r="DCR7" s="87"/>
      <c r="DCS7" s="87"/>
      <c r="DCT7" s="87"/>
      <c r="DCU7" s="87"/>
      <c r="DCV7" s="87"/>
      <c r="DCW7" s="87"/>
      <c r="DCX7" s="87"/>
      <c r="DCY7" s="87"/>
      <c r="DCZ7" s="87"/>
      <c r="DDA7" s="87"/>
      <c r="DDB7" s="87"/>
      <c r="DDC7" s="87"/>
      <c r="DDD7" s="87"/>
      <c r="DDE7" s="87"/>
      <c r="DDF7" s="87"/>
      <c r="DDG7" s="87"/>
      <c r="DDH7" s="87"/>
      <c r="DDI7" s="87"/>
      <c r="DDJ7" s="87"/>
      <c r="DDK7" s="87"/>
      <c r="DDL7" s="87"/>
      <c r="DDM7" s="87"/>
      <c r="DDN7" s="87"/>
      <c r="DDO7" s="87"/>
      <c r="DDP7" s="87"/>
      <c r="DDQ7" s="87"/>
      <c r="DDR7" s="87"/>
      <c r="DDS7" s="87"/>
      <c r="DDT7" s="87"/>
      <c r="DDU7" s="87"/>
      <c r="DDV7" s="87"/>
      <c r="DDW7" s="87"/>
      <c r="DDX7" s="87"/>
      <c r="DDY7" s="87"/>
      <c r="DDZ7" s="87"/>
      <c r="DEA7" s="87"/>
      <c r="DEB7" s="87"/>
      <c r="DEC7" s="87"/>
      <c r="DED7" s="87"/>
      <c r="DEE7" s="87"/>
      <c r="DEF7" s="87"/>
      <c r="DEG7" s="87"/>
      <c r="DEH7" s="87"/>
      <c r="DEI7" s="87"/>
      <c r="DEJ7" s="87"/>
      <c r="DEK7" s="87"/>
      <c r="DEL7" s="87"/>
      <c r="DEM7" s="87"/>
      <c r="DEN7" s="87"/>
      <c r="DEO7" s="87"/>
      <c r="DEP7" s="87"/>
      <c r="DEQ7" s="87"/>
      <c r="DER7" s="87"/>
      <c r="DES7" s="87"/>
      <c r="DET7" s="87"/>
      <c r="DEU7" s="87"/>
      <c r="DEV7" s="87"/>
      <c r="DEW7" s="87"/>
      <c r="DEX7" s="87"/>
      <c r="DEY7" s="87"/>
      <c r="DEZ7" s="87"/>
      <c r="DFA7" s="87"/>
      <c r="DFB7" s="87"/>
      <c r="DFC7" s="87"/>
      <c r="DFD7" s="87"/>
      <c r="DFE7" s="87"/>
      <c r="DFF7" s="87"/>
      <c r="DFG7" s="87"/>
      <c r="DFH7" s="87"/>
      <c r="DFI7" s="87"/>
      <c r="DFJ7" s="87"/>
      <c r="DFK7" s="87"/>
      <c r="DFL7" s="87"/>
      <c r="DFM7" s="87"/>
      <c r="DFN7" s="87"/>
      <c r="DFO7" s="87"/>
      <c r="DFP7" s="87"/>
      <c r="DFQ7" s="87"/>
      <c r="DFR7" s="87"/>
      <c r="DFS7" s="87"/>
      <c r="DFT7" s="87"/>
      <c r="DFU7" s="87"/>
      <c r="DFV7" s="87"/>
      <c r="DFW7" s="87"/>
      <c r="DFX7" s="87"/>
      <c r="DFY7" s="87"/>
      <c r="DFZ7" s="87"/>
      <c r="DGA7" s="87"/>
      <c r="DGB7" s="87"/>
      <c r="DGC7" s="87"/>
      <c r="DGD7" s="87"/>
      <c r="DGE7" s="87"/>
      <c r="DGF7" s="87"/>
      <c r="DGG7" s="87"/>
      <c r="DGH7" s="87"/>
      <c r="DGI7" s="87"/>
      <c r="DGJ7" s="87"/>
      <c r="DGK7" s="87"/>
      <c r="DGL7" s="87"/>
      <c r="DGM7" s="87"/>
      <c r="DGN7" s="87"/>
      <c r="DGO7" s="87"/>
      <c r="DGP7" s="87"/>
      <c r="DGQ7" s="87"/>
      <c r="DGR7" s="87"/>
      <c r="DGS7" s="87"/>
      <c r="DGT7" s="87"/>
      <c r="DGU7" s="87"/>
      <c r="DGV7" s="87"/>
      <c r="DGW7" s="87"/>
      <c r="DGX7" s="87"/>
      <c r="DGY7" s="87"/>
      <c r="DGZ7" s="87"/>
      <c r="DHA7" s="87"/>
      <c r="DHB7" s="87"/>
      <c r="DHC7" s="87"/>
      <c r="DHD7" s="87"/>
      <c r="DHE7" s="87"/>
      <c r="DHF7" s="87"/>
      <c r="DHG7" s="87"/>
      <c r="DHH7" s="87"/>
      <c r="DHI7" s="87"/>
      <c r="DHJ7" s="87"/>
      <c r="DHK7" s="87"/>
      <c r="DHL7" s="87"/>
      <c r="DHM7" s="87"/>
      <c r="DHN7" s="87"/>
      <c r="DHO7" s="87"/>
      <c r="DHP7" s="87"/>
      <c r="DHQ7" s="87"/>
      <c r="DHR7" s="87"/>
      <c r="DHS7" s="87"/>
      <c r="DHT7" s="87"/>
      <c r="DHU7" s="87"/>
      <c r="DHV7" s="87"/>
      <c r="DHW7" s="87"/>
      <c r="DHX7" s="87"/>
      <c r="DHY7" s="87"/>
      <c r="DHZ7" s="87"/>
      <c r="DIA7" s="87"/>
      <c r="DIB7" s="87"/>
      <c r="DIC7" s="87"/>
      <c r="DID7" s="87"/>
      <c r="DIE7" s="87"/>
      <c r="DIF7" s="87"/>
      <c r="DIG7" s="87"/>
      <c r="DIH7" s="87"/>
      <c r="DII7" s="87"/>
      <c r="DIJ7" s="87"/>
      <c r="DIK7" s="87"/>
      <c r="DIL7" s="87"/>
      <c r="DIM7" s="87"/>
      <c r="DIN7" s="87"/>
      <c r="DIO7" s="87"/>
      <c r="DIP7" s="87"/>
      <c r="DIQ7" s="87"/>
      <c r="DIR7" s="87"/>
      <c r="DIS7" s="87"/>
      <c r="DIT7" s="87"/>
      <c r="DIU7" s="87"/>
      <c r="DIV7" s="87"/>
      <c r="DIW7" s="87"/>
      <c r="DIX7" s="87"/>
      <c r="DIY7" s="87"/>
      <c r="DIZ7" s="87"/>
      <c r="DJA7" s="87"/>
      <c r="DJB7" s="87"/>
      <c r="DJC7" s="87"/>
      <c r="DJD7" s="87"/>
      <c r="DJE7" s="87"/>
      <c r="DJF7" s="87"/>
      <c r="DJG7" s="87"/>
      <c r="DJH7" s="87"/>
      <c r="DJI7" s="87"/>
      <c r="DJJ7" s="87"/>
      <c r="DJK7" s="87"/>
      <c r="DJL7" s="87"/>
      <c r="DJM7" s="87"/>
      <c r="DJN7" s="87"/>
      <c r="DJO7" s="87"/>
      <c r="DJP7" s="87"/>
      <c r="DJQ7" s="87"/>
      <c r="DJR7" s="87"/>
      <c r="DJS7" s="87"/>
      <c r="DJT7" s="87"/>
      <c r="DJU7" s="87"/>
      <c r="DJV7" s="87"/>
      <c r="DJW7" s="87"/>
      <c r="DJX7" s="87"/>
      <c r="DJY7" s="87"/>
      <c r="DJZ7" s="87"/>
      <c r="DKA7" s="87"/>
      <c r="DKB7" s="87"/>
      <c r="DKC7" s="87"/>
      <c r="DKD7" s="87"/>
      <c r="DKE7" s="87"/>
      <c r="DKF7" s="87"/>
      <c r="DKG7" s="87"/>
      <c r="DKH7" s="87"/>
      <c r="DKI7" s="87"/>
      <c r="DKJ7" s="87"/>
      <c r="DKK7" s="87"/>
      <c r="DKL7" s="87"/>
      <c r="DKM7" s="87"/>
      <c r="DKN7" s="87"/>
      <c r="DKO7" s="87"/>
      <c r="DKP7" s="87"/>
      <c r="DKQ7" s="87"/>
      <c r="DKR7" s="87"/>
      <c r="DKS7" s="87"/>
      <c r="DKT7" s="87"/>
      <c r="DKU7" s="87"/>
      <c r="DKV7" s="87"/>
      <c r="DKW7" s="87"/>
      <c r="DKX7" s="87"/>
      <c r="DKY7" s="87"/>
      <c r="DKZ7" s="87"/>
      <c r="DLA7" s="87"/>
      <c r="DLB7" s="87"/>
      <c r="DLC7" s="87"/>
      <c r="DLD7" s="87"/>
      <c r="DLE7" s="87"/>
      <c r="DLF7" s="87"/>
      <c r="DLG7" s="87"/>
      <c r="DLH7" s="87"/>
      <c r="DLI7" s="87"/>
      <c r="DLJ7" s="87"/>
      <c r="DLK7" s="87"/>
      <c r="DLL7" s="87"/>
      <c r="DLM7" s="87"/>
      <c r="DLN7" s="87"/>
      <c r="DLO7" s="87"/>
      <c r="DLP7" s="87"/>
      <c r="DLQ7" s="87"/>
      <c r="DLR7" s="87"/>
      <c r="DLS7" s="87"/>
      <c r="DLT7" s="87"/>
      <c r="DLU7" s="87"/>
      <c r="DLV7" s="87"/>
      <c r="DLW7" s="87"/>
      <c r="DLX7" s="87"/>
      <c r="DLY7" s="87"/>
      <c r="DLZ7" s="87"/>
      <c r="DMA7" s="87"/>
      <c r="DMB7" s="87"/>
      <c r="DMC7" s="87"/>
      <c r="DMD7" s="87"/>
      <c r="DME7" s="87"/>
      <c r="DMF7" s="87"/>
      <c r="DMG7" s="87"/>
      <c r="DMH7" s="87"/>
      <c r="DMI7" s="87"/>
      <c r="DMJ7" s="87"/>
      <c r="DMK7" s="87"/>
      <c r="DML7" s="87"/>
      <c r="DMM7" s="87"/>
      <c r="DMN7" s="87"/>
      <c r="DMO7" s="87"/>
      <c r="DMP7" s="87"/>
      <c r="DMQ7" s="87"/>
      <c r="DMR7" s="87"/>
      <c r="DMS7" s="87"/>
      <c r="DMT7" s="87"/>
      <c r="DMU7" s="87"/>
      <c r="DMV7" s="87"/>
      <c r="DMW7" s="87"/>
      <c r="DMX7" s="87"/>
      <c r="DMY7" s="87"/>
      <c r="DMZ7" s="87"/>
      <c r="DNA7" s="87"/>
      <c r="DNB7" s="87"/>
      <c r="DNC7" s="87"/>
      <c r="DND7" s="87"/>
      <c r="DNE7" s="87"/>
      <c r="DNF7" s="87"/>
      <c r="DNG7" s="87"/>
      <c r="DNH7" s="87"/>
      <c r="DNI7" s="87"/>
      <c r="DNJ7" s="87"/>
      <c r="DNK7" s="87"/>
      <c r="DNL7" s="87"/>
      <c r="DNM7" s="87"/>
      <c r="DNN7" s="87"/>
      <c r="DNO7" s="87"/>
      <c r="DNP7" s="87"/>
      <c r="DNQ7" s="87"/>
      <c r="DNR7" s="87"/>
      <c r="DNS7" s="87"/>
      <c r="DNT7" s="87"/>
      <c r="DNU7" s="87"/>
      <c r="DNV7" s="87"/>
      <c r="DNW7" s="87"/>
      <c r="DNX7" s="87"/>
      <c r="DNY7" s="87"/>
      <c r="DNZ7" s="87"/>
      <c r="DOA7" s="87"/>
      <c r="DOB7" s="87"/>
      <c r="DOC7" s="87"/>
      <c r="DOD7" s="87"/>
      <c r="DOE7" s="87"/>
      <c r="DOF7" s="87"/>
      <c r="DOG7" s="87"/>
      <c r="DOH7" s="87"/>
      <c r="DOI7" s="87"/>
      <c r="DOJ7" s="87"/>
      <c r="DOK7" s="87"/>
      <c r="DOL7" s="87"/>
      <c r="DOM7" s="87"/>
      <c r="DON7" s="87"/>
      <c r="DOO7" s="87"/>
      <c r="DOP7" s="87"/>
      <c r="DOQ7" s="87"/>
      <c r="DOR7" s="87"/>
      <c r="DOS7" s="87"/>
      <c r="DOT7" s="87"/>
      <c r="DOU7" s="87"/>
      <c r="DOV7" s="87"/>
      <c r="DOW7" s="87"/>
      <c r="DOX7" s="87"/>
      <c r="DOY7" s="87"/>
      <c r="DOZ7" s="87"/>
      <c r="DPA7" s="87"/>
      <c r="DPB7" s="87"/>
      <c r="DPC7" s="87"/>
      <c r="DPD7" s="87"/>
      <c r="DPE7" s="87"/>
      <c r="DPF7" s="87"/>
      <c r="DPG7" s="87"/>
      <c r="DPH7" s="87"/>
      <c r="DPI7" s="87"/>
      <c r="DPJ7" s="87"/>
      <c r="DPK7" s="87"/>
      <c r="DPL7" s="87"/>
      <c r="DPM7" s="87"/>
      <c r="DPN7" s="87"/>
      <c r="DPO7" s="87"/>
      <c r="DPP7" s="87"/>
      <c r="DPQ7" s="87"/>
      <c r="DPR7" s="87"/>
      <c r="DPS7" s="87"/>
      <c r="DPT7" s="87"/>
      <c r="DPU7" s="87"/>
      <c r="DPV7" s="87"/>
      <c r="DPW7" s="87"/>
      <c r="DPX7" s="87"/>
      <c r="DPY7" s="87"/>
      <c r="DPZ7" s="87"/>
      <c r="DQA7" s="87"/>
      <c r="DQB7" s="87"/>
      <c r="DQC7" s="87"/>
      <c r="DQD7" s="87"/>
      <c r="DQE7" s="87"/>
      <c r="DQF7" s="87"/>
      <c r="DQG7" s="87"/>
      <c r="DQH7" s="87"/>
      <c r="DQI7" s="87"/>
      <c r="DQJ7" s="87"/>
      <c r="DQK7" s="87"/>
      <c r="DQL7" s="87"/>
      <c r="DQM7" s="87"/>
      <c r="DQN7" s="87"/>
      <c r="DQO7" s="87"/>
      <c r="DQP7" s="87"/>
      <c r="DQQ7" s="87"/>
      <c r="DQR7" s="87"/>
      <c r="DQS7" s="87"/>
      <c r="DQT7" s="87"/>
      <c r="DQU7" s="87"/>
      <c r="DQV7" s="87"/>
      <c r="DQW7" s="87"/>
      <c r="DQX7" s="87"/>
      <c r="DQY7" s="87"/>
      <c r="DQZ7" s="87"/>
      <c r="DRA7" s="87"/>
      <c r="DRB7" s="87"/>
      <c r="DRC7" s="87"/>
      <c r="DRD7" s="87"/>
      <c r="DRE7" s="87"/>
      <c r="DRF7" s="87"/>
      <c r="DRG7" s="87"/>
      <c r="DRH7" s="87"/>
      <c r="DRI7" s="87"/>
      <c r="DRJ7" s="87"/>
      <c r="DRK7" s="87"/>
      <c r="DRL7" s="87"/>
      <c r="DRM7" s="87"/>
      <c r="DRN7" s="87"/>
      <c r="DRO7" s="87"/>
      <c r="DRP7" s="87"/>
      <c r="DRQ7" s="87"/>
      <c r="DRR7" s="87"/>
      <c r="DRS7" s="87"/>
      <c r="DRT7" s="87"/>
      <c r="DRU7" s="87"/>
      <c r="DRV7" s="87"/>
      <c r="DRW7" s="87"/>
      <c r="DRX7" s="87"/>
      <c r="DRY7" s="87"/>
      <c r="DRZ7" s="87"/>
      <c r="DSA7" s="87"/>
      <c r="DSB7" s="87"/>
      <c r="DSC7" s="87"/>
      <c r="DSD7" s="87"/>
      <c r="DSE7" s="87"/>
      <c r="DSF7" s="87"/>
      <c r="DSG7" s="87"/>
      <c r="DSH7" s="87"/>
      <c r="DSI7" s="87"/>
      <c r="DSJ7" s="87"/>
      <c r="DSK7" s="87"/>
      <c r="DSL7" s="87"/>
      <c r="DSM7" s="87"/>
      <c r="DSN7" s="87"/>
      <c r="DSO7" s="87"/>
      <c r="DSP7" s="87"/>
      <c r="DSQ7" s="87"/>
      <c r="DSR7" s="87"/>
      <c r="DSS7" s="87"/>
      <c r="DST7" s="87"/>
      <c r="DSU7" s="87"/>
      <c r="DSV7" s="87"/>
      <c r="DSW7" s="87"/>
      <c r="DSX7" s="87"/>
      <c r="DSY7" s="87"/>
      <c r="DSZ7" s="87"/>
      <c r="DTA7" s="87"/>
      <c r="DTB7" s="87"/>
      <c r="DTC7" s="87"/>
      <c r="DTD7" s="87"/>
      <c r="DTE7" s="87"/>
      <c r="DTF7" s="87"/>
      <c r="DTG7" s="87"/>
      <c r="DTH7" s="87"/>
      <c r="DTI7" s="87"/>
      <c r="DTJ7" s="87"/>
      <c r="DTK7" s="87"/>
      <c r="DTL7" s="87"/>
      <c r="DTM7" s="87"/>
      <c r="DTN7" s="87"/>
      <c r="DTO7" s="87"/>
      <c r="DTP7" s="87"/>
      <c r="DTQ7" s="87"/>
      <c r="DTR7" s="87"/>
      <c r="DTS7" s="87"/>
      <c r="DTT7" s="87"/>
      <c r="DTU7" s="87"/>
      <c r="DTV7" s="87"/>
      <c r="DTW7" s="87"/>
      <c r="DTX7" s="87"/>
      <c r="DTY7" s="87"/>
      <c r="DTZ7" s="87"/>
      <c r="DUA7" s="87"/>
      <c r="DUB7" s="87"/>
      <c r="DUC7" s="87"/>
      <c r="DUD7" s="87"/>
      <c r="DUE7" s="87"/>
      <c r="DUF7" s="87"/>
      <c r="DUG7" s="87"/>
      <c r="DUH7" s="87"/>
      <c r="DUI7" s="87"/>
      <c r="DUJ7" s="87"/>
      <c r="DUK7" s="87"/>
      <c r="DUL7" s="87"/>
      <c r="DUM7" s="87"/>
      <c r="DUN7" s="87"/>
      <c r="DUO7" s="87"/>
      <c r="DUP7" s="87"/>
      <c r="DUQ7" s="87"/>
      <c r="DUR7" s="87"/>
      <c r="DUS7" s="87"/>
      <c r="DUT7" s="87"/>
      <c r="DUU7" s="87"/>
      <c r="DUV7" s="87"/>
      <c r="DUW7" s="87"/>
      <c r="DUX7" s="87"/>
      <c r="DUY7" s="87"/>
      <c r="DUZ7" s="87"/>
      <c r="DVA7" s="87"/>
      <c r="DVB7" s="87"/>
      <c r="DVC7" s="87"/>
      <c r="DVD7" s="87"/>
      <c r="DVE7" s="87"/>
      <c r="DVF7" s="87"/>
      <c r="DVG7" s="87"/>
      <c r="DVH7" s="87"/>
      <c r="DVI7" s="87"/>
      <c r="DVJ7" s="87"/>
      <c r="DVK7" s="87"/>
      <c r="DVL7" s="87"/>
      <c r="DVM7" s="87"/>
      <c r="DVN7" s="87"/>
      <c r="DVO7" s="87"/>
      <c r="DVP7" s="87"/>
      <c r="DVQ7" s="87"/>
      <c r="DVR7" s="87"/>
      <c r="DVS7" s="87"/>
      <c r="DVT7" s="87"/>
      <c r="DVU7" s="87"/>
      <c r="DVV7" s="87"/>
      <c r="DVW7" s="87"/>
      <c r="DVX7" s="87"/>
      <c r="DVY7" s="87"/>
      <c r="DVZ7" s="87"/>
      <c r="DWA7" s="87"/>
      <c r="DWB7" s="87"/>
      <c r="DWC7" s="87"/>
      <c r="DWD7" s="87"/>
      <c r="DWE7" s="87"/>
      <c r="DWF7" s="87"/>
      <c r="DWG7" s="87"/>
      <c r="DWH7" s="87"/>
      <c r="DWI7" s="87"/>
      <c r="DWJ7" s="87"/>
      <c r="DWK7" s="87"/>
      <c r="DWL7" s="87"/>
      <c r="DWM7" s="87"/>
      <c r="DWN7" s="87"/>
      <c r="DWO7" s="87"/>
      <c r="DWP7" s="87"/>
      <c r="DWQ7" s="87"/>
      <c r="DWR7" s="87"/>
      <c r="DWS7" s="87"/>
      <c r="DWT7" s="87"/>
      <c r="DWU7" s="87"/>
      <c r="DWV7" s="87"/>
      <c r="DWW7" s="87"/>
      <c r="DWX7" s="87"/>
      <c r="DWY7" s="87"/>
      <c r="DWZ7" s="87"/>
      <c r="DXA7" s="87"/>
      <c r="DXB7" s="87"/>
      <c r="DXC7" s="87"/>
      <c r="DXD7" s="87"/>
      <c r="DXE7" s="87"/>
      <c r="DXF7" s="87"/>
      <c r="DXG7" s="87"/>
      <c r="DXH7" s="87"/>
      <c r="DXI7" s="87"/>
      <c r="DXJ7" s="87"/>
      <c r="DXK7" s="87"/>
      <c r="DXL7" s="87"/>
      <c r="DXM7" s="87"/>
      <c r="DXN7" s="87"/>
      <c r="DXO7" s="87"/>
      <c r="DXP7" s="87"/>
      <c r="DXQ7" s="87"/>
      <c r="DXR7" s="87"/>
      <c r="DXS7" s="87"/>
      <c r="DXT7" s="87"/>
      <c r="DXU7" s="87"/>
      <c r="DXV7" s="87"/>
      <c r="DXW7" s="87"/>
      <c r="DXX7" s="87"/>
      <c r="DXY7" s="87"/>
      <c r="DXZ7" s="87"/>
      <c r="DYA7" s="87"/>
      <c r="DYB7" s="87"/>
      <c r="DYC7" s="87"/>
      <c r="DYD7" s="87"/>
      <c r="DYE7" s="87"/>
      <c r="DYF7" s="87"/>
      <c r="DYG7" s="87"/>
      <c r="DYH7" s="87"/>
      <c r="DYI7" s="87"/>
      <c r="DYJ7" s="87"/>
      <c r="DYK7" s="87"/>
      <c r="DYL7" s="87"/>
      <c r="DYM7" s="87"/>
      <c r="DYN7" s="87"/>
      <c r="DYO7" s="87"/>
      <c r="DYP7" s="87"/>
      <c r="DYQ7" s="87"/>
      <c r="DYR7" s="87"/>
      <c r="DYS7" s="87"/>
      <c r="DYT7" s="87"/>
      <c r="DYU7" s="87"/>
      <c r="DYV7" s="87"/>
      <c r="DYW7" s="87"/>
      <c r="DYX7" s="87"/>
      <c r="DYY7" s="87"/>
      <c r="DYZ7" s="87"/>
      <c r="DZA7" s="87"/>
      <c r="DZB7" s="87"/>
      <c r="DZC7" s="87"/>
      <c r="DZD7" s="87"/>
      <c r="DZE7" s="87"/>
      <c r="DZF7" s="87"/>
      <c r="DZG7" s="87"/>
      <c r="DZH7" s="87"/>
      <c r="DZI7" s="87"/>
      <c r="DZJ7" s="87"/>
      <c r="DZK7" s="87"/>
      <c r="DZL7" s="87"/>
      <c r="DZM7" s="87"/>
      <c r="DZN7" s="87"/>
      <c r="DZO7" s="87"/>
      <c r="DZP7" s="87"/>
      <c r="DZQ7" s="87"/>
      <c r="DZR7" s="87"/>
      <c r="DZS7" s="87"/>
      <c r="DZT7" s="87"/>
      <c r="DZU7" s="87"/>
      <c r="DZV7" s="87"/>
      <c r="DZW7" s="87"/>
      <c r="DZX7" s="87"/>
      <c r="DZY7" s="87"/>
      <c r="DZZ7" s="87"/>
      <c r="EAA7" s="87"/>
      <c r="EAB7" s="87"/>
      <c r="EAC7" s="87"/>
      <c r="EAD7" s="87"/>
      <c r="EAE7" s="87"/>
      <c r="EAF7" s="87"/>
      <c r="EAG7" s="87"/>
      <c r="EAH7" s="87"/>
      <c r="EAI7" s="87"/>
      <c r="EAJ7" s="87"/>
      <c r="EAK7" s="87"/>
      <c r="EAL7" s="87"/>
      <c r="EAM7" s="87"/>
      <c r="EAN7" s="87"/>
      <c r="EAO7" s="87"/>
      <c r="EAP7" s="87"/>
      <c r="EAQ7" s="87"/>
      <c r="EAR7" s="87"/>
      <c r="EAS7" s="87"/>
      <c r="EAT7" s="87"/>
      <c r="EAU7" s="87"/>
      <c r="EAV7" s="87"/>
      <c r="EAW7" s="87"/>
      <c r="EAX7" s="87"/>
      <c r="EAY7" s="87"/>
      <c r="EAZ7" s="87"/>
      <c r="EBA7" s="87"/>
      <c r="EBB7" s="87"/>
      <c r="EBC7" s="87"/>
      <c r="EBD7" s="87"/>
      <c r="EBE7" s="87"/>
      <c r="EBF7" s="87"/>
      <c r="EBG7" s="87"/>
      <c r="EBH7" s="87"/>
      <c r="EBI7" s="87"/>
      <c r="EBJ7" s="87"/>
      <c r="EBK7" s="87"/>
      <c r="EBL7" s="87"/>
      <c r="EBM7" s="87"/>
      <c r="EBN7" s="87"/>
      <c r="EBO7" s="87"/>
      <c r="EBP7" s="87"/>
      <c r="EBQ7" s="87"/>
      <c r="EBR7" s="87"/>
      <c r="EBS7" s="87"/>
      <c r="EBT7" s="87"/>
      <c r="EBU7" s="87"/>
      <c r="EBV7" s="87"/>
      <c r="EBW7" s="87"/>
      <c r="EBX7" s="87"/>
      <c r="EBY7" s="87"/>
      <c r="EBZ7" s="87"/>
      <c r="ECA7" s="87"/>
      <c r="ECB7" s="87"/>
      <c r="ECC7" s="87"/>
      <c r="ECD7" s="87"/>
      <c r="ECE7" s="87"/>
      <c r="ECF7" s="87"/>
      <c r="ECG7" s="87"/>
      <c r="ECH7" s="87"/>
      <c r="ECI7" s="87"/>
      <c r="ECJ7" s="87"/>
      <c r="ECK7" s="87"/>
      <c r="ECL7" s="87"/>
      <c r="ECM7" s="87"/>
      <c r="ECN7" s="87"/>
      <c r="ECO7" s="87"/>
      <c r="ECP7" s="87"/>
      <c r="ECQ7" s="87"/>
      <c r="ECR7" s="87"/>
      <c r="ECS7" s="87"/>
      <c r="ECT7" s="87"/>
      <c r="ECU7" s="87"/>
      <c r="ECV7" s="87"/>
      <c r="ECW7" s="87"/>
      <c r="ECX7" s="87"/>
      <c r="ECY7" s="87"/>
      <c r="ECZ7" s="87"/>
      <c r="EDA7" s="87"/>
      <c r="EDB7" s="87"/>
      <c r="EDC7" s="87"/>
      <c r="EDD7" s="87"/>
      <c r="EDE7" s="87"/>
      <c r="EDF7" s="87"/>
      <c r="EDG7" s="87"/>
      <c r="EDH7" s="87"/>
      <c r="EDI7" s="87"/>
      <c r="EDJ7" s="87"/>
      <c r="EDK7" s="87"/>
      <c r="EDL7" s="87"/>
      <c r="EDM7" s="87"/>
      <c r="EDN7" s="87"/>
      <c r="EDO7" s="87"/>
      <c r="EDP7" s="87"/>
      <c r="EDQ7" s="87"/>
      <c r="EDR7" s="87"/>
      <c r="EDS7" s="87"/>
      <c r="EDT7" s="87"/>
      <c r="EDU7" s="87"/>
      <c r="EDV7" s="87"/>
      <c r="EDW7" s="87"/>
      <c r="EDX7" s="87"/>
      <c r="EDY7" s="87"/>
      <c r="EDZ7" s="87"/>
      <c r="EEA7" s="87"/>
      <c r="EEB7" s="87"/>
      <c r="EEC7" s="87"/>
      <c r="EED7" s="87"/>
      <c r="EEE7" s="87"/>
      <c r="EEF7" s="87"/>
      <c r="EEG7" s="87"/>
      <c r="EEH7" s="87"/>
      <c r="EEI7" s="87"/>
      <c r="EEJ7" s="87"/>
      <c r="EEK7" s="87"/>
      <c r="EEL7" s="87"/>
      <c r="EEM7" s="87"/>
      <c r="EEN7" s="87"/>
      <c r="EEO7" s="87"/>
      <c r="EEP7" s="87"/>
      <c r="EEQ7" s="87"/>
      <c r="EER7" s="87"/>
      <c r="EES7" s="87"/>
      <c r="EET7" s="87"/>
      <c r="EEU7" s="87"/>
      <c r="EEV7" s="87"/>
      <c r="EEW7" s="87"/>
      <c r="EEX7" s="87"/>
      <c r="EEY7" s="87"/>
      <c r="EEZ7" s="87"/>
      <c r="EFA7" s="87"/>
      <c r="EFB7" s="87"/>
      <c r="EFC7" s="87"/>
      <c r="EFD7" s="87"/>
      <c r="EFE7" s="87"/>
      <c r="EFF7" s="87"/>
      <c r="EFG7" s="87"/>
      <c r="EFH7" s="87"/>
      <c r="EFI7" s="87"/>
      <c r="EFJ7" s="87"/>
      <c r="EFK7" s="87"/>
      <c r="EFL7" s="87"/>
      <c r="EFM7" s="87"/>
      <c r="EFN7" s="87"/>
      <c r="EFO7" s="87"/>
      <c r="EFP7" s="87"/>
      <c r="EFQ7" s="87"/>
      <c r="EFR7" s="87"/>
      <c r="EFS7" s="87"/>
      <c r="EFT7" s="87"/>
      <c r="EFU7" s="87"/>
      <c r="EFV7" s="87"/>
      <c r="EFW7" s="87"/>
      <c r="EFX7" s="87"/>
      <c r="EFY7" s="87"/>
      <c r="EFZ7" s="87"/>
      <c r="EGA7" s="87"/>
      <c r="EGB7" s="87"/>
      <c r="EGC7" s="87"/>
      <c r="EGD7" s="87"/>
      <c r="EGE7" s="87"/>
      <c r="EGF7" s="87"/>
      <c r="EGG7" s="87"/>
      <c r="EGH7" s="87"/>
      <c r="EGI7" s="87"/>
      <c r="EGJ7" s="87"/>
      <c r="EGK7" s="87"/>
      <c r="EGL7" s="87"/>
      <c r="EGM7" s="87"/>
      <c r="EGN7" s="87"/>
      <c r="EGO7" s="87"/>
      <c r="EGP7" s="87"/>
      <c r="EGQ7" s="87"/>
      <c r="EGR7" s="87"/>
      <c r="EGS7" s="87"/>
      <c r="EGT7" s="87"/>
      <c r="EGU7" s="87"/>
      <c r="EGV7" s="87"/>
      <c r="EGW7" s="87"/>
      <c r="EGX7" s="87"/>
      <c r="EGY7" s="87"/>
      <c r="EGZ7" s="87"/>
      <c r="EHA7" s="87"/>
      <c r="EHB7" s="87"/>
      <c r="EHC7" s="87"/>
      <c r="EHD7" s="87"/>
      <c r="EHE7" s="87"/>
      <c r="EHF7" s="87"/>
      <c r="EHG7" s="87"/>
      <c r="EHH7" s="87"/>
      <c r="EHI7" s="87"/>
      <c r="EHJ7" s="87"/>
      <c r="EHK7" s="87"/>
      <c r="EHL7" s="87"/>
      <c r="EHM7" s="87"/>
      <c r="EHN7" s="87"/>
      <c r="EHO7" s="87"/>
      <c r="EHP7" s="87"/>
      <c r="EHQ7" s="87"/>
      <c r="EHR7" s="87"/>
      <c r="EHS7" s="87"/>
      <c r="EHT7" s="87"/>
      <c r="EHU7" s="87"/>
      <c r="EHV7" s="87"/>
      <c r="EHW7" s="87"/>
      <c r="EHX7" s="87"/>
      <c r="EHY7" s="87"/>
      <c r="EHZ7" s="87"/>
      <c r="EIA7" s="87"/>
      <c r="EIB7" s="87"/>
      <c r="EIC7" s="87"/>
      <c r="EID7" s="87"/>
      <c r="EIE7" s="87"/>
      <c r="EIF7" s="87"/>
      <c r="EIG7" s="87"/>
      <c r="EIH7" s="87"/>
      <c r="EII7" s="87"/>
      <c r="EIJ7" s="87"/>
      <c r="EIK7" s="87"/>
      <c r="EIL7" s="87"/>
      <c r="EIM7" s="87"/>
      <c r="EIN7" s="87"/>
      <c r="EIO7" s="87"/>
      <c r="EIP7" s="87"/>
      <c r="EIQ7" s="87"/>
      <c r="EIR7" s="87"/>
      <c r="EIS7" s="87"/>
      <c r="EIT7" s="87"/>
      <c r="EIU7" s="87"/>
      <c r="EIV7" s="87"/>
      <c r="EIW7" s="87"/>
      <c r="EIX7" s="87"/>
      <c r="EIY7" s="87"/>
      <c r="EIZ7" s="87"/>
      <c r="EJA7" s="87"/>
      <c r="EJB7" s="87"/>
      <c r="EJC7" s="87"/>
      <c r="EJD7" s="87"/>
      <c r="EJE7" s="87"/>
      <c r="EJF7" s="87"/>
      <c r="EJG7" s="87"/>
      <c r="EJH7" s="87"/>
      <c r="EJI7" s="87"/>
      <c r="EJJ7" s="87"/>
      <c r="EJK7" s="87"/>
      <c r="EJL7" s="87"/>
      <c r="EJM7" s="87"/>
      <c r="EJN7" s="87"/>
      <c r="EJO7" s="87"/>
      <c r="EJP7" s="87"/>
      <c r="EJQ7" s="87"/>
      <c r="EJR7" s="87"/>
      <c r="EJS7" s="87"/>
      <c r="EJT7" s="87"/>
      <c r="EJU7" s="87"/>
      <c r="EJV7" s="87"/>
      <c r="EJW7" s="87"/>
      <c r="EJX7" s="87"/>
      <c r="EJY7" s="87"/>
      <c r="EJZ7" s="87"/>
      <c r="EKA7" s="87"/>
      <c r="EKB7" s="87"/>
      <c r="EKC7" s="87"/>
      <c r="EKD7" s="87"/>
      <c r="EKE7" s="87"/>
      <c r="EKF7" s="87"/>
      <c r="EKG7" s="87"/>
      <c r="EKH7" s="87"/>
      <c r="EKI7" s="87"/>
      <c r="EKJ7" s="87"/>
      <c r="EKK7" s="87"/>
      <c r="EKL7" s="87"/>
      <c r="EKM7" s="87"/>
      <c r="EKN7" s="87"/>
      <c r="EKO7" s="87"/>
      <c r="EKP7" s="87"/>
      <c r="EKQ7" s="87"/>
      <c r="EKR7" s="87"/>
      <c r="EKS7" s="87"/>
      <c r="EKT7" s="87"/>
      <c r="EKU7" s="87"/>
      <c r="EKV7" s="87"/>
      <c r="EKW7" s="87"/>
      <c r="EKX7" s="87"/>
      <c r="EKY7" s="87"/>
      <c r="EKZ7" s="87"/>
      <c r="ELA7" s="87"/>
      <c r="ELB7" s="87"/>
      <c r="ELC7" s="87"/>
      <c r="ELD7" s="87"/>
      <c r="ELE7" s="87"/>
      <c r="ELF7" s="87"/>
      <c r="ELG7" s="87"/>
      <c r="ELH7" s="87"/>
      <c r="ELI7" s="87"/>
      <c r="ELJ7" s="87"/>
      <c r="ELK7" s="87"/>
      <c r="ELL7" s="87"/>
      <c r="ELM7" s="87"/>
      <c r="ELN7" s="87"/>
      <c r="ELO7" s="87"/>
      <c r="ELP7" s="87"/>
      <c r="ELQ7" s="87"/>
      <c r="ELR7" s="87"/>
      <c r="ELS7" s="87"/>
      <c r="ELT7" s="87"/>
      <c r="ELU7" s="87"/>
      <c r="ELV7" s="87"/>
      <c r="ELW7" s="87"/>
      <c r="ELX7" s="87"/>
      <c r="ELY7" s="87"/>
      <c r="ELZ7" s="87"/>
      <c r="EMA7" s="87"/>
      <c r="EMB7" s="87"/>
      <c r="EMC7" s="87"/>
      <c r="EMD7" s="87"/>
      <c r="EME7" s="87"/>
      <c r="EMF7" s="87"/>
      <c r="EMG7" s="87"/>
      <c r="EMH7" s="87"/>
      <c r="EMI7" s="87"/>
      <c r="EMJ7" s="87"/>
      <c r="EMK7" s="87"/>
      <c r="EML7" s="87"/>
      <c r="EMM7" s="87"/>
      <c r="EMN7" s="87"/>
      <c r="EMO7" s="87"/>
      <c r="EMP7" s="87"/>
      <c r="EMQ7" s="87"/>
      <c r="EMR7" s="87"/>
      <c r="EMS7" s="87"/>
      <c r="EMT7" s="87"/>
      <c r="EMU7" s="87"/>
      <c r="EMV7" s="87"/>
      <c r="EMW7" s="87"/>
      <c r="EMX7" s="87"/>
      <c r="EMY7" s="87"/>
      <c r="EMZ7" s="87"/>
      <c r="ENA7" s="87"/>
      <c r="ENB7" s="87"/>
      <c r="ENC7" s="87"/>
      <c r="END7" s="87"/>
      <c r="ENE7" s="87"/>
      <c r="ENF7" s="87"/>
      <c r="ENG7" s="87"/>
      <c r="ENH7" s="87"/>
      <c r="ENI7" s="87"/>
      <c r="ENJ7" s="87"/>
      <c r="ENK7" s="87"/>
      <c r="ENL7" s="87"/>
      <c r="ENM7" s="87"/>
      <c r="ENN7" s="87"/>
      <c r="ENO7" s="87"/>
      <c r="ENP7" s="87"/>
      <c r="ENQ7" s="87"/>
      <c r="ENR7" s="87"/>
      <c r="ENS7" s="87"/>
      <c r="ENT7" s="87"/>
      <c r="ENU7" s="87"/>
      <c r="ENV7" s="87"/>
      <c r="ENW7" s="87"/>
      <c r="ENX7" s="87"/>
      <c r="ENY7" s="87"/>
      <c r="ENZ7" s="87"/>
      <c r="EOA7" s="87"/>
      <c r="EOB7" s="87"/>
      <c r="EOC7" s="87"/>
      <c r="EOD7" s="87"/>
      <c r="EOE7" s="87"/>
      <c r="EOF7" s="87"/>
      <c r="EOG7" s="87"/>
      <c r="EOH7" s="87"/>
      <c r="EOI7" s="87"/>
      <c r="EOJ7" s="87"/>
      <c r="EOK7" s="87"/>
      <c r="EOL7" s="87"/>
      <c r="EOM7" s="87"/>
      <c r="EON7" s="87"/>
      <c r="EOO7" s="87"/>
      <c r="EOP7" s="87"/>
      <c r="EOQ7" s="87"/>
      <c r="EOR7" s="87"/>
      <c r="EOS7" s="87"/>
      <c r="EOT7" s="87"/>
      <c r="EOU7" s="87"/>
      <c r="EOV7" s="87"/>
      <c r="EOW7" s="87"/>
      <c r="EOX7" s="87"/>
      <c r="EOY7" s="87"/>
      <c r="EOZ7" s="87"/>
      <c r="EPA7" s="87"/>
      <c r="EPB7" s="87"/>
      <c r="EPC7" s="87"/>
      <c r="EPD7" s="87"/>
      <c r="EPE7" s="87"/>
      <c r="EPF7" s="87"/>
      <c r="EPG7" s="87"/>
      <c r="EPH7" s="87"/>
      <c r="EPI7" s="87"/>
      <c r="EPJ7" s="87"/>
      <c r="EPK7" s="87"/>
      <c r="EPL7" s="87"/>
      <c r="EPM7" s="87"/>
      <c r="EPN7" s="87"/>
      <c r="EPO7" s="87"/>
      <c r="EPP7" s="87"/>
      <c r="EPQ7" s="87"/>
      <c r="EPR7" s="87"/>
      <c r="EPS7" s="87"/>
      <c r="EPT7" s="87"/>
      <c r="EPU7" s="87"/>
      <c r="EPV7" s="87"/>
      <c r="EPW7" s="87"/>
      <c r="EPX7" s="87"/>
      <c r="EPY7" s="87"/>
      <c r="EPZ7" s="87"/>
      <c r="EQA7" s="87"/>
      <c r="EQB7" s="87"/>
      <c r="EQC7" s="87"/>
      <c r="EQD7" s="87"/>
      <c r="EQE7" s="87"/>
      <c r="EQF7" s="87"/>
      <c r="EQG7" s="87"/>
      <c r="EQH7" s="87"/>
      <c r="EQI7" s="87"/>
      <c r="EQJ7" s="87"/>
      <c r="EQK7" s="87"/>
      <c r="EQL7" s="87"/>
      <c r="EQM7" s="87"/>
      <c r="EQN7" s="87"/>
      <c r="EQO7" s="87"/>
      <c r="EQP7" s="87"/>
      <c r="EQQ7" s="87"/>
      <c r="EQR7" s="87"/>
      <c r="EQS7" s="87"/>
      <c r="EQT7" s="87"/>
      <c r="EQU7" s="87"/>
      <c r="EQV7" s="87"/>
      <c r="EQW7" s="87"/>
      <c r="EQX7" s="87"/>
      <c r="EQY7" s="87"/>
      <c r="EQZ7" s="87"/>
      <c r="ERA7" s="87"/>
      <c r="ERB7" s="87"/>
      <c r="ERC7" s="87"/>
      <c r="ERD7" s="87"/>
      <c r="ERE7" s="87"/>
      <c r="ERF7" s="87"/>
      <c r="ERG7" s="87"/>
      <c r="ERH7" s="87"/>
      <c r="ERI7" s="87"/>
      <c r="ERJ7" s="87"/>
      <c r="ERK7" s="87"/>
      <c r="ERL7" s="87"/>
      <c r="ERM7" s="87"/>
      <c r="ERN7" s="87"/>
      <c r="ERO7" s="87"/>
      <c r="ERP7" s="87"/>
      <c r="ERQ7" s="87"/>
      <c r="ERR7" s="87"/>
      <c r="ERS7" s="87"/>
      <c r="ERT7" s="87"/>
      <c r="ERU7" s="87"/>
      <c r="ERV7" s="87"/>
      <c r="ERW7" s="87"/>
      <c r="ERX7" s="87"/>
      <c r="ERY7" s="87"/>
      <c r="ERZ7" s="87"/>
      <c r="ESA7" s="87"/>
      <c r="ESB7" s="87"/>
      <c r="ESC7" s="87"/>
      <c r="ESD7" s="87"/>
      <c r="ESE7" s="87"/>
      <c r="ESF7" s="87"/>
      <c r="ESG7" s="87"/>
      <c r="ESH7" s="87"/>
      <c r="ESI7" s="87"/>
      <c r="ESJ7" s="87"/>
      <c r="ESK7" s="87"/>
      <c r="ESL7" s="87"/>
      <c r="ESM7" s="87"/>
      <c r="ESN7" s="87"/>
      <c r="ESO7" s="87"/>
      <c r="ESP7" s="87"/>
      <c r="ESQ7" s="87"/>
      <c r="ESR7" s="87"/>
      <c r="ESS7" s="87"/>
      <c r="EST7" s="87"/>
      <c r="ESU7" s="87"/>
      <c r="ESV7" s="87"/>
      <c r="ESW7" s="87"/>
      <c r="ESX7" s="87"/>
      <c r="ESY7" s="87"/>
      <c r="ESZ7" s="87"/>
      <c r="ETA7" s="87"/>
      <c r="ETB7" s="87"/>
      <c r="ETC7" s="87"/>
      <c r="ETD7" s="87"/>
      <c r="ETE7" s="87"/>
      <c r="ETF7" s="87"/>
      <c r="ETG7" s="87"/>
      <c r="ETH7" s="87"/>
      <c r="ETI7" s="87"/>
      <c r="ETJ7" s="87"/>
      <c r="ETK7" s="87"/>
      <c r="ETL7" s="87"/>
      <c r="ETM7" s="87"/>
      <c r="ETN7" s="87"/>
      <c r="ETO7" s="87"/>
      <c r="ETP7" s="87"/>
      <c r="ETQ7" s="87"/>
      <c r="ETR7" s="87"/>
      <c r="ETS7" s="87"/>
      <c r="ETT7" s="87"/>
      <c r="ETU7" s="87"/>
      <c r="ETV7" s="87"/>
      <c r="ETW7" s="87"/>
      <c r="ETX7" s="87"/>
      <c r="ETY7" s="87"/>
      <c r="ETZ7" s="87"/>
      <c r="EUA7" s="87"/>
      <c r="EUB7" s="87"/>
      <c r="EUC7" s="87"/>
      <c r="EUD7" s="87"/>
      <c r="EUE7" s="87"/>
      <c r="EUF7" s="87"/>
      <c r="EUG7" s="87"/>
      <c r="EUH7" s="87"/>
      <c r="EUI7" s="87"/>
      <c r="EUJ7" s="87"/>
      <c r="EUK7" s="87"/>
      <c r="EUL7" s="87"/>
      <c r="EUM7" s="87"/>
      <c r="EUN7" s="87"/>
      <c r="EUO7" s="87"/>
      <c r="EUP7" s="87"/>
      <c r="EUQ7" s="87"/>
      <c r="EUR7" s="87"/>
      <c r="EUS7" s="87"/>
      <c r="EUT7" s="87"/>
      <c r="EUU7" s="87"/>
      <c r="EUV7" s="87"/>
      <c r="EUW7" s="87"/>
      <c r="EUX7" s="87"/>
      <c r="EUY7" s="87"/>
      <c r="EUZ7" s="87"/>
      <c r="EVA7" s="87"/>
      <c r="EVB7" s="87"/>
      <c r="EVC7" s="87"/>
      <c r="EVD7" s="87"/>
      <c r="EVE7" s="87"/>
      <c r="EVF7" s="87"/>
      <c r="EVG7" s="87"/>
      <c r="EVH7" s="87"/>
      <c r="EVI7" s="87"/>
      <c r="EVJ7" s="87"/>
      <c r="EVK7" s="87"/>
      <c r="EVL7" s="87"/>
      <c r="EVM7" s="87"/>
      <c r="EVN7" s="87"/>
      <c r="EVO7" s="87"/>
      <c r="EVP7" s="87"/>
      <c r="EVQ7" s="87"/>
      <c r="EVR7" s="87"/>
      <c r="EVS7" s="87"/>
      <c r="EVT7" s="87"/>
      <c r="EVU7" s="87"/>
      <c r="EVV7" s="87"/>
      <c r="EVW7" s="87"/>
      <c r="EVX7" s="87"/>
      <c r="EVY7" s="87"/>
      <c r="EVZ7" s="87"/>
      <c r="EWA7" s="87"/>
      <c r="EWB7" s="87"/>
      <c r="EWC7" s="87"/>
      <c r="EWD7" s="87"/>
      <c r="EWE7" s="87"/>
      <c r="EWF7" s="87"/>
      <c r="EWG7" s="87"/>
      <c r="EWH7" s="87"/>
      <c r="EWI7" s="87"/>
      <c r="EWJ7" s="87"/>
      <c r="EWK7" s="87"/>
      <c r="EWL7" s="87"/>
      <c r="EWM7" s="87"/>
      <c r="EWN7" s="87"/>
      <c r="EWO7" s="87"/>
      <c r="EWP7" s="87"/>
      <c r="EWQ7" s="87"/>
      <c r="EWR7" s="87"/>
      <c r="EWS7" s="87"/>
      <c r="EWT7" s="87"/>
      <c r="EWU7" s="87"/>
      <c r="EWV7" s="87"/>
      <c r="EWW7" s="87"/>
      <c r="EWX7" s="87"/>
      <c r="EWY7" s="87"/>
      <c r="EWZ7" s="87"/>
      <c r="EXA7" s="87"/>
      <c r="EXB7" s="87"/>
      <c r="EXC7" s="87"/>
      <c r="EXD7" s="87"/>
      <c r="EXE7" s="87"/>
      <c r="EXF7" s="87"/>
      <c r="EXG7" s="87"/>
      <c r="EXH7" s="87"/>
      <c r="EXI7" s="87"/>
      <c r="EXJ7" s="87"/>
      <c r="EXK7" s="87"/>
      <c r="EXL7" s="87"/>
      <c r="EXM7" s="87"/>
      <c r="EXN7" s="87"/>
      <c r="EXO7" s="87"/>
      <c r="EXP7" s="87"/>
      <c r="EXQ7" s="87"/>
      <c r="EXR7" s="87"/>
      <c r="EXS7" s="87"/>
      <c r="EXT7" s="87"/>
      <c r="EXU7" s="87"/>
      <c r="EXV7" s="87"/>
      <c r="EXW7" s="87"/>
      <c r="EXX7" s="87"/>
      <c r="EXY7" s="87"/>
      <c r="EXZ7" s="87"/>
      <c r="EYA7" s="87"/>
      <c r="EYB7" s="87"/>
      <c r="EYC7" s="87"/>
      <c r="EYD7" s="87"/>
      <c r="EYE7" s="87"/>
      <c r="EYF7" s="87"/>
      <c r="EYG7" s="87"/>
      <c r="EYH7" s="87"/>
      <c r="EYI7" s="87"/>
      <c r="EYJ7" s="87"/>
      <c r="EYK7" s="87"/>
      <c r="EYL7" s="87"/>
      <c r="EYM7" s="87"/>
      <c r="EYN7" s="87"/>
      <c r="EYO7" s="87"/>
      <c r="EYP7" s="87"/>
      <c r="EYQ7" s="87"/>
      <c r="EYR7" s="87"/>
      <c r="EYS7" s="87"/>
      <c r="EYT7" s="87"/>
      <c r="EYU7" s="87"/>
      <c r="EYV7" s="87"/>
      <c r="EYW7" s="87"/>
      <c r="EYX7" s="87"/>
      <c r="EYY7" s="87"/>
      <c r="EYZ7" s="87"/>
      <c r="EZA7" s="87"/>
      <c r="EZB7" s="87"/>
      <c r="EZC7" s="87"/>
      <c r="EZD7" s="87"/>
      <c r="EZE7" s="87"/>
      <c r="EZF7" s="87"/>
      <c r="EZG7" s="87"/>
      <c r="EZH7" s="87"/>
      <c r="EZI7" s="87"/>
      <c r="EZJ7" s="87"/>
      <c r="EZK7" s="87"/>
      <c r="EZL7" s="87"/>
      <c r="EZM7" s="87"/>
      <c r="EZN7" s="87"/>
      <c r="EZO7" s="87"/>
      <c r="EZP7" s="87"/>
      <c r="EZQ7" s="87"/>
      <c r="EZR7" s="87"/>
      <c r="EZS7" s="87"/>
      <c r="EZT7" s="87"/>
      <c r="EZU7" s="87"/>
      <c r="EZV7" s="87"/>
      <c r="EZW7" s="87"/>
      <c r="EZX7" s="87"/>
      <c r="EZY7" s="87"/>
      <c r="EZZ7" s="87"/>
      <c r="FAA7" s="87"/>
      <c r="FAB7" s="87"/>
      <c r="FAC7" s="87"/>
      <c r="FAD7" s="87"/>
      <c r="FAE7" s="87"/>
      <c r="FAF7" s="87"/>
      <c r="FAG7" s="87"/>
      <c r="FAH7" s="87"/>
      <c r="FAI7" s="87"/>
      <c r="FAJ7" s="87"/>
      <c r="FAK7" s="87"/>
      <c r="FAL7" s="87"/>
      <c r="FAM7" s="87"/>
      <c r="FAN7" s="87"/>
      <c r="FAO7" s="87"/>
      <c r="FAP7" s="87"/>
      <c r="FAQ7" s="87"/>
      <c r="FAR7" s="87"/>
      <c r="FAS7" s="87"/>
      <c r="FAT7" s="87"/>
      <c r="FAU7" s="87"/>
      <c r="FAV7" s="87"/>
      <c r="FAW7" s="87"/>
      <c r="FAX7" s="87"/>
      <c r="FAY7" s="87"/>
      <c r="FAZ7" s="87"/>
      <c r="FBA7" s="87"/>
      <c r="FBB7" s="87"/>
      <c r="FBC7" s="87"/>
      <c r="FBD7" s="87"/>
      <c r="FBE7" s="87"/>
      <c r="FBF7" s="87"/>
      <c r="FBG7" s="87"/>
      <c r="FBH7" s="87"/>
      <c r="FBI7" s="87"/>
      <c r="FBJ7" s="87"/>
      <c r="FBK7" s="87"/>
      <c r="FBL7" s="87"/>
      <c r="FBM7" s="87"/>
      <c r="FBN7" s="87"/>
      <c r="FBO7" s="87"/>
      <c r="FBP7" s="87"/>
      <c r="FBQ7" s="87"/>
      <c r="FBR7" s="87"/>
      <c r="FBS7" s="87"/>
      <c r="FBT7" s="87"/>
      <c r="FBU7" s="87"/>
      <c r="FBV7" s="87"/>
      <c r="FBW7" s="87"/>
      <c r="FBX7" s="87"/>
      <c r="FBY7" s="87"/>
      <c r="FBZ7" s="87"/>
      <c r="FCA7" s="87"/>
      <c r="FCB7" s="87"/>
      <c r="FCC7" s="87"/>
      <c r="FCD7" s="87"/>
      <c r="FCE7" s="87"/>
      <c r="FCF7" s="87"/>
      <c r="FCG7" s="87"/>
      <c r="FCH7" s="87"/>
      <c r="FCI7" s="87"/>
      <c r="FCJ7" s="87"/>
      <c r="FCK7" s="87"/>
      <c r="FCL7" s="87"/>
      <c r="FCM7" s="87"/>
      <c r="FCN7" s="87"/>
      <c r="FCO7" s="87"/>
      <c r="FCP7" s="87"/>
      <c r="FCQ7" s="87"/>
      <c r="FCR7" s="87"/>
      <c r="FCS7" s="87"/>
      <c r="FCT7" s="87"/>
      <c r="FCU7" s="87"/>
      <c r="FCV7" s="87"/>
      <c r="FCW7" s="87"/>
      <c r="FCX7" s="87"/>
      <c r="FCY7" s="87"/>
      <c r="FCZ7" s="87"/>
      <c r="FDA7" s="87"/>
      <c r="FDB7" s="87"/>
      <c r="FDC7" s="87"/>
      <c r="FDD7" s="87"/>
      <c r="FDE7" s="87"/>
      <c r="FDF7" s="87"/>
      <c r="FDG7" s="87"/>
      <c r="FDH7" s="87"/>
      <c r="FDI7" s="87"/>
      <c r="FDJ7" s="87"/>
      <c r="FDK7" s="87"/>
      <c r="FDL7" s="87"/>
      <c r="FDM7" s="87"/>
      <c r="FDN7" s="87"/>
      <c r="FDO7" s="87"/>
      <c r="FDP7" s="87"/>
      <c r="FDQ7" s="87"/>
      <c r="FDR7" s="87"/>
      <c r="FDS7" s="87"/>
      <c r="FDT7" s="87"/>
      <c r="FDU7" s="87"/>
      <c r="FDV7" s="87"/>
      <c r="FDW7" s="87"/>
      <c r="FDX7" s="87"/>
      <c r="FDY7" s="87"/>
      <c r="FDZ7" s="87"/>
      <c r="FEA7" s="87"/>
      <c r="FEB7" s="87"/>
      <c r="FEC7" s="87"/>
      <c r="FED7" s="87"/>
      <c r="FEE7" s="87"/>
      <c r="FEF7" s="87"/>
      <c r="FEG7" s="87"/>
      <c r="FEH7" s="87"/>
      <c r="FEI7" s="87"/>
      <c r="FEJ7" s="87"/>
      <c r="FEK7" s="87"/>
      <c r="FEL7" s="87"/>
      <c r="FEM7" s="87"/>
      <c r="FEN7" s="87"/>
      <c r="FEO7" s="87"/>
      <c r="FEP7" s="87"/>
      <c r="FEQ7" s="87"/>
      <c r="FER7" s="87"/>
      <c r="FES7" s="87"/>
      <c r="FET7" s="87"/>
      <c r="FEU7" s="87"/>
      <c r="FEV7" s="87"/>
      <c r="FEW7" s="87"/>
      <c r="FEX7" s="87"/>
      <c r="FEY7" s="87"/>
      <c r="FEZ7" s="87"/>
      <c r="FFA7" s="87"/>
      <c r="FFB7" s="87"/>
      <c r="FFC7" s="87"/>
      <c r="FFD7" s="87"/>
      <c r="FFE7" s="87"/>
      <c r="FFF7" s="87"/>
      <c r="FFG7" s="87"/>
      <c r="FFH7" s="87"/>
      <c r="FFI7" s="87"/>
      <c r="FFJ7" s="87"/>
      <c r="FFK7" s="87"/>
      <c r="FFL7" s="87"/>
      <c r="FFM7" s="87"/>
      <c r="FFN7" s="87"/>
      <c r="FFO7" s="87"/>
      <c r="FFP7" s="87"/>
      <c r="FFQ7" s="87"/>
      <c r="FFR7" s="87"/>
      <c r="FFS7" s="87"/>
      <c r="FFT7" s="87"/>
      <c r="FFU7" s="87"/>
      <c r="FFV7" s="87"/>
      <c r="FFW7" s="87"/>
      <c r="FFX7" s="87"/>
      <c r="FFY7" s="87"/>
      <c r="FFZ7" s="87"/>
      <c r="FGA7" s="87"/>
      <c r="FGB7" s="87"/>
      <c r="FGC7" s="87"/>
      <c r="FGD7" s="87"/>
      <c r="FGE7" s="87"/>
      <c r="FGF7" s="87"/>
      <c r="FGG7" s="87"/>
      <c r="FGH7" s="87"/>
      <c r="FGI7" s="87"/>
      <c r="FGJ7" s="87"/>
      <c r="FGK7" s="87"/>
      <c r="FGL7" s="87"/>
      <c r="FGM7" s="87"/>
      <c r="FGN7" s="87"/>
      <c r="FGO7" s="87"/>
      <c r="FGP7" s="87"/>
      <c r="FGQ7" s="87"/>
      <c r="FGR7" s="87"/>
      <c r="FGS7" s="87"/>
      <c r="FGT7" s="87"/>
      <c r="FGU7" s="87"/>
      <c r="FGV7" s="87"/>
      <c r="FGW7" s="87"/>
      <c r="FGX7" s="87"/>
      <c r="FGY7" s="87"/>
      <c r="FGZ7" s="87"/>
      <c r="FHA7" s="87"/>
      <c r="FHB7" s="87"/>
      <c r="FHC7" s="87"/>
      <c r="FHD7" s="87"/>
      <c r="FHE7" s="87"/>
      <c r="FHF7" s="87"/>
      <c r="FHG7" s="87"/>
      <c r="FHH7" s="87"/>
      <c r="FHI7" s="87"/>
      <c r="FHJ7" s="87"/>
      <c r="FHK7" s="87"/>
      <c r="FHL7" s="87"/>
      <c r="FHM7" s="87"/>
      <c r="FHN7" s="87"/>
      <c r="FHO7" s="87"/>
      <c r="FHP7" s="87"/>
      <c r="FHQ7" s="87"/>
      <c r="FHR7" s="87"/>
      <c r="FHS7" s="87"/>
      <c r="FHT7" s="87"/>
      <c r="FHU7" s="87"/>
      <c r="FHV7" s="87"/>
      <c r="FHW7" s="87"/>
      <c r="FHX7" s="87"/>
      <c r="FHY7" s="87"/>
      <c r="FHZ7" s="87"/>
      <c r="FIA7" s="87"/>
      <c r="FIB7" s="87"/>
      <c r="FIC7" s="87"/>
      <c r="FID7" s="87"/>
      <c r="FIE7" s="87"/>
      <c r="FIF7" s="87"/>
      <c r="FIG7" s="87"/>
      <c r="FIH7" s="87"/>
      <c r="FII7" s="87"/>
      <c r="FIJ7" s="87"/>
      <c r="FIK7" s="87"/>
      <c r="FIL7" s="87"/>
      <c r="FIM7" s="87"/>
      <c r="FIN7" s="87"/>
      <c r="FIO7" s="87"/>
      <c r="FIP7" s="87"/>
      <c r="FIQ7" s="87"/>
      <c r="FIR7" s="87"/>
      <c r="FIS7" s="87"/>
      <c r="FIT7" s="87"/>
      <c r="FIU7" s="87"/>
      <c r="FIV7" s="87"/>
      <c r="FIW7" s="87"/>
      <c r="FIX7" s="87"/>
      <c r="FIY7" s="87"/>
      <c r="FIZ7" s="87"/>
      <c r="FJA7" s="87"/>
      <c r="FJB7" s="87"/>
      <c r="FJC7" s="87"/>
      <c r="FJD7" s="87"/>
      <c r="FJE7" s="87"/>
      <c r="FJF7" s="87"/>
      <c r="FJG7" s="87"/>
      <c r="FJH7" s="87"/>
      <c r="FJI7" s="87"/>
      <c r="FJJ7" s="87"/>
      <c r="FJK7" s="87"/>
      <c r="FJL7" s="87"/>
      <c r="FJM7" s="87"/>
      <c r="FJN7" s="87"/>
      <c r="FJO7" s="87"/>
      <c r="FJP7" s="87"/>
      <c r="FJQ7" s="87"/>
      <c r="FJR7" s="87"/>
      <c r="FJS7" s="87"/>
      <c r="FJT7" s="87"/>
      <c r="FJU7" s="87"/>
      <c r="FJV7" s="87"/>
      <c r="FJW7" s="87"/>
      <c r="FJX7" s="87"/>
      <c r="FJY7" s="87"/>
      <c r="FJZ7" s="87"/>
      <c r="FKA7" s="87"/>
      <c r="FKB7" s="87"/>
      <c r="FKC7" s="87"/>
      <c r="FKD7" s="87"/>
      <c r="FKE7" s="87"/>
      <c r="FKF7" s="87"/>
      <c r="FKG7" s="87"/>
      <c r="FKH7" s="87"/>
      <c r="FKI7" s="87"/>
      <c r="FKJ7" s="87"/>
      <c r="FKK7" s="87"/>
      <c r="FKL7" s="87"/>
      <c r="FKM7" s="87"/>
      <c r="FKN7" s="87"/>
      <c r="FKO7" s="87"/>
      <c r="FKP7" s="87"/>
      <c r="FKQ7" s="87"/>
      <c r="FKR7" s="87"/>
      <c r="FKS7" s="87"/>
      <c r="FKT7" s="87"/>
      <c r="FKU7" s="87"/>
      <c r="FKV7" s="87"/>
      <c r="FKW7" s="87"/>
      <c r="FKX7" s="87"/>
      <c r="FKY7" s="87"/>
      <c r="FKZ7" s="87"/>
      <c r="FLA7" s="87"/>
      <c r="FLB7" s="87"/>
      <c r="FLC7" s="87"/>
      <c r="FLD7" s="87"/>
      <c r="FLE7" s="87"/>
      <c r="FLF7" s="87"/>
      <c r="FLG7" s="87"/>
      <c r="FLH7" s="87"/>
      <c r="FLI7" s="87"/>
      <c r="FLJ7" s="87"/>
      <c r="FLK7" s="87"/>
      <c r="FLL7" s="87"/>
      <c r="FLM7" s="87"/>
      <c r="FLN7" s="87"/>
      <c r="FLO7" s="87"/>
      <c r="FLP7" s="87"/>
      <c r="FLQ7" s="87"/>
      <c r="FLR7" s="87"/>
      <c r="FLS7" s="87"/>
      <c r="FLT7" s="87"/>
      <c r="FLU7" s="87"/>
      <c r="FLV7" s="87"/>
      <c r="FLW7" s="87"/>
      <c r="FLX7" s="87"/>
      <c r="FLY7" s="87"/>
      <c r="FLZ7" s="87"/>
      <c r="FMA7" s="87"/>
      <c r="FMB7" s="87"/>
      <c r="FMC7" s="87"/>
      <c r="FMD7" s="87"/>
      <c r="FME7" s="87"/>
      <c r="FMF7" s="87"/>
      <c r="FMG7" s="87"/>
      <c r="FMH7" s="87"/>
      <c r="FMI7" s="87"/>
      <c r="FMJ7" s="87"/>
      <c r="FMK7" s="87"/>
      <c r="FML7" s="87"/>
      <c r="FMM7" s="87"/>
      <c r="FMN7" s="87"/>
      <c r="FMO7" s="87"/>
      <c r="FMP7" s="87"/>
      <c r="FMQ7" s="87"/>
      <c r="FMR7" s="87"/>
      <c r="FMS7" s="87"/>
      <c r="FMT7" s="87"/>
      <c r="FMU7" s="87"/>
      <c r="FMV7" s="87"/>
      <c r="FMW7" s="87"/>
      <c r="FMX7" s="87"/>
      <c r="FMY7" s="87"/>
      <c r="FMZ7" s="87"/>
      <c r="FNA7" s="87"/>
      <c r="FNB7" s="87"/>
      <c r="FNC7" s="87"/>
      <c r="FND7" s="87"/>
      <c r="FNE7" s="87"/>
      <c r="FNF7" s="87"/>
      <c r="FNG7" s="87"/>
      <c r="FNH7" s="87"/>
      <c r="FNI7" s="87"/>
      <c r="FNJ7" s="87"/>
      <c r="FNK7" s="87"/>
      <c r="FNL7" s="87"/>
      <c r="FNM7" s="87"/>
      <c r="FNN7" s="87"/>
      <c r="FNO7" s="87"/>
      <c r="FNP7" s="87"/>
      <c r="FNQ7" s="87"/>
      <c r="FNR7" s="87"/>
      <c r="FNS7" s="87"/>
      <c r="FNT7" s="87"/>
      <c r="FNU7" s="87"/>
      <c r="FNV7" s="87"/>
      <c r="FNW7" s="87"/>
      <c r="FNX7" s="87"/>
      <c r="FNY7" s="87"/>
      <c r="FNZ7" s="87"/>
      <c r="FOA7" s="87"/>
      <c r="FOB7" s="87"/>
      <c r="FOC7" s="87"/>
      <c r="FOD7" s="87"/>
      <c r="FOE7" s="87"/>
      <c r="FOF7" s="87"/>
      <c r="FOG7" s="87"/>
      <c r="FOH7" s="87"/>
      <c r="FOI7" s="87"/>
      <c r="FOJ7" s="87"/>
      <c r="FOK7" s="87"/>
      <c r="FOL7" s="87"/>
      <c r="FOM7" s="87"/>
      <c r="FON7" s="87"/>
      <c r="FOO7" s="87"/>
      <c r="FOP7" s="87"/>
      <c r="FOQ7" s="87"/>
      <c r="FOR7" s="87"/>
      <c r="FOS7" s="87"/>
      <c r="FOT7" s="87"/>
      <c r="FOU7" s="87"/>
      <c r="FOV7" s="87"/>
      <c r="FOW7" s="87"/>
      <c r="FOX7" s="87"/>
      <c r="FOY7" s="87"/>
      <c r="FOZ7" s="87"/>
      <c r="FPA7" s="87"/>
      <c r="FPB7" s="87"/>
      <c r="FPC7" s="87"/>
      <c r="FPD7" s="87"/>
      <c r="FPE7" s="87"/>
      <c r="FPF7" s="87"/>
      <c r="FPG7" s="87"/>
      <c r="FPH7" s="87"/>
      <c r="FPI7" s="87"/>
      <c r="FPJ7" s="87"/>
      <c r="FPK7" s="87"/>
      <c r="FPL7" s="87"/>
      <c r="FPM7" s="87"/>
      <c r="FPN7" s="87"/>
      <c r="FPO7" s="87"/>
      <c r="FPP7" s="87"/>
      <c r="FPQ7" s="87"/>
      <c r="FPR7" s="87"/>
      <c r="FPS7" s="87"/>
      <c r="FPT7" s="87"/>
      <c r="FPU7" s="87"/>
      <c r="FPV7" s="87"/>
      <c r="FPW7" s="87"/>
      <c r="FPX7" s="87"/>
      <c r="FPY7" s="87"/>
      <c r="FPZ7" s="87"/>
      <c r="FQA7" s="87"/>
      <c r="FQB7" s="87"/>
      <c r="FQC7" s="87"/>
      <c r="FQD7" s="87"/>
      <c r="FQE7" s="87"/>
      <c r="FQF7" s="87"/>
      <c r="FQG7" s="87"/>
      <c r="FQH7" s="87"/>
      <c r="FQI7" s="87"/>
      <c r="FQJ7" s="87"/>
      <c r="FQK7" s="87"/>
      <c r="FQL7" s="87"/>
      <c r="FQM7" s="87"/>
      <c r="FQN7" s="87"/>
      <c r="FQO7" s="87"/>
      <c r="FQP7" s="87"/>
      <c r="FQQ7" s="87"/>
      <c r="FQR7" s="87"/>
      <c r="FQS7" s="87"/>
      <c r="FQT7" s="87"/>
      <c r="FQU7" s="87"/>
      <c r="FQV7" s="87"/>
      <c r="FQW7" s="87"/>
      <c r="FQX7" s="87"/>
      <c r="FQY7" s="87"/>
      <c r="FQZ7" s="87"/>
      <c r="FRA7" s="87"/>
      <c r="FRB7" s="87"/>
      <c r="FRC7" s="87"/>
      <c r="FRD7" s="87"/>
      <c r="FRE7" s="87"/>
      <c r="FRF7" s="87"/>
      <c r="FRG7" s="87"/>
      <c r="FRH7" s="87"/>
      <c r="FRI7" s="87"/>
      <c r="FRJ7" s="87"/>
      <c r="FRK7" s="87"/>
      <c r="FRL7" s="87"/>
      <c r="FRM7" s="87"/>
      <c r="FRN7" s="87"/>
      <c r="FRO7" s="87"/>
      <c r="FRP7" s="87"/>
      <c r="FRQ7" s="87"/>
      <c r="FRR7" s="87"/>
      <c r="FRS7" s="87"/>
      <c r="FRT7" s="87"/>
      <c r="FRU7" s="87"/>
      <c r="FRV7" s="87"/>
      <c r="FRW7" s="87"/>
      <c r="FRX7" s="87"/>
      <c r="FRY7" s="87"/>
      <c r="FRZ7" s="87"/>
      <c r="FSA7" s="87"/>
      <c r="FSB7" s="87"/>
      <c r="FSC7" s="87"/>
      <c r="FSD7" s="87"/>
      <c r="FSE7" s="87"/>
      <c r="FSF7" s="87"/>
      <c r="FSG7" s="87"/>
      <c r="FSH7" s="87"/>
      <c r="FSI7" s="87"/>
      <c r="FSJ7" s="87"/>
      <c r="FSK7" s="87"/>
      <c r="FSL7" s="87"/>
      <c r="FSM7" s="87"/>
      <c r="FSN7" s="87"/>
      <c r="FSO7" s="87"/>
      <c r="FSP7" s="87"/>
      <c r="FSQ7" s="87"/>
      <c r="FSR7" s="87"/>
      <c r="FSS7" s="87"/>
      <c r="FST7" s="87"/>
      <c r="FSU7" s="87"/>
      <c r="FSV7" s="87"/>
      <c r="FSW7" s="87"/>
      <c r="FSX7" s="87"/>
      <c r="FSY7" s="87"/>
      <c r="FSZ7" s="87"/>
      <c r="FTA7" s="87"/>
      <c r="FTB7" s="87"/>
      <c r="FTC7" s="87"/>
      <c r="FTD7" s="87"/>
      <c r="FTE7" s="87"/>
      <c r="FTF7" s="87"/>
      <c r="FTG7" s="87"/>
      <c r="FTH7" s="87"/>
      <c r="FTI7" s="87"/>
      <c r="FTJ7" s="87"/>
      <c r="FTK7" s="87"/>
      <c r="FTL7" s="87"/>
      <c r="FTM7" s="87"/>
      <c r="FTN7" s="87"/>
      <c r="FTO7" s="87"/>
      <c r="FTP7" s="87"/>
      <c r="FTQ7" s="87"/>
      <c r="FTR7" s="87"/>
      <c r="FTS7" s="87"/>
      <c r="FTT7" s="87"/>
      <c r="FTU7" s="87"/>
      <c r="FTV7" s="87"/>
      <c r="FTW7" s="87"/>
      <c r="FTX7" s="87"/>
      <c r="FTY7" s="87"/>
      <c r="FTZ7" s="87"/>
      <c r="FUA7" s="87"/>
      <c r="FUB7" s="87"/>
      <c r="FUC7" s="87"/>
      <c r="FUD7" s="87"/>
      <c r="FUE7" s="87"/>
      <c r="FUF7" s="87"/>
      <c r="FUG7" s="87"/>
      <c r="FUH7" s="87"/>
      <c r="FUI7" s="87"/>
      <c r="FUJ7" s="87"/>
      <c r="FUK7" s="87"/>
      <c r="FUL7" s="87"/>
      <c r="FUM7" s="87"/>
      <c r="FUN7" s="87"/>
      <c r="FUO7" s="87"/>
      <c r="FUP7" s="87"/>
      <c r="FUQ7" s="87"/>
      <c r="FUR7" s="87"/>
      <c r="FUS7" s="87"/>
      <c r="FUT7" s="87"/>
      <c r="FUU7" s="87"/>
      <c r="FUV7" s="87"/>
      <c r="FUW7" s="87"/>
      <c r="FUX7" s="87"/>
      <c r="FUY7" s="87"/>
      <c r="FUZ7" s="87"/>
      <c r="FVA7" s="87"/>
      <c r="FVB7" s="87"/>
      <c r="FVC7" s="87"/>
      <c r="FVD7" s="87"/>
      <c r="FVE7" s="87"/>
      <c r="FVF7" s="87"/>
      <c r="FVG7" s="87"/>
      <c r="FVH7" s="87"/>
      <c r="FVI7" s="87"/>
      <c r="FVJ7" s="87"/>
      <c r="FVK7" s="87"/>
      <c r="FVL7" s="87"/>
      <c r="FVM7" s="87"/>
      <c r="FVN7" s="87"/>
      <c r="FVO7" s="87"/>
      <c r="FVP7" s="87"/>
      <c r="FVQ7" s="87"/>
      <c r="FVR7" s="87"/>
      <c r="FVS7" s="87"/>
      <c r="FVT7" s="87"/>
      <c r="FVU7" s="87"/>
      <c r="FVV7" s="87"/>
      <c r="FVW7" s="87"/>
      <c r="FVX7" s="87"/>
      <c r="FVY7" s="87"/>
      <c r="FVZ7" s="87"/>
      <c r="FWA7" s="87"/>
      <c r="FWB7" s="87"/>
      <c r="FWC7" s="87"/>
      <c r="FWD7" s="87"/>
      <c r="FWE7" s="87"/>
      <c r="FWF7" s="87"/>
      <c r="FWG7" s="87"/>
      <c r="FWH7" s="87"/>
      <c r="FWI7" s="87"/>
      <c r="FWJ7" s="87"/>
      <c r="FWK7" s="87"/>
      <c r="FWL7" s="87"/>
      <c r="FWM7" s="87"/>
      <c r="FWN7" s="87"/>
      <c r="FWO7" s="87"/>
      <c r="FWP7" s="87"/>
      <c r="FWQ7" s="87"/>
      <c r="FWR7" s="87"/>
      <c r="FWS7" s="87"/>
      <c r="FWT7" s="87"/>
      <c r="FWU7" s="87"/>
      <c r="FWV7" s="87"/>
      <c r="FWW7" s="87"/>
      <c r="FWX7" s="87"/>
      <c r="FWY7" s="87"/>
      <c r="FWZ7" s="87"/>
      <c r="FXA7" s="87"/>
      <c r="FXB7" s="87"/>
      <c r="FXC7" s="87"/>
      <c r="FXD7" s="87"/>
      <c r="FXE7" s="87"/>
      <c r="FXF7" s="87"/>
      <c r="FXG7" s="87"/>
      <c r="FXH7" s="87"/>
      <c r="FXI7" s="87"/>
      <c r="FXJ7" s="87"/>
      <c r="FXK7" s="87"/>
      <c r="FXL7" s="87"/>
      <c r="FXM7" s="87"/>
      <c r="FXN7" s="87"/>
      <c r="FXO7" s="87"/>
      <c r="FXP7" s="87"/>
      <c r="FXQ7" s="87"/>
      <c r="FXR7" s="87"/>
      <c r="FXS7" s="87"/>
      <c r="FXT7" s="87"/>
      <c r="FXU7" s="87"/>
      <c r="FXV7" s="87"/>
      <c r="FXW7" s="87"/>
      <c r="FXX7" s="87"/>
      <c r="FXY7" s="87"/>
      <c r="FXZ7" s="87"/>
      <c r="FYA7" s="87"/>
      <c r="FYB7" s="87"/>
      <c r="FYC7" s="87"/>
      <c r="FYD7" s="87"/>
      <c r="FYE7" s="87"/>
      <c r="FYF7" s="87"/>
      <c r="FYG7" s="87"/>
      <c r="FYH7" s="87"/>
      <c r="FYI7" s="87"/>
      <c r="FYJ7" s="87"/>
      <c r="FYK7" s="87"/>
      <c r="FYL7" s="87"/>
      <c r="FYM7" s="87"/>
      <c r="FYN7" s="87"/>
      <c r="FYO7" s="87"/>
      <c r="FYP7" s="87"/>
      <c r="FYQ7" s="87"/>
      <c r="FYR7" s="87"/>
      <c r="FYS7" s="87"/>
      <c r="FYT7" s="87"/>
      <c r="FYU7" s="87"/>
      <c r="FYV7" s="87"/>
      <c r="FYW7" s="87"/>
      <c r="FYX7" s="87"/>
      <c r="FYY7" s="87"/>
      <c r="FYZ7" s="87"/>
      <c r="FZA7" s="87"/>
      <c r="FZB7" s="87"/>
      <c r="FZC7" s="87"/>
      <c r="FZD7" s="87"/>
      <c r="FZE7" s="87"/>
      <c r="FZF7" s="87"/>
      <c r="FZG7" s="87"/>
      <c r="FZH7" s="87"/>
      <c r="FZI7" s="87"/>
      <c r="FZJ7" s="87"/>
      <c r="FZK7" s="87"/>
      <c r="FZL7" s="87"/>
      <c r="FZM7" s="87"/>
      <c r="FZN7" s="87"/>
      <c r="FZO7" s="87"/>
      <c r="FZP7" s="87"/>
      <c r="FZQ7" s="87"/>
      <c r="FZR7" s="87"/>
      <c r="FZS7" s="87"/>
      <c r="FZT7" s="87"/>
      <c r="FZU7" s="87"/>
      <c r="FZV7" s="87"/>
      <c r="FZW7" s="87"/>
      <c r="FZX7" s="87"/>
      <c r="FZY7" s="87"/>
      <c r="FZZ7" s="87"/>
      <c r="GAA7" s="87"/>
      <c r="GAB7" s="87"/>
      <c r="GAC7" s="87"/>
      <c r="GAD7" s="87"/>
      <c r="GAE7" s="87"/>
      <c r="GAF7" s="87"/>
      <c r="GAG7" s="87"/>
      <c r="GAH7" s="87"/>
      <c r="GAI7" s="87"/>
      <c r="GAJ7" s="87"/>
      <c r="GAK7" s="87"/>
      <c r="GAL7" s="87"/>
      <c r="GAM7" s="87"/>
      <c r="GAN7" s="87"/>
      <c r="GAO7" s="87"/>
      <c r="GAP7" s="87"/>
      <c r="GAQ7" s="87"/>
      <c r="GAR7" s="87"/>
      <c r="GAS7" s="87"/>
      <c r="GAT7" s="87"/>
      <c r="GAU7" s="87"/>
      <c r="GAV7" s="87"/>
      <c r="GAW7" s="87"/>
      <c r="GAX7" s="87"/>
      <c r="GAY7" s="87"/>
      <c r="GAZ7" s="87"/>
      <c r="GBA7" s="87"/>
      <c r="GBB7" s="87"/>
      <c r="GBC7" s="87"/>
      <c r="GBD7" s="87"/>
      <c r="GBE7" s="87"/>
      <c r="GBF7" s="87"/>
      <c r="GBG7" s="87"/>
      <c r="GBH7" s="87"/>
      <c r="GBI7" s="87"/>
      <c r="GBJ7" s="87"/>
      <c r="GBK7" s="87"/>
      <c r="GBL7" s="87"/>
      <c r="GBM7" s="87"/>
      <c r="GBN7" s="87"/>
      <c r="GBO7" s="87"/>
      <c r="GBP7" s="87"/>
      <c r="GBQ7" s="87"/>
      <c r="GBR7" s="87"/>
      <c r="GBS7" s="87"/>
      <c r="GBT7" s="87"/>
      <c r="GBU7" s="87"/>
      <c r="GBV7" s="87"/>
      <c r="GBW7" s="87"/>
      <c r="GBX7" s="87"/>
      <c r="GBY7" s="87"/>
      <c r="GBZ7" s="87"/>
      <c r="GCA7" s="87"/>
      <c r="GCB7" s="87"/>
      <c r="GCC7" s="87"/>
      <c r="GCD7" s="87"/>
      <c r="GCE7" s="87"/>
      <c r="GCF7" s="87"/>
      <c r="GCG7" s="87"/>
      <c r="GCH7" s="87"/>
      <c r="GCI7" s="87"/>
      <c r="GCJ7" s="87"/>
      <c r="GCK7" s="87"/>
      <c r="GCL7" s="87"/>
      <c r="GCM7" s="87"/>
      <c r="GCN7" s="87"/>
      <c r="GCO7" s="87"/>
      <c r="GCP7" s="87"/>
      <c r="GCQ7" s="87"/>
      <c r="GCR7" s="87"/>
      <c r="GCS7" s="87"/>
      <c r="GCT7" s="87"/>
      <c r="GCU7" s="87"/>
      <c r="GCV7" s="87"/>
      <c r="GCW7" s="87"/>
      <c r="GCX7" s="87"/>
      <c r="GCY7" s="87"/>
      <c r="GCZ7" s="87"/>
      <c r="GDA7" s="87"/>
      <c r="GDB7" s="87"/>
      <c r="GDC7" s="87"/>
      <c r="GDD7" s="87"/>
      <c r="GDE7" s="87"/>
      <c r="GDF7" s="87"/>
      <c r="GDG7" s="87"/>
      <c r="GDH7" s="87"/>
      <c r="GDI7" s="87"/>
      <c r="GDJ7" s="87"/>
      <c r="GDK7" s="87"/>
      <c r="GDL7" s="87"/>
      <c r="GDM7" s="87"/>
      <c r="GDN7" s="87"/>
      <c r="GDO7" s="87"/>
      <c r="GDP7" s="87"/>
      <c r="GDQ7" s="87"/>
      <c r="GDR7" s="87"/>
      <c r="GDS7" s="87"/>
      <c r="GDT7" s="87"/>
      <c r="GDU7" s="87"/>
      <c r="GDV7" s="87"/>
      <c r="GDW7" s="87"/>
      <c r="GDX7" s="87"/>
      <c r="GDY7" s="87"/>
      <c r="GDZ7" s="87"/>
      <c r="GEA7" s="87"/>
      <c r="GEB7" s="87"/>
      <c r="GEC7" s="87"/>
      <c r="GED7" s="87"/>
      <c r="GEE7" s="87"/>
      <c r="GEF7" s="87"/>
      <c r="GEG7" s="87"/>
      <c r="GEH7" s="87"/>
      <c r="GEI7" s="87"/>
      <c r="GEJ7" s="87"/>
      <c r="GEK7" s="87"/>
      <c r="GEL7" s="87"/>
      <c r="GEM7" s="87"/>
      <c r="GEN7" s="87"/>
      <c r="GEO7" s="87"/>
      <c r="GEP7" s="87"/>
      <c r="GEQ7" s="87"/>
      <c r="GER7" s="87"/>
      <c r="GES7" s="87"/>
      <c r="GET7" s="87"/>
      <c r="GEU7" s="87"/>
      <c r="GEV7" s="87"/>
      <c r="GEW7" s="87"/>
      <c r="GEX7" s="87"/>
      <c r="GEY7" s="87"/>
      <c r="GEZ7" s="87"/>
      <c r="GFA7" s="87"/>
      <c r="GFB7" s="87"/>
      <c r="GFC7" s="87"/>
      <c r="GFD7" s="87"/>
      <c r="GFE7" s="87"/>
      <c r="GFF7" s="87"/>
      <c r="GFG7" s="87"/>
      <c r="GFH7" s="87"/>
      <c r="GFI7" s="87"/>
      <c r="GFJ7" s="87"/>
      <c r="GFK7" s="87"/>
      <c r="GFL7" s="87"/>
      <c r="GFM7" s="87"/>
      <c r="GFN7" s="87"/>
      <c r="GFO7" s="87"/>
      <c r="GFP7" s="87"/>
      <c r="GFQ7" s="87"/>
      <c r="GFR7" s="87"/>
      <c r="GFS7" s="87"/>
      <c r="GFT7" s="87"/>
      <c r="GFU7" s="87"/>
      <c r="GFV7" s="87"/>
      <c r="GFW7" s="87"/>
      <c r="GFX7" s="87"/>
      <c r="GFY7" s="87"/>
      <c r="GFZ7" s="87"/>
      <c r="GGA7" s="87"/>
      <c r="GGB7" s="87"/>
      <c r="GGC7" s="87"/>
      <c r="GGD7" s="87"/>
      <c r="GGE7" s="87"/>
      <c r="GGF7" s="87"/>
      <c r="GGG7" s="87"/>
      <c r="GGH7" s="87"/>
      <c r="GGI7" s="87"/>
      <c r="GGJ7" s="87"/>
      <c r="GGK7" s="87"/>
      <c r="GGL7" s="87"/>
      <c r="GGM7" s="87"/>
      <c r="GGN7" s="87"/>
      <c r="GGO7" s="87"/>
      <c r="GGP7" s="87"/>
      <c r="GGQ7" s="87"/>
      <c r="GGR7" s="87"/>
      <c r="GGS7" s="87"/>
      <c r="GGT7" s="87"/>
      <c r="GGU7" s="87"/>
      <c r="GGV7" s="87"/>
      <c r="GGW7" s="87"/>
      <c r="GGX7" s="87"/>
      <c r="GGY7" s="87"/>
      <c r="GGZ7" s="87"/>
      <c r="GHA7" s="87"/>
      <c r="GHB7" s="87"/>
      <c r="GHC7" s="87"/>
      <c r="GHD7" s="87"/>
      <c r="GHE7" s="87"/>
      <c r="GHF7" s="87"/>
      <c r="GHG7" s="87"/>
      <c r="GHH7" s="87"/>
      <c r="GHI7" s="87"/>
      <c r="GHJ7" s="87"/>
      <c r="GHK7" s="87"/>
      <c r="GHL7" s="87"/>
      <c r="GHM7" s="87"/>
      <c r="GHN7" s="87"/>
      <c r="GHO7" s="87"/>
      <c r="GHP7" s="87"/>
      <c r="GHQ7" s="87"/>
      <c r="GHR7" s="87"/>
      <c r="GHS7" s="87"/>
      <c r="GHT7" s="87"/>
      <c r="GHU7" s="87"/>
      <c r="GHV7" s="87"/>
      <c r="GHW7" s="87"/>
      <c r="GHX7" s="87"/>
      <c r="GHY7" s="87"/>
      <c r="GHZ7" s="87"/>
      <c r="GIA7" s="87"/>
      <c r="GIB7" s="87"/>
      <c r="GIC7" s="87"/>
      <c r="GID7" s="87"/>
      <c r="GIE7" s="87"/>
      <c r="GIF7" s="87"/>
      <c r="GIG7" s="87"/>
      <c r="GIH7" s="87"/>
      <c r="GII7" s="87"/>
      <c r="GIJ7" s="87"/>
      <c r="GIK7" s="87"/>
      <c r="GIL7" s="87"/>
      <c r="GIM7" s="87"/>
      <c r="GIN7" s="87"/>
      <c r="GIO7" s="87"/>
      <c r="GIP7" s="87"/>
      <c r="GIQ7" s="87"/>
      <c r="GIR7" s="87"/>
      <c r="GIS7" s="87"/>
      <c r="GIT7" s="87"/>
      <c r="GIU7" s="87"/>
      <c r="GIV7" s="87"/>
      <c r="GIW7" s="87"/>
      <c r="GIX7" s="87"/>
      <c r="GIY7" s="87"/>
      <c r="GIZ7" s="87"/>
      <c r="GJA7" s="87"/>
      <c r="GJB7" s="87"/>
      <c r="GJC7" s="87"/>
      <c r="GJD7" s="87"/>
      <c r="GJE7" s="87"/>
      <c r="GJF7" s="87"/>
      <c r="GJG7" s="87"/>
      <c r="GJH7" s="87"/>
      <c r="GJI7" s="87"/>
      <c r="GJJ7" s="87"/>
      <c r="GJK7" s="87"/>
      <c r="GJL7" s="87"/>
      <c r="GJM7" s="87"/>
      <c r="GJN7" s="87"/>
      <c r="GJO7" s="87"/>
      <c r="GJP7" s="87"/>
      <c r="GJQ7" s="87"/>
      <c r="GJR7" s="87"/>
      <c r="GJS7" s="87"/>
      <c r="GJT7" s="87"/>
      <c r="GJU7" s="87"/>
      <c r="GJV7" s="87"/>
      <c r="GJW7" s="87"/>
      <c r="GJX7" s="87"/>
      <c r="GJY7" s="87"/>
      <c r="GJZ7" s="87"/>
      <c r="GKA7" s="87"/>
      <c r="GKB7" s="87"/>
      <c r="GKC7" s="87"/>
      <c r="GKD7" s="87"/>
      <c r="GKE7" s="87"/>
      <c r="GKF7" s="87"/>
      <c r="GKG7" s="87"/>
      <c r="GKH7" s="87"/>
      <c r="GKI7" s="87"/>
      <c r="GKJ7" s="87"/>
      <c r="GKK7" s="87"/>
      <c r="GKL7" s="87"/>
      <c r="GKM7" s="87"/>
      <c r="GKN7" s="87"/>
      <c r="GKO7" s="87"/>
      <c r="GKP7" s="87"/>
      <c r="GKQ7" s="87"/>
      <c r="GKR7" s="87"/>
      <c r="GKS7" s="87"/>
      <c r="GKT7" s="87"/>
      <c r="GKU7" s="87"/>
      <c r="GKV7" s="87"/>
      <c r="GKW7" s="87"/>
      <c r="GKX7" s="87"/>
      <c r="GKY7" s="87"/>
      <c r="GKZ7" s="87"/>
      <c r="GLA7" s="87"/>
      <c r="GLB7" s="87"/>
      <c r="GLC7" s="87"/>
      <c r="GLD7" s="87"/>
      <c r="GLE7" s="87"/>
      <c r="GLF7" s="87"/>
      <c r="GLG7" s="87"/>
      <c r="GLH7" s="87"/>
      <c r="GLI7" s="87"/>
      <c r="GLJ7" s="87"/>
      <c r="GLK7" s="87"/>
      <c r="GLL7" s="87"/>
      <c r="GLM7" s="87"/>
      <c r="GLN7" s="87"/>
      <c r="GLO7" s="87"/>
      <c r="GLP7" s="87"/>
      <c r="GLQ7" s="87"/>
      <c r="GLR7" s="87"/>
      <c r="GLS7" s="87"/>
      <c r="GLT7" s="87"/>
      <c r="GLU7" s="87"/>
      <c r="GLV7" s="87"/>
      <c r="GLW7" s="87"/>
      <c r="GLX7" s="87"/>
      <c r="GLY7" s="87"/>
      <c r="GLZ7" s="87"/>
      <c r="GMA7" s="87"/>
      <c r="GMB7" s="87"/>
      <c r="GMC7" s="87"/>
      <c r="GMD7" s="87"/>
      <c r="GME7" s="87"/>
      <c r="GMF7" s="87"/>
      <c r="GMG7" s="87"/>
      <c r="GMH7" s="87"/>
      <c r="GMI7" s="87"/>
      <c r="GMJ7" s="87"/>
      <c r="GMK7" s="87"/>
      <c r="GML7" s="87"/>
      <c r="GMM7" s="87"/>
      <c r="GMN7" s="87"/>
      <c r="GMO7" s="87"/>
      <c r="GMP7" s="87"/>
      <c r="GMQ7" s="87"/>
      <c r="GMR7" s="87"/>
      <c r="GMS7" s="87"/>
      <c r="GMT7" s="87"/>
      <c r="GMU7" s="87"/>
      <c r="GMV7" s="87"/>
      <c r="GMW7" s="87"/>
      <c r="GMX7" s="87"/>
      <c r="GMY7" s="87"/>
      <c r="GMZ7" s="87"/>
      <c r="GNA7" s="87"/>
      <c r="GNB7" s="87"/>
      <c r="GNC7" s="87"/>
      <c r="GND7" s="87"/>
      <c r="GNE7" s="87"/>
      <c r="GNF7" s="87"/>
      <c r="GNG7" s="87"/>
      <c r="GNH7" s="87"/>
      <c r="GNI7" s="87"/>
      <c r="GNJ7" s="87"/>
      <c r="GNK7" s="87"/>
      <c r="GNL7" s="87"/>
      <c r="GNM7" s="87"/>
      <c r="GNN7" s="87"/>
      <c r="GNO7" s="87"/>
      <c r="GNP7" s="87"/>
      <c r="GNQ7" s="87"/>
      <c r="GNR7" s="87"/>
      <c r="GNS7" s="87"/>
      <c r="GNT7" s="87"/>
      <c r="GNU7" s="87"/>
      <c r="GNV7" s="87"/>
      <c r="GNW7" s="87"/>
      <c r="GNX7" s="87"/>
      <c r="GNY7" s="87"/>
      <c r="GNZ7" s="87"/>
      <c r="GOA7" s="87"/>
      <c r="GOB7" s="87"/>
      <c r="GOC7" s="87"/>
      <c r="GOD7" s="87"/>
      <c r="GOE7" s="87"/>
      <c r="GOF7" s="87"/>
      <c r="GOG7" s="87"/>
      <c r="GOH7" s="87"/>
      <c r="GOI7" s="87"/>
      <c r="GOJ7" s="87"/>
      <c r="GOK7" s="87"/>
      <c r="GOL7" s="87"/>
      <c r="GOM7" s="87"/>
      <c r="GON7" s="87"/>
      <c r="GOO7" s="87"/>
      <c r="GOP7" s="87"/>
      <c r="GOQ7" s="87"/>
      <c r="GOR7" s="87"/>
      <c r="GOS7" s="87"/>
      <c r="GOT7" s="87"/>
      <c r="GOU7" s="87"/>
      <c r="GOV7" s="87"/>
      <c r="GOW7" s="87"/>
      <c r="GOX7" s="87"/>
      <c r="GOY7" s="87"/>
      <c r="GOZ7" s="87"/>
      <c r="GPA7" s="87"/>
      <c r="GPB7" s="87"/>
      <c r="GPC7" s="87"/>
      <c r="GPD7" s="87"/>
      <c r="GPE7" s="87"/>
      <c r="GPF7" s="87"/>
      <c r="GPG7" s="87"/>
      <c r="GPH7" s="87"/>
      <c r="GPI7" s="87"/>
      <c r="GPJ7" s="87"/>
      <c r="GPK7" s="87"/>
      <c r="GPL7" s="87"/>
      <c r="GPM7" s="87"/>
      <c r="GPN7" s="87"/>
      <c r="GPO7" s="87"/>
      <c r="GPP7" s="87"/>
      <c r="GPQ7" s="87"/>
      <c r="GPR7" s="87"/>
      <c r="GPS7" s="87"/>
      <c r="GPT7" s="87"/>
      <c r="GPU7" s="87"/>
      <c r="GPV7" s="87"/>
      <c r="GPW7" s="87"/>
      <c r="GPX7" s="87"/>
      <c r="GPY7" s="87"/>
      <c r="GPZ7" s="87"/>
      <c r="GQA7" s="87"/>
      <c r="GQB7" s="87"/>
      <c r="GQC7" s="87"/>
      <c r="GQD7" s="87"/>
      <c r="GQE7" s="87"/>
      <c r="GQF7" s="87"/>
      <c r="GQG7" s="87"/>
      <c r="GQH7" s="87"/>
      <c r="GQI7" s="87"/>
      <c r="GQJ7" s="87"/>
      <c r="GQK7" s="87"/>
      <c r="GQL7" s="87"/>
      <c r="GQM7" s="87"/>
      <c r="GQN7" s="87"/>
      <c r="GQO7" s="87"/>
      <c r="GQP7" s="87"/>
      <c r="GQQ7" s="87"/>
      <c r="GQR7" s="87"/>
      <c r="GQS7" s="87"/>
      <c r="GQT7" s="87"/>
      <c r="GQU7" s="87"/>
      <c r="GQV7" s="87"/>
      <c r="GQW7" s="87"/>
      <c r="GQX7" s="87"/>
      <c r="GQY7" s="87"/>
      <c r="GQZ7" s="87"/>
      <c r="GRA7" s="87"/>
      <c r="GRB7" s="87"/>
      <c r="GRC7" s="87"/>
      <c r="GRD7" s="87"/>
      <c r="GRE7" s="87"/>
      <c r="GRF7" s="87"/>
      <c r="GRG7" s="87"/>
      <c r="GRH7" s="87"/>
      <c r="GRI7" s="87"/>
      <c r="GRJ7" s="87"/>
      <c r="GRK7" s="87"/>
      <c r="GRL7" s="87"/>
      <c r="GRM7" s="87"/>
      <c r="GRN7" s="87"/>
      <c r="GRO7" s="87"/>
      <c r="GRP7" s="87"/>
      <c r="GRQ7" s="87"/>
      <c r="GRR7" s="87"/>
      <c r="GRS7" s="87"/>
      <c r="GRT7" s="87"/>
      <c r="GRU7" s="87"/>
      <c r="GRV7" s="87"/>
      <c r="GRW7" s="87"/>
      <c r="GRX7" s="87"/>
      <c r="GRY7" s="87"/>
      <c r="GRZ7" s="87"/>
      <c r="GSA7" s="87"/>
      <c r="GSB7" s="87"/>
      <c r="GSC7" s="87"/>
      <c r="GSD7" s="87"/>
      <c r="GSE7" s="87"/>
      <c r="GSF7" s="87"/>
      <c r="GSG7" s="87"/>
      <c r="GSH7" s="87"/>
      <c r="GSI7" s="87"/>
      <c r="GSJ7" s="87"/>
      <c r="GSK7" s="87"/>
      <c r="GSL7" s="87"/>
      <c r="GSM7" s="87"/>
      <c r="GSN7" s="87"/>
      <c r="GSO7" s="87"/>
      <c r="GSP7" s="87"/>
      <c r="GSQ7" s="87"/>
      <c r="GSR7" s="87"/>
      <c r="GSS7" s="87"/>
      <c r="GST7" s="87"/>
      <c r="GSU7" s="87"/>
      <c r="GSV7" s="87"/>
      <c r="GSW7" s="87"/>
      <c r="GSX7" s="87"/>
      <c r="GSY7" s="87"/>
      <c r="GSZ7" s="87"/>
      <c r="GTA7" s="87"/>
      <c r="GTB7" s="87"/>
      <c r="GTC7" s="87"/>
      <c r="GTD7" s="87"/>
      <c r="GTE7" s="87"/>
      <c r="GTF7" s="87"/>
      <c r="GTG7" s="87"/>
      <c r="GTH7" s="87"/>
      <c r="GTI7" s="87"/>
      <c r="GTJ7" s="87"/>
      <c r="GTK7" s="87"/>
      <c r="GTL7" s="87"/>
      <c r="GTM7" s="87"/>
      <c r="GTN7" s="87"/>
      <c r="GTO7" s="87"/>
      <c r="GTP7" s="87"/>
      <c r="GTQ7" s="87"/>
      <c r="GTR7" s="87"/>
      <c r="GTS7" s="87"/>
      <c r="GTT7" s="87"/>
      <c r="GTU7" s="87"/>
      <c r="GTV7" s="87"/>
      <c r="GTW7" s="87"/>
      <c r="GTX7" s="87"/>
      <c r="GTY7" s="87"/>
      <c r="GTZ7" s="87"/>
      <c r="GUA7" s="87"/>
      <c r="GUB7" s="87"/>
      <c r="GUC7" s="87"/>
      <c r="GUD7" s="87"/>
      <c r="GUE7" s="87"/>
      <c r="GUF7" s="87"/>
      <c r="GUG7" s="87"/>
      <c r="GUH7" s="87"/>
      <c r="GUI7" s="87"/>
      <c r="GUJ7" s="87"/>
      <c r="GUK7" s="87"/>
      <c r="GUL7" s="87"/>
      <c r="GUM7" s="87"/>
      <c r="GUN7" s="87"/>
      <c r="GUO7" s="87"/>
      <c r="GUP7" s="87"/>
      <c r="GUQ7" s="87"/>
      <c r="GUR7" s="87"/>
      <c r="GUS7" s="87"/>
      <c r="GUT7" s="87"/>
      <c r="GUU7" s="87"/>
      <c r="GUV7" s="87"/>
      <c r="GUW7" s="87"/>
      <c r="GUX7" s="87"/>
      <c r="GUY7" s="87"/>
      <c r="GUZ7" s="87"/>
      <c r="GVA7" s="87"/>
      <c r="GVB7" s="87"/>
      <c r="GVC7" s="87"/>
      <c r="GVD7" s="87"/>
      <c r="GVE7" s="87"/>
      <c r="GVF7" s="87"/>
      <c r="GVG7" s="87"/>
      <c r="GVH7" s="87"/>
      <c r="GVI7" s="87"/>
      <c r="GVJ7" s="87"/>
      <c r="GVK7" s="87"/>
      <c r="GVL7" s="87"/>
      <c r="GVM7" s="87"/>
      <c r="GVN7" s="87"/>
      <c r="GVO7" s="87"/>
      <c r="GVP7" s="87"/>
      <c r="GVQ7" s="87"/>
      <c r="GVR7" s="87"/>
      <c r="GVS7" s="87"/>
      <c r="GVT7" s="87"/>
      <c r="GVU7" s="87"/>
      <c r="GVV7" s="87"/>
      <c r="GVW7" s="87"/>
      <c r="GVX7" s="87"/>
      <c r="GVY7" s="87"/>
      <c r="GVZ7" s="87"/>
      <c r="GWA7" s="87"/>
      <c r="GWB7" s="87"/>
      <c r="GWC7" s="87"/>
      <c r="GWD7" s="87"/>
      <c r="GWE7" s="87"/>
      <c r="GWF7" s="87"/>
      <c r="GWG7" s="87"/>
      <c r="GWH7" s="87"/>
      <c r="GWI7" s="87"/>
      <c r="GWJ7" s="87"/>
      <c r="GWK7" s="87"/>
      <c r="GWL7" s="87"/>
      <c r="GWM7" s="87"/>
      <c r="GWN7" s="87"/>
      <c r="GWO7" s="87"/>
      <c r="GWP7" s="87"/>
      <c r="GWQ7" s="87"/>
      <c r="GWR7" s="87"/>
      <c r="GWS7" s="87"/>
      <c r="GWT7" s="87"/>
      <c r="GWU7" s="87"/>
      <c r="GWV7" s="87"/>
      <c r="GWW7" s="87"/>
      <c r="GWX7" s="87"/>
      <c r="GWY7" s="87"/>
      <c r="GWZ7" s="87"/>
      <c r="GXA7" s="87"/>
      <c r="GXB7" s="87"/>
      <c r="GXC7" s="87"/>
      <c r="GXD7" s="87"/>
      <c r="GXE7" s="87"/>
      <c r="GXF7" s="87"/>
      <c r="GXG7" s="87"/>
      <c r="GXH7" s="87"/>
      <c r="GXI7" s="87"/>
      <c r="GXJ7" s="87"/>
      <c r="GXK7" s="87"/>
      <c r="GXL7" s="87"/>
      <c r="GXM7" s="87"/>
      <c r="GXN7" s="87"/>
      <c r="GXO7" s="87"/>
      <c r="GXP7" s="87"/>
      <c r="GXQ7" s="87"/>
      <c r="GXR7" s="87"/>
      <c r="GXS7" s="87"/>
      <c r="GXT7" s="87"/>
      <c r="GXU7" s="87"/>
      <c r="GXV7" s="87"/>
      <c r="GXW7" s="87"/>
      <c r="GXX7" s="87"/>
      <c r="GXY7" s="87"/>
      <c r="GXZ7" s="87"/>
      <c r="GYA7" s="87"/>
      <c r="GYB7" s="87"/>
      <c r="GYC7" s="87"/>
      <c r="GYD7" s="87"/>
      <c r="GYE7" s="87"/>
      <c r="GYF7" s="87"/>
      <c r="GYG7" s="87"/>
      <c r="GYH7" s="87"/>
      <c r="GYI7" s="87"/>
      <c r="GYJ7" s="87"/>
      <c r="GYK7" s="87"/>
      <c r="GYL7" s="87"/>
      <c r="GYM7" s="87"/>
      <c r="GYN7" s="87"/>
      <c r="GYO7" s="87"/>
      <c r="GYP7" s="87"/>
      <c r="GYQ7" s="87"/>
      <c r="GYR7" s="87"/>
      <c r="GYS7" s="87"/>
      <c r="GYT7" s="87"/>
      <c r="GYU7" s="87"/>
      <c r="GYV7" s="87"/>
      <c r="GYW7" s="87"/>
      <c r="GYX7" s="87"/>
      <c r="GYY7" s="87"/>
      <c r="GYZ7" s="87"/>
      <c r="GZA7" s="87"/>
      <c r="GZB7" s="87"/>
      <c r="GZC7" s="87"/>
      <c r="GZD7" s="87"/>
      <c r="GZE7" s="87"/>
      <c r="GZF7" s="87"/>
      <c r="GZG7" s="87"/>
      <c r="GZH7" s="87"/>
      <c r="GZI7" s="87"/>
      <c r="GZJ7" s="87"/>
      <c r="GZK7" s="87"/>
      <c r="GZL7" s="87"/>
      <c r="GZM7" s="87"/>
      <c r="GZN7" s="87"/>
      <c r="GZO7" s="87"/>
      <c r="GZP7" s="87"/>
      <c r="GZQ7" s="87"/>
      <c r="GZR7" s="87"/>
      <c r="GZS7" s="87"/>
      <c r="GZT7" s="87"/>
      <c r="GZU7" s="87"/>
      <c r="GZV7" s="87"/>
      <c r="GZW7" s="87"/>
      <c r="GZX7" s="87"/>
      <c r="GZY7" s="87"/>
      <c r="GZZ7" s="87"/>
      <c r="HAA7" s="87"/>
      <c r="HAB7" s="87"/>
      <c r="HAC7" s="87"/>
      <c r="HAD7" s="87"/>
      <c r="HAE7" s="87"/>
      <c r="HAF7" s="87"/>
      <c r="HAG7" s="87"/>
      <c r="HAH7" s="87"/>
      <c r="HAI7" s="87"/>
      <c r="HAJ7" s="87"/>
      <c r="HAK7" s="87"/>
      <c r="HAL7" s="87"/>
      <c r="HAM7" s="87"/>
      <c r="HAN7" s="87"/>
      <c r="HAO7" s="87"/>
      <c r="HAP7" s="87"/>
      <c r="HAQ7" s="87"/>
      <c r="HAR7" s="87"/>
      <c r="HAS7" s="87"/>
      <c r="HAT7" s="87"/>
      <c r="HAU7" s="87"/>
      <c r="HAV7" s="87"/>
      <c r="HAW7" s="87"/>
      <c r="HAX7" s="87"/>
      <c r="HAY7" s="87"/>
      <c r="HAZ7" s="87"/>
      <c r="HBA7" s="87"/>
      <c r="HBB7" s="87"/>
      <c r="HBC7" s="87"/>
      <c r="HBD7" s="87"/>
      <c r="HBE7" s="87"/>
      <c r="HBF7" s="87"/>
      <c r="HBG7" s="87"/>
      <c r="HBH7" s="87"/>
      <c r="HBI7" s="87"/>
      <c r="HBJ7" s="87"/>
      <c r="HBK7" s="87"/>
      <c r="HBL7" s="87"/>
      <c r="HBM7" s="87"/>
      <c r="HBN7" s="87"/>
      <c r="HBO7" s="87"/>
      <c r="HBP7" s="87"/>
      <c r="HBQ7" s="87"/>
      <c r="HBR7" s="87"/>
      <c r="HBS7" s="87"/>
      <c r="HBT7" s="87"/>
      <c r="HBU7" s="87"/>
      <c r="HBV7" s="87"/>
      <c r="HBW7" s="87"/>
      <c r="HBX7" s="87"/>
      <c r="HBY7" s="87"/>
      <c r="HBZ7" s="87"/>
      <c r="HCA7" s="87"/>
      <c r="HCB7" s="87"/>
      <c r="HCC7" s="87"/>
      <c r="HCD7" s="87"/>
      <c r="HCE7" s="87"/>
      <c r="HCF7" s="87"/>
      <c r="HCG7" s="87"/>
      <c r="HCH7" s="87"/>
      <c r="HCI7" s="87"/>
      <c r="HCJ7" s="87"/>
      <c r="HCK7" s="87"/>
      <c r="HCL7" s="87"/>
      <c r="HCM7" s="87"/>
      <c r="HCN7" s="87"/>
      <c r="HCO7" s="87"/>
      <c r="HCP7" s="87"/>
      <c r="HCQ7" s="87"/>
      <c r="HCR7" s="87"/>
      <c r="HCS7" s="87"/>
      <c r="HCT7" s="87"/>
      <c r="HCU7" s="87"/>
      <c r="HCV7" s="87"/>
      <c r="HCW7" s="87"/>
      <c r="HCX7" s="87"/>
      <c r="HCY7" s="87"/>
      <c r="HCZ7" s="87"/>
      <c r="HDA7" s="87"/>
      <c r="HDB7" s="87"/>
      <c r="HDC7" s="87"/>
      <c r="HDD7" s="87"/>
      <c r="HDE7" s="87"/>
      <c r="HDF7" s="87"/>
      <c r="HDG7" s="87"/>
      <c r="HDH7" s="87"/>
      <c r="HDI7" s="87"/>
      <c r="HDJ7" s="87"/>
      <c r="HDK7" s="87"/>
      <c r="HDL7" s="87"/>
      <c r="HDM7" s="87"/>
      <c r="HDN7" s="87"/>
      <c r="HDO7" s="87"/>
      <c r="HDP7" s="87"/>
      <c r="HDQ7" s="87"/>
      <c r="HDR7" s="87"/>
      <c r="HDS7" s="87"/>
      <c r="HDT7" s="87"/>
      <c r="HDU7" s="87"/>
      <c r="HDV7" s="87"/>
      <c r="HDW7" s="87"/>
      <c r="HDX7" s="87"/>
      <c r="HDY7" s="87"/>
      <c r="HDZ7" s="87"/>
      <c r="HEA7" s="87"/>
      <c r="HEB7" s="87"/>
      <c r="HEC7" s="87"/>
      <c r="HED7" s="87"/>
      <c r="HEE7" s="87"/>
      <c r="HEF7" s="87"/>
      <c r="HEG7" s="87"/>
      <c r="HEH7" s="87"/>
      <c r="HEI7" s="87"/>
      <c r="HEJ7" s="87"/>
      <c r="HEK7" s="87"/>
      <c r="HEL7" s="87"/>
      <c r="HEM7" s="87"/>
      <c r="HEN7" s="87"/>
      <c r="HEO7" s="87"/>
      <c r="HEP7" s="87"/>
      <c r="HEQ7" s="87"/>
      <c r="HER7" s="87"/>
      <c r="HES7" s="87"/>
      <c r="HET7" s="87"/>
      <c r="HEU7" s="87"/>
      <c r="HEV7" s="87"/>
      <c r="HEW7" s="87"/>
      <c r="HEX7" s="87"/>
      <c r="HEY7" s="87"/>
      <c r="HEZ7" s="87"/>
      <c r="HFA7" s="87"/>
      <c r="HFB7" s="87"/>
      <c r="HFC7" s="87"/>
      <c r="HFD7" s="87"/>
      <c r="HFE7" s="87"/>
      <c r="HFF7" s="87"/>
      <c r="HFG7" s="87"/>
      <c r="HFH7" s="87"/>
      <c r="HFI7" s="87"/>
      <c r="HFJ7" s="87"/>
      <c r="HFK7" s="87"/>
      <c r="HFL7" s="87"/>
      <c r="HFM7" s="87"/>
      <c r="HFN7" s="87"/>
      <c r="HFO7" s="87"/>
      <c r="HFP7" s="87"/>
      <c r="HFQ7" s="87"/>
      <c r="HFR7" s="87"/>
      <c r="HFS7" s="87"/>
      <c r="HFT7" s="87"/>
      <c r="HFU7" s="87"/>
      <c r="HFV7" s="87"/>
      <c r="HFW7" s="87"/>
      <c r="HFX7" s="87"/>
      <c r="HFY7" s="87"/>
      <c r="HFZ7" s="87"/>
      <c r="HGA7" s="87"/>
      <c r="HGB7" s="87"/>
      <c r="HGC7" s="87"/>
      <c r="HGD7" s="87"/>
      <c r="HGE7" s="87"/>
      <c r="HGF7" s="87"/>
      <c r="HGG7" s="87"/>
      <c r="HGH7" s="87"/>
      <c r="HGI7" s="87"/>
      <c r="HGJ7" s="87"/>
      <c r="HGK7" s="87"/>
      <c r="HGL7" s="87"/>
      <c r="HGM7" s="87"/>
      <c r="HGN7" s="87"/>
      <c r="HGO7" s="87"/>
      <c r="HGP7" s="87"/>
      <c r="HGQ7" s="87"/>
      <c r="HGR7" s="87"/>
      <c r="HGS7" s="87"/>
      <c r="HGT7" s="87"/>
      <c r="HGU7" s="87"/>
      <c r="HGV7" s="87"/>
      <c r="HGW7" s="87"/>
      <c r="HGX7" s="87"/>
      <c r="HGY7" s="87"/>
      <c r="HGZ7" s="87"/>
      <c r="HHA7" s="87"/>
      <c r="HHB7" s="87"/>
      <c r="HHC7" s="87"/>
      <c r="HHD7" s="87"/>
      <c r="HHE7" s="87"/>
      <c r="HHF7" s="87"/>
      <c r="HHG7" s="87"/>
      <c r="HHH7" s="87"/>
      <c r="HHI7" s="87"/>
      <c r="HHJ7" s="87"/>
      <c r="HHK7" s="87"/>
      <c r="HHL7" s="87"/>
      <c r="HHM7" s="87"/>
      <c r="HHN7" s="87"/>
      <c r="HHO7" s="87"/>
      <c r="HHP7" s="87"/>
      <c r="HHQ7" s="87"/>
      <c r="HHR7" s="87"/>
      <c r="HHS7" s="87"/>
      <c r="HHT7" s="87"/>
      <c r="HHU7" s="87"/>
      <c r="HHV7" s="87"/>
      <c r="HHW7" s="87"/>
      <c r="HHX7" s="87"/>
      <c r="HHY7" s="87"/>
      <c r="HHZ7" s="87"/>
      <c r="HIA7" s="87"/>
      <c r="HIB7" s="87"/>
      <c r="HIC7" s="87"/>
      <c r="HID7" s="87"/>
      <c r="HIE7" s="87"/>
      <c r="HIF7" s="87"/>
      <c r="HIG7" s="87"/>
      <c r="HIH7" s="87"/>
      <c r="HII7" s="87"/>
      <c r="HIJ7" s="87"/>
      <c r="HIK7" s="87"/>
      <c r="HIL7" s="87"/>
      <c r="HIM7" s="87"/>
      <c r="HIN7" s="87"/>
      <c r="HIO7" s="87"/>
      <c r="HIP7" s="87"/>
      <c r="HIQ7" s="87"/>
      <c r="HIR7" s="87"/>
      <c r="HIS7" s="87"/>
      <c r="HIT7" s="87"/>
      <c r="HIU7" s="87"/>
      <c r="HIV7" s="87"/>
      <c r="HIW7" s="87"/>
      <c r="HIX7" s="87"/>
      <c r="HIY7" s="87"/>
      <c r="HIZ7" s="87"/>
      <c r="HJA7" s="87"/>
      <c r="HJB7" s="87"/>
      <c r="HJC7" s="87"/>
      <c r="HJD7" s="87"/>
      <c r="HJE7" s="87"/>
      <c r="HJF7" s="87"/>
      <c r="HJG7" s="87"/>
      <c r="HJH7" s="87"/>
      <c r="HJI7" s="87"/>
      <c r="HJJ7" s="87"/>
      <c r="HJK7" s="87"/>
      <c r="HJL7" s="87"/>
      <c r="HJM7" s="87"/>
      <c r="HJN7" s="87"/>
      <c r="HJO7" s="87"/>
      <c r="HJP7" s="87"/>
      <c r="HJQ7" s="87"/>
      <c r="HJR7" s="87"/>
      <c r="HJS7" s="87"/>
      <c r="HJT7" s="87"/>
      <c r="HJU7" s="87"/>
      <c r="HJV7" s="87"/>
      <c r="HJW7" s="87"/>
      <c r="HJX7" s="87"/>
      <c r="HJY7" s="87"/>
      <c r="HJZ7" s="87"/>
      <c r="HKA7" s="87"/>
      <c r="HKB7" s="87"/>
      <c r="HKC7" s="87"/>
      <c r="HKD7" s="87"/>
      <c r="HKE7" s="87"/>
      <c r="HKF7" s="87"/>
      <c r="HKG7" s="87"/>
      <c r="HKH7" s="87"/>
      <c r="HKI7" s="87"/>
      <c r="HKJ7" s="87"/>
      <c r="HKK7" s="87"/>
      <c r="HKL7" s="87"/>
      <c r="HKM7" s="87"/>
      <c r="HKN7" s="87"/>
      <c r="HKO7" s="87"/>
      <c r="HKP7" s="87"/>
      <c r="HKQ7" s="87"/>
      <c r="HKR7" s="87"/>
      <c r="HKS7" s="87"/>
      <c r="HKT7" s="87"/>
      <c r="HKU7" s="87"/>
      <c r="HKV7" s="87"/>
      <c r="HKW7" s="87"/>
      <c r="HKX7" s="87"/>
      <c r="HKY7" s="87"/>
      <c r="HKZ7" s="87"/>
      <c r="HLA7" s="87"/>
      <c r="HLB7" s="87"/>
      <c r="HLC7" s="87"/>
      <c r="HLD7" s="87"/>
      <c r="HLE7" s="87"/>
      <c r="HLF7" s="87"/>
      <c r="HLG7" s="87"/>
      <c r="HLH7" s="87"/>
      <c r="HLI7" s="87"/>
      <c r="HLJ7" s="87"/>
      <c r="HLK7" s="87"/>
      <c r="HLL7" s="87"/>
      <c r="HLM7" s="87"/>
      <c r="HLN7" s="87"/>
      <c r="HLO7" s="87"/>
      <c r="HLP7" s="87"/>
      <c r="HLQ7" s="87"/>
      <c r="HLR7" s="87"/>
      <c r="HLS7" s="87"/>
      <c r="HLT7" s="87"/>
      <c r="HLU7" s="87"/>
      <c r="HLV7" s="87"/>
      <c r="HLW7" s="87"/>
      <c r="HLX7" s="87"/>
      <c r="HLY7" s="87"/>
      <c r="HLZ7" s="87"/>
      <c r="HMA7" s="87"/>
      <c r="HMB7" s="87"/>
      <c r="HMC7" s="87"/>
      <c r="HMD7" s="87"/>
      <c r="HME7" s="87"/>
      <c r="HMF7" s="87"/>
      <c r="HMG7" s="87"/>
      <c r="HMH7" s="87"/>
      <c r="HMI7" s="87"/>
      <c r="HMJ7" s="87"/>
      <c r="HMK7" s="87"/>
      <c r="HML7" s="87"/>
      <c r="HMM7" s="87"/>
      <c r="HMN7" s="87"/>
      <c r="HMO7" s="87"/>
      <c r="HMP7" s="87"/>
      <c r="HMQ7" s="87"/>
      <c r="HMR7" s="87"/>
      <c r="HMS7" s="87"/>
      <c r="HMT7" s="87"/>
      <c r="HMU7" s="87"/>
      <c r="HMV7" s="87"/>
      <c r="HMW7" s="87"/>
      <c r="HMX7" s="87"/>
      <c r="HMY7" s="87"/>
      <c r="HMZ7" s="87"/>
      <c r="HNA7" s="87"/>
      <c r="HNB7" s="87"/>
      <c r="HNC7" s="87"/>
      <c r="HND7" s="87"/>
      <c r="HNE7" s="87"/>
      <c r="HNF7" s="87"/>
      <c r="HNG7" s="87"/>
      <c r="HNH7" s="87"/>
      <c r="HNI7" s="87"/>
      <c r="HNJ7" s="87"/>
      <c r="HNK7" s="87"/>
      <c r="HNL7" s="87"/>
      <c r="HNM7" s="87"/>
      <c r="HNN7" s="87"/>
      <c r="HNO7" s="87"/>
      <c r="HNP7" s="87"/>
      <c r="HNQ7" s="87"/>
      <c r="HNR7" s="87"/>
      <c r="HNS7" s="87"/>
      <c r="HNT7" s="87"/>
      <c r="HNU7" s="87"/>
      <c r="HNV7" s="87"/>
      <c r="HNW7" s="87"/>
      <c r="HNX7" s="87"/>
      <c r="HNY7" s="87"/>
      <c r="HNZ7" s="87"/>
      <c r="HOA7" s="87"/>
      <c r="HOB7" s="87"/>
      <c r="HOC7" s="87"/>
      <c r="HOD7" s="87"/>
      <c r="HOE7" s="87"/>
      <c r="HOF7" s="87"/>
      <c r="HOG7" s="87"/>
      <c r="HOH7" s="87"/>
      <c r="HOI7" s="87"/>
      <c r="HOJ7" s="87"/>
      <c r="HOK7" s="87"/>
      <c r="HOL7" s="87"/>
      <c r="HOM7" s="87"/>
      <c r="HON7" s="87"/>
      <c r="HOO7" s="87"/>
      <c r="HOP7" s="87"/>
      <c r="HOQ7" s="87"/>
      <c r="HOR7" s="87"/>
      <c r="HOS7" s="87"/>
      <c r="HOT7" s="87"/>
      <c r="HOU7" s="87"/>
      <c r="HOV7" s="87"/>
      <c r="HOW7" s="87"/>
      <c r="HOX7" s="87"/>
      <c r="HOY7" s="87"/>
      <c r="HOZ7" s="87"/>
      <c r="HPA7" s="87"/>
      <c r="HPB7" s="87"/>
      <c r="HPC7" s="87"/>
      <c r="HPD7" s="87"/>
      <c r="HPE7" s="87"/>
      <c r="HPF7" s="87"/>
      <c r="HPG7" s="87"/>
      <c r="HPH7" s="87"/>
      <c r="HPI7" s="87"/>
      <c r="HPJ7" s="87"/>
      <c r="HPK7" s="87"/>
      <c r="HPL7" s="87"/>
      <c r="HPM7" s="87"/>
      <c r="HPN7" s="87"/>
      <c r="HPO7" s="87"/>
      <c r="HPP7" s="87"/>
      <c r="HPQ7" s="87"/>
      <c r="HPR7" s="87"/>
      <c r="HPS7" s="87"/>
      <c r="HPT7" s="87"/>
      <c r="HPU7" s="87"/>
      <c r="HPV7" s="87"/>
      <c r="HPW7" s="87"/>
      <c r="HPX7" s="87"/>
      <c r="HPY7" s="87"/>
      <c r="HPZ7" s="87"/>
      <c r="HQA7" s="87"/>
      <c r="HQB7" s="87"/>
      <c r="HQC7" s="87"/>
      <c r="HQD7" s="87"/>
      <c r="HQE7" s="87"/>
      <c r="HQF7" s="87"/>
      <c r="HQG7" s="87"/>
      <c r="HQH7" s="87"/>
      <c r="HQI7" s="87"/>
      <c r="HQJ7" s="87"/>
      <c r="HQK7" s="87"/>
      <c r="HQL7" s="87"/>
      <c r="HQM7" s="87"/>
      <c r="HQN7" s="87"/>
      <c r="HQO7" s="87"/>
      <c r="HQP7" s="87"/>
      <c r="HQQ7" s="87"/>
      <c r="HQR7" s="87"/>
      <c r="HQS7" s="87"/>
      <c r="HQT7" s="87"/>
      <c r="HQU7" s="87"/>
      <c r="HQV7" s="87"/>
      <c r="HQW7" s="87"/>
      <c r="HQX7" s="87"/>
      <c r="HQY7" s="87"/>
      <c r="HQZ7" s="87"/>
      <c r="HRA7" s="87"/>
      <c r="HRB7" s="87"/>
      <c r="HRC7" s="87"/>
      <c r="HRD7" s="87"/>
      <c r="HRE7" s="87"/>
      <c r="HRF7" s="87"/>
      <c r="HRG7" s="87"/>
      <c r="HRH7" s="87"/>
      <c r="HRI7" s="87"/>
      <c r="HRJ7" s="87"/>
      <c r="HRK7" s="87"/>
      <c r="HRL7" s="87"/>
      <c r="HRM7" s="87"/>
      <c r="HRN7" s="87"/>
      <c r="HRO7" s="87"/>
      <c r="HRP7" s="87"/>
      <c r="HRQ7" s="87"/>
      <c r="HRR7" s="87"/>
      <c r="HRS7" s="87"/>
      <c r="HRT7" s="87"/>
      <c r="HRU7" s="87"/>
      <c r="HRV7" s="87"/>
      <c r="HRW7" s="87"/>
      <c r="HRX7" s="87"/>
      <c r="HRY7" s="87"/>
      <c r="HRZ7" s="87"/>
      <c r="HSA7" s="87"/>
      <c r="HSB7" s="87"/>
      <c r="HSC7" s="87"/>
      <c r="HSD7" s="87"/>
      <c r="HSE7" s="87"/>
      <c r="HSF7" s="87"/>
      <c r="HSG7" s="87"/>
      <c r="HSH7" s="87"/>
      <c r="HSI7" s="87"/>
      <c r="HSJ7" s="87"/>
      <c r="HSK7" s="87"/>
      <c r="HSL7" s="87"/>
      <c r="HSM7" s="87"/>
      <c r="HSN7" s="87"/>
      <c r="HSO7" s="87"/>
      <c r="HSP7" s="87"/>
      <c r="HSQ7" s="87"/>
      <c r="HSR7" s="87"/>
      <c r="HSS7" s="87"/>
      <c r="HST7" s="87"/>
      <c r="HSU7" s="87"/>
      <c r="HSV7" s="87"/>
      <c r="HSW7" s="87"/>
      <c r="HSX7" s="87"/>
      <c r="HSY7" s="87"/>
      <c r="HSZ7" s="87"/>
      <c r="HTA7" s="87"/>
      <c r="HTB7" s="87"/>
      <c r="HTC7" s="87"/>
      <c r="HTD7" s="87"/>
      <c r="HTE7" s="87"/>
      <c r="HTF7" s="87"/>
      <c r="HTG7" s="87"/>
      <c r="HTH7" s="87"/>
      <c r="HTI7" s="87"/>
      <c r="HTJ7" s="87"/>
      <c r="HTK7" s="87"/>
      <c r="HTL7" s="87"/>
      <c r="HTM7" s="87"/>
      <c r="HTN7" s="87"/>
      <c r="HTO7" s="87"/>
      <c r="HTP7" s="87"/>
      <c r="HTQ7" s="87"/>
      <c r="HTR7" s="87"/>
      <c r="HTS7" s="87"/>
      <c r="HTT7" s="87"/>
      <c r="HTU7" s="87"/>
      <c r="HTV7" s="87"/>
      <c r="HTW7" s="87"/>
      <c r="HTX7" s="87"/>
      <c r="HTY7" s="87"/>
      <c r="HTZ7" s="87"/>
      <c r="HUA7" s="87"/>
      <c r="HUB7" s="87"/>
      <c r="HUC7" s="87"/>
      <c r="HUD7" s="87"/>
      <c r="HUE7" s="87"/>
      <c r="HUF7" s="87"/>
      <c r="HUG7" s="87"/>
      <c r="HUH7" s="87"/>
      <c r="HUI7" s="87"/>
      <c r="HUJ7" s="87"/>
      <c r="HUK7" s="87"/>
      <c r="HUL7" s="87"/>
      <c r="HUM7" s="87"/>
      <c r="HUN7" s="87"/>
      <c r="HUO7" s="87"/>
      <c r="HUP7" s="87"/>
      <c r="HUQ7" s="87"/>
      <c r="HUR7" s="87"/>
      <c r="HUS7" s="87"/>
      <c r="HUT7" s="87"/>
      <c r="HUU7" s="87"/>
      <c r="HUV7" s="87"/>
      <c r="HUW7" s="87"/>
      <c r="HUX7" s="87"/>
      <c r="HUY7" s="87"/>
      <c r="HUZ7" s="87"/>
      <c r="HVA7" s="87"/>
      <c r="HVB7" s="87"/>
      <c r="HVC7" s="87"/>
      <c r="HVD7" s="87"/>
      <c r="HVE7" s="87"/>
      <c r="HVF7" s="87"/>
      <c r="HVG7" s="87"/>
      <c r="HVH7" s="87"/>
      <c r="HVI7" s="87"/>
      <c r="HVJ7" s="87"/>
      <c r="HVK7" s="87"/>
      <c r="HVL7" s="87"/>
      <c r="HVM7" s="87"/>
      <c r="HVN7" s="87"/>
      <c r="HVO7" s="87"/>
      <c r="HVP7" s="87"/>
      <c r="HVQ7" s="87"/>
      <c r="HVR7" s="87"/>
      <c r="HVS7" s="87"/>
      <c r="HVT7" s="87"/>
      <c r="HVU7" s="87"/>
      <c r="HVV7" s="87"/>
      <c r="HVW7" s="87"/>
      <c r="HVX7" s="87"/>
      <c r="HVY7" s="87"/>
      <c r="HVZ7" s="87"/>
      <c r="HWA7" s="87"/>
      <c r="HWB7" s="87"/>
      <c r="HWC7" s="87"/>
      <c r="HWD7" s="87"/>
      <c r="HWE7" s="87"/>
      <c r="HWF7" s="87"/>
      <c r="HWG7" s="87"/>
      <c r="HWH7" s="87"/>
      <c r="HWI7" s="87"/>
      <c r="HWJ7" s="87"/>
      <c r="HWK7" s="87"/>
      <c r="HWL7" s="87"/>
      <c r="HWM7" s="87"/>
      <c r="HWN7" s="87"/>
      <c r="HWO7" s="87"/>
      <c r="HWP7" s="87"/>
      <c r="HWQ7" s="87"/>
      <c r="HWR7" s="87"/>
      <c r="HWS7" s="87"/>
      <c r="HWT7" s="87"/>
      <c r="HWU7" s="87"/>
      <c r="HWV7" s="87"/>
      <c r="HWW7" s="87"/>
      <c r="HWX7" s="87"/>
      <c r="HWY7" s="87"/>
      <c r="HWZ7" s="87"/>
      <c r="HXA7" s="87"/>
      <c r="HXB7" s="87"/>
      <c r="HXC7" s="87"/>
      <c r="HXD7" s="87"/>
      <c r="HXE7" s="87"/>
      <c r="HXF7" s="87"/>
      <c r="HXG7" s="87"/>
      <c r="HXH7" s="87"/>
      <c r="HXI7" s="87"/>
      <c r="HXJ7" s="87"/>
      <c r="HXK7" s="87"/>
      <c r="HXL7" s="87"/>
      <c r="HXM7" s="87"/>
      <c r="HXN7" s="87"/>
      <c r="HXO7" s="87"/>
      <c r="HXP7" s="87"/>
      <c r="HXQ7" s="87"/>
      <c r="HXR7" s="87"/>
      <c r="HXS7" s="87"/>
      <c r="HXT7" s="87"/>
      <c r="HXU7" s="87"/>
      <c r="HXV7" s="87"/>
      <c r="HXW7" s="87"/>
      <c r="HXX7" s="87"/>
      <c r="HXY7" s="87"/>
      <c r="HXZ7" s="87"/>
      <c r="HYA7" s="87"/>
      <c r="HYB7" s="87"/>
      <c r="HYC7" s="87"/>
      <c r="HYD7" s="87"/>
      <c r="HYE7" s="87"/>
      <c r="HYF7" s="87"/>
      <c r="HYG7" s="87"/>
      <c r="HYH7" s="87"/>
      <c r="HYI7" s="87"/>
      <c r="HYJ7" s="87"/>
      <c r="HYK7" s="87"/>
      <c r="HYL7" s="87"/>
      <c r="HYM7" s="87"/>
      <c r="HYN7" s="87"/>
      <c r="HYO7" s="87"/>
      <c r="HYP7" s="87"/>
      <c r="HYQ7" s="87"/>
      <c r="HYR7" s="87"/>
      <c r="HYS7" s="87"/>
      <c r="HYT7" s="87"/>
      <c r="HYU7" s="87"/>
      <c r="HYV7" s="87"/>
      <c r="HYW7" s="87"/>
      <c r="HYX7" s="87"/>
      <c r="HYY7" s="87"/>
      <c r="HYZ7" s="87"/>
      <c r="HZA7" s="87"/>
      <c r="HZB7" s="87"/>
      <c r="HZC7" s="87"/>
      <c r="HZD7" s="87"/>
      <c r="HZE7" s="87"/>
      <c r="HZF7" s="87"/>
      <c r="HZG7" s="87"/>
      <c r="HZH7" s="87"/>
      <c r="HZI7" s="87"/>
      <c r="HZJ7" s="87"/>
      <c r="HZK7" s="87"/>
      <c r="HZL7" s="87"/>
      <c r="HZM7" s="87"/>
      <c r="HZN7" s="87"/>
      <c r="HZO7" s="87"/>
      <c r="HZP7" s="87"/>
      <c r="HZQ7" s="87"/>
      <c r="HZR7" s="87"/>
      <c r="HZS7" s="87"/>
      <c r="HZT7" s="87"/>
      <c r="HZU7" s="87"/>
      <c r="HZV7" s="87"/>
      <c r="HZW7" s="87"/>
      <c r="HZX7" s="87"/>
      <c r="HZY7" s="87"/>
      <c r="HZZ7" s="87"/>
      <c r="IAA7" s="87"/>
      <c r="IAB7" s="87"/>
      <c r="IAC7" s="87"/>
      <c r="IAD7" s="87"/>
      <c r="IAE7" s="87"/>
      <c r="IAF7" s="87"/>
      <c r="IAG7" s="87"/>
      <c r="IAH7" s="87"/>
      <c r="IAI7" s="87"/>
      <c r="IAJ7" s="87"/>
      <c r="IAK7" s="87"/>
      <c r="IAL7" s="87"/>
      <c r="IAM7" s="87"/>
      <c r="IAN7" s="87"/>
      <c r="IAO7" s="87"/>
      <c r="IAP7" s="87"/>
      <c r="IAQ7" s="87"/>
      <c r="IAR7" s="87"/>
      <c r="IAS7" s="87"/>
      <c r="IAT7" s="87"/>
      <c r="IAU7" s="87"/>
      <c r="IAV7" s="87"/>
      <c r="IAW7" s="87"/>
      <c r="IAX7" s="87"/>
      <c r="IAY7" s="87"/>
      <c r="IAZ7" s="87"/>
      <c r="IBA7" s="87"/>
      <c r="IBB7" s="87"/>
      <c r="IBC7" s="87"/>
      <c r="IBD7" s="87"/>
      <c r="IBE7" s="87"/>
      <c r="IBF7" s="87"/>
      <c r="IBG7" s="87"/>
      <c r="IBH7" s="87"/>
      <c r="IBI7" s="87"/>
      <c r="IBJ7" s="87"/>
      <c r="IBK7" s="87"/>
      <c r="IBL7" s="87"/>
      <c r="IBM7" s="87"/>
      <c r="IBN7" s="87"/>
      <c r="IBO7" s="87"/>
      <c r="IBP7" s="87"/>
      <c r="IBQ7" s="87"/>
      <c r="IBR7" s="87"/>
      <c r="IBS7" s="87"/>
      <c r="IBT7" s="87"/>
      <c r="IBU7" s="87"/>
      <c r="IBV7" s="87"/>
      <c r="IBW7" s="87"/>
      <c r="IBX7" s="87"/>
      <c r="IBY7" s="87"/>
      <c r="IBZ7" s="87"/>
      <c r="ICA7" s="87"/>
      <c r="ICB7" s="87"/>
      <c r="ICC7" s="87"/>
      <c r="ICD7" s="87"/>
      <c r="ICE7" s="87"/>
      <c r="ICF7" s="87"/>
      <c r="ICG7" s="87"/>
      <c r="ICH7" s="87"/>
      <c r="ICI7" s="87"/>
      <c r="ICJ7" s="87"/>
      <c r="ICK7" s="87"/>
      <c r="ICL7" s="87"/>
      <c r="ICM7" s="87"/>
      <c r="ICN7" s="87"/>
      <c r="ICO7" s="87"/>
      <c r="ICP7" s="87"/>
      <c r="ICQ7" s="87"/>
      <c r="ICR7" s="87"/>
      <c r="ICS7" s="87"/>
      <c r="ICT7" s="87"/>
      <c r="ICU7" s="87"/>
      <c r="ICV7" s="87"/>
      <c r="ICW7" s="87"/>
      <c r="ICX7" s="87"/>
      <c r="ICY7" s="87"/>
      <c r="ICZ7" s="87"/>
      <c r="IDA7" s="87"/>
      <c r="IDB7" s="87"/>
      <c r="IDC7" s="87"/>
      <c r="IDD7" s="87"/>
      <c r="IDE7" s="87"/>
      <c r="IDF7" s="87"/>
      <c r="IDG7" s="87"/>
      <c r="IDH7" s="87"/>
      <c r="IDI7" s="87"/>
      <c r="IDJ7" s="87"/>
      <c r="IDK7" s="87"/>
      <c r="IDL7" s="87"/>
      <c r="IDM7" s="87"/>
      <c r="IDN7" s="87"/>
      <c r="IDO7" s="87"/>
      <c r="IDP7" s="87"/>
      <c r="IDQ7" s="87"/>
      <c r="IDR7" s="87"/>
      <c r="IDS7" s="87"/>
      <c r="IDT7" s="87"/>
      <c r="IDU7" s="87"/>
      <c r="IDV7" s="87"/>
      <c r="IDW7" s="87"/>
      <c r="IDX7" s="87"/>
      <c r="IDY7" s="87"/>
      <c r="IDZ7" s="87"/>
      <c r="IEA7" s="87"/>
      <c r="IEB7" s="87"/>
      <c r="IEC7" s="87"/>
      <c r="IED7" s="87"/>
      <c r="IEE7" s="87"/>
      <c r="IEF7" s="87"/>
      <c r="IEG7" s="87"/>
      <c r="IEH7" s="87"/>
      <c r="IEI7" s="87"/>
      <c r="IEJ7" s="87"/>
      <c r="IEK7" s="87"/>
      <c r="IEL7" s="87"/>
      <c r="IEM7" s="87"/>
      <c r="IEN7" s="87"/>
      <c r="IEO7" s="87"/>
      <c r="IEP7" s="87"/>
      <c r="IEQ7" s="87"/>
      <c r="IER7" s="87"/>
      <c r="IES7" s="87"/>
      <c r="IET7" s="87"/>
      <c r="IEU7" s="87"/>
      <c r="IEV7" s="87"/>
      <c r="IEW7" s="87"/>
      <c r="IEX7" s="87"/>
      <c r="IEY7" s="87"/>
      <c r="IEZ7" s="87"/>
      <c r="IFA7" s="87"/>
      <c r="IFB7" s="87"/>
      <c r="IFC7" s="87"/>
      <c r="IFD7" s="87"/>
      <c r="IFE7" s="87"/>
      <c r="IFF7" s="87"/>
      <c r="IFG7" s="87"/>
      <c r="IFH7" s="87"/>
      <c r="IFI7" s="87"/>
      <c r="IFJ7" s="87"/>
      <c r="IFK7" s="87"/>
      <c r="IFL7" s="87"/>
      <c r="IFM7" s="87"/>
      <c r="IFN7" s="87"/>
      <c r="IFO7" s="87"/>
      <c r="IFP7" s="87"/>
      <c r="IFQ7" s="87"/>
      <c r="IFR7" s="87"/>
      <c r="IFS7" s="87"/>
      <c r="IFT7" s="87"/>
      <c r="IFU7" s="87"/>
      <c r="IFV7" s="87"/>
      <c r="IFW7" s="87"/>
      <c r="IFX7" s="87"/>
      <c r="IFY7" s="87"/>
      <c r="IFZ7" s="87"/>
      <c r="IGA7" s="87"/>
      <c r="IGB7" s="87"/>
      <c r="IGC7" s="87"/>
      <c r="IGD7" s="87"/>
      <c r="IGE7" s="87"/>
      <c r="IGF7" s="87"/>
      <c r="IGG7" s="87"/>
      <c r="IGH7" s="87"/>
      <c r="IGI7" s="87"/>
      <c r="IGJ7" s="87"/>
      <c r="IGK7" s="87"/>
      <c r="IGL7" s="87"/>
      <c r="IGM7" s="87"/>
      <c r="IGN7" s="87"/>
      <c r="IGO7" s="87"/>
      <c r="IGP7" s="87"/>
      <c r="IGQ7" s="87"/>
      <c r="IGR7" s="87"/>
      <c r="IGS7" s="87"/>
      <c r="IGT7" s="87"/>
      <c r="IGU7" s="87"/>
      <c r="IGV7" s="87"/>
      <c r="IGW7" s="87"/>
      <c r="IGX7" s="87"/>
      <c r="IGY7" s="87"/>
      <c r="IGZ7" s="87"/>
      <c r="IHA7" s="87"/>
      <c r="IHB7" s="87"/>
      <c r="IHC7" s="87"/>
      <c r="IHD7" s="87"/>
      <c r="IHE7" s="87"/>
      <c r="IHF7" s="87"/>
      <c r="IHG7" s="87"/>
      <c r="IHH7" s="87"/>
      <c r="IHI7" s="87"/>
      <c r="IHJ7" s="87"/>
      <c r="IHK7" s="87"/>
      <c r="IHL7" s="87"/>
      <c r="IHM7" s="87"/>
      <c r="IHN7" s="87"/>
      <c r="IHO7" s="87"/>
      <c r="IHP7" s="87"/>
      <c r="IHQ7" s="87"/>
      <c r="IHR7" s="87"/>
      <c r="IHS7" s="87"/>
      <c r="IHT7" s="87"/>
      <c r="IHU7" s="87"/>
      <c r="IHV7" s="87"/>
      <c r="IHW7" s="87"/>
      <c r="IHX7" s="87"/>
      <c r="IHY7" s="87"/>
      <c r="IHZ7" s="87"/>
      <c r="IIA7" s="87"/>
      <c r="IIB7" s="87"/>
      <c r="IIC7" s="87"/>
      <c r="IID7" s="87"/>
      <c r="IIE7" s="87"/>
      <c r="IIF7" s="87"/>
      <c r="IIG7" s="87"/>
      <c r="IIH7" s="87"/>
      <c r="III7" s="87"/>
      <c r="IIJ7" s="87"/>
      <c r="IIK7" s="87"/>
      <c r="IIL7" s="87"/>
      <c r="IIM7" s="87"/>
      <c r="IIN7" s="87"/>
      <c r="IIO7" s="87"/>
      <c r="IIP7" s="87"/>
      <c r="IIQ7" s="87"/>
      <c r="IIR7" s="87"/>
      <c r="IIS7" s="87"/>
      <c r="IIT7" s="87"/>
      <c r="IIU7" s="87"/>
      <c r="IIV7" s="87"/>
      <c r="IIW7" s="87"/>
      <c r="IIX7" s="87"/>
      <c r="IIY7" s="87"/>
      <c r="IIZ7" s="87"/>
      <c r="IJA7" s="87"/>
      <c r="IJB7" s="87"/>
      <c r="IJC7" s="87"/>
      <c r="IJD7" s="87"/>
      <c r="IJE7" s="87"/>
      <c r="IJF7" s="87"/>
      <c r="IJG7" s="87"/>
      <c r="IJH7" s="87"/>
      <c r="IJI7" s="87"/>
      <c r="IJJ7" s="87"/>
      <c r="IJK7" s="87"/>
      <c r="IJL7" s="87"/>
      <c r="IJM7" s="87"/>
      <c r="IJN7" s="87"/>
      <c r="IJO7" s="87"/>
      <c r="IJP7" s="87"/>
      <c r="IJQ7" s="87"/>
      <c r="IJR7" s="87"/>
      <c r="IJS7" s="87"/>
      <c r="IJT7" s="87"/>
      <c r="IJU7" s="87"/>
      <c r="IJV7" s="87"/>
      <c r="IJW7" s="87"/>
      <c r="IJX7" s="87"/>
      <c r="IJY7" s="87"/>
      <c r="IJZ7" s="87"/>
      <c r="IKA7" s="87"/>
      <c r="IKB7" s="87"/>
      <c r="IKC7" s="87"/>
      <c r="IKD7" s="87"/>
      <c r="IKE7" s="87"/>
      <c r="IKF7" s="87"/>
      <c r="IKG7" s="87"/>
      <c r="IKH7" s="87"/>
      <c r="IKI7" s="87"/>
      <c r="IKJ7" s="87"/>
      <c r="IKK7" s="87"/>
      <c r="IKL7" s="87"/>
      <c r="IKM7" s="87"/>
      <c r="IKN7" s="87"/>
      <c r="IKO7" s="87"/>
      <c r="IKP7" s="87"/>
      <c r="IKQ7" s="87"/>
      <c r="IKR7" s="87"/>
      <c r="IKS7" s="87"/>
      <c r="IKT7" s="87"/>
      <c r="IKU7" s="87"/>
      <c r="IKV7" s="87"/>
      <c r="IKW7" s="87"/>
      <c r="IKX7" s="87"/>
      <c r="IKY7" s="87"/>
      <c r="IKZ7" s="87"/>
      <c r="ILA7" s="87"/>
      <c r="ILB7" s="87"/>
      <c r="ILC7" s="87"/>
      <c r="ILD7" s="87"/>
      <c r="ILE7" s="87"/>
      <c r="ILF7" s="87"/>
      <c r="ILG7" s="87"/>
      <c r="ILH7" s="87"/>
      <c r="ILI7" s="87"/>
      <c r="ILJ7" s="87"/>
      <c r="ILK7" s="87"/>
      <c r="ILL7" s="87"/>
      <c r="ILM7" s="87"/>
      <c r="ILN7" s="87"/>
      <c r="ILO7" s="87"/>
      <c r="ILP7" s="87"/>
      <c r="ILQ7" s="87"/>
      <c r="ILR7" s="87"/>
      <c r="ILS7" s="87"/>
      <c r="ILT7" s="87"/>
      <c r="ILU7" s="87"/>
      <c r="ILV7" s="87"/>
      <c r="ILW7" s="87"/>
      <c r="ILX7" s="87"/>
      <c r="ILY7" s="87"/>
      <c r="ILZ7" s="87"/>
      <c r="IMA7" s="87"/>
      <c r="IMB7" s="87"/>
      <c r="IMC7" s="87"/>
      <c r="IMD7" s="87"/>
      <c r="IME7" s="87"/>
      <c r="IMF7" s="87"/>
      <c r="IMG7" s="87"/>
      <c r="IMH7" s="87"/>
      <c r="IMI7" s="87"/>
      <c r="IMJ7" s="87"/>
      <c r="IMK7" s="87"/>
      <c r="IML7" s="87"/>
      <c r="IMM7" s="87"/>
      <c r="IMN7" s="87"/>
      <c r="IMO7" s="87"/>
      <c r="IMP7" s="87"/>
      <c r="IMQ7" s="87"/>
      <c r="IMR7" s="87"/>
      <c r="IMS7" s="87"/>
      <c r="IMT7" s="87"/>
      <c r="IMU7" s="87"/>
      <c r="IMV7" s="87"/>
      <c r="IMW7" s="87"/>
      <c r="IMX7" s="87"/>
      <c r="IMY7" s="87"/>
      <c r="IMZ7" s="87"/>
      <c r="INA7" s="87"/>
      <c r="INB7" s="87"/>
      <c r="INC7" s="87"/>
      <c r="IND7" s="87"/>
      <c r="INE7" s="87"/>
      <c r="INF7" s="87"/>
      <c r="ING7" s="87"/>
      <c r="INH7" s="87"/>
      <c r="INI7" s="87"/>
      <c r="INJ7" s="87"/>
      <c r="INK7" s="87"/>
      <c r="INL7" s="87"/>
      <c r="INM7" s="87"/>
      <c r="INN7" s="87"/>
      <c r="INO7" s="87"/>
      <c r="INP7" s="87"/>
      <c r="INQ7" s="87"/>
      <c r="INR7" s="87"/>
      <c r="INS7" s="87"/>
      <c r="INT7" s="87"/>
      <c r="INU7" s="87"/>
      <c r="INV7" s="87"/>
      <c r="INW7" s="87"/>
      <c r="INX7" s="87"/>
      <c r="INY7" s="87"/>
      <c r="INZ7" s="87"/>
      <c r="IOA7" s="87"/>
      <c r="IOB7" s="87"/>
      <c r="IOC7" s="87"/>
      <c r="IOD7" s="87"/>
      <c r="IOE7" s="87"/>
      <c r="IOF7" s="87"/>
      <c r="IOG7" s="87"/>
      <c r="IOH7" s="87"/>
      <c r="IOI7" s="87"/>
      <c r="IOJ7" s="87"/>
      <c r="IOK7" s="87"/>
      <c r="IOL7" s="87"/>
      <c r="IOM7" s="87"/>
      <c r="ION7" s="87"/>
      <c r="IOO7" s="87"/>
      <c r="IOP7" s="87"/>
      <c r="IOQ7" s="87"/>
      <c r="IOR7" s="87"/>
      <c r="IOS7" s="87"/>
      <c r="IOT7" s="87"/>
      <c r="IOU7" s="87"/>
      <c r="IOV7" s="87"/>
      <c r="IOW7" s="87"/>
      <c r="IOX7" s="87"/>
      <c r="IOY7" s="87"/>
      <c r="IOZ7" s="87"/>
      <c r="IPA7" s="87"/>
      <c r="IPB7" s="87"/>
      <c r="IPC7" s="87"/>
      <c r="IPD7" s="87"/>
      <c r="IPE7" s="87"/>
      <c r="IPF7" s="87"/>
      <c r="IPG7" s="87"/>
      <c r="IPH7" s="87"/>
      <c r="IPI7" s="87"/>
      <c r="IPJ7" s="87"/>
      <c r="IPK7" s="87"/>
      <c r="IPL7" s="87"/>
      <c r="IPM7" s="87"/>
      <c r="IPN7" s="87"/>
      <c r="IPO7" s="87"/>
      <c r="IPP7" s="87"/>
      <c r="IPQ7" s="87"/>
      <c r="IPR7" s="87"/>
      <c r="IPS7" s="87"/>
      <c r="IPT7" s="87"/>
      <c r="IPU7" s="87"/>
      <c r="IPV7" s="87"/>
      <c r="IPW7" s="87"/>
      <c r="IPX7" s="87"/>
      <c r="IPY7" s="87"/>
      <c r="IPZ7" s="87"/>
      <c r="IQA7" s="87"/>
      <c r="IQB7" s="87"/>
      <c r="IQC7" s="87"/>
      <c r="IQD7" s="87"/>
      <c r="IQE7" s="87"/>
      <c r="IQF7" s="87"/>
      <c r="IQG7" s="87"/>
      <c r="IQH7" s="87"/>
      <c r="IQI7" s="87"/>
      <c r="IQJ7" s="87"/>
      <c r="IQK7" s="87"/>
      <c r="IQL7" s="87"/>
      <c r="IQM7" s="87"/>
      <c r="IQN7" s="87"/>
      <c r="IQO7" s="87"/>
      <c r="IQP7" s="87"/>
      <c r="IQQ7" s="87"/>
      <c r="IQR7" s="87"/>
      <c r="IQS7" s="87"/>
      <c r="IQT7" s="87"/>
      <c r="IQU7" s="87"/>
      <c r="IQV7" s="87"/>
      <c r="IQW7" s="87"/>
      <c r="IQX7" s="87"/>
      <c r="IQY7" s="87"/>
      <c r="IQZ7" s="87"/>
      <c r="IRA7" s="87"/>
      <c r="IRB7" s="87"/>
      <c r="IRC7" s="87"/>
      <c r="IRD7" s="87"/>
      <c r="IRE7" s="87"/>
      <c r="IRF7" s="87"/>
      <c r="IRG7" s="87"/>
      <c r="IRH7" s="87"/>
      <c r="IRI7" s="87"/>
      <c r="IRJ7" s="87"/>
      <c r="IRK7" s="87"/>
      <c r="IRL7" s="87"/>
      <c r="IRM7" s="87"/>
      <c r="IRN7" s="87"/>
      <c r="IRO7" s="87"/>
      <c r="IRP7" s="87"/>
      <c r="IRQ7" s="87"/>
      <c r="IRR7" s="87"/>
      <c r="IRS7" s="87"/>
      <c r="IRT7" s="87"/>
      <c r="IRU7" s="87"/>
      <c r="IRV7" s="87"/>
      <c r="IRW7" s="87"/>
      <c r="IRX7" s="87"/>
      <c r="IRY7" s="87"/>
      <c r="IRZ7" s="87"/>
      <c r="ISA7" s="87"/>
      <c r="ISB7" s="87"/>
      <c r="ISC7" s="87"/>
      <c r="ISD7" s="87"/>
      <c r="ISE7" s="87"/>
      <c r="ISF7" s="87"/>
      <c r="ISG7" s="87"/>
      <c r="ISH7" s="87"/>
      <c r="ISI7" s="87"/>
      <c r="ISJ7" s="87"/>
      <c r="ISK7" s="87"/>
      <c r="ISL7" s="87"/>
      <c r="ISM7" s="87"/>
      <c r="ISN7" s="87"/>
      <c r="ISO7" s="87"/>
      <c r="ISP7" s="87"/>
      <c r="ISQ7" s="87"/>
      <c r="ISR7" s="87"/>
      <c r="ISS7" s="87"/>
      <c r="IST7" s="87"/>
      <c r="ISU7" s="87"/>
      <c r="ISV7" s="87"/>
      <c r="ISW7" s="87"/>
      <c r="ISX7" s="87"/>
      <c r="ISY7" s="87"/>
      <c r="ISZ7" s="87"/>
      <c r="ITA7" s="87"/>
      <c r="ITB7" s="87"/>
      <c r="ITC7" s="87"/>
      <c r="ITD7" s="87"/>
      <c r="ITE7" s="87"/>
      <c r="ITF7" s="87"/>
      <c r="ITG7" s="87"/>
      <c r="ITH7" s="87"/>
      <c r="ITI7" s="87"/>
      <c r="ITJ7" s="87"/>
      <c r="ITK7" s="87"/>
      <c r="ITL7" s="87"/>
      <c r="ITM7" s="87"/>
      <c r="ITN7" s="87"/>
      <c r="ITO7" s="87"/>
      <c r="ITP7" s="87"/>
      <c r="ITQ7" s="87"/>
      <c r="ITR7" s="87"/>
      <c r="ITS7" s="87"/>
      <c r="ITT7" s="87"/>
      <c r="ITU7" s="87"/>
      <c r="ITV7" s="87"/>
      <c r="ITW7" s="87"/>
      <c r="ITX7" s="87"/>
      <c r="ITY7" s="87"/>
      <c r="ITZ7" s="87"/>
      <c r="IUA7" s="87"/>
      <c r="IUB7" s="87"/>
      <c r="IUC7" s="87"/>
      <c r="IUD7" s="87"/>
      <c r="IUE7" s="87"/>
      <c r="IUF7" s="87"/>
      <c r="IUG7" s="87"/>
      <c r="IUH7" s="87"/>
      <c r="IUI7" s="87"/>
      <c r="IUJ7" s="87"/>
      <c r="IUK7" s="87"/>
      <c r="IUL7" s="87"/>
      <c r="IUM7" s="87"/>
      <c r="IUN7" s="87"/>
      <c r="IUO7" s="87"/>
      <c r="IUP7" s="87"/>
      <c r="IUQ7" s="87"/>
      <c r="IUR7" s="87"/>
      <c r="IUS7" s="87"/>
      <c r="IUT7" s="87"/>
      <c r="IUU7" s="87"/>
      <c r="IUV7" s="87"/>
      <c r="IUW7" s="87"/>
      <c r="IUX7" s="87"/>
      <c r="IUY7" s="87"/>
      <c r="IUZ7" s="87"/>
      <c r="IVA7" s="87"/>
      <c r="IVB7" s="87"/>
      <c r="IVC7" s="87"/>
      <c r="IVD7" s="87"/>
      <c r="IVE7" s="87"/>
      <c r="IVF7" s="87"/>
      <c r="IVG7" s="87"/>
      <c r="IVH7" s="87"/>
      <c r="IVI7" s="87"/>
      <c r="IVJ7" s="87"/>
      <c r="IVK7" s="87"/>
      <c r="IVL7" s="87"/>
      <c r="IVM7" s="87"/>
      <c r="IVN7" s="87"/>
      <c r="IVO7" s="87"/>
      <c r="IVP7" s="87"/>
      <c r="IVQ7" s="87"/>
      <c r="IVR7" s="87"/>
      <c r="IVS7" s="87"/>
      <c r="IVT7" s="87"/>
      <c r="IVU7" s="87"/>
      <c r="IVV7" s="87"/>
      <c r="IVW7" s="87"/>
      <c r="IVX7" s="87"/>
      <c r="IVY7" s="87"/>
      <c r="IVZ7" s="87"/>
      <c r="IWA7" s="87"/>
      <c r="IWB7" s="87"/>
      <c r="IWC7" s="87"/>
      <c r="IWD7" s="87"/>
      <c r="IWE7" s="87"/>
      <c r="IWF7" s="87"/>
      <c r="IWG7" s="87"/>
      <c r="IWH7" s="87"/>
      <c r="IWI7" s="87"/>
      <c r="IWJ7" s="87"/>
      <c r="IWK7" s="87"/>
      <c r="IWL7" s="87"/>
      <c r="IWM7" s="87"/>
      <c r="IWN7" s="87"/>
      <c r="IWO7" s="87"/>
      <c r="IWP7" s="87"/>
      <c r="IWQ7" s="87"/>
      <c r="IWR7" s="87"/>
      <c r="IWS7" s="87"/>
      <c r="IWT7" s="87"/>
      <c r="IWU7" s="87"/>
      <c r="IWV7" s="87"/>
      <c r="IWW7" s="87"/>
      <c r="IWX7" s="87"/>
      <c r="IWY7" s="87"/>
      <c r="IWZ7" s="87"/>
      <c r="IXA7" s="87"/>
      <c r="IXB7" s="87"/>
      <c r="IXC7" s="87"/>
      <c r="IXD7" s="87"/>
      <c r="IXE7" s="87"/>
      <c r="IXF7" s="87"/>
      <c r="IXG7" s="87"/>
      <c r="IXH7" s="87"/>
      <c r="IXI7" s="87"/>
      <c r="IXJ7" s="87"/>
      <c r="IXK7" s="87"/>
      <c r="IXL7" s="87"/>
      <c r="IXM7" s="87"/>
      <c r="IXN7" s="87"/>
      <c r="IXO7" s="87"/>
      <c r="IXP7" s="87"/>
      <c r="IXQ7" s="87"/>
      <c r="IXR7" s="87"/>
      <c r="IXS7" s="87"/>
      <c r="IXT7" s="87"/>
      <c r="IXU7" s="87"/>
      <c r="IXV7" s="87"/>
      <c r="IXW7" s="87"/>
      <c r="IXX7" s="87"/>
      <c r="IXY7" s="87"/>
      <c r="IXZ7" s="87"/>
      <c r="IYA7" s="87"/>
      <c r="IYB7" s="87"/>
      <c r="IYC7" s="87"/>
      <c r="IYD7" s="87"/>
      <c r="IYE7" s="87"/>
      <c r="IYF7" s="87"/>
      <c r="IYG7" s="87"/>
      <c r="IYH7" s="87"/>
      <c r="IYI7" s="87"/>
      <c r="IYJ7" s="87"/>
      <c r="IYK7" s="87"/>
      <c r="IYL7" s="87"/>
      <c r="IYM7" s="87"/>
      <c r="IYN7" s="87"/>
      <c r="IYO7" s="87"/>
      <c r="IYP7" s="87"/>
      <c r="IYQ7" s="87"/>
      <c r="IYR7" s="87"/>
      <c r="IYS7" s="87"/>
      <c r="IYT7" s="87"/>
      <c r="IYU7" s="87"/>
      <c r="IYV7" s="87"/>
      <c r="IYW7" s="87"/>
      <c r="IYX7" s="87"/>
      <c r="IYY7" s="87"/>
      <c r="IYZ7" s="87"/>
      <c r="IZA7" s="87"/>
      <c r="IZB7" s="87"/>
      <c r="IZC7" s="87"/>
      <c r="IZD7" s="87"/>
      <c r="IZE7" s="87"/>
      <c r="IZF7" s="87"/>
      <c r="IZG7" s="87"/>
      <c r="IZH7" s="87"/>
      <c r="IZI7" s="87"/>
      <c r="IZJ7" s="87"/>
      <c r="IZK7" s="87"/>
      <c r="IZL7" s="87"/>
      <c r="IZM7" s="87"/>
      <c r="IZN7" s="87"/>
      <c r="IZO7" s="87"/>
      <c r="IZP7" s="87"/>
      <c r="IZQ7" s="87"/>
      <c r="IZR7" s="87"/>
      <c r="IZS7" s="87"/>
      <c r="IZT7" s="87"/>
      <c r="IZU7" s="87"/>
      <c r="IZV7" s="87"/>
      <c r="IZW7" s="87"/>
      <c r="IZX7" s="87"/>
      <c r="IZY7" s="87"/>
      <c r="IZZ7" s="87"/>
      <c r="JAA7" s="87"/>
      <c r="JAB7" s="87"/>
      <c r="JAC7" s="87"/>
      <c r="JAD7" s="87"/>
      <c r="JAE7" s="87"/>
      <c r="JAF7" s="87"/>
      <c r="JAG7" s="87"/>
      <c r="JAH7" s="87"/>
      <c r="JAI7" s="87"/>
      <c r="JAJ7" s="87"/>
      <c r="JAK7" s="87"/>
      <c r="JAL7" s="87"/>
      <c r="JAM7" s="87"/>
      <c r="JAN7" s="87"/>
      <c r="JAO7" s="87"/>
      <c r="JAP7" s="87"/>
      <c r="JAQ7" s="87"/>
      <c r="JAR7" s="87"/>
      <c r="JAS7" s="87"/>
      <c r="JAT7" s="87"/>
      <c r="JAU7" s="87"/>
      <c r="JAV7" s="87"/>
      <c r="JAW7" s="87"/>
      <c r="JAX7" s="87"/>
      <c r="JAY7" s="87"/>
      <c r="JAZ7" s="87"/>
      <c r="JBA7" s="87"/>
      <c r="JBB7" s="87"/>
      <c r="JBC7" s="87"/>
      <c r="JBD7" s="87"/>
      <c r="JBE7" s="87"/>
      <c r="JBF7" s="87"/>
      <c r="JBG7" s="87"/>
      <c r="JBH7" s="87"/>
      <c r="JBI7" s="87"/>
      <c r="JBJ7" s="87"/>
      <c r="JBK7" s="87"/>
      <c r="JBL7" s="87"/>
      <c r="JBM7" s="87"/>
      <c r="JBN7" s="87"/>
      <c r="JBO7" s="87"/>
      <c r="JBP7" s="87"/>
      <c r="JBQ7" s="87"/>
      <c r="JBR7" s="87"/>
      <c r="JBS7" s="87"/>
      <c r="JBT7" s="87"/>
      <c r="JBU7" s="87"/>
      <c r="JBV7" s="87"/>
      <c r="JBW7" s="87"/>
      <c r="JBX7" s="87"/>
      <c r="JBY7" s="87"/>
      <c r="JBZ7" s="87"/>
      <c r="JCA7" s="87"/>
      <c r="JCB7" s="87"/>
      <c r="JCC7" s="87"/>
      <c r="JCD7" s="87"/>
      <c r="JCE7" s="87"/>
      <c r="JCF7" s="87"/>
      <c r="JCG7" s="87"/>
      <c r="JCH7" s="87"/>
      <c r="JCI7" s="87"/>
      <c r="JCJ7" s="87"/>
      <c r="JCK7" s="87"/>
      <c r="JCL7" s="87"/>
      <c r="JCM7" s="87"/>
      <c r="JCN7" s="87"/>
      <c r="JCO7" s="87"/>
      <c r="JCP7" s="87"/>
      <c r="JCQ7" s="87"/>
      <c r="JCR7" s="87"/>
      <c r="JCS7" s="87"/>
      <c r="JCT7" s="87"/>
      <c r="JCU7" s="87"/>
      <c r="JCV7" s="87"/>
      <c r="JCW7" s="87"/>
      <c r="JCX7" s="87"/>
      <c r="JCY7" s="87"/>
      <c r="JCZ7" s="87"/>
      <c r="JDA7" s="87"/>
      <c r="JDB7" s="87"/>
      <c r="JDC7" s="87"/>
      <c r="JDD7" s="87"/>
      <c r="JDE7" s="87"/>
      <c r="JDF7" s="87"/>
      <c r="JDG7" s="87"/>
      <c r="JDH7" s="87"/>
      <c r="JDI7" s="87"/>
      <c r="JDJ7" s="87"/>
      <c r="JDK7" s="87"/>
      <c r="JDL7" s="87"/>
      <c r="JDM7" s="87"/>
      <c r="JDN7" s="87"/>
      <c r="JDO7" s="87"/>
      <c r="JDP7" s="87"/>
      <c r="JDQ7" s="87"/>
      <c r="JDR7" s="87"/>
      <c r="JDS7" s="87"/>
      <c r="JDT7" s="87"/>
      <c r="JDU7" s="87"/>
      <c r="JDV7" s="87"/>
      <c r="JDW7" s="87"/>
      <c r="JDX7" s="87"/>
      <c r="JDY7" s="87"/>
      <c r="JDZ7" s="87"/>
      <c r="JEA7" s="87"/>
      <c r="JEB7" s="87"/>
      <c r="JEC7" s="87"/>
      <c r="JED7" s="87"/>
      <c r="JEE7" s="87"/>
      <c r="JEF7" s="87"/>
      <c r="JEG7" s="87"/>
      <c r="JEH7" s="87"/>
      <c r="JEI7" s="87"/>
      <c r="JEJ7" s="87"/>
      <c r="JEK7" s="87"/>
      <c r="JEL7" s="87"/>
      <c r="JEM7" s="87"/>
      <c r="JEN7" s="87"/>
      <c r="JEO7" s="87"/>
      <c r="JEP7" s="87"/>
      <c r="JEQ7" s="87"/>
      <c r="JER7" s="87"/>
      <c r="JES7" s="87"/>
      <c r="JET7" s="87"/>
      <c r="JEU7" s="87"/>
      <c r="JEV7" s="87"/>
      <c r="JEW7" s="87"/>
      <c r="JEX7" s="87"/>
      <c r="JEY7" s="87"/>
      <c r="JEZ7" s="87"/>
      <c r="JFA7" s="87"/>
      <c r="JFB7" s="87"/>
      <c r="JFC7" s="87"/>
      <c r="JFD7" s="87"/>
      <c r="JFE7" s="87"/>
      <c r="JFF7" s="87"/>
      <c r="JFG7" s="87"/>
      <c r="JFH7" s="87"/>
      <c r="JFI7" s="87"/>
      <c r="JFJ7" s="87"/>
      <c r="JFK7" s="87"/>
      <c r="JFL7" s="87"/>
      <c r="JFM7" s="87"/>
      <c r="JFN7" s="87"/>
      <c r="JFO7" s="87"/>
      <c r="JFP7" s="87"/>
      <c r="JFQ7" s="87"/>
      <c r="JFR7" s="87"/>
      <c r="JFS7" s="87"/>
      <c r="JFT7" s="87"/>
      <c r="JFU7" s="87"/>
      <c r="JFV7" s="87"/>
      <c r="JFW7" s="87"/>
      <c r="JFX7" s="87"/>
      <c r="JFY7" s="87"/>
      <c r="JFZ7" s="87"/>
      <c r="JGA7" s="87"/>
      <c r="JGB7" s="87"/>
      <c r="JGC7" s="87"/>
      <c r="JGD7" s="87"/>
      <c r="JGE7" s="87"/>
      <c r="JGF7" s="87"/>
      <c r="JGG7" s="87"/>
      <c r="JGH7" s="87"/>
      <c r="JGI7" s="87"/>
      <c r="JGJ7" s="87"/>
      <c r="JGK7" s="87"/>
      <c r="JGL7" s="87"/>
      <c r="JGM7" s="87"/>
      <c r="JGN7" s="87"/>
      <c r="JGO7" s="87"/>
      <c r="JGP7" s="87"/>
      <c r="JGQ7" s="87"/>
      <c r="JGR7" s="87"/>
      <c r="JGS7" s="87"/>
      <c r="JGT7" s="87"/>
      <c r="JGU7" s="87"/>
      <c r="JGV7" s="87"/>
      <c r="JGW7" s="87"/>
      <c r="JGX7" s="87"/>
      <c r="JGY7" s="87"/>
      <c r="JGZ7" s="87"/>
      <c r="JHA7" s="87"/>
      <c r="JHB7" s="87"/>
      <c r="JHC7" s="87"/>
      <c r="JHD7" s="87"/>
      <c r="JHE7" s="87"/>
      <c r="JHF7" s="87"/>
      <c r="JHG7" s="87"/>
      <c r="JHH7" s="87"/>
      <c r="JHI7" s="87"/>
      <c r="JHJ7" s="87"/>
      <c r="JHK7" s="87"/>
      <c r="JHL7" s="87"/>
      <c r="JHM7" s="87"/>
      <c r="JHN7" s="87"/>
      <c r="JHO7" s="87"/>
      <c r="JHP7" s="87"/>
      <c r="JHQ7" s="87"/>
      <c r="JHR7" s="87"/>
      <c r="JHS7" s="87"/>
      <c r="JHT7" s="87"/>
      <c r="JHU7" s="87"/>
      <c r="JHV7" s="87"/>
      <c r="JHW7" s="87"/>
      <c r="JHX7" s="87"/>
      <c r="JHY7" s="87"/>
      <c r="JHZ7" s="87"/>
      <c r="JIA7" s="87"/>
      <c r="JIB7" s="87"/>
      <c r="JIC7" s="87"/>
      <c r="JID7" s="87"/>
      <c r="JIE7" s="87"/>
      <c r="JIF7" s="87"/>
      <c r="JIG7" s="87"/>
      <c r="JIH7" s="87"/>
      <c r="JII7" s="87"/>
      <c r="JIJ7" s="87"/>
      <c r="JIK7" s="87"/>
      <c r="JIL7" s="87"/>
      <c r="JIM7" s="87"/>
      <c r="JIN7" s="87"/>
      <c r="JIO7" s="87"/>
      <c r="JIP7" s="87"/>
      <c r="JIQ7" s="87"/>
      <c r="JIR7" s="87"/>
      <c r="JIS7" s="87"/>
      <c r="JIT7" s="87"/>
      <c r="JIU7" s="87"/>
      <c r="JIV7" s="87"/>
      <c r="JIW7" s="87"/>
      <c r="JIX7" s="87"/>
      <c r="JIY7" s="87"/>
      <c r="JIZ7" s="87"/>
      <c r="JJA7" s="87"/>
      <c r="JJB7" s="87"/>
      <c r="JJC7" s="87"/>
      <c r="JJD7" s="87"/>
      <c r="JJE7" s="87"/>
      <c r="JJF7" s="87"/>
      <c r="JJG7" s="87"/>
      <c r="JJH7" s="87"/>
      <c r="JJI7" s="87"/>
      <c r="JJJ7" s="87"/>
      <c r="JJK7" s="87"/>
      <c r="JJL7" s="87"/>
      <c r="JJM7" s="87"/>
      <c r="JJN7" s="87"/>
      <c r="JJO7" s="87"/>
      <c r="JJP7" s="87"/>
      <c r="JJQ7" s="87"/>
      <c r="JJR7" s="87"/>
      <c r="JJS7" s="87"/>
      <c r="JJT7" s="87"/>
      <c r="JJU7" s="87"/>
      <c r="JJV7" s="87"/>
      <c r="JJW7" s="87"/>
      <c r="JJX7" s="87"/>
      <c r="JJY7" s="87"/>
      <c r="JJZ7" s="87"/>
      <c r="JKA7" s="87"/>
      <c r="JKB7" s="87"/>
      <c r="JKC7" s="87"/>
      <c r="JKD7" s="87"/>
      <c r="JKE7" s="87"/>
      <c r="JKF7" s="87"/>
      <c r="JKG7" s="87"/>
      <c r="JKH7" s="87"/>
      <c r="JKI7" s="87"/>
      <c r="JKJ7" s="87"/>
      <c r="JKK7" s="87"/>
      <c r="JKL7" s="87"/>
      <c r="JKM7" s="87"/>
      <c r="JKN7" s="87"/>
      <c r="JKO7" s="87"/>
      <c r="JKP7" s="87"/>
      <c r="JKQ7" s="87"/>
      <c r="JKR7" s="87"/>
      <c r="JKS7" s="87"/>
      <c r="JKT7" s="87"/>
      <c r="JKU7" s="87"/>
      <c r="JKV7" s="87"/>
      <c r="JKW7" s="87"/>
      <c r="JKX7" s="87"/>
      <c r="JKY7" s="87"/>
      <c r="JKZ7" s="87"/>
      <c r="JLA7" s="87"/>
      <c r="JLB7" s="87"/>
      <c r="JLC7" s="87"/>
      <c r="JLD7" s="87"/>
      <c r="JLE7" s="87"/>
      <c r="JLF7" s="87"/>
      <c r="JLG7" s="87"/>
      <c r="JLH7" s="87"/>
      <c r="JLI7" s="87"/>
      <c r="JLJ7" s="87"/>
      <c r="JLK7" s="87"/>
      <c r="JLL7" s="87"/>
      <c r="JLM7" s="87"/>
      <c r="JLN7" s="87"/>
      <c r="JLO7" s="87"/>
      <c r="JLP7" s="87"/>
      <c r="JLQ7" s="87"/>
      <c r="JLR7" s="87"/>
      <c r="JLS7" s="87"/>
      <c r="JLT7" s="87"/>
      <c r="JLU7" s="87"/>
      <c r="JLV7" s="87"/>
      <c r="JLW7" s="87"/>
      <c r="JLX7" s="87"/>
      <c r="JLY7" s="87"/>
      <c r="JLZ7" s="87"/>
      <c r="JMA7" s="87"/>
      <c r="JMB7" s="87"/>
      <c r="JMC7" s="87"/>
      <c r="JMD7" s="87"/>
      <c r="JME7" s="87"/>
      <c r="JMF7" s="87"/>
      <c r="JMG7" s="87"/>
      <c r="JMH7" s="87"/>
      <c r="JMI7" s="87"/>
      <c r="JMJ7" s="87"/>
      <c r="JMK7" s="87"/>
      <c r="JML7" s="87"/>
      <c r="JMM7" s="87"/>
      <c r="JMN7" s="87"/>
      <c r="JMO7" s="87"/>
      <c r="JMP7" s="87"/>
      <c r="JMQ7" s="87"/>
      <c r="JMR7" s="87"/>
      <c r="JMS7" s="87"/>
      <c r="JMT7" s="87"/>
      <c r="JMU7" s="87"/>
      <c r="JMV7" s="87"/>
      <c r="JMW7" s="87"/>
      <c r="JMX7" s="87"/>
      <c r="JMY7" s="87"/>
      <c r="JMZ7" s="87"/>
      <c r="JNA7" s="87"/>
      <c r="JNB7" s="87"/>
      <c r="JNC7" s="87"/>
      <c r="JND7" s="87"/>
      <c r="JNE7" s="87"/>
      <c r="JNF7" s="87"/>
      <c r="JNG7" s="87"/>
      <c r="JNH7" s="87"/>
      <c r="JNI7" s="87"/>
      <c r="JNJ7" s="87"/>
      <c r="JNK7" s="87"/>
      <c r="JNL7" s="87"/>
      <c r="JNM7" s="87"/>
      <c r="JNN7" s="87"/>
      <c r="JNO7" s="87"/>
      <c r="JNP7" s="87"/>
      <c r="JNQ7" s="87"/>
      <c r="JNR7" s="87"/>
      <c r="JNS7" s="87"/>
      <c r="JNT7" s="87"/>
      <c r="JNU7" s="87"/>
      <c r="JNV7" s="87"/>
      <c r="JNW7" s="87"/>
      <c r="JNX7" s="87"/>
      <c r="JNY7" s="87"/>
      <c r="JNZ7" s="87"/>
      <c r="JOA7" s="87"/>
      <c r="JOB7" s="87"/>
      <c r="JOC7" s="87"/>
      <c r="JOD7" s="87"/>
      <c r="JOE7" s="87"/>
      <c r="JOF7" s="87"/>
      <c r="JOG7" s="87"/>
      <c r="JOH7" s="87"/>
      <c r="JOI7" s="87"/>
      <c r="JOJ7" s="87"/>
      <c r="JOK7" s="87"/>
      <c r="JOL7" s="87"/>
      <c r="JOM7" s="87"/>
      <c r="JON7" s="87"/>
      <c r="JOO7" s="87"/>
      <c r="JOP7" s="87"/>
      <c r="JOQ7" s="87"/>
      <c r="JOR7" s="87"/>
      <c r="JOS7" s="87"/>
      <c r="JOT7" s="87"/>
      <c r="JOU7" s="87"/>
      <c r="JOV7" s="87"/>
      <c r="JOW7" s="87"/>
      <c r="JOX7" s="87"/>
      <c r="JOY7" s="87"/>
      <c r="JOZ7" s="87"/>
      <c r="JPA7" s="87"/>
      <c r="JPB7" s="87"/>
      <c r="JPC7" s="87"/>
      <c r="JPD7" s="87"/>
      <c r="JPE7" s="87"/>
      <c r="JPF7" s="87"/>
      <c r="JPG7" s="87"/>
      <c r="JPH7" s="87"/>
      <c r="JPI7" s="87"/>
      <c r="JPJ7" s="87"/>
      <c r="JPK7" s="87"/>
      <c r="JPL7" s="87"/>
      <c r="JPM7" s="87"/>
      <c r="JPN7" s="87"/>
      <c r="JPO7" s="87"/>
      <c r="JPP7" s="87"/>
      <c r="JPQ7" s="87"/>
      <c r="JPR7" s="87"/>
      <c r="JPS7" s="87"/>
      <c r="JPT7" s="87"/>
      <c r="JPU7" s="87"/>
      <c r="JPV7" s="87"/>
      <c r="JPW7" s="87"/>
      <c r="JPX7" s="87"/>
      <c r="JPY7" s="87"/>
      <c r="JPZ7" s="87"/>
      <c r="JQA7" s="87"/>
      <c r="JQB7" s="87"/>
      <c r="JQC7" s="87"/>
      <c r="JQD7" s="87"/>
      <c r="JQE7" s="87"/>
      <c r="JQF7" s="87"/>
      <c r="JQG7" s="87"/>
      <c r="JQH7" s="87"/>
      <c r="JQI7" s="87"/>
      <c r="JQJ7" s="87"/>
      <c r="JQK7" s="87"/>
      <c r="JQL7" s="87"/>
      <c r="JQM7" s="87"/>
      <c r="JQN7" s="87"/>
      <c r="JQO7" s="87"/>
      <c r="JQP7" s="87"/>
      <c r="JQQ7" s="87"/>
      <c r="JQR7" s="87"/>
      <c r="JQS7" s="87"/>
      <c r="JQT7" s="87"/>
      <c r="JQU7" s="87"/>
      <c r="JQV7" s="87"/>
      <c r="JQW7" s="87"/>
      <c r="JQX7" s="87"/>
      <c r="JQY7" s="87"/>
      <c r="JQZ7" s="87"/>
      <c r="JRA7" s="87"/>
      <c r="JRB7" s="87"/>
      <c r="JRC7" s="87"/>
      <c r="JRD7" s="87"/>
      <c r="JRE7" s="87"/>
      <c r="JRF7" s="87"/>
      <c r="JRG7" s="87"/>
      <c r="JRH7" s="87"/>
      <c r="JRI7" s="87"/>
      <c r="JRJ7" s="87"/>
      <c r="JRK7" s="87"/>
      <c r="JRL7" s="87"/>
      <c r="JRM7" s="87"/>
      <c r="JRN7" s="87"/>
      <c r="JRO7" s="87"/>
      <c r="JRP7" s="87"/>
      <c r="JRQ7" s="87"/>
      <c r="JRR7" s="87"/>
      <c r="JRS7" s="87"/>
      <c r="JRT7" s="87"/>
      <c r="JRU7" s="87"/>
      <c r="JRV7" s="87"/>
      <c r="JRW7" s="87"/>
      <c r="JRX7" s="87"/>
      <c r="JRY7" s="87"/>
      <c r="JRZ7" s="87"/>
      <c r="JSA7" s="87"/>
      <c r="JSB7" s="87"/>
      <c r="JSC7" s="87"/>
      <c r="JSD7" s="87"/>
      <c r="JSE7" s="87"/>
      <c r="JSF7" s="87"/>
      <c r="JSG7" s="87"/>
      <c r="JSH7" s="87"/>
      <c r="JSI7" s="87"/>
      <c r="JSJ7" s="87"/>
      <c r="JSK7" s="87"/>
      <c r="JSL7" s="87"/>
      <c r="JSM7" s="87"/>
      <c r="JSN7" s="87"/>
      <c r="JSO7" s="87"/>
      <c r="JSP7" s="87"/>
      <c r="JSQ7" s="87"/>
      <c r="JSR7" s="87"/>
      <c r="JSS7" s="87"/>
      <c r="JST7" s="87"/>
      <c r="JSU7" s="87"/>
      <c r="JSV7" s="87"/>
      <c r="JSW7" s="87"/>
      <c r="JSX7" s="87"/>
      <c r="JSY7" s="87"/>
      <c r="JSZ7" s="87"/>
      <c r="JTA7" s="87"/>
      <c r="JTB7" s="87"/>
      <c r="JTC7" s="87"/>
      <c r="JTD7" s="87"/>
      <c r="JTE7" s="87"/>
      <c r="JTF7" s="87"/>
      <c r="JTG7" s="87"/>
      <c r="JTH7" s="87"/>
      <c r="JTI7" s="87"/>
      <c r="JTJ7" s="87"/>
      <c r="JTK7" s="87"/>
      <c r="JTL7" s="87"/>
      <c r="JTM7" s="87"/>
      <c r="JTN7" s="87"/>
      <c r="JTO7" s="87"/>
      <c r="JTP7" s="87"/>
      <c r="JTQ7" s="87"/>
      <c r="JTR7" s="87"/>
      <c r="JTS7" s="87"/>
      <c r="JTT7" s="87"/>
      <c r="JTU7" s="87"/>
      <c r="JTV7" s="87"/>
      <c r="JTW7" s="87"/>
      <c r="JTX7" s="87"/>
      <c r="JTY7" s="87"/>
      <c r="JTZ7" s="87"/>
      <c r="JUA7" s="87"/>
      <c r="JUB7" s="87"/>
      <c r="JUC7" s="87"/>
      <c r="JUD7" s="87"/>
      <c r="JUE7" s="87"/>
      <c r="JUF7" s="87"/>
      <c r="JUG7" s="87"/>
      <c r="JUH7" s="87"/>
      <c r="JUI7" s="87"/>
      <c r="JUJ7" s="87"/>
      <c r="JUK7" s="87"/>
      <c r="JUL7" s="87"/>
      <c r="JUM7" s="87"/>
      <c r="JUN7" s="87"/>
      <c r="JUO7" s="87"/>
      <c r="JUP7" s="87"/>
      <c r="JUQ7" s="87"/>
      <c r="JUR7" s="87"/>
      <c r="JUS7" s="87"/>
      <c r="JUT7" s="87"/>
      <c r="JUU7" s="87"/>
      <c r="JUV7" s="87"/>
      <c r="JUW7" s="87"/>
      <c r="JUX7" s="87"/>
      <c r="JUY7" s="87"/>
      <c r="JUZ7" s="87"/>
      <c r="JVA7" s="87"/>
      <c r="JVB7" s="87"/>
      <c r="JVC7" s="87"/>
      <c r="JVD7" s="87"/>
      <c r="JVE7" s="87"/>
      <c r="JVF7" s="87"/>
      <c r="JVG7" s="87"/>
      <c r="JVH7" s="87"/>
      <c r="JVI7" s="87"/>
      <c r="JVJ7" s="87"/>
      <c r="JVK7" s="87"/>
      <c r="JVL7" s="87"/>
      <c r="JVM7" s="87"/>
      <c r="JVN7" s="87"/>
      <c r="JVO7" s="87"/>
      <c r="JVP7" s="87"/>
      <c r="JVQ7" s="87"/>
      <c r="JVR7" s="87"/>
      <c r="JVS7" s="87"/>
      <c r="JVT7" s="87"/>
      <c r="JVU7" s="87"/>
      <c r="JVV7" s="87"/>
      <c r="JVW7" s="87"/>
      <c r="JVX7" s="87"/>
      <c r="JVY7" s="87"/>
      <c r="JVZ7" s="87"/>
      <c r="JWA7" s="87"/>
      <c r="JWB7" s="87"/>
      <c r="JWC7" s="87"/>
      <c r="JWD7" s="87"/>
      <c r="JWE7" s="87"/>
      <c r="JWF7" s="87"/>
      <c r="JWG7" s="87"/>
      <c r="JWH7" s="87"/>
      <c r="JWI7" s="87"/>
      <c r="JWJ7" s="87"/>
      <c r="JWK7" s="87"/>
      <c r="JWL7" s="87"/>
      <c r="JWM7" s="87"/>
      <c r="JWN7" s="87"/>
      <c r="JWO7" s="87"/>
      <c r="JWP7" s="87"/>
      <c r="JWQ7" s="87"/>
      <c r="JWR7" s="87"/>
      <c r="JWS7" s="87"/>
      <c r="JWT7" s="87"/>
      <c r="JWU7" s="87"/>
      <c r="JWV7" s="87"/>
      <c r="JWW7" s="87"/>
      <c r="JWX7" s="87"/>
      <c r="JWY7" s="87"/>
      <c r="JWZ7" s="87"/>
      <c r="JXA7" s="87"/>
      <c r="JXB7" s="87"/>
      <c r="JXC7" s="87"/>
      <c r="JXD7" s="87"/>
      <c r="JXE7" s="87"/>
      <c r="JXF7" s="87"/>
      <c r="JXG7" s="87"/>
      <c r="JXH7" s="87"/>
      <c r="JXI7" s="87"/>
      <c r="JXJ7" s="87"/>
      <c r="JXK7" s="87"/>
      <c r="JXL7" s="87"/>
      <c r="JXM7" s="87"/>
      <c r="JXN7" s="87"/>
      <c r="JXO7" s="87"/>
      <c r="JXP7" s="87"/>
      <c r="JXQ7" s="87"/>
      <c r="JXR7" s="87"/>
      <c r="JXS7" s="87"/>
      <c r="JXT7" s="87"/>
      <c r="JXU7" s="87"/>
      <c r="JXV7" s="87"/>
      <c r="JXW7" s="87"/>
      <c r="JXX7" s="87"/>
      <c r="JXY7" s="87"/>
      <c r="JXZ7" s="87"/>
      <c r="JYA7" s="87"/>
      <c r="JYB7" s="87"/>
      <c r="JYC7" s="87"/>
      <c r="JYD7" s="87"/>
      <c r="JYE7" s="87"/>
      <c r="JYF7" s="87"/>
      <c r="JYG7" s="87"/>
      <c r="JYH7" s="87"/>
      <c r="JYI7" s="87"/>
      <c r="JYJ7" s="87"/>
      <c r="JYK7" s="87"/>
      <c r="JYL7" s="87"/>
      <c r="JYM7" s="87"/>
      <c r="JYN7" s="87"/>
      <c r="JYO7" s="87"/>
      <c r="JYP7" s="87"/>
      <c r="JYQ7" s="87"/>
      <c r="JYR7" s="87"/>
      <c r="JYS7" s="87"/>
      <c r="JYT7" s="87"/>
      <c r="JYU7" s="87"/>
      <c r="JYV7" s="87"/>
      <c r="JYW7" s="87"/>
      <c r="JYX7" s="87"/>
      <c r="JYY7" s="87"/>
      <c r="JYZ7" s="87"/>
      <c r="JZA7" s="87"/>
      <c r="JZB7" s="87"/>
      <c r="JZC7" s="87"/>
      <c r="JZD7" s="87"/>
      <c r="JZE7" s="87"/>
      <c r="JZF7" s="87"/>
      <c r="JZG7" s="87"/>
      <c r="JZH7" s="87"/>
      <c r="JZI7" s="87"/>
      <c r="JZJ7" s="87"/>
      <c r="JZK7" s="87"/>
      <c r="JZL7" s="87"/>
      <c r="JZM7" s="87"/>
      <c r="JZN7" s="87"/>
      <c r="JZO7" s="87"/>
      <c r="JZP7" s="87"/>
      <c r="JZQ7" s="87"/>
      <c r="JZR7" s="87"/>
      <c r="JZS7" s="87"/>
      <c r="JZT7" s="87"/>
      <c r="JZU7" s="87"/>
      <c r="JZV7" s="87"/>
      <c r="JZW7" s="87"/>
      <c r="JZX7" s="87"/>
      <c r="JZY7" s="87"/>
      <c r="JZZ7" s="87"/>
      <c r="KAA7" s="87"/>
      <c r="KAB7" s="87"/>
      <c r="KAC7" s="87"/>
      <c r="KAD7" s="87"/>
      <c r="KAE7" s="87"/>
      <c r="KAF7" s="87"/>
      <c r="KAG7" s="87"/>
      <c r="KAH7" s="87"/>
      <c r="KAI7" s="87"/>
      <c r="KAJ7" s="87"/>
      <c r="KAK7" s="87"/>
      <c r="KAL7" s="87"/>
      <c r="KAM7" s="87"/>
      <c r="KAN7" s="87"/>
      <c r="KAO7" s="87"/>
      <c r="KAP7" s="87"/>
      <c r="KAQ7" s="87"/>
      <c r="KAR7" s="87"/>
      <c r="KAS7" s="87"/>
      <c r="KAT7" s="87"/>
      <c r="KAU7" s="87"/>
      <c r="KAV7" s="87"/>
      <c r="KAW7" s="87"/>
      <c r="KAX7" s="87"/>
      <c r="KAY7" s="87"/>
      <c r="KAZ7" s="87"/>
      <c r="KBA7" s="87"/>
      <c r="KBB7" s="87"/>
      <c r="KBC7" s="87"/>
      <c r="KBD7" s="87"/>
      <c r="KBE7" s="87"/>
      <c r="KBF7" s="87"/>
      <c r="KBG7" s="87"/>
      <c r="KBH7" s="87"/>
      <c r="KBI7" s="87"/>
      <c r="KBJ7" s="87"/>
      <c r="KBK7" s="87"/>
      <c r="KBL7" s="87"/>
      <c r="KBM7" s="87"/>
      <c r="KBN7" s="87"/>
      <c r="KBO7" s="87"/>
      <c r="KBP7" s="87"/>
      <c r="KBQ7" s="87"/>
      <c r="KBR7" s="87"/>
      <c r="KBS7" s="87"/>
      <c r="KBT7" s="87"/>
      <c r="KBU7" s="87"/>
      <c r="KBV7" s="87"/>
      <c r="KBW7" s="87"/>
      <c r="KBX7" s="87"/>
      <c r="KBY7" s="87"/>
      <c r="KBZ7" s="87"/>
      <c r="KCA7" s="87"/>
      <c r="KCB7" s="87"/>
      <c r="KCC7" s="87"/>
      <c r="KCD7" s="87"/>
      <c r="KCE7" s="87"/>
      <c r="KCF7" s="87"/>
      <c r="KCG7" s="87"/>
      <c r="KCH7" s="87"/>
      <c r="KCI7" s="87"/>
      <c r="KCJ7" s="87"/>
      <c r="KCK7" s="87"/>
      <c r="KCL7" s="87"/>
      <c r="KCM7" s="87"/>
      <c r="KCN7" s="87"/>
      <c r="KCO7" s="87"/>
      <c r="KCP7" s="87"/>
      <c r="KCQ7" s="87"/>
      <c r="KCR7" s="87"/>
      <c r="KCS7" s="87"/>
      <c r="KCT7" s="87"/>
      <c r="KCU7" s="87"/>
      <c r="KCV7" s="87"/>
      <c r="KCW7" s="87"/>
      <c r="KCX7" s="87"/>
      <c r="KCY7" s="87"/>
      <c r="KCZ7" s="87"/>
      <c r="KDA7" s="87"/>
      <c r="KDB7" s="87"/>
      <c r="KDC7" s="87"/>
      <c r="KDD7" s="87"/>
      <c r="KDE7" s="87"/>
      <c r="KDF7" s="87"/>
      <c r="KDG7" s="87"/>
      <c r="KDH7" s="87"/>
      <c r="KDI7" s="87"/>
      <c r="KDJ7" s="87"/>
      <c r="KDK7" s="87"/>
      <c r="KDL7" s="87"/>
      <c r="KDM7" s="87"/>
      <c r="KDN7" s="87"/>
      <c r="KDO7" s="87"/>
      <c r="KDP7" s="87"/>
      <c r="KDQ7" s="87"/>
      <c r="KDR7" s="87"/>
      <c r="KDS7" s="87"/>
      <c r="KDT7" s="87"/>
      <c r="KDU7" s="87"/>
      <c r="KDV7" s="87"/>
      <c r="KDW7" s="87"/>
      <c r="KDX7" s="87"/>
      <c r="KDY7" s="87"/>
      <c r="KDZ7" s="87"/>
      <c r="KEA7" s="87"/>
      <c r="KEB7" s="87"/>
      <c r="KEC7" s="87"/>
      <c r="KED7" s="87"/>
      <c r="KEE7" s="87"/>
      <c r="KEF7" s="87"/>
      <c r="KEG7" s="87"/>
      <c r="KEH7" s="87"/>
      <c r="KEI7" s="87"/>
      <c r="KEJ7" s="87"/>
      <c r="KEK7" s="87"/>
      <c r="KEL7" s="87"/>
      <c r="KEM7" s="87"/>
      <c r="KEN7" s="87"/>
      <c r="KEO7" s="87"/>
      <c r="KEP7" s="87"/>
      <c r="KEQ7" s="87"/>
      <c r="KER7" s="87"/>
      <c r="KES7" s="87"/>
      <c r="KET7" s="87"/>
      <c r="KEU7" s="87"/>
      <c r="KEV7" s="87"/>
      <c r="KEW7" s="87"/>
      <c r="KEX7" s="87"/>
      <c r="KEY7" s="87"/>
      <c r="KEZ7" s="87"/>
      <c r="KFA7" s="87"/>
      <c r="KFB7" s="87"/>
      <c r="KFC7" s="87"/>
      <c r="KFD7" s="87"/>
      <c r="KFE7" s="87"/>
      <c r="KFF7" s="87"/>
      <c r="KFG7" s="87"/>
      <c r="KFH7" s="87"/>
      <c r="KFI7" s="87"/>
      <c r="KFJ7" s="87"/>
      <c r="KFK7" s="87"/>
      <c r="KFL7" s="87"/>
      <c r="KFM7" s="87"/>
      <c r="KFN7" s="87"/>
      <c r="KFO7" s="87"/>
      <c r="KFP7" s="87"/>
      <c r="KFQ7" s="87"/>
      <c r="KFR7" s="87"/>
      <c r="KFS7" s="87"/>
      <c r="KFT7" s="87"/>
      <c r="KFU7" s="87"/>
      <c r="KFV7" s="87"/>
      <c r="KFW7" s="87"/>
      <c r="KFX7" s="87"/>
      <c r="KFY7" s="87"/>
      <c r="KFZ7" s="87"/>
      <c r="KGA7" s="87"/>
      <c r="KGB7" s="87"/>
      <c r="KGC7" s="87"/>
      <c r="KGD7" s="87"/>
      <c r="KGE7" s="87"/>
      <c r="KGF7" s="87"/>
      <c r="KGG7" s="87"/>
      <c r="KGH7" s="87"/>
      <c r="KGI7" s="87"/>
      <c r="KGJ7" s="87"/>
      <c r="KGK7" s="87"/>
      <c r="KGL7" s="87"/>
      <c r="KGM7" s="87"/>
      <c r="KGN7" s="87"/>
      <c r="KGO7" s="87"/>
      <c r="KGP7" s="87"/>
      <c r="KGQ7" s="87"/>
      <c r="KGR7" s="87"/>
      <c r="KGS7" s="87"/>
      <c r="KGT7" s="87"/>
      <c r="KGU7" s="87"/>
      <c r="KGV7" s="87"/>
      <c r="KGW7" s="87"/>
      <c r="KGX7" s="87"/>
      <c r="KGY7" s="87"/>
      <c r="KGZ7" s="87"/>
      <c r="KHA7" s="87"/>
      <c r="KHB7" s="87"/>
      <c r="KHC7" s="87"/>
      <c r="KHD7" s="87"/>
      <c r="KHE7" s="87"/>
      <c r="KHF7" s="87"/>
      <c r="KHG7" s="87"/>
      <c r="KHH7" s="87"/>
      <c r="KHI7" s="87"/>
      <c r="KHJ7" s="87"/>
      <c r="KHK7" s="87"/>
      <c r="KHL7" s="87"/>
      <c r="KHM7" s="87"/>
      <c r="KHN7" s="87"/>
      <c r="KHO7" s="87"/>
      <c r="KHP7" s="87"/>
      <c r="KHQ7" s="87"/>
      <c r="KHR7" s="87"/>
      <c r="KHS7" s="87"/>
      <c r="KHT7" s="87"/>
      <c r="KHU7" s="87"/>
      <c r="KHV7" s="87"/>
      <c r="KHW7" s="87"/>
      <c r="KHX7" s="87"/>
      <c r="KHY7" s="87"/>
      <c r="KHZ7" s="87"/>
      <c r="KIA7" s="87"/>
      <c r="KIB7" s="87"/>
      <c r="KIC7" s="87"/>
      <c r="KID7" s="87"/>
      <c r="KIE7" s="87"/>
      <c r="KIF7" s="87"/>
      <c r="KIG7" s="87"/>
      <c r="KIH7" s="87"/>
      <c r="KII7" s="87"/>
      <c r="KIJ7" s="87"/>
      <c r="KIK7" s="87"/>
      <c r="KIL7" s="87"/>
      <c r="KIM7" s="87"/>
      <c r="KIN7" s="87"/>
      <c r="KIO7" s="87"/>
      <c r="KIP7" s="87"/>
      <c r="KIQ7" s="87"/>
      <c r="KIR7" s="87"/>
      <c r="KIS7" s="87"/>
      <c r="KIT7" s="87"/>
      <c r="KIU7" s="87"/>
      <c r="KIV7" s="87"/>
      <c r="KIW7" s="87"/>
      <c r="KIX7" s="87"/>
      <c r="KIY7" s="87"/>
      <c r="KIZ7" s="87"/>
      <c r="KJA7" s="87"/>
      <c r="KJB7" s="87"/>
      <c r="KJC7" s="87"/>
      <c r="KJD7" s="87"/>
      <c r="KJE7" s="87"/>
      <c r="KJF7" s="87"/>
      <c r="KJG7" s="87"/>
      <c r="KJH7" s="87"/>
      <c r="KJI7" s="87"/>
      <c r="KJJ7" s="87"/>
      <c r="KJK7" s="87"/>
      <c r="KJL7" s="87"/>
      <c r="KJM7" s="87"/>
      <c r="KJN7" s="87"/>
      <c r="KJO7" s="87"/>
      <c r="KJP7" s="87"/>
      <c r="KJQ7" s="87"/>
      <c r="KJR7" s="87"/>
      <c r="KJS7" s="87"/>
      <c r="KJT7" s="87"/>
      <c r="KJU7" s="87"/>
      <c r="KJV7" s="87"/>
      <c r="KJW7" s="87"/>
      <c r="KJX7" s="87"/>
      <c r="KJY7" s="87"/>
      <c r="KJZ7" s="87"/>
      <c r="KKA7" s="87"/>
      <c r="KKB7" s="87"/>
      <c r="KKC7" s="87"/>
      <c r="KKD7" s="87"/>
      <c r="KKE7" s="87"/>
      <c r="KKF7" s="87"/>
      <c r="KKG7" s="87"/>
      <c r="KKH7" s="87"/>
      <c r="KKI7" s="87"/>
      <c r="KKJ7" s="87"/>
      <c r="KKK7" s="87"/>
      <c r="KKL7" s="87"/>
      <c r="KKM7" s="87"/>
      <c r="KKN7" s="87"/>
      <c r="KKO7" s="87"/>
      <c r="KKP7" s="87"/>
      <c r="KKQ7" s="87"/>
      <c r="KKR7" s="87"/>
      <c r="KKS7" s="87"/>
      <c r="KKT7" s="87"/>
      <c r="KKU7" s="87"/>
      <c r="KKV7" s="87"/>
      <c r="KKW7" s="87"/>
      <c r="KKX7" s="87"/>
      <c r="KKY7" s="87"/>
      <c r="KKZ7" s="87"/>
      <c r="KLA7" s="87"/>
      <c r="KLB7" s="87"/>
      <c r="KLC7" s="87"/>
      <c r="KLD7" s="87"/>
      <c r="KLE7" s="87"/>
      <c r="KLF7" s="87"/>
      <c r="KLG7" s="87"/>
      <c r="KLH7" s="87"/>
      <c r="KLI7" s="87"/>
      <c r="KLJ7" s="87"/>
      <c r="KLK7" s="87"/>
      <c r="KLL7" s="87"/>
      <c r="KLM7" s="87"/>
      <c r="KLN7" s="87"/>
      <c r="KLO7" s="87"/>
      <c r="KLP7" s="87"/>
      <c r="KLQ7" s="87"/>
      <c r="KLR7" s="87"/>
      <c r="KLS7" s="87"/>
      <c r="KLT7" s="87"/>
      <c r="KLU7" s="87"/>
      <c r="KLV7" s="87"/>
      <c r="KLW7" s="87"/>
      <c r="KLX7" s="87"/>
      <c r="KLY7" s="87"/>
      <c r="KLZ7" s="87"/>
      <c r="KMA7" s="87"/>
      <c r="KMB7" s="87"/>
      <c r="KMC7" s="87"/>
      <c r="KMD7" s="87"/>
      <c r="KME7" s="87"/>
      <c r="KMF7" s="87"/>
      <c r="KMG7" s="87"/>
      <c r="KMH7" s="87"/>
      <c r="KMI7" s="87"/>
      <c r="KMJ7" s="87"/>
      <c r="KMK7" s="87"/>
      <c r="KML7" s="87"/>
      <c r="KMM7" s="87"/>
      <c r="KMN7" s="87"/>
      <c r="KMO7" s="87"/>
      <c r="KMP7" s="87"/>
      <c r="KMQ7" s="87"/>
      <c r="KMR7" s="87"/>
      <c r="KMS7" s="87"/>
      <c r="KMT7" s="87"/>
      <c r="KMU7" s="87"/>
      <c r="KMV7" s="87"/>
      <c r="KMW7" s="87"/>
      <c r="KMX7" s="87"/>
      <c r="KMY7" s="87"/>
      <c r="KMZ7" s="87"/>
      <c r="KNA7" s="87"/>
      <c r="KNB7" s="87"/>
      <c r="KNC7" s="87"/>
      <c r="KND7" s="87"/>
      <c r="KNE7" s="87"/>
      <c r="KNF7" s="87"/>
      <c r="KNG7" s="87"/>
      <c r="KNH7" s="87"/>
      <c r="KNI7" s="87"/>
      <c r="KNJ7" s="87"/>
      <c r="KNK7" s="87"/>
      <c r="KNL7" s="87"/>
      <c r="KNM7" s="87"/>
      <c r="KNN7" s="87"/>
      <c r="KNO7" s="87"/>
      <c r="KNP7" s="87"/>
      <c r="KNQ7" s="87"/>
      <c r="KNR7" s="87"/>
      <c r="KNS7" s="87"/>
      <c r="KNT7" s="87"/>
      <c r="KNU7" s="87"/>
      <c r="KNV7" s="87"/>
      <c r="KNW7" s="87"/>
      <c r="KNX7" s="87"/>
      <c r="KNY7" s="87"/>
      <c r="KNZ7" s="87"/>
      <c r="KOA7" s="87"/>
      <c r="KOB7" s="87"/>
      <c r="KOC7" s="87"/>
      <c r="KOD7" s="87"/>
      <c r="KOE7" s="87"/>
      <c r="KOF7" s="87"/>
      <c r="KOG7" s="87"/>
      <c r="KOH7" s="87"/>
      <c r="KOI7" s="87"/>
      <c r="KOJ7" s="87"/>
      <c r="KOK7" s="87"/>
      <c r="KOL7" s="87"/>
      <c r="KOM7" s="87"/>
      <c r="KON7" s="87"/>
      <c r="KOO7" s="87"/>
      <c r="KOP7" s="87"/>
      <c r="KOQ7" s="87"/>
      <c r="KOR7" s="87"/>
      <c r="KOS7" s="87"/>
      <c r="KOT7" s="87"/>
      <c r="KOU7" s="87"/>
      <c r="KOV7" s="87"/>
      <c r="KOW7" s="87"/>
      <c r="KOX7" s="87"/>
      <c r="KOY7" s="87"/>
      <c r="KOZ7" s="87"/>
      <c r="KPA7" s="87"/>
      <c r="KPB7" s="87"/>
      <c r="KPC7" s="87"/>
      <c r="KPD7" s="87"/>
      <c r="KPE7" s="87"/>
      <c r="KPF7" s="87"/>
      <c r="KPG7" s="87"/>
      <c r="KPH7" s="87"/>
      <c r="KPI7" s="87"/>
      <c r="KPJ7" s="87"/>
      <c r="KPK7" s="87"/>
      <c r="KPL7" s="87"/>
      <c r="KPM7" s="87"/>
      <c r="KPN7" s="87"/>
      <c r="KPO7" s="87"/>
      <c r="KPP7" s="87"/>
      <c r="KPQ7" s="87"/>
      <c r="KPR7" s="87"/>
      <c r="KPS7" s="87"/>
      <c r="KPT7" s="87"/>
      <c r="KPU7" s="87"/>
      <c r="KPV7" s="87"/>
      <c r="KPW7" s="87"/>
      <c r="KPX7" s="87"/>
      <c r="KPY7" s="87"/>
      <c r="KPZ7" s="87"/>
      <c r="KQA7" s="87"/>
      <c r="KQB7" s="87"/>
      <c r="KQC7" s="87"/>
      <c r="KQD7" s="87"/>
      <c r="KQE7" s="87"/>
      <c r="KQF7" s="87"/>
      <c r="KQG7" s="87"/>
      <c r="KQH7" s="87"/>
      <c r="KQI7" s="87"/>
      <c r="KQJ7" s="87"/>
      <c r="KQK7" s="87"/>
      <c r="KQL7" s="87"/>
      <c r="KQM7" s="87"/>
      <c r="KQN7" s="87"/>
      <c r="KQO7" s="87"/>
      <c r="KQP7" s="87"/>
      <c r="KQQ7" s="87"/>
      <c r="KQR7" s="87"/>
      <c r="KQS7" s="87"/>
      <c r="KQT7" s="87"/>
      <c r="KQU7" s="87"/>
      <c r="KQV7" s="87"/>
      <c r="KQW7" s="87"/>
      <c r="KQX7" s="87"/>
      <c r="KQY7" s="87"/>
      <c r="KQZ7" s="87"/>
      <c r="KRA7" s="87"/>
      <c r="KRB7" s="87"/>
      <c r="KRC7" s="87"/>
      <c r="KRD7" s="87"/>
      <c r="KRE7" s="87"/>
      <c r="KRF7" s="87"/>
      <c r="KRG7" s="87"/>
      <c r="KRH7" s="87"/>
      <c r="KRI7" s="87"/>
      <c r="KRJ7" s="87"/>
      <c r="KRK7" s="87"/>
      <c r="KRL7" s="87"/>
      <c r="KRM7" s="87"/>
      <c r="KRN7" s="87"/>
      <c r="KRO7" s="87"/>
      <c r="KRP7" s="87"/>
      <c r="KRQ7" s="87"/>
      <c r="KRR7" s="87"/>
      <c r="KRS7" s="87"/>
      <c r="KRT7" s="87"/>
      <c r="KRU7" s="87"/>
      <c r="KRV7" s="87"/>
      <c r="KRW7" s="87"/>
      <c r="KRX7" s="87"/>
      <c r="KRY7" s="87"/>
      <c r="KRZ7" s="87"/>
      <c r="KSA7" s="87"/>
      <c r="KSB7" s="87"/>
      <c r="KSC7" s="87"/>
      <c r="KSD7" s="87"/>
      <c r="KSE7" s="87"/>
      <c r="KSF7" s="87"/>
      <c r="KSG7" s="87"/>
      <c r="KSH7" s="87"/>
      <c r="KSI7" s="87"/>
      <c r="KSJ7" s="87"/>
      <c r="KSK7" s="87"/>
      <c r="KSL7" s="87"/>
      <c r="KSM7" s="87"/>
      <c r="KSN7" s="87"/>
      <c r="KSO7" s="87"/>
      <c r="KSP7" s="87"/>
      <c r="KSQ7" s="87"/>
      <c r="KSR7" s="87"/>
      <c r="KSS7" s="87"/>
      <c r="KST7" s="87"/>
      <c r="KSU7" s="87"/>
      <c r="KSV7" s="87"/>
      <c r="KSW7" s="87"/>
      <c r="KSX7" s="87"/>
      <c r="KSY7" s="87"/>
      <c r="KSZ7" s="87"/>
      <c r="KTA7" s="87"/>
      <c r="KTB7" s="87"/>
      <c r="KTC7" s="87"/>
      <c r="KTD7" s="87"/>
      <c r="KTE7" s="87"/>
      <c r="KTF7" s="87"/>
      <c r="KTG7" s="87"/>
      <c r="KTH7" s="87"/>
      <c r="KTI7" s="87"/>
      <c r="KTJ7" s="87"/>
      <c r="KTK7" s="87"/>
      <c r="KTL7" s="87"/>
      <c r="KTM7" s="87"/>
      <c r="KTN7" s="87"/>
      <c r="KTO7" s="87"/>
      <c r="KTP7" s="87"/>
      <c r="KTQ7" s="87"/>
      <c r="KTR7" s="87"/>
      <c r="KTS7" s="87"/>
      <c r="KTT7" s="87"/>
      <c r="KTU7" s="87"/>
      <c r="KTV7" s="87"/>
      <c r="KTW7" s="87"/>
      <c r="KTX7" s="87"/>
      <c r="KTY7" s="87"/>
      <c r="KTZ7" s="87"/>
      <c r="KUA7" s="87"/>
      <c r="KUB7" s="87"/>
      <c r="KUC7" s="87"/>
      <c r="KUD7" s="87"/>
      <c r="KUE7" s="87"/>
      <c r="KUF7" s="87"/>
      <c r="KUG7" s="87"/>
      <c r="KUH7" s="87"/>
      <c r="KUI7" s="87"/>
      <c r="KUJ7" s="87"/>
      <c r="KUK7" s="87"/>
      <c r="KUL7" s="87"/>
      <c r="KUM7" s="87"/>
      <c r="KUN7" s="87"/>
      <c r="KUO7" s="87"/>
      <c r="KUP7" s="87"/>
      <c r="KUQ7" s="87"/>
      <c r="KUR7" s="87"/>
      <c r="KUS7" s="87"/>
      <c r="KUT7" s="87"/>
      <c r="KUU7" s="87"/>
      <c r="KUV7" s="87"/>
      <c r="KUW7" s="87"/>
      <c r="KUX7" s="87"/>
      <c r="KUY7" s="87"/>
      <c r="KUZ7" s="87"/>
      <c r="KVA7" s="87"/>
      <c r="KVB7" s="87"/>
      <c r="KVC7" s="87"/>
      <c r="KVD7" s="87"/>
      <c r="KVE7" s="87"/>
      <c r="KVF7" s="87"/>
      <c r="KVG7" s="87"/>
      <c r="KVH7" s="87"/>
      <c r="KVI7" s="87"/>
      <c r="KVJ7" s="87"/>
      <c r="KVK7" s="87"/>
      <c r="KVL7" s="87"/>
      <c r="KVM7" s="87"/>
      <c r="KVN7" s="87"/>
      <c r="KVO7" s="87"/>
      <c r="KVP7" s="87"/>
      <c r="KVQ7" s="87"/>
      <c r="KVR7" s="87"/>
      <c r="KVS7" s="87"/>
      <c r="KVT7" s="87"/>
      <c r="KVU7" s="87"/>
      <c r="KVV7" s="87"/>
      <c r="KVW7" s="87"/>
      <c r="KVX7" s="87"/>
      <c r="KVY7" s="87"/>
      <c r="KVZ7" s="87"/>
      <c r="KWA7" s="87"/>
      <c r="KWB7" s="87"/>
      <c r="KWC7" s="87"/>
      <c r="KWD7" s="87"/>
      <c r="KWE7" s="87"/>
      <c r="KWF7" s="87"/>
      <c r="KWG7" s="87"/>
      <c r="KWH7" s="87"/>
      <c r="KWI7" s="87"/>
      <c r="KWJ7" s="87"/>
      <c r="KWK7" s="87"/>
      <c r="KWL7" s="87"/>
      <c r="KWM7" s="87"/>
      <c r="KWN7" s="87"/>
      <c r="KWO7" s="87"/>
      <c r="KWP7" s="87"/>
      <c r="KWQ7" s="87"/>
      <c r="KWR7" s="87"/>
      <c r="KWS7" s="87"/>
      <c r="KWT7" s="87"/>
      <c r="KWU7" s="87"/>
      <c r="KWV7" s="87"/>
      <c r="KWW7" s="87"/>
      <c r="KWX7" s="87"/>
      <c r="KWY7" s="87"/>
      <c r="KWZ7" s="87"/>
      <c r="KXA7" s="87"/>
      <c r="KXB7" s="87"/>
      <c r="KXC7" s="87"/>
      <c r="KXD7" s="87"/>
      <c r="KXE7" s="87"/>
      <c r="KXF7" s="87"/>
      <c r="KXG7" s="87"/>
      <c r="KXH7" s="87"/>
      <c r="KXI7" s="87"/>
      <c r="KXJ7" s="87"/>
      <c r="KXK7" s="87"/>
      <c r="KXL7" s="87"/>
      <c r="KXM7" s="87"/>
      <c r="KXN7" s="87"/>
      <c r="KXO7" s="87"/>
      <c r="KXP7" s="87"/>
      <c r="KXQ7" s="87"/>
      <c r="KXR7" s="87"/>
      <c r="KXS7" s="87"/>
      <c r="KXT7" s="87"/>
      <c r="KXU7" s="87"/>
      <c r="KXV7" s="87"/>
      <c r="KXW7" s="87"/>
      <c r="KXX7" s="87"/>
      <c r="KXY7" s="87"/>
      <c r="KXZ7" s="87"/>
      <c r="KYA7" s="87"/>
      <c r="KYB7" s="87"/>
      <c r="KYC7" s="87"/>
      <c r="KYD7" s="87"/>
      <c r="KYE7" s="87"/>
      <c r="KYF7" s="87"/>
      <c r="KYG7" s="87"/>
      <c r="KYH7" s="87"/>
      <c r="KYI7" s="87"/>
      <c r="KYJ7" s="87"/>
      <c r="KYK7" s="87"/>
      <c r="KYL7" s="87"/>
      <c r="KYM7" s="87"/>
      <c r="KYN7" s="87"/>
      <c r="KYO7" s="87"/>
      <c r="KYP7" s="87"/>
      <c r="KYQ7" s="87"/>
      <c r="KYR7" s="87"/>
      <c r="KYS7" s="87"/>
      <c r="KYT7" s="87"/>
      <c r="KYU7" s="87"/>
      <c r="KYV7" s="87"/>
      <c r="KYW7" s="87"/>
      <c r="KYX7" s="87"/>
      <c r="KYY7" s="87"/>
      <c r="KYZ7" s="87"/>
      <c r="KZA7" s="87"/>
      <c r="KZB7" s="87"/>
      <c r="KZC7" s="87"/>
      <c r="KZD7" s="87"/>
      <c r="KZE7" s="87"/>
      <c r="KZF7" s="87"/>
      <c r="KZG7" s="87"/>
      <c r="KZH7" s="87"/>
      <c r="KZI7" s="87"/>
      <c r="KZJ7" s="87"/>
      <c r="KZK7" s="87"/>
      <c r="KZL7" s="87"/>
      <c r="KZM7" s="87"/>
      <c r="KZN7" s="87"/>
      <c r="KZO7" s="87"/>
      <c r="KZP7" s="87"/>
      <c r="KZQ7" s="87"/>
      <c r="KZR7" s="87"/>
      <c r="KZS7" s="87"/>
      <c r="KZT7" s="87"/>
      <c r="KZU7" s="87"/>
      <c r="KZV7" s="87"/>
      <c r="KZW7" s="87"/>
      <c r="KZX7" s="87"/>
      <c r="KZY7" s="87"/>
      <c r="KZZ7" s="87"/>
      <c r="LAA7" s="87"/>
      <c r="LAB7" s="87"/>
      <c r="LAC7" s="87"/>
      <c r="LAD7" s="87"/>
      <c r="LAE7" s="87"/>
      <c r="LAF7" s="87"/>
      <c r="LAG7" s="87"/>
      <c r="LAH7" s="87"/>
      <c r="LAI7" s="87"/>
      <c r="LAJ7" s="87"/>
      <c r="LAK7" s="87"/>
      <c r="LAL7" s="87"/>
      <c r="LAM7" s="87"/>
      <c r="LAN7" s="87"/>
      <c r="LAO7" s="87"/>
      <c r="LAP7" s="87"/>
      <c r="LAQ7" s="87"/>
      <c r="LAR7" s="87"/>
      <c r="LAS7" s="87"/>
      <c r="LAT7" s="87"/>
      <c r="LAU7" s="87"/>
      <c r="LAV7" s="87"/>
      <c r="LAW7" s="87"/>
      <c r="LAX7" s="87"/>
      <c r="LAY7" s="87"/>
      <c r="LAZ7" s="87"/>
      <c r="LBA7" s="87"/>
      <c r="LBB7" s="87"/>
      <c r="LBC7" s="87"/>
      <c r="LBD7" s="87"/>
      <c r="LBE7" s="87"/>
      <c r="LBF7" s="87"/>
      <c r="LBG7" s="87"/>
      <c r="LBH7" s="87"/>
      <c r="LBI7" s="87"/>
      <c r="LBJ7" s="87"/>
      <c r="LBK7" s="87"/>
      <c r="LBL7" s="87"/>
      <c r="LBM7" s="87"/>
      <c r="LBN7" s="87"/>
      <c r="LBO7" s="87"/>
      <c r="LBP7" s="87"/>
      <c r="LBQ7" s="87"/>
      <c r="LBR7" s="87"/>
      <c r="LBS7" s="87"/>
      <c r="LBT7" s="87"/>
      <c r="LBU7" s="87"/>
      <c r="LBV7" s="87"/>
      <c r="LBW7" s="87"/>
      <c r="LBX7" s="87"/>
      <c r="LBY7" s="87"/>
      <c r="LBZ7" s="87"/>
      <c r="LCA7" s="87"/>
      <c r="LCB7" s="87"/>
      <c r="LCC7" s="87"/>
      <c r="LCD7" s="87"/>
      <c r="LCE7" s="87"/>
      <c r="LCF7" s="87"/>
      <c r="LCG7" s="87"/>
      <c r="LCH7" s="87"/>
      <c r="LCI7" s="87"/>
      <c r="LCJ7" s="87"/>
      <c r="LCK7" s="87"/>
      <c r="LCL7" s="87"/>
      <c r="LCM7" s="87"/>
      <c r="LCN7" s="87"/>
      <c r="LCO7" s="87"/>
      <c r="LCP7" s="87"/>
      <c r="LCQ7" s="87"/>
      <c r="LCR7" s="87"/>
      <c r="LCS7" s="87"/>
      <c r="LCT7" s="87"/>
      <c r="LCU7" s="87"/>
      <c r="LCV7" s="87"/>
      <c r="LCW7" s="87"/>
      <c r="LCX7" s="87"/>
      <c r="LCY7" s="87"/>
      <c r="LCZ7" s="87"/>
      <c r="LDA7" s="87"/>
      <c r="LDB7" s="87"/>
      <c r="LDC7" s="87"/>
      <c r="LDD7" s="87"/>
      <c r="LDE7" s="87"/>
      <c r="LDF7" s="87"/>
      <c r="LDG7" s="87"/>
      <c r="LDH7" s="87"/>
      <c r="LDI7" s="87"/>
      <c r="LDJ7" s="87"/>
      <c r="LDK7" s="87"/>
      <c r="LDL7" s="87"/>
      <c r="LDM7" s="87"/>
      <c r="LDN7" s="87"/>
      <c r="LDO7" s="87"/>
      <c r="LDP7" s="87"/>
      <c r="LDQ7" s="87"/>
      <c r="LDR7" s="87"/>
      <c r="LDS7" s="87"/>
      <c r="LDT7" s="87"/>
      <c r="LDU7" s="87"/>
      <c r="LDV7" s="87"/>
      <c r="LDW7" s="87"/>
      <c r="LDX7" s="87"/>
      <c r="LDY7" s="87"/>
      <c r="LDZ7" s="87"/>
      <c r="LEA7" s="87"/>
      <c r="LEB7" s="87"/>
      <c r="LEC7" s="87"/>
      <c r="LED7" s="87"/>
      <c r="LEE7" s="87"/>
      <c r="LEF7" s="87"/>
      <c r="LEG7" s="87"/>
      <c r="LEH7" s="87"/>
      <c r="LEI7" s="87"/>
      <c r="LEJ7" s="87"/>
      <c r="LEK7" s="87"/>
      <c r="LEL7" s="87"/>
      <c r="LEM7" s="87"/>
      <c r="LEN7" s="87"/>
      <c r="LEO7" s="87"/>
      <c r="LEP7" s="87"/>
      <c r="LEQ7" s="87"/>
      <c r="LER7" s="87"/>
      <c r="LES7" s="87"/>
      <c r="LET7" s="87"/>
      <c r="LEU7" s="87"/>
      <c r="LEV7" s="87"/>
      <c r="LEW7" s="87"/>
      <c r="LEX7" s="87"/>
      <c r="LEY7" s="87"/>
      <c r="LEZ7" s="87"/>
      <c r="LFA7" s="87"/>
      <c r="LFB7" s="87"/>
      <c r="LFC7" s="87"/>
      <c r="LFD7" s="87"/>
      <c r="LFE7" s="87"/>
      <c r="LFF7" s="87"/>
      <c r="LFG7" s="87"/>
      <c r="LFH7" s="87"/>
      <c r="LFI7" s="87"/>
      <c r="LFJ7" s="87"/>
      <c r="LFK7" s="87"/>
      <c r="LFL7" s="87"/>
      <c r="LFM7" s="87"/>
      <c r="LFN7" s="87"/>
      <c r="LFO7" s="87"/>
      <c r="LFP7" s="87"/>
      <c r="LFQ7" s="87"/>
      <c r="LFR7" s="87"/>
      <c r="LFS7" s="87"/>
      <c r="LFT7" s="87"/>
      <c r="LFU7" s="87"/>
      <c r="LFV7" s="87"/>
      <c r="LFW7" s="87"/>
      <c r="LFX7" s="87"/>
      <c r="LFY7" s="87"/>
      <c r="LFZ7" s="87"/>
      <c r="LGA7" s="87"/>
      <c r="LGB7" s="87"/>
      <c r="LGC7" s="87"/>
      <c r="LGD7" s="87"/>
      <c r="LGE7" s="87"/>
      <c r="LGF7" s="87"/>
      <c r="LGG7" s="87"/>
      <c r="LGH7" s="87"/>
      <c r="LGI7" s="87"/>
      <c r="LGJ7" s="87"/>
      <c r="LGK7" s="87"/>
      <c r="LGL7" s="87"/>
      <c r="LGM7" s="87"/>
      <c r="LGN7" s="87"/>
      <c r="LGO7" s="87"/>
      <c r="LGP7" s="87"/>
      <c r="LGQ7" s="87"/>
      <c r="LGR7" s="87"/>
      <c r="LGS7" s="87"/>
      <c r="LGT7" s="87"/>
      <c r="LGU7" s="87"/>
      <c r="LGV7" s="87"/>
      <c r="LGW7" s="87"/>
      <c r="LGX7" s="87"/>
      <c r="LGY7" s="87"/>
      <c r="LGZ7" s="87"/>
      <c r="LHA7" s="87"/>
      <c r="LHB7" s="87"/>
      <c r="LHC7" s="87"/>
      <c r="LHD7" s="87"/>
      <c r="LHE7" s="87"/>
      <c r="LHF7" s="87"/>
      <c r="LHG7" s="87"/>
      <c r="LHH7" s="87"/>
      <c r="LHI7" s="87"/>
      <c r="LHJ7" s="87"/>
      <c r="LHK7" s="87"/>
      <c r="LHL7" s="87"/>
      <c r="LHM7" s="87"/>
      <c r="LHN7" s="87"/>
      <c r="LHO7" s="87"/>
      <c r="LHP7" s="87"/>
      <c r="LHQ7" s="87"/>
      <c r="LHR7" s="87"/>
      <c r="LHS7" s="87"/>
      <c r="LHT7" s="87"/>
      <c r="LHU7" s="87"/>
      <c r="LHV7" s="87"/>
      <c r="LHW7" s="87"/>
      <c r="LHX7" s="87"/>
      <c r="LHY7" s="87"/>
      <c r="LHZ7" s="87"/>
      <c r="LIA7" s="87"/>
      <c r="LIB7" s="87"/>
      <c r="LIC7" s="87"/>
      <c r="LID7" s="87"/>
      <c r="LIE7" s="87"/>
      <c r="LIF7" s="87"/>
      <c r="LIG7" s="87"/>
      <c r="LIH7" s="87"/>
      <c r="LII7" s="87"/>
      <c r="LIJ7" s="87"/>
      <c r="LIK7" s="87"/>
      <c r="LIL7" s="87"/>
      <c r="LIM7" s="87"/>
      <c r="LIN7" s="87"/>
      <c r="LIO7" s="87"/>
      <c r="LIP7" s="87"/>
      <c r="LIQ7" s="87"/>
      <c r="LIR7" s="87"/>
      <c r="LIS7" s="87"/>
      <c r="LIT7" s="87"/>
      <c r="LIU7" s="87"/>
      <c r="LIV7" s="87"/>
      <c r="LIW7" s="87"/>
      <c r="LIX7" s="87"/>
      <c r="LIY7" s="87"/>
      <c r="LIZ7" s="87"/>
      <c r="LJA7" s="87"/>
      <c r="LJB7" s="87"/>
      <c r="LJC7" s="87"/>
      <c r="LJD7" s="87"/>
      <c r="LJE7" s="87"/>
      <c r="LJF7" s="87"/>
      <c r="LJG7" s="87"/>
      <c r="LJH7" s="87"/>
      <c r="LJI7" s="87"/>
      <c r="LJJ7" s="87"/>
      <c r="LJK7" s="87"/>
      <c r="LJL7" s="87"/>
      <c r="LJM7" s="87"/>
      <c r="LJN7" s="87"/>
      <c r="LJO7" s="87"/>
      <c r="LJP7" s="87"/>
      <c r="LJQ7" s="87"/>
      <c r="LJR7" s="87"/>
      <c r="LJS7" s="87"/>
      <c r="LJT7" s="87"/>
      <c r="LJU7" s="87"/>
      <c r="LJV7" s="87"/>
      <c r="LJW7" s="87"/>
      <c r="LJX7" s="87"/>
      <c r="LJY7" s="87"/>
      <c r="LJZ7" s="87"/>
      <c r="LKA7" s="87"/>
      <c r="LKB7" s="87"/>
      <c r="LKC7" s="87"/>
      <c r="LKD7" s="87"/>
      <c r="LKE7" s="87"/>
      <c r="LKF7" s="87"/>
      <c r="LKG7" s="87"/>
      <c r="LKH7" s="87"/>
      <c r="LKI7" s="87"/>
      <c r="LKJ7" s="87"/>
      <c r="LKK7" s="87"/>
      <c r="LKL7" s="87"/>
      <c r="LKM7" s="87"/>
      <c r="LKN7" s="87"/>
      <c r="LKO7" s="87"/>
      <c r="LKP7" s="87"/>
      <c r="LKQ7" s="87"/>
      <c r="LKR7" s="87"/>
      <c r="LKS7" s="87"/>
      <c r="LKT7" s="87"/>
      <c r="LKU7" s="87"/>
      <c r="LKV7" s="87"/>
      <c r="LKW7" s="87"/>
      <c r="LKX7" s="87"/>
      <c r="LKY7" s="87"/>
      <c r="LKZ7" s="87"/>
      <c r="LLA7" s="87"/>
      <c r="LLB7" s="87"/>
      <c r="LLC7" s="87"/>
      <c r="LLD7" s="87"/>
      <c r="LLE7" s="87"/>
      <c r="LLF7" s="87"/>
      <c r="LLG7" s="87"/>
      <c r="LLH7" s="87"/>
      <c r="LLI7" s="87"/>
      <c r="LLJ7" s="87"/>
      <c r="LLK7" s="87"/>
      <c r="LLL7" s="87"/>
      <c r="LLM7" s="87"/>
      <c r="LLN7" s="87"/>
      <c r="LLO7" s="87"/>
      <c r="LLP7" s="87"/>
      <c r="LLQ7" s="87"/>
      <c r="LLR7" s="87"/>
      <c r="LLS7" s="87"/>
      <c r="LLT7" s="87"/>
      <c r="LLU7" s="87"/>
      <c r="LLV7" s="87"/>
      <c r="LLW7" s="87"/>
      <c r="LLX7" s="87"/>
      <c r="LLY7" s="87"/>
      <c r="LLZ7" s="87"/>
      <c r="LMA7" s="87"/>
      <c r="LMB7" s="87"/>
      <c r="LMC7" s="87"/>
      <c r="LMD7" s="87"/>
      <c r="LME7" s="87"/>
      <c r="LMF7" s="87"/>
      <c r="LMG7" s="87"/>
      <c r="LMH7" s="87"/>
      <c r="LMI7" s="87"/>
      <c r="LMJ7" s="87"/>
      <c r="LMK7" s="87"/>
      <c r="LML7" s="87"/>
      <c r="LMM7" s="87"/>
      <c r="LMN7" s="87"/>
      <c r="LMO7" s="87"/>
      <c r="LMP7" s="87"/>
      <c r="LMQ7" s="87"/>
      <c r="LMR7" s="87"/>
      <c r="LMS7" s="87"/>
      <c r="LMT7" s="87"/>
      <c r="LMU7" s="87"/>
      <c r="LMV7" s="87"/>
      <c r="LMW7" s="87"/>
      <c r="LMX7" s="87"/>
      <c r="LMY7" s="87"/>
      <c r="LMZ7" s="87"/>
      <c r="LNA7" s="87"/>
      <c r="LNB7" s="87"/>
      <c r="LNC7" s="87"/>
      <c r="LND7" s="87"/>
      <c r="LNE7" s="87"/>
      <c r="LNF7" s="87"/>
      <c r="LNG7" s="87"/>
      <c r="LNH7" s="87"/>
      <c r="LNI7" s="87"/>
      <c r="LNJ7" s="87"/>
      <c r="LNK7" s="87"/>
      <c r="LNL7" s="87"/>
      <c r="LNM7" s="87"/>
      <c r="LNN7" s="87"/>
      <c r="LNO7" s="87"/>
      <c r="LNP7" s="87"/>
      <c r="LNQ7" s="87"/>
      <c r="LNR7" s="87"/>
      <c r="LNS7" s="87"/>
      <c r="LNT7" s="87"/>
      <c r="LNU7" s="87"/>
      <c r="LNV7" s="87"/>
      <c r="LNW7" s="87"/>
      <c r="LNX7" s="87"/>
      <c r="LNY7" s="87"/>
      <c r="LNZ7" s="87"/>
      <c r="LOA7" s="87"/>
      <c r="LOB7" s="87"/>
      <c r="LOC7" s="87"/>
      <c r="LOD7" s="87"/>
      <c r="LOE7" s="87"/>
      <c r="LOF7" s="87"/>
      <c r="LOG7" s="87"/>
      <c r="LOH7" s="87"/>
      <c r="LOI7" s="87"/>
      <c r="LOJ7" s="87"/>
      <c r="LOK7" s="87"/>
      <c r="LOL7" s="87"/>
      <c r="LOM7" s="87"/>
      <c r="LON7" s="87"/>
      <c r="LOO7" s="87"/>
      <c r="LOP7" s="87"/>
      <c r="LOQ7" s="87"/>
      <c r="LOR7" s="87"/>
      <c r="LOS7" s="87"/>
      <c r="LOT7" s="87"/>
      <c r="LOU7" s="87"/>
      <c r="LOV7" s="87"/>
      <c r="LOW7" s="87"/>
      <c r="LOX7" s="87"/>
      <c r="LOY7" s="87"/>
      <c r="LOZ7" s="87"/>
      <c r="LPA7" s="87"/>
      <c r="LPB7" s="87"/>
      <c r="LPC7" s="87"/>
      <c r="LPD7" s="87"/>
      <c r="LPE7" s="87"/>
      <c r="LPF7" s="87"/>
      <c r="LPG7" s="87"/>
      <c r="LPH7" s="87"/>
      <c r="LPI7" s="87"/>
      <c r="LPJ7" s="87"/>
      <c r="LPK7" s="87"/>
      <c r="LPL7" s="87"/>
      <c r="LPM7" s="87"/>
      <c r="LPN7" s="87"/>
      <c r="LPO7" s="87"/>
      <c r="LPP7" s="87"/>
      <c r="LPQ7" s="87"/>
      <c r="LPR7" s="87"/>
      <c r="LPS7" s="87"/>
      <c r="LPT7" s="87"/>
      <c r="LPU7" s="87"/>
      <c r="LPV7" s="87"/>
      <c r="LPW7" s="87"/>
      <c r="LPX7" s="87"/>
      <c r="LPY7" s="87"/>
      <c r="LPZ7" s="87"/>
      <c r="LQA7" s="87"/>
      <c r="LQB7" s="87"/>
      <c r="LQC7" s="87"/>
      <c r="LQD7" s="87"/>
      <c r="LQE7" s="87"/>
      <c r="LQF7" s="87"/>
      <c r="LQG7" s="87"/>
      <c r="LQH7" s="87"/>
      <c r="LQI7" s="87"/>
      <c r="LQJ7" s="87"/>
      <c r="LQK7" s="87"/>
      <c r="LQL7" s="87"/>
      <c r="LQM7" s="87"/>
      <c r="LQN7" s="87"/>
      <c r="LQO7" s="87"/>
      <c r="LQP7" s="87"/>
      <c r="LQQ7" s="87"/>
      <c r="LQR7" s="87"/>
      <c r="LQS7" s="87"/>
      <c r="LQT7" s="87"/>
      <c r="LQU7" s="87"/>
      <c r="LQV7" s="87"/>
      <c r="LQW7" s="87"/>
      <c r="LQX7" s="87"/>
      <c r="LQY7" s="87"/>
      <c r="LQZ7" s="87"/>
      <c r="LRA7" s="87"/>
      <c r="LRB7" s="87"/>
      <c r="LRC7" s="87"/>
      <c r="LRD7" s="87"/>
      <c r="LRE7" s="87"/>
      <c r="LRF7" s="87"/>
      <c r="LRG7" s="87"/>
      <c r="LRH7" s="87"/>
      <c r="LRI7" s="87"/>
      <c r="LRJ7" s="87"/>
      <c r="LRK7" s="87"/>
      <c r="LRL7" s="87"/>
      <c r="LRM7" s="87"/>
      <c r="LRN7" s="87"/>
      <c r="LRO7" s="87"/>
      <c r="LRP7" s="87"/>
      <c r="LRQ7" s="87"/>
      <c r="LRR7" s="87"/>
      <c r="LRS7" s="87"/>
      <c r="LRT7" s="87"/>
      <c r="LRU7" s="87"/>
      <c r="LRV7" s="87"/>
      <c r="LRW7" s="87"/>
      <c r="LRX7" s="87"/>
      <c r="LRY7" s="87"/>
      <c r="LRZ7" s="87"/>
      <c r="LSA7" s="87"/>
      <c r="LSB7" s="87"/>
      <c r="LSC7" s="87"/>
      <c r="LSD7" s="87"/>
      <c r="LSE7" s="87"/>
      <c r="LSF7" s="87"/>
      <c r="LSG7" s="87"/>
      <c r="LSH7" s="87"/>
      <c r="LSI7" s="87"/>
      <c r="LSJ7" s="87"/>
      <c r="LSK7" s="87"/>
      <c r="LSL7" s="87"/>
      <c r="LSM7" s="87"/>
      <c r="LSN7" s="87"/>
      <c r="LSO7" s="87"/>
      <c r="LSP7" s="87"/>
      <c r="LSQ7" s="87"/>
      <c r="LSR7" s="87"/>
      <c r="LSS7" s="87"/>
      <c r="LST7" s="87"/>
      <c r="LSU7" s="87"/>
      <c r="LSV7" s="87"/>
      <c r="LSW7" s="87"/>
      <c r="LSX7" s="87"/>
      <c r="LSY7" s="87"/>
      <c r="LSZ7" s="87"/>
      <c r="LTA7" s="87"/>
      <c r="LTB7" s="87"/>
      <c r="LTC7" s="87"/>
      <c r="LTD7" s="87"/>
      <c r="LTE7" s="87"/>
      <c r="LTF7" s="87"/>
      <c r="LTG7" s="87"/>
      <c r="LTH7" s="87"/>
      <c r="LTI7" s="87"/>
      <c r="LTJ7" s="87"/>
      <c r="LTK7" s="87"/>
      <c r="LTL7" s="87"/>
      <c r="LTM7" s="87"/>
      <c r="LTN7" s="87"/>
      <c r="LTO7" s="87"/>
      <c r="LTP7" s="87"/>
      <c r="LTQ7" s="87"/>
      <c r="LTR7" s="87"/>
      <c r="LTS7" s="87"/>
      <c r="LTT7" s="87"/>
      <c r="LTU7" s="87"/>
      <c r="LTV7" s="87"/>
      <c r="LTW7" s="87"/>
      <c r="LTX7" s="87"/>
      <c r="LTY7" s="87"/>
      <c r="LTZ7" s="87"/>
      <c r="LUA7" s="87"/>
      <c r="LUB7" s="87"/>
      <c r="LUC7" s="87"/>
      <c r="LUD7" s="87"/>
      <c r="LUE7" s="87"/>
      <c r="LUF7" s="87"/>
      <c r="LUG7" s="87"/>
      <c r="LUH7" s="87"/>
      <c r="LUI7" s="87"/>
      <c r="LUJ7" s="87"/>
      <c r="LUK7" s="87"/>
      <c r="LUL7" s="87"/>
      <c r="LUM7" s="87"/>
      <c r="LUN7" s="87"/>
      <c r="LUO7" s="87"/>
      <c r="LUP7" s="87"/>
      <c r="LUQ7" s="87"/>
      <c r="LUR7" s="87"/>
      <c r="LUS7" s="87"/>
      <c r="LUT7" s="87"/>
      <c r="LUU7" s="87"/>
      <c r="LUV7" s="87"/>
      <c r="LUW7" s="87"/>
      <c r="LUX7" s="87"/>
      <c r="LUY7" s="87"/>
      <c r="LUZ7" s="87"/>
      <c r="LVA7" s="87"/>
      <c r="LVB7" s="87"/>
      <c r="LVC7" s="87"/>
      <c r="LVD7" s="87"/>
      <c r="LVE7" s="87"/>
      <c r="LVF7" s="87"/>
      <c r="LVG7" s="87"/>
      <c r="LVH7" s="87"/>
      <c r="LVI7" s="87"/>
      <c r="LVJ7" s="87"/>
      <c r="LVK7" s="87"/>
      <c r="LVL7" s="87"/>
      <c r="LVM7" s="87"/>
      <c r="LVN7" s="87"/>
      <c r="LVO7" s="87"/>
      <c r="LVP7" s="87"/>
      <c r="LVQ7" s="87"/>
      <c r="LVR7" s="87"/>
      <c r="LVS7" s="87"/>
      <c r="LVT7" s="87"/>
      <c r="LVU7" s="87"/>
      <c r="LVV7" s="87"/>
      <c r="LVW7" s="87"/>
      <c r="LVX7" s="87"/>
      <c r="LVY7" s="87"/>
      <c r="LVZ7" s="87"/>
      <c r="LWA7" s="87"/>
      <c r="LWB7" s="87"/>
      <c r="LWC7" s="87"/>
      <c r="LWD7" s="87"/>
      <c r="LWE7" s="87"/>
      <c r="LWF7" s="87"/>
      <c r="LWG7" s="87"/>
      <c r="LWH7" s="87"/>
      <c r="LWI7" s="87"/>
      <c r="LWJ7" s="87"/>
      <c r="LWK7" s="87"/>
      <c r="LWL7" s="87"/>
      <c r="LWM7" s="87"/>
      <c r="LWN7" s="87"/>
      <c r="LWO7" s="87"/>
      <c r="LWP7" s="87"/>
      <c r="LWQ7" s="87"/>
      <c r="LWR7" s="87"/>
      <c r="LWS7" s="87"/>
      <c r="LWT7" s="87"/>
      <c r="LWU7" s="87"/>
      <c r="LWV7" s="87"/>
      <c r="LWW7" s="87"/>
      <c r="LWX7" s="87"/>
      <c r="LWY7" s="87"/>
      <c r="LWZ7" s="87"/>
      <c r="LXA7" s="87"/>
      <c r="LXB7" s="87"/>
      <c r="LXC7" s="87"/>
      <c r="LXD7" s="87"/>
      <c r="LXE7" s="87"/>
      <c r="LXF7" s="87"/>
      <c r="LXG7" s="87"/>
      <c r="LXH7" s="87"/>
      <c r="LXI7" s="87"/>
      <c r="LXJ7" s="87"/>
      <c r="LXK7" s="87"/>
      <c r="LXL7" s="87"/>
      <c r="LXM7" s="87"/>
      <c r="LXN7" s="87"/>
      <c r="LXO7" s="87"/>
      <c r="LXP7" s="87"/>
      <c r="LXQ7" s="87"/>
      <c r="LXR7" s="87"/>
      <c r="LXS7" s="87"/>
      <c r="LXT7" s="87"/>
      <c r="LXU7" s="87"/>
      <c r="LXV7" s="87"/>
      <c r="LXW7" s="87"/>
      <c r="LXX7" s="87"/>
      <c r="LXY7" s="87"/>
      <c r="LXZ7" s="87"/>
      <c r="LYA7" s="87"/>
      <c r="LYB7" s="87"/>
      <c r="LYC7" s="87"/>
      <c r="LYD7" s="87"/>
      <c r="LYE7" s="87"/>
      <c r="LYF7" s="87"/>
      <c r="LYG7" s="87"/>
      <c r="LYH7" s="87"/>
      <c r="LYI7" s="87"/>
      <c r="LYJ7" s="87"/>
      <c r="LYK7" s="87"/>
      <c r="LYL7" s="87"/>
      <c r="LYM7" s="87"/>
      <c r="LYN7" s="87"/>
      <c r="LYO7" s="87"/>
      <c r="LYP7" s="87"/>
      <c r="LYQ7" s="87"/>
      <c r="LYR7" s="87"/>
      <c r="LYS7" s="87"/>
      <c r="LYT7" s="87"/>
      <c r="LYU7" s="87"/>
      <c r="LYV7" s="87"/>
      <c r="LYW7" s="87"/>
      <c r="LYX7" s="87"/>
      <c r="LYY7" s="87"/>
      <c r="LYZ7" s="87"/>
      <c r="LZA7" s="87"/>
      <c r="LZB7" s="87"/>
      <c r="LZC7" s="87"/>
      <c r="LZD7" s="87"/>
      <c r="LZE7" s="87"/>
      <c r="LZF7" s="87"/>
      <c r="LZG7" s="87"/>
      <c r="LZH7" s="87"/>
      <c r="LZI7" s="87"/>
      <c r="LZJ7" s="87"/>
      <c r="LZK7" s="87"/>
      <c r="LZL7" s="87"/>
      <c r="LZM7" s="87"/>
      <c r="LZN7" s="87"/>
      <c r="LZO7" s="87"/>
      <c r="LZP7" s="87"/>
      <c r="LZQ7" s="87"/>
      <c r="LZR7" s="87"/>
      <c r="LZS7" s="87"/>
      <c r="LZT7" s="87"/>
      <c r="LZU7" s="87"/>
      <c r="LZV7" s="87"/>
      <c r="LZW7" s="87"/>
      <c r="LZX7" s="87"/>
      <c r="LZY7" s="87"/>
      <c r="LZZ7" s="87"/>
      <c r="MAA7" s="87"/>
      <c r="MAB7" s="87"/>
      <c r="MAC7" s="87"/>
      <c r="MAD7" s="87"/>
      <c r="MAE7" s="87"/>
      <c r="MAF7" s="87"/>
      <c r="MAG7" s="87"/>
      <c r="MAH7" s="87"/>
      <c r="MAI7" s="87"/>
      <c r="MAJ7" s="87"/>
      <c r="MAK7" s="87"/>
      <c r="MAL7" s="87"/>
      <c r="MAM7" s="87"/>
      <c r="MAN7" s="87"/>
      <c r="MAO7" s="87"/>
      <c r="MAP7" s="87"/>
      <c r="MAQ7" s="87"/>
      <c r="MAR7" s="87"/>
      <c r="MAS7" s="87"/>
      <c r="MAT7" s="87"/>
      <c r="MAU7" s="87"/>
      <c r="MAV7" s="87"/>
      <c r="MAW7" s="87"/>
      <c r="MAX7" s="87"/>
      <c r="MAY7" s="87"/>
      <c r="MAZ7" s="87"/>
      <c r="MBA7" s="87"/>
      <c r="MBB7" s="87"/>
      <c r="MBC7" s="87"/>
      <c r="MBD7" s="87"/>
      <c r="MBE7" s="87"/>
      <c r="MBF7" s="87"/>
      <c r="MBG7" s="87"/>
      <c r="MBH7" s="87"/>
      <c r="MBI7" s="87"/>
      <c r="MBJ7" s="87"/>
      <c r="MBK7" s="87"/>
      <c r="MBL7" s="87"/>
      <c r="MBM7" s="87"/>
      <c r="MBN7" s="87"/>
      <c r="MBO7" s="87"/>
      <c r="MBP7" s="87"/>
      <c r="MBQ7" s="87"/>
      <c r="MBR7" s="87"/>
      <c r="MBS7" s="87"/>
      <c r="MBT7" s="87"/>
      <c r="MBU7" s="87"/>
      <c r="MBV7" s="87"/>
      <c r="MBW7" s="87"/>
      <c r="MBX7" s="87"/>
      <c r="MBY7" s="87"/>
      <c r="MBZ7" s="87"/>
      <c r="MCA7" s="87"/>
      <c r="MCB7" s="87"/>
      <c r="MCC7" s="87"/>
      <c r="MCD7" s="87"/>
      <c r="MCE7" s="87"/>
      <c r="MCF7" s="87"/>
      <c r="MCG7" s="87"/>
      <c r="MCH7" s="87"/>
      <c r="MCI7" s="87"/>
      <c r="MCJ7" s="87"/>
      <c r="MCK7" s="87"/>
      <c r="MCL7" s="87"/>
      <c r="MCM7" s="87"/>
      <c r="MCN7" s="87"/>
      <c r="MCO7" s="87"/>
      <c r="MCP7" s="87"/>
      <c r="MCQ7" s="87"/>
      <c r="MCR7" s="87"/>
      <c r="MCS7" s="87"/>
      <c r="MCT7" s="87"/>
      <c r="MCU7" s="87"/>
      <c r="MCV7" s="87"/>
      <c r="MCW7" s="87"/>
      <c r="MCX7" s="87"/>
      <c r="MCY7" s="87"/>
      <c r="MCZ7" s="87"/>
      <c r="MDA7" s="87"/>
      <c r="MDB7" s="87"/>
      <c r="MDC7" s="87"/>
      <c r="MDD7" s="87"/>
      <c r="MDE7" s="87"/>
      <c r="MDF7" s="87"/>
      <c r="MDG7" s="87"/>
      <c r="MDH7" s="87"/>
      <c r="MDI7" s="87"/>
      <c r="MDJ7" s="87"/>
      <c r="MDK7" s="87"/>
      <c r="MDL7" s="87"/>
      <c r="MDM7" s="87"/>
      <c r="MDN7" s="87"/>
      <c r="MDO7" s="87"/>
      <c r="MDP7" s="87"/>
      <c r="MDQ7" s="87"/>
      <c r="MDR7" s="87"/>
      <c r="MDS7" s="87"/>
      <c r="MDT7" s="87"/>
      <c r="MDU7" s="87"/>
      <c r="MDV7" s="87"/>
      <c r="MDW7" s="87"/>
      <c r="MDX7" s="87"/>
      <c r="MDY7" s="87"/>
      <c r="MDZ7" s="87"/>
      <c r="MEA7" s="87"/>
      <c r="MEB7" s="87"/>
      <c r="MEC7" s="87"/>
      <c r="MED7" s="87"/>
      <c r="MEE7" s="87"/>
      <c r="MEF7" s="87"/>
      <c r="MEG7" s="87"/>
      <c r="MEH7" s="87"/>
      <c r="MEI7" s="87"/>
      <c r="MEJ7" s="87"/>
      <c r="MEK7" s="87"/>
      <c r="MEL7" s="87"/>
      <c r="MEM7" s="87"/>
      <c r="MEN7" s="87"/>
      <c r="MEO7" s="87"/>
      <c r="MEP7" s="87"/>
      <c r="MEQ7" s="87"/>
      <c r="MER7" s="87"/>
      <c r="MES7" s="87"/>
      <c r="MET7" s="87"/>
      <c r="MEU7" s="87"/>
      <c r="MEV7" s="87"/>
      <c r="MEW7" s="87"/>
      <c r="MEX7" s="87"/>
      <c r="MEY7" s="87"/>
      <c r="MEZ7" s="87"/>
      <c r="MFA7" s="87"/>
      <c r="MFB7" s="87"/>
      <c r="MFC7" s="87"/>
      <c r="MFD7" s="87"/>
      <c r="MFE7" s="87"/>
      <c r="MFF7" s="87"/>
      <c r="MFG7" s="87"/>
      <c r="MFH7" s="87"/>
      <c r="MFI7" s="87"/>
      <c r="MFJ7" s="87"/>
      <c r="MFK7" s="87"/>
      <c r="MFL7" s="87"/>
      <c r="MFM7" s="87"/>
      <c r="MFN7" s="87"/>
      <c r="MFO7" s="87"/>
      <c r="MFP7" s="87"/>
      <c r="MFQ7" s="87"/>
      <c r="MFR7" s="87"/>
      <c r="MFS7" s="87"/>
      <c r="MFT7" s="87"/>
      <c r="MFU7" s="87"/>
      <c r="MFV7" s="87"/>
      <c r="MFW7" s="87"/>
      <c r="MFX7" s="87"/>
      <c r="MFY7" s="87"/>
      <c r="MFZ7" s="87"/>
      <c r="MGA7" s="87"/>
      <c r="MGB7" s="87"/>
      <c r="MGC7" s="87"/>
      <c r="MGD7" s="87"/>
      <c r="MGE7" s="87"/>
      <c r="MGF7" s="87"/>
      <c r="MGG7" s="87"/>
      <c r="MGH7" s="87"/>
      <c r="MGI7" s="87"/>
      <c r="MGJ7" s="87"/>
      <c r="MGK7" s="87"/>
      <c r="MGL7" s="87"/>
      <c r="MGM7" s="87"/>
      <c r="MGN7" s="87"/>
      <c r="MGO7" s="87"/>
      <c r="MGP7" s="87"/>
      <c r="MGQ7" s="87"/>
      <c r="MGR7" s="87"/>
      <c r="MGS7" s="87"/>
      <c r="MGT7" s="87"/>
      <c r="MGU7" s="87"/>
      <c r="MGV7" s="87"/>
      <c r="MGW7" s="87"/>
      <c r="MGX7" s="87"/>
      <c r="MGY7" s="87"/>
      <c r="MGZ7" s="87"/>
      <c r="MHA7" s="87"/>
      <c r="MHB7" s="87"/>
      <c r="MHC7" s="87"/>
      <c r="MHD7" s="87"/>
      <c r="MHE7" s="87"/>
      <c r="MHF7" s="87"/>
      <c r="MHG7" s="87"/>
      <c r="MHH7" s="87"/>
      <c r="MHI7" s="87"/>
      <c r="MHJ7" s="87"/>
      <c r="MHK7" s="87"/>
      <c r="MHL7" s="87"/>
      <c r="MHM7" s="87"/>
      <c r="MHN7" s="87"/>
      <c r="MHO7" s="87"/>
      <c r="MHP7" s="87"/>
      <c r="MHQ7" s="87"/>
      <c r="MHR7" s="87"/>
      <c r="MHS7" s="87"/>
      <c r="MHT7" s="87"/>
      <c r="MHU7" s="87"/>
      <c r="MHV7" s="87"/>
      <c r="MHW7" s="87"/>
      <c r="MHX7" s="87"/>
      <c r="MHY7" s="87"/>
      <c r="MHZ7" s="87"/>
      <c r="MIA7" s="87"/>
      <c r="MIB7" s="87"/>
      <c r="MIC7" s="87"/>
      <c r="MID7" s="87"/>
      <c r="MIE7" s="87"/>
      <c r="MIF7" s="87"/>
      <c r="MIG7" s="87"/>
      <c r="MIH7" s="87"/>
      <c r="MII7" s="87"/>
      <c r="MIJ7" s="87"/>
      <c r="MIK7" s="87"/>
      <c r="MIL7" s="87"/>
      <c r="MIM7" s="87"/>
      <c r="MIN7" s="87"/>
      <c r="MIO7" s="87"/>
      <c r="MIP7" s="87"/>
      <c r="MIQ7" s="87"/>
      <c r="MIR7" s="87"/>
      <c r="MIS7" s="87"/>
      <c r="MIT7" s="87"/>
      <c r="MIU7" s="87"/>
      <c r="MIV7" s="87"/>
      <c r="MIW7" s="87"/>
      <c r="MIX7" s="87"/>
      <c r="MIY7" s="87"/>
      <c r="MIZ7" s="87"/>
      <c r="MJA7" s="87"/>
      <c r="MJB7" s="87"/>
      <c r="MJC7" s="87"/>
      <c r="MJD7" s="87"/>
      <c r="MJE7" s="87"/>
      <c r="MJF7" s="87"/>
      <c r="MJG7" s="87"/>
      <c r="MJH7" s="87"/>
      <c r="MJI7" s="87"/>
      <c r="MJJ7" s="87"/>
      <c r="MJK7" s="87"/>
      <c r="MJL7" s="87"/>
      <c r="MJM7" s="87"/>
      <c r="MJN7" s="87"/>
      <c r="MJO7" s="87"/>
      <c r="MJP7" s="87"/>
      <c r="MJQ7" s="87"/>
      <c r="MJR7" s="87"/>
      <c r="MJS7" s="87"/>
      <c r="MJT7" s="87"/>
      <c r="MJU7" s="87"/>
      <c r="MJV7" s="87"/>
      <c r="MJW7" s="87"/>
      <c r="MJX7" s="87"/>
      <c r="MJY7" s="87"/>
      <c r="MJZ7" s="87"/>
      <c r="MKA7" s="87"/>
      <c r="MKB7" s="87"/>
      <c r="MKC7" s="87"/>
      <c r="MKD7" s="87"/>
      <c r="MKE7" s="87"/>
      <c r="MKF7" s="87"/>
      <c r="MKG7" s="87"/>
      <c r="MKH7" s="87"/>
      <c r="MKI7" s="87"/>
      <c r="MKJ7" s="87"/>
      <c r="MKK7" s="87"/>
      <c r="MKL7" s="87"/>
      <c r="MKM7" s="87"/>
      <c r="MKN7" s="87"/>
      <c r="MKO7" s="87"/>
      <c r="MKP7" s="87"/>
      <c r="MKQ7" s="87"/>
      <c r="MKR7" s="87"/>
      <c r="MKS7" s="87"/>
      <c r="MKT7" s="87"/>
      <c r="MKU7" s="87"/>
      <c r="MKV7" s="87"/>
      <c r="MKW7" s="87"/>
      <c r="MKX7" s="87"/>
      <c r="MKY7" s="87"/>
      <c r="MKZ7" s="87"/>
      <c r="MLA7" s="87"/>
      <c r="MLB7" s="87"/>
      <c r="MLC7" s="87"/>
      <c r="MLD7" s="87"/>
      <c r="MLE7" s="87"/>
      <c r="MLF7" s="87"/>
      <c r="MLG7" s="87"/>
      <c r="MLH7" s="87"/>
      <c r="MLI7" s="87"/>
      <c r="MLJ7" s="87"/>
      <c r="MLK7" s="87"/>
      <c r="MLL7" s="87"/>
      <c r="MLM7" s="87"/>
      <c r="MLN7" s="87"/>
      <c r="MLO7" s="87"/>
      <c r="MLP7" s="87"/>
      <c r="MLQ7" s="87"/>
      <c r="MLR7" s="87"/>
      <c r="MLS7" s="87"/>
      <c r="MLT7" s="87"/>
      <c r="MLU7" s="87"/>
      <c r="MLV7" s="87"/>
      <c r="MLW7" s="87"/>
      <c r="MLX7" s="87"/>
      <c r="MLY7" s="87"/>
      <c r="MLZ7" s="87"/>
      <c r="MMA7" s="87"/>
      <c r="MMB7" s="87"/>
      <c r="MMC7" s="87"/>
      <c r="MMD7" s="87"/>
      <c r="MME7" s="87"/>
      <c r="MMF7" s="87"/>
      <c r="MMG7" s="87"/>
      <c r="MMH7" s="87"/>
      <c r="MMI7" s="87"/>
      <c r="MMJ7" s="87"/>
      <c r="MMK7" s="87"/>
      <c r="MML7" s="87"/>
      <c r="MMM7" s="87"/>
      <c r="MMN7" s="87"/>
      <c r="MMO7" s="87"/>
      <c r="MMP7" s="87"/>
      <c r="MMQ7" s="87"/>
      <c r="MMR7" s="87"/>
      <c r="MMS7" s="87"/>
      <c r="MMT7" s="87"/>
      <c r="MMU7" s="87"/>
      <c r="MMV7" s="87"/>
      <c r="MMW7" s="87"/>
      <c r="MMX7" s="87"/>
      <c r="MMY7" s="87"/>
      <c r="MMZ7" s="87"/>
      <c r="MNA7" s="87"/>
      <c r="MNB7" s="87"/>
      <c r="MNC7" s="87"/>
      <c r="MND7" s="87"/>
      <c r="MNE7" s="87"/>
      <c r="MNF7" s="87"/>
      <c r="MNG7" s="87"/>
      <c r="MNH7" s="87"/>
      <c r="MNI7" s="87"/>
      <c r="MNJ7" s="87"/>
      <c r="MNK7" s="87"/>
      <c r="MNL7" s="87"/>
      <c r="MNM7" s="87"/>
      <c r="MNN7" s="87"/>
      <c r="MNO7" s="87"/>
      <c r="MNP7" s="87"/>
      <c r="MNQ7" s="87"/>
      <c r="MNR7" s="87"/>
      <c r="MNS7" s="87"/>
      <c r="MNT7" s="87"/>
      <c r="MNU7" s="87"/>
      <c r="MNV7" s="87"/>
      <c r="MNW7" s="87"/>
      <c r="MNX7" s="87"/>
      <c r="MNY7" s="87"/>
      <c r="MNZ7" s="87"/>
      <c r="MOA7" s="87"/>
      <c r="MOB7" s="87"/>
      <c r="MOC7" s="87"/>
      <c r="MOD7" s="87"/>
      <c r="MOE7" s="87"/>
      <c r="MOF7" s="87"/>
      <c r="MOG7" s="87"/>
      <c r="MOH7" s="87"/>
      <c r="MOI7" s="87"/>
      <c r="MOJ7" s="87"/>
      <c r="MOK7" s="87"/>
      <c r="MOL7" s="87"/>
      <c r="MOM7" s="87"/>
      <c r="MON7" s="87"/>
      <c r="MOO7" s="87"/>
      <c r="MOP7" s="87"/>
      <c r="MOQ7" s="87"/>
      <c r="MOR7" s="87"/>
      <c r="MOS7" s="87"/>
      <c r="MOT7" s="87"/>
      <c r="MOU7" s="87"/>
      <c r="MOV7" s="87"/>
      <c r="MOW7" s="87"/>
      <c r="MOX7" s="87"/>
      <c r="MOY7" s="87"/>
      <c r="MOZ7" s="87"/>
      <c r="MPA7" s="87"/>
      <c r="MPB7" s="87"/>
      <c r="MPC7" s="87"/>
      <c r="MPD7" s="87"/>
      <c r="MPE7" s="87"/>
      <c r="MPF7" s="87"/>
      <c r="MPG7" s="87"/>
      <c r="MPH7" s="87"/>
      <c r="MPI7" s="87"/>
      <c r="MPJ7" s="87"/>
      <c r="MPK7" s="87"/>
      <c r="MPL7" s="87"/>
      <c r="MPM7" s="87"/>
      <c r="MPN7" s="87"/>
      <c r="MPO7" s="87"/>
      <c r="MPP7" s="87"/>
      <c r="MPQ7" s="87"/>
      <c r="MPR7" s="87"/>
      <c r="MPS7" s="87"/>
      <c r="MPT7" s="87"/>
      <c r="MPU7" s="87"/>
      <c r="MPV7" s="87"/>
      <c r="MPW7" s="87"/>
      <c r="MPX7" s="87"/>
      <c r="MPY7" s="87"/>
      <c r="MPZ7" s="87"/>
      <c r="MQA7" s="87"/>
      <c r="MQB7" s="87"/>
      <c r="MQC7" s="87"/>
      <c r="MQD7" s="87"/>
      <c r="MQE7" s="87"/>
      <c r="MQF7" s="87"/>
      <c r="MQG7" s="87"/>
      <c r="MQH7" s="87"/>
      <c r="MQI7" s="87"/>
      <c r="MQJ7" s="87"/>
      <c r="MQK7" s="87"/>
      <c r="MQL7" s="87"/>
      <c r="MQM7" s="87"/>
      <c r="MQN7" s="87"/>
      <c r="MQO7" s="87"/>
      <c r="MQP7" s="87"/>
      <c r="MQQ7" s="87"/>
      <c r="MQR7" s="87"/>
      <c r="MQS7" s="87"/>
      <c r="MQT7" s="87"/>
      <c r="MQU7" s="87"/>
      <c r="MQV7" s="87"/>
      <c r="MQW7" s="87"/>
      <c r="MQX7" s="87"/>
      <c r="MQY7" s="87"/>
      <c r="MQZ7" s="87"/>
      <c r="MRA7" s="87"/>
      <c r="MRB7" s="87"/>
      <c r="MRC7" s="87"/>
      <c r="MRD7" s="87"/>
      <c r="MRE7" s="87"/>
      <c r="MRF7" s="87"/>
      <c r="MRG7" s="87"/>
      <c r="MRH7" s="87"/>
      <c r="MRI7" s="87"/>
      <c r="MRJ7" s="87"/>
      <c r="MRK7" s="87"/>
      <c r="MRL7" s="87"/>
      <c r="MRM7" s="87"/>
      <c r="MRN7" s="87"/>
      <c r="MRO7" s="87"/>
      <c r="MRP7" s="87"/>
      <c r="MRQ7" s="87"/>
      <c r="MRR7" s="87"/>
      <c r="MRS7" s="87"/>
      <c r="MRT7" s="87"/>
      <c r="MRU7" s="87"/>
      <c r="MRV7" s="87"/>
      <c r="MRW7" s="87"/>
      <c r="MRX7" s="87"/>
      <c r="MRY7" s="87"/>
      <c r="MRZ7" s="87"/>
      <c r="MSA7" s="87"/>
      <c r="MSB7" s="87"/>
      <c r="MSC7" s="87"/>
      <c r="MSD7" s="87"/>
      <c r="MSE7" s="87"/>
      <c r="MSF7" s="87"/>
      <c r="MSG7" s="87"/>
      <c r="MSH7" s="87"/>
      <c r="MSI7" s="87"/>
      <c r="MSJ7" s="87"/>
      <c r="MSK7" s="87"/>
      <c r="MSL7" s="87"/>
      <c r="MSM7" s="87"/>
      <c r="MSN7" s="87"/>
      <c r="MSO7" s="87"/>
      <c r="MSP7" s="87"/>
      <c r="MSQ7" s="87"/>
      <c r="MSR7" s="87"/>
      <c r="MSS7" s="87"/>
      <c r="MST7" s="87"/>
      <c r="MSU7" s="87"/>
      <c r="MSV7" s="87"/>
      <c r="MSW7" s="87"/>
      <c r="MSX7" s="87"/>
      <c r="MSY7" s="87"/>
      <c r="MSZ7" s="87"/>
      <c r="MTA7" s="87"/>
      <c r="MTB7" s="87"/>
      <c r="MTC7" s="87"/>
      <c r="MTD7" s="87"/>
      <c r="MTE7" s="87"/>
      <c r="MTF7" s="87"/>
      <c r="MTG7" s="87"/>
      <c r="MTH7" s="87"/>
      <c r="MTI7" s="87"/>
      <c r="MTJ7" s="87"/>
      <c r="MTK7" s="87"/>
      <c r="MTL7" s="87"/>
      <c r="MTM7" s="87"/>
      <c r="MTN7" s="87"/>
      <c r="MTO7" s="87"/>
      <c r="MTP7" s="87"/>
      <c r="MTQ7" s="87"/>
      <c r="MTR7" s="87"/>
      <c r="MTS7" s="87"/>
      <c r="MTT7" s="87"/>
      <c r="MTU7" s="87"/>
      <c r="MTV7" s="87"/>
      <c r="MTW7" s="87"/>
      <c r="MTX7" s="87"/>
      <c r="MTY7" s="87"/>
      <c r="MTZ7" s="87"/>
      <c r="MUA7" s="87"/>
      <c r="MUB7" s="87"/>
      <c r="MUC7" s="87"/>
      <c r="MUD7" s="87"/>
      <c r="MUE7" s="87"/>
      <c r="MUF7" s="87"/>
      <c r="MUG7" s="87"/>
      <c r="MUH7" s="87"/>
      <c r="MUI7" s="87"/>
      <c r="MUJ7" s="87"/>
      <c r="MUK7" s="87"/>
      <c r="MUL7" s="87"/>
      <c r="MUM7" s="87"/>
      <c r="MUN7" s="87"/>
      <c r="MUO7" s="87"/>
      <c r="MUP7" s="87"/>
      <c r="MUQ7" s="87"/>
      <c r="MUR7" s="87"/>
      <c r="MUS7" s="87"/>
      <c r="MUT7" s="87"/>
      <c r="MUU7" s="87"/>
      <c r="MUV7" s="87"/>
      <c r="MUW7" s="87"/>
      <c r="MUX7" s="87"/>
      <c r="MUY7" s="87"/>
      <c r="MUZ7" s="87"/>
      <c r="MVA7" s="87"/>
      <c r="MVB7" s="87"/>
      <c r="MVC7" s="87"/>
      <c r="MVD7" s="87"/>
      <c r="MVE7" s="87"/>
      <c r="MVF7" s="87"/>
      <c r="MVG7" s="87"/>
      <c r="MVH7" s="87"/>
      <c r="MVI7" s="87"/>
      <c r="MVJ7" s="87"/>
      <c r="MVK7" s="87"/>
      <c r="MVL7" s="87"/>
      <c r="MVM7" s="87"/>
      <c r="MVN7" s="87"/>
      <c r="MVO7" s="87"/>
      <c r="MVP7" s="87"/>
      <c r="MVQ7" s="87"/>
      <c r="MVR7" s="87"/>
      <c r="MVS7" s="87"/>
      <c r="MVT7" s="87"/>
      <c r="MVU7" s="87"/>
      <c r="MVV7" s="87"/>
      <c r="MVW7" s="87"/>
      <c r="MVX7" s="87"/>
      <c r="MVY7" s="87"/>
      <c r="MVZ7" s="87"/>
      <c r="MWA7" s="87"/>
      <c r="MWB7" s="87"/>
      <c r="MWC7" s="87"/>
      <c r="MWD7" s="87"/>
      <c r="MWE7" s="87"/>
      <c r="MWF7" s="87"/>
      <c r="MWG7" s="87"/>
      <c r="MWH7" s="87"/>
      <c r="MWI7" s="87"/>
      <c r="MWJ7" s="87"/>
      <c r="MWK7" s="87"/>
      <c r="MWL7" s="87"/>
      <c r="MWM7" s="87"/>
      <c r="MWN7" s="87"/>
      <c r="MWO7" s="87"/>
      <c r="MWP7" s="87"/>
      <c r="MWQ7" s="87"/>
      <c r="MWR7" s="87"/>
      <c r="MWS7" s="87"/>
      <c r="MWT7" s="87"/>
      <c r="MWU7" s="87"/>
      <c r="MWV7" s="87"/>
      <c r="MWW7" s="87"/>
      <c r="MWX7" s="87"/>
      <c r="MWY7" s="87"/>
      <c r="MWZ7" s="87"/>
      <c r="MXA7" s="87"/>
      <c r="MXB7" s="87"/>
      <c r="MXC7" s="87"/>
      <c r="MXD7" s="87"/>
      <c r="MXE7" s="87"/>
      <c r="MXF7" s="87"/>
      <c r="MXG7" s="87"/>
      <c r="MXH7" s="87"/>
      <c r="MXI7" s="87"/>
      <c r="MXJ7" s="87"/>
      <c r="MXK7" s="87"/>
      <c r="MXL7" s="87"/>
      <c r="MXM7" s="87"/>
      <c r="MXN7" s="87"/>
      <c r="MXO7" s="87"/>
      <c r="MXP7" s="87"/>
      <c r="MXQ7" s="87"/>
      <c r="MXR7" s="87"/>
      <c r="MXS7" s="87"/>
      <c r="MXT7" s="87"/>
      <c r="MXU7" s="87"/>
      <c r="MXV7" s="87"/>
      <c r="MXW7" s="87"/>
      <c r="MXX7" s="87"/>
      <c r="MXY7" s="87"/>
      <c r="MXZ7" s="87"/>
      <c r="MYA7" s="87"/>
      <c r="MYB7" s="87"/>
      <c r="MYC7" s="87"/>
      <c r="MYD7" s="87"/>
      <c r="MYE7" s="87"/>
      <c r="MYF7" s="87"/>
      <c r="MYG7" s="87"/>
      <c r="MYH7" s="87"/>
      <c r="MYI7" s="87"/>
      <c r="MYJ7" s="87"/>
      <c r="MYK7" s="87"/>
      <c r="MYL7" s="87"/>
      <c r="MYM7" s="87"/>
      <c r="MYN7" s="87"/>
      <c r="MYO7" s="87"/>
      <c r="MYP7" s="87"/>
      <c r="MYQ7" s="87"/>
      <c r="MYR7" s="87"/>
      <c r="MYS7" s="87"/>
      <c r="MYT7" s="87"/>
      <c r="MYU7" s="87"/>
      <c r="MYV7" s="87"/>
      <c r="MYW7" s="87"/>
      <c r="MYX7" s="87"/>
      <c r="MYY7" s="87"/>
      <c r="MYZ7" s="87"/>
      <c r="MZA7" s="87"/>
      <c r="MZB7" s="87"/>
      <c r="MZC7" s="87"/>
      <c r="MZD7" s="87"/>
      <c r="MZE7" s="87"/>
      <c r="MZF7" s="87"/>
      <c r="MZG7" s="87"/>
      <c r="MZH7" s="87"/>
      <c r="MZI7" s="87"/>
      <c r="MZJ7" s="87"/>
      <c r="MZK7" s="87"/>
      <c r="MZL7" s="87"/>
      <c r="MZM7" s="87"/>
      <c r="MZN7" s="87"/>
      <c r="MZO7" s="87"/>
      <c r="MZP7" s="87"/>
      <c r="MZQ7" s="87"/>
      <c r="MZR7" s="87"/>
      <c r="MZS7" s="87"/>
      <c r="MZT7" s="87"/>
      <c r="MZU7" s="87"/>
      <c r="MZV7" s="87"/>
      <c r="MZW7" s="87"/>
      <c r="MZX7" s="87"/>
      <c r="MZY7" s="87"/>
      <c r="MZZ7" s="87"/>
      <c r="NAA7" s="87"/>
      <c r="NAB7" s="87"/>
      <c r="NAC7" s="87"/>
      <c r="NAD7" s="87"/>
      <c r="NAE7" s="87"/>
      <c r="NAF7" s="87"/>
      <c r="NAG7" s="87"/>
      <c r="NAH7" s="87"/>
      <c r="NAI7" s="87"/>
      <c r="NAJ7" s="87"/>
      <c r="NAK7" s="87"/>
      <c r="NAL7" s="87"/>
      <c r="NAM7" s="87"/>
      <c r="NAN7" s="87"/>
      <c r="NAO7" s="87"/>
      <c r="NAP7" s="87"/>
      <c r="NAQ7" s="87"/>
      <c r="NAR7" s="87"/>
      <c r="NAS7" s="87"/>
      <c r="NAT7" s="87"/>
      <c r="NAU7" s="87"/>
      <c r="NAV7" s="87"/>
      <c r="NAW7" s="87"/>
      <c r="NAX7" s="87"/>
      <c r="NAY7" s="87"/>
      <c r="NAZ7" s="87"/>
      <c r="NBA7" s="87"/>
      <c r="NBB7" s="87"/>
      <c r="NBC7" s="87"/>
      <c r="NBD7" s="87"/>
      <c r="NBE7" s="87"/>
      <c r="NBF7" s="87"/>
      <c r="NBG7" s="87"/>
      <c r="NBH7" s="87"/>
      <c r="NBI7" s="87"/>
      <c r="NBJ7" s="87"/>
      <c r="NBK7" s="87"/>
      <c r="NBL7" s="87"/>
      <c r="NBM7" s="87"/>
      <c r="NBN7" s="87"/>
      <c r="NBO7" s="87"/>
      <c r="NBP7" s="87"/>
      <c r="NBQ7" s="87"/>
      <c r="NBR7" s="87"/>
      <c r="NBS7" s="87"/>
      <c r="NBT7" s="87"/>
      <c r="NBU7" s="87"/>
      <c r="NBV7" s="87"/>
      <c r="NBW7" s="87"/>
      <c r="NBX7" s="87"/>
      <c r="NBY7" s="87"/>
      <c r="NBZ7" s="87"/>
      <c r="NCA7" s="87"/>
      <c r="NCB7" s="87"/>
      <c r="NCC7" s="87"/>
      <c r="NCD7" s="87"/>
      <c r="NCE7" s="87"/>
      <c r="NCF7" s="87"/>
      <c r="NCG7" s="87"/>
      <c r="NCH7" s="87"/>
      <c r="NCI7" s="87"/>
      <c r="NCJ7" s="87"/>
      <c r="NCK7" s="87"/>
      <c r="NCL7" s="87"/>
      <c r="NCM7" s="87"/>
      <c r="NCN7" s="87"/>
      <c r="NCO7" s="87"/>
      <c r="NCP7" s="87"/>
      <c r="NCQ7" s="87"/>
      <c r="NCR7" s="87"/>
      <c r="NCS7" s="87"/>
      <c r="NCT7" s="87"/>
      <c r="NCU7" s="87"/>
      <c r="NCV7" s="87"/>
      <c r="NCW7" s="87"/>
      <c r="NCX7" s="87"/>
      <c r="NCY7" s="87"/>
      <c r="NCZ7" s="87"/>
      <c r="NDA7" s="87"/>
      <c r="NDB7" s="87"/>
      <c r="NDC7" s="87"/>
      <c r="NDD7" s="87"/>
      <c r="NDE7" s="87"/>
      <c r="NDF7" s="87"/>
      <c r="NDG7" s="87"/>
      <c r="NDH7" s="87"/>
      <c r="NDI7" s="87"/>
      <c r="NDJ7" s="87"/>
      <c r="NDK7" s="87"/>
      <c r="NDL7" s="87"/>
      <c r="NDM7" s="87"/>
      <c r="NDN7" s="87"/>
      <c r="NDO7" s="87"/>
      <c r="NDP7" s="87"/>
      <c r="NDQ7" s="87"/>
      <c r="NDR7" s="87"/>
      <c r="NDS7" s="87"/>
      <c r="NDT7" s="87"/>
      <c r="NDU7" s="87"/>
      <c r="NDV7" s="87"/>
      <c r="NDW7" s="87"/>
      <c r="NDX7" s="87"/>
      <c r="NDY7" s="87"/>
      <c r="NDZ7" s="87"/>
      <c r="NEA7" s="87"/>
      <c r="NEB7" s="87"/>
      <c r="NEC7" s="87"/>
      <c r="NED7" s="87"/>
      <c r="NEE7" s="87"/>
      <c r="NEF7" s="87"/>
      <c r="NEG7" s="87"/>
      <c r="NEH7" s="87"/>
      <c r="NEI7" s="87"/>
      <c r="NEJ7" s="87"/>
      <c r="NEK7" s="87"/>
      <c r="NEL7" s="87"/>
      <c r="NEM7" s="87"/>
      <c r="NEN7" s="87"/>
      <c r="NEO7" s="87"/>
      <c r="NEP7" s="87"/>
      <c r="NEQ7" s="87"/>
      <c r="NER7" s="87"/>
      <c r="NES7" s="87"/>
      <c r="NET7" s="87"/>
      <c r="NEU7" s="87"/>
      <c r="NEV7" s="87"/>
      <c r="NEW7" s="87"/>
      <c r="NEX7" s="87"/>
      <c r="NEY7" s="87"/>
      <c r="NEZ7" s="87"/>
      <c r="NFA7" s="87"/>
      <c r="NFB7" s="87"/>
      <c r="NFC7" s="87"/>
      <c r="NFD7" s="87"/>
      <c r="NFE7" s="87"/>
      <c r="NFF7" s="87"/>
      <c r="NFG7" s="87"/>
      <c r="NFH7" s="87"/>
      <c r="NFI7" s="87"/>
      <c r="NFJ7" s="87"/>
      <c r="NFK7" s="87"/>
      <c r="NFL7" s="87"/>
      <c r="NFM7" s="87"/>
      <c r="NFN7" s="87"/>
      <c r="NFO7" s="87"/>
      <c r="NFP7" s="87"/>
      <c r="NFQ7" s="87"/>
      <c r="NFR7" s="87"/>
      <c r="NFS7" s="87"/>
      <c r="NFT7" s="87"/>
      <c r="NFU7" s="87"/>
      <c r="NFV7" s="87"/>
      <c r="NFW7" s="87"/>
      <c r="NFX7" s="87"/>
      <c r="NFY7" s="87"/>
      <c r="NFZ7" s="87"/>
      <c r="NGA7" s="87"/>
      <c r="NGB7" s="87"/>
      <c r="NGC7" s="87"/>
      <c r="NGD7" s="87"/>
      <c r="NGE7" s="87"/>
      <c r="NGF7" s="87"/>
      <c r="NGG7" s="87"/>
      <c r="NGH7" s="87"/>
      <c r="NGI7" s="87"/>
      <c r="NGJ7" s="87"/>
      <c r="NGK7" s="87"/>
      <c r="NGL7" s="87"/>
      <c r="NGM7" s="87"/>
      <c r="NGN7" s="87"/>
      <c r="NGO7" s="87"/>
      <c r="NGP7" s="87"/>
      <c r="NGQ7" s="87"/>
      <c r="NGR7" s="87"/>
      <c r="NGS7" s="87"/>
      <c r="NGT7" s="87"/>
      <c r="NGU7" s="87"/>
      <c r="NGV7" s="87"/>
      <c r="NGW7" s="87"/>
      <c r="NGX7" s="87"/>
      <c r="NGY7" s="87"/>
      <c r="NGZ7" s="87"/>
      <c r="NHA7" s="87"/>
      <c r="NHB7" s="87"/>
      <c r="NHC7" s="87"/>
      <c r="NHD7" s="87"/>
      <c r="NHE7" s="87"/>
      <c r="NHF7" s="87"/>
      <c r="NHG7" s="87"/>
      <c r="NHH7" s="87"/>
      <c r="NHI7" s="87"/>
      <c r="NHJ7" s="87"/>
      <c r="NHK7" s="87"/>
      <c r="NHL7" s="87"/>
      <c r="NHM7" s="87"/>
      <c r="NHN7" s="87"/>
      <c r="NHO7" s="87"/>
      <c r="NHP7" s="87"/>
      <c r="NHQ7" s="87"/>
      <c r="NHR7" s="87"/>
      <c r="NHS7" s="87"/>
      <c r="NHT7" s="87"/>
      <c r="NHU7" s="87"/>
      <c r="NHV7" s="87"/>
      <c r="NHW7" s="87"/>
      <c r="NHX7" s="87"/>
      <c r="NHY7" s="87"/>
      <c r="NHZ7" s="87"/>
      <c r="NIA7" s="87"/>
      <c r="NIB7" s="87"/>
      <c r="NIC7" s="87"/>
      <c r="NID7" s="87"/>
      <c r="NIE7" s="87"/>
      <c r="NIF7" s="87"/>
      <c r="NIG7" s="87"/>
      <c r="NIH7" s="87"/>
      <c r="NII7" s="87"/>
      <c r="NIJ7" s="87"/>
      <c r="NIK7" s="87"/>
      <c r="NIL7" s="87"/>
      <c r="NIM7" s="87"/>
      <c r="NIN7" s="87"/>
      <c r="NIO7" s="87"/>
      <c r="NIP7" s="87"/>
      <c r="NIQ7" s="87"/>
      <c r="NIR7" s="87"/>
      <c r="NIS7" s="87"/>
      <c r="NIT7" s="87"/>
      <c r="NIU7" s="87"/>
      <c r="NIV7" s="87"/>
      <c r="NIW7" s="87"/>
      <c r="NIX7" s="87"/>
      <c r="NIY7" s="87"/>
      <c r="NIZ7" s="87"/>
      <c r="NJA7" s="87"/>
      <c r="NJB7" s="87"/>
      <c r="NJC7" s="87"/>
      <c r="NJD7" s="87"/>
      <c r="NJE7" s="87"/>
      <c r="NJF7" s="87"/>
      <c r="NJG7" s="87"/>
      <c r="NJH7" s="87"/>
      <c r="NJI7" s="87"/>
      <c r="NJJ7" s="87"/>
      <c r="NJK7" s="87"/>
      <c r="NJL7" s="87"/>
      <c r="NJM7" s="87"/>
      <c r="NJN7" s="87"/>
      <c r="NJO7" s="87"/>
      <c r="NJP7" s="87"/>
      <c r="NJQ7" s="87"/>
      <c r="NJR7" s="87"/>
      <c r="NJS7" s="87"/>
      <c r="NJT7" s="87"/>
      <c r="NJU7" s="87"/>
      <c r="NJV7" s="87"/>
      <c r="NJW7" s="87"/>
      <c r="NJX7" s="87"/>
      <c r="NJY7" s="87"/>
      <c r="NJZ7" s="87"/>
      <c r="NKA7" s="87"/>
      <c r="NKB7" s="87"/>
      <c r="NKC7" s="87"/>
      <c r="NKD7" s="87"/>
      <c r="NKE7" s="87"/>
      <c r="NKF7" s="87"/>
      <c r="NKG7" s="87"/>
      <c r="NKH7" s="87"/>
      <c r="NKI7" s="87"/>
      <c r="NKJ7" s="87"/>
      <c r="NKK7" s="87"/>
      <c r="NKL7" s="87"/>
      <c r="NKM7" s="87"/>
      <c r="NKN7" s="87"/>
      <c r="NKO7" s="87"/>
      <c r="NKP7" s="87"/>
      <c r="NKQ7" s="87"/>
      <c r="NKR7" s="87"/>
      <c r="NKS7" s="87"/>
      <c r="NKT7" s="87"/>
      <c r="NKU7" s="87"/>
      <c r="NKV7" s="87"/>
      <c r="NKW7" s="87"/>
      <c r="NKX7" s="87"/>
      <c r="NKY7" s="87"/>
      <c r="NKZ7" s="87"/>
      <c r="NLA7" s="87"/>
      <c r="NLB7" s="87"/>
      <c r="NLC7" s="87"/>
      <c r="NLD7" s="87"/>
      <c r="NLE7" s="87"/>
      <c r="NLF7" s="87"/>
      <c r="NLG7" s="87"/>
      <c r="NLH7" s="87"/>
      <c r="NLI7" s="87"/>
      <c r="NLJ7" s="87"/>
      <c r="NLK7" s="87"/>
      <c r="NLL7" s="87"/>
      <c r="NLM7" s="87"/>
      <c r="NLN7" s="87"/>
      <c r="NLO7" s="87"/>
      <c r="NLP7" s="87"/>
      <c r="NLQ7" s="87"/>
      <c r="NLR7" s="87"/>
      <c r="NLS7" s="87"/>
      <c r="NLT7" s="87"/>
      <c r="NLU7" s="87"/>
      <c r="NLV7" s="87"/>
      <c r="NLW7" s="87"/>
      <c r="NLX7" s="87"/>
      <c r="NLY7" s="87"/>
      <c r="NLZ7" s="87"/>
      <c r="NMA7" s="87"/>
      <c r="NMB7" s="87"/>
      <c r="NMC7" s="87"/>
      <c r="NMD7" s="87"/>
      <c r="NME7" s="87"/>
      <c r="NMF7" s="87"/>
      <c r="NMG7" s="87"/>
      <c r="NMH7" s="87"/>
      <c r="NMI7" s="87"/>
      <c r="NMJ7" s="87"/>
      <c r="NMK7" s="87"/>
      <c r="NML7" s="87"/>
      <c r="NMM7" s="87"/>
      <c r="NMN7" s="87"/>
      <c r="NMO7" s="87"/>
      <c r="NMP7" s="87"/>
      <c r="NMQ7" s="87"/>
      <c r="NMR7" s="87"/>
      <c r="NMS7" s="87"/>
      <c r="NMT7" s="87"/>
      <c r="NMU7" s="87"/>
      <c r="NMV7" s="87"/>
      <c r="NMW7" s="87"/>
      <c r="NMX7" s="87"/>
      <c r="NMY7" s="87"/>
      <c r="NMZ7" s="87"/>
      <c r="NNA7" s="87"/>
      <c r="NNB7" s="87"/>
      <c r="NNC7" s="87"/>
      <c r="NND7" s="87"/>
      <c r="NNE7" s="87"/>
      <c r="NNF7" s="87"/>
      <c r="NNG7" s="87"/>
      <c r="NNH7" s="87"/>
      <c r="NNI7" s="87"/>
      <c r="NNJ7" s="87"/>
      <c r="NNK7" s="87"/>
      <c r="NNL7" s="87"/>
      <c r="NNM7" s="87"/>
      <c r="NNN7" s="87"/>
      <c r="NNO7" s="87"/>
      <c r="NNP7" s="87"/>
      <c r="NNQ7" s="87"/>
      <c r="NNR7" s="87"/>
      <c r="NNS7" s="87"/>
      <c r="NNT7" s="87"/>
      <c r="NNU7" s="87"/>
      <c r="NNV7" s="87"/>
      <c r="NNW7" s="87"/>
      <c r="NNX7" s="87"/>
      <c r="NNY7" s="87"/>
      <c r="NNZ7" s="87"/>
      <c r="NOA7" s="87"/>
      <c r="NOB7" s="87"/>
      <c r="NOC7" s="87"/>
      <c r="NOD7" s="87"/>
      <c r="NOE7" s="87"/>
      <c r="NOF7" s="87"/>
      <c r="NOG7" s="87"/>
      <c r="NOH7" s="87"/>
      <c r="NOI7" s="87"/>
      <c r="NOJ7" s="87"/>
      <c r="NOK7" s="87"/>
      <c r="NOL7" s="87"/>
      <c r="NOM7" s="87"/>
      <c r="NON7" s="87"/>
      <c r="NOO7" s="87"/>
      <c r="NOP7" s="87"/>
      <c r="NOQ7" s="87"/>
      <c r="NOR7" s="87"/>
      <c r="NOS7" s="87"/>
      <c r="NOT7" s="87"/>
      <c r="NOU7" s="87"/>
      <c r="NOV7" s="87"/>
      <c r="NOW7" s="87"/>
      <c r="NOX7" s="87"/>
      <c r="NOY7" s="87"/>
      <c r="NOZ7" s="87"/>
      <c r="NPA7" s="87"/>
      <c r="NPB7" s="87"/>
      <c r="NPC7" s="87"/>
      <c r="NPD7" s="87"/>
      <c r="NPE7" s="87"/>
      <c r="NPF7" s="87"/>
      <c r="NPG7" s="87"/>
      <c r="NPH7" s="87"/>
      <c r="NPI7" s="87"/>
      <c r="NPJ7" s="87"/>
      <c r="NPK7" s="87"/>
      <c r="NPL7" s="87"/>
      <c r="NPM7" s="87"/>
      <c r="NPN7" s="87"/>
      <c r="NPO7" s="87"/>
      <c r="NPP7" s="87"/>
      <c r="NPQ7" s="87"/>
      <c r="NPR7" s="87"/>
      <c r="NPS7" s="87"/>
      <c r="NPT7" s="87"/>
      <c r="NPU7" s="87"/>
      <c r="NPV7" s="87"/>
      <c r="NPW7" s="87"/>
      <c r="NPX7" s="87"/>
      <c r="NPY7" s="87"/>
      <c r="NPZ7" s="87"/>
      <c r="NQA7" s="87"/>
      <c r="NQB7" s="87"/>
      <c r="NQC7" s="87"/>
      <c r="NQD7" s="87"/>
      <c r="NQE7" s="87"/>
      <c r="NQF7" s="87"/>
      <c r="NQG7" s="87"/>
      <c r="NQH7" s="87"/>
      <c r="NQI7" s="87"/>
      <c r="NQJ7" s="87"/>
      <c r="NQK7" s="87"/>
      <c r="NQL7" s="87"/>
      <c r="NQM7" s="87"/>
      <c r="NQN7" s="87"/>
      <c r="NQO7" s="87"/>
      <c r="NQP7" s="87"/>
      <c r="NQQ7" s="87"/>
      <c r="NQR7" s="87"/>
      <c r="NQS7" s="87"/>
      <c r="NQT7" s="87"/>
      <c r="NQU7" s="87"/>
      <c r="NQV7" s="87"/>
      <c r="NQW7" s="87"/>
      <c r="NQX7" s="87"/>
      <c r="NQY7" s="87"/>
      <c r="NQZ7" s="87"/>
      <c r="NRA7" s="87"/>
      <c r="NRB7" s="87"/>
      <c r="NRC7" s="87"/>
      <c r="NRD7" s="87"/>
      <c r="NRE7" s="87"/>
      <c r="NRF7" s="87"/>
      <c r="NRG7" s="87"/>
      <c r="NRH7" s="87"/>
      <c r="NRI7" s="87"/>
      <c r="NRJ7" s="87"/>
      <c r="NRK7" s="87"/>
      <c r="NRL7" s="87"/>
      <c r="NRM7" s="87"/>
      <c r="NRN7" s="87"/>
      <c r="NRO7" s="87"/>
      <c r="NRP7" s="87"/>
      <c r="NRQ7" s="87"/>
      <c r="NRR7" s="87"/>
      <c r="NRS7" s="87"/>
      <c r="NRT7" s="87"/>
      <c r="NRU7" s="87"/>
      <c r="NRV7" s="87"/>
      <c r="NRW7" s="87"/>
      <c r="NRX7" s="87"/>
      <c r="NRY7" s="87"/>
      <c r="NRZ7" s="87"/>
      <c r="NSA7" s="87"/>
      <c r="NSB7" s="87"/>
      <c r="NSC7" s="87"/>
      <c r="NSD7" s="87"/>
      <c r="NSE7" s="87"/>
      <c r="NSF7" s="87"/>
      <c r="NSG7" s="87"/>
      <c r="NSH7" s="87"/>
      <c r="NSI7" s="87"/>
      <c r="NSJ7" s="87"/>
      <c r="NSK7" s="87"/>
      <c r="NSL7" s="87"/>
      <c r="NSM7" s="87"/>
      <c r="NSN7" s="87"/>
      <c r="NSO7" s="87"/>
      <c r="NSP7" s="87"/>
      <c r="NSQ7" s="87"/>
      <c r="NSR7" s="87"/>
      <c r="NSS7" s="87"/>
      <c r="NST7" s="87"/>
      <c r="NSU7" s="87"/>
      <c r="NSV7" s="87"/>
      <c r="NSW7" s="87"/>
      <c r="NSX7" s="87"/>
      <c r="NSY7" s="87"/>
      <c r="NSZ7" s="87"/>
      <c r="NTA7" s="87"/>
      <c r="NTB7" s="87"/>
      <c r="NTC7" s="87"/>
      <c r="NTD7" s="87"/>
      <c r="NTE7" s="87"/>
      <c r="NTF7" s="87"/>
      <c r="NTG7" s="87"/>
      <c r="NTH7" s="87"/>
      <c r="NTI7" s="87"/>
      <c r="NTJ7" s="87"/>
      <c r="NTK7" s="87"/>
      <c r="NTL7" s="87"/>
      <c r="NTM7" s="87"/>
      <c r="NTN7" s="87"/>
      <c r="NTO7" s="87"/>
      <c r="NTP7" s="87"/>
      <c r="NTQ7" s="87"/>
      <c r="NTR7" s="87"/>
      <c r="NTS7" s="87"/>
      <c r="NTT7" s="87"/>
      <c r="NTU7" s="87"/>
      <c r="NTV7" s="87"/>
      <c r="NTW7" s="87"/>
      <c r="NTX7" s="87"/>
      <c r="NTY7" s="87"/>
      <c r="NTZ7" s="87"/>
      <c r="NUA7" s="87"/>
      <c r="NUB7" s="87"/>
      <c r="NUC7" s="87"/>
      <c r="NUD7" s="87"/>
      <c r="NUE7" s="87"/>
      <c r="NUF7" s="87"/>
      <c r="NUG7" s="87"/>
      <c r="NUH7" s="87"/>
      <c r="NUI7" s="87"/>
      <c r="NUJ7" s="87"/>
      <c r="NUK7" s="87"/>
      <c r="NUL7" s="87"/>
      <c r="NUM7" s="87"/>
      <c r="NUN7" s="87"/>
      <c r="NUO7" s="87"/>
      <c r="NUP7" s="87"/>
      <c r="NUQ7" s="87"/>
      <c r="NUR7" s="87"/>
      <c r="NUS7" s="87"/>
      <c r="NUT7" s="87"/>
      <c r="NUU7" s="87"/>
      <c r="NUV7" s="87"/>
      <c r="NUW7" s="87"/>
      <c r="NUX7" s="87"/>
      <c r="NUY7" s="87"/>
      <c r="NUZ7" s="87"/>
      <c r="NVA7" s="87"/>
      <c r="NVB7" s="87"/>
      <c r="NVC7" s="87"/>
      <c r="NVD7" s="87"/>
      <c r="NVE7" s="87"/>
      <c r="NVF7" s="87"/>
      <c r="NVG7" s="87"/>
      <c r="NVH7" s="87"/>
      <c r="NVI7" s="87"/>
      <c r="NVJ7" s="87"/>
      <c r="NVK7" s="87"/>
      <c r="NVL7" s="87"/>
      <c r="NVM7" s="87"/>
      <c r="NVN7" s="87"/>
      <c r="NVO7" s="87"/>
      <c r="NVP7" s="87"/>
      <c r="NVQ7" s="87"/>
      <c r="NVR7" s="87"/>
      <c r="NVS7" s="87"/>
      <c r="NVT7" s="87"/>
      <c r="NVU7" s="87"/>
      <c r="NVV7" s="87"/>
      <c r="NVW7" s="87"/>
      <c r="NVX7" s="87"/>
      <c r="NVY7" s="87"/>
      <c r="NVZ7" s="87"/>
      <c r="NWA7" s="87"/>
      <c r="NWB7" s="87"/>
      <c r="NWC7" s="87"/>
      <c r="NWD7" s="87"/>
      <c r="NWE7" s="87"/>
      <c r="NWF7" s="87"/>
      <c r="NWG7" s="87"/>
      <c r="NWH7" s="87"/>
      <c r="NWI7" s="87"/>
      <c r="NWJ7" s="87"/>
      <c r="NWK7" s="87"/>
      <c r="NWL7" s="87"/>
      <c r="NWM7" s="87"/>
      <c r="NWN7" s="87"/>
      <c r="NWO7" s="87"/>
      <c r="NWP7" s="87"/>
      <c r="NWQ7" s="87"/>
      <c r="NWR7" s="87"/>
      <c r="NWS7" s="87"/>
      <c r="NWT7" s="87"/>
      <c r="NWU7" s="87"/>
      <c r="NWV7" s="87"/>
      <c r="NWW7" s="87"/>
      <c r="NWX7" s="87"/>
      <c r="NWY7" s="87"/>
      <c r="NWZ7" s="87"/>
      <c r="NXA7" s="87"/>
      <c r="NXB7" s="87"/>
      <c r="NXC7" s="87"/>
      <c r="NXD7" s="87"/>
      <c r="NXE7" s="87"/>
      <c r="NXF7" s="87"/>
      <c r="NXG7" s="87"/>
      <c r="NXH7" s="87"/>
      <c r="NXI7" s="87"/>
      <c r="NXJ7" s="87"/>
      <c r="NXK7" s="87"/>
      <c r="NXL7" s="87"/>
      <c r="NXM7" s="87"/>
      <c r="NXN7" s="87"/>
      <c r="NXO7" s="87"/>
      <c r="NXP7" s="87"/>
      <c r="NXQ7" s="87"/>
      <c r="NXR7" s="87"/>
      <c r="NXS7" s="87"/>
      <c r="NXT7" s="87"/>
      <c r="NXU7" s="87"/>
      <c r="NXV7" s="87"/>
      <c r="NXW7" s="87"/>
      <c r="NXX7" s="87"/>
      <c r="NXY7" s="87"/>
      <c r="NXZ7" s="87"/>
      <c r="NYA7" s="87"/>
      <c r="NYB7" s="87"/>
      <c r="NYC7" s="87"/>
      <c r="NYD7" s="87"/>
      <c r="NYE7" s="87"/>
      <c r="NYF7" s="87"/>
      <c r="NYG7" s="87"/>
      <c r="NYH7" s="87"/>
      <c r="NYI7" s="87"/>
      <c r="NYJ7" s="87"/>
      <c r="NYK7" s="87"/>
      <c r="NYL7" s="87"/>
      <c r="NYM7" s="87"/>
      <c r="NYN7" s="87"/>
      <c r="NYO7" s="87"/>
      <c r="NYP7" s="87"/>
      <c r="NYQ7" s="87"/>
      <c r="NYR7" s="87"/>
      <c r="NYS7" s="87"/>
      <c r="NYT7" s="87"/>
      <c r="NYU7" s="87"/>
      <c r="NYV7" s="87"/>
      <c r="NYW7" s="87"/>
      <c r="NYX7" s="87"/>
      <c r="NYY7" s="87"/>
      <c r="NYZ7" s="87"/>
      <c r="NZA7" s="87"/>
      <c r="NZB7" s="87"/>
      <c r="NZC7" s="87"/>
      <c r="NZD7" s="87"/>
      <c r="NZE7" s="87"/>
      <c r="NZF7" s="87"/>
      <c r="NZG7" s="87"/>
      <c r="NZH7" s="87"/>
      <c r="NZI7" s="87"/>
      <c r="NZJ7" s="87"/>
      <c r="NZK7" s="87"/>
      <c r="NZL7" s="87"/>
      <c r="NZM7" s="87"/>
      <c r="NZN7" s="87"/>
      <c r="NZO7" s="87"/>
      <c r="NZP7" s="87"/>
      <c r="NZQ7" s="87"/>
      <c r="NZR7" s="87"/>
      <c r="NZS7" s="87"/>
      <c r="NZT7" s="87"/>
      <c r="NZU7" s="87"/>
      <c r="NZV7" s="87"/>
      <c r="NZW7" s="87"/>
      <c r="NZX7" s="87"/>
      <c r="NZY7" s="87"/>
      <c r="NZZ7" s="87"/>
      <c r="OAA7" s="87"/>
      <c r="OAB7" s="87"/>
      <c r="OAC7" s="87"/>
      <c r="OAD7" s="87"/>
      <c r="OAE7" s="87"/>
      <c r="OAF7" s="87"/>
      <c r="OAG7" s="87"/>
      <c r="OAH7" s="87"/>
      <c r="OAI7" s="87"/>
      <c r="OAJ7" s="87"/>
      <c r="OAK7" s="87"/>
      <c r="OAL7" s="87"/>
      <c r="OAM7" s="87"/>
      <c r="OAN7" s="87"/>
      <c r="OAO7" s="87"/>
      <c r="OAP7" s="87"/>
      <c r="OAQ7" s="87"/>
      <c r="OAR7" s="87"/>
      <c r="OAS7" s="87"/>
      <c r="OAT7" s="87"/>
      <c r="OAU7" s="87"/>
      <c r="OAV7" s="87"/>
      <c r="OAW7" s="87"/>
      <c r="OAX7" s="87"/>
      <c r="OAY7" s="87"/>
      <c r="OAZ7" s="87"/>
      <c r="OBA7" s="87"/>
      <c r="OBB7" s="87"/>
      <c r="OBC7" s="87"/>
      <c r="OBD7" s="87"/>
      <c r="OBE7" s="87"/>
      <c r="OBF7" s="87"/>
      <c r="OBG7" s="87"/>
      <c r="OBH7" s="87"/>
      <c r="OBI7" s="87"/>
      <c r="OBJ7" s="87"/>
      <c r="OBK7" s="87"/>
      <c r="OBL7" s="87"/>
      <c r="OBM7" s="87"/>
      <c r="OBN7" s="87"/>
      <c r="OBO7" s="87"/>
      <c r="OBP7" s="87"/>
      <c r="OBQ7" s="87"/>
      <c r="OBR7" s="87"/>
      <c r="OBS7" s="87"/>
      <c r="OBT7" s="87"/>
      <c r="OBU7" s="87"/>
      <c r="OBV7" s="87"/>
      <c r="OBW7" s="87"/>
      <c r="OBX7" s="87"/>
      <c r="OBY7" s="87"/>
      <c r="OBZ7" s="87"/>
      <c r="OCA7" s="87"/>
      <c r="OCB7" s="87"/>
      <c r="OCC7" s="87"/>
      <c r="OCD7" s="87"/>
      <c r="OCE7" s="87"/>
      <c r="OCF7" s="87"/>
      <c r="OCG7" s="87"/>
      <c r="OCH7" s="87"/>
      <c r="OCI7" s="87"/>
      <c r="OCJ7" s="87"/>
      <c r="OCK7" s="87"/>
      <c r="OCL7" s="87"/>
      <c r="OCM7" s="87"/>
      <c r="OCN7" s="87"/>
      <c r="OCO7" s="87"/>
      <c r="OCP7" s="87"/>
      <c r="OCQ7" s="87"/>
      <c r="OCR7" s="87"/>
      <c r="OCS7" s="87"/>
      <c r="OCT7" s="87"/>
      <c r="OCU7" s="87"/>
      <c r="OCV7" s="87"/>
      <c r="OCW7" s="87"/>
      <c r="OCX7" s="87"/>
      <c r="OCY7" s="87"/>
      <c r="OCZ7" s="87"/>
      <c r="ODA7" s="87"/>
      <c r="ODB7" s="87"/>
      <c r="ODC7" s="87"/>
      <c r="ODD7" s="87"/>
      <c r="ODE7" s="87"/>
      <c r="ODF7" s="87"/>
      <c r="ODG7" s="87"/>
      <c r="ODH7" s="87"/>
      <c r="ODI7" s="87"/>
      <c r="ODJ7" s="87"/>
      <c r="ODK7" s="87"/>
      <c r="ODL7" s="87"/>
      <c r="ODM7" s="87"/>
      <c r="ODN7" s="87"/>
      <c r="ODO7" s="87"/>
      <c r="ODP7" s="87"/>
      <c r="ODQ7" s="87"/>
      <c r="ODR7" s="87"/>
      <c r="ODS7" s="87"/>
      <c r="ODT7" s="87"/>
      <c r="ODU7" s="87"/>
      <c r="ODV7" s="87"/>
      <c r="ODW7" s="87"/>
      <c r="ODX7" s="87"/>
      <c r="ODY7" s="87"/>
      <c r="ODZ7" s="87"/>
      <c r="OEA7" s="87"/>
      <c r="OEB7" s="87"/>
      <c r="OEC7" s="87"/>
      <c r="OED7" s="87"/>
      <c r="OEE7" s="87"/>
      <c r="OEF7" s="87"/>
      <c r="OEG7" s="87"/>
      <c r="OEH7" s="87"/>
      <c r="OEI7" s="87"/>
      <c r="OEJ7" s="87"/>
      <c r="OEK7" s="87"/>
      <c r="OEL7" s="87"/>
      <c r="OEM7" s="87"/>
      <c r="OEN7" s="87"/>
      <c r="OEO7" s="87"/>
      <c r="OEP7" s="87"/>
      <c r="OEQ7" s="87"/>
      <c r="OER7" s="87"/>
      <c r="OES7" s="87"/>
      <c r="OET7" s="87"/>
      <c r="OEU7" s="87"/>
      <c r="OEV7" s="87"/>
      <c r="OEW7" s="87"/>
      <c r="OEX7" s="87"/>
      <c r="OEY7" s="87"/>
      <c r="OEZ7" s="87"/>
      <c r="OFA7" s="87"/>
      <c r="OFB7" s="87"/>
      <c r="OFC7" s="87"/>
      <c r="OFD7" s="87"/>
      <c r="OFE7" s="87"/>
      <c r="OFF7" s="87"/>
      <c r="OFG7" s="87"/>
      <c r="OFH7" s="87"/>
      <c r="OFI7" s="87"/>
      <c r="OFJ7" s="87"/>
      <c r="OFK7" s="87"/>
      <c r="OFL7" s="87"/>
      <c r="OFM7" s="87"/>
      <c r="OFN7" s="87"/>
      <c r="OFO7" s="87"/>
      <c r="OFP7" s="87"/>
      <c r="OFQ7" s="87"/>
      <c r="OFR7" s="87"/>
      <c r="OFS7" s="87"/>
      <c r="OFT7" s="87"/>
      <c r="OFU7" s="87"/>
      <c r="OFV7" s="87"/>
      <c r="OFW7" s="87"/>
      <c r="OFX7" s="87"/>
      <c r="OFY7" s="87"/>
      <c r="OFZ7" s="87"/>
      <c r="OGA7" s="87"/>
      <c r="OGB7" s="87"/>
      <c r="OGC7" s="87"/>
      <c r="OGD7" s="87"/>
      <c r="OGE7" s="87"/>
      <c r="OGF7" s="87"/>
      <c r="OGG7" s="87"/>
      <c r="OGH7" s="87"/>
      <c r="OGI7" s="87"/>
      <c r="OGJ7" s="87"/>
      <c r="OGK7" s="87"/>
      <c r="OGL7" s="87"/>
      <c r="OGM7" s="87"/>
      <c r="OGN7" s="87"/>
      <c r="OGO7" s="87"/>
      <c r="OGP7" s="87"/>
      <c r="OGQ7" s="87"/>
      <c r="OGR7" s="87"/>
      <c r="OGS7" s="87"/>
      <c r="OGT7" s="87"/>
      <c r="OGU7" s="87"/>
      <c r="OGV7" s="87"/>
      <c r="OGW7" s="87"/>
      <c r="OGX7" s="87"/>
      <c r="OGY7" s="87"/>
      <c r="OGZ7" s="87"/>
      <c r="OHA7" s="87"/>
      <c r="OHB7" s="87"/>
      <c r="OHC7" s="87"/>
      <c r="OHD7" s="87"/>
      <c r="OHE7" s="87"/>
      <c r="OHF7" s="87"/>
      <c r="OHG7" s="87"/>
      <c r="OHH7" s="87"/>
      <c r="OHI7" s="87"/>
      <c r="OHJ7" s="87"/>
      <c r="OHK7" s="87"/>
      <c r="OHL7" s="87"/>
      <c r="OHM7" s="87"/>
      <c r="OHN7" s="87"/>
      <c r="OHO7" s="87"/>
      <c r="OHP7" s="87"/>
      <c r="OHQ7" s="87"/>
      <c r="OHR7" s="87"/>
      <c r="OHS7" s="87"/>
      <c r="OHT7" s="87"/>
      <c r="OHU7" s="87"/>
      <c r="OHV7" s="87"/>
      <c r="OHW7" s="87"/>
      <c r="OHX7" s="87"/>
      <c r="OHY7" s="87"/>
      <c r="OHZ7" s="87"/>
      <c r="OIA7" s="87"/>
      <c r="OIB7" s="87"/>
      <c r="OIC7" s="87"/>
      <c r="OID7" s="87"/>
      <c r="OIE7" s="87"/>
      <c r="OIF7" s="87"/>
      <c r="OIG7" s="87"/>
      <c r="OIH7" s="87"/>
      <c r="OII7" s="87"/>
      <c r="OIJ7" s="87"/>
      <c r="OIK7" s="87"/>
      <c r="OIL7" s="87"/>
      <c r="OIM7" s="87"/>
      <c r="OIN7" s="87"/>
      <c r="OIO7" s="87"/>
      <c r="OIP7" s="87"/>
      <c r="OIQ7" s="87"/>
      <c r="OIR7" s="87"/>
      <c r="OIS7" s="87"/>
      <c r="OIT7" s="87"/>
      <c r="OIU7" s="87"/>
      <c r="OIV7" s="87"/>
      <c r="OIW7" s="87"/>
      <c r="OIX7" s="87"/>
      <c r="OIY7" s="87"/>
      <c r="OIZ7" s="87"/>
      <c r="OJA7" s="87"/>
      <c r="OJB7" s="87"/>
      <c r="OJC7" s="87"/>
      <c r="OJD7" s="87"/>
      <c r="OJE7" s="87"/>
      <c r="OJF7" s="87"/>
      <c r="OJG7" s="87"/>
      <c r="OJH7" s="87"/>
      <c r="OJI7" s="87"/>
      <c r="OJJ7" s="87"/>
      <c r="OJK7" s="87"/>
      <c r="OJL7" s="87"/>
      <c r="OJM7" s="87"/>
      <c r="OJN7" s="87"/>
      <c r="OJO7" s="87"/>
      <c r="OJP7" s="87"/>
      <c r="OJQ7" s="87"/>
      <c r="OJR7" s="87"/>
      <c r="OJS7" s="87"/>
      <c r="OJT7" s="87"/>
      <c r="OJU7" s="87"/>
      <c r="OJV7" s="87"/>
      <c r="OJW7" s="87"/>
      <c r="OJX7" s="87"/>
      <c r="OJY7" s="87"/>
      <c r="OJZ7" s="87"/>
      <c r="OKA7" s="87"/>
      <c r="OKB7" s="87"/>
      <c r="OKC7" s="87"/>
      <c r="OKD7" s="87"/>
      <c r="OKE7" s="87"/>
      <c r="OKF7" s="87"/>
      <c r="OKG7" s="87"/>
      <c r="OKH7" s="87"/>
      <c r="OKI7" s="87"/>
      <c r="OKJ7" s="87"/>
      <c r="OKK7" s="87"/>
      <c r="OKL7" s="87"/>
      <c r="OKM7" s="87"/>
      <c r="OKN7" s="87"/>
      <c r="OKO7" s="87"/>
      <c r="OKP7" s="87"/>
      <c r="OKQ7" s="87"/>
      <c r="OKR7" s="87"/>
      <c r="OKS7" s="87"/>
      <c r="OKT7" s="87"/>
      <c r="OKU7" s="87"/>
      <c r="OKV7" s="87"/>
      <c r="OKW7" s="87"/>
      <c r="OKX7" s="87"/>
      <c r="OKY7" s="87"/>
      <c r="OKZ7" s="87"/>
      <c r="OLA7" s="87"/>
      <c r="OLB7" s="87"/>
      <c r="OLC7" s="87"/>
      <c r="OLD7" s="87"/>
      <c r="OLE7" s="87"/>
      <c r="OLF7" s="87"/>
      <c r="OLG7" s="87"/>
      <c r="OLH7" s="87"/>
      <c r="OLI7" s="87"/>
      <c r="OLJ7" s="87"/>
      <c r="OLK7" s="87"/>
      <c r="OLL7" s="87"/>
      <c r="OLM7" s="87"/>
      <c r="OLN7" s="87"/>
      <c r="OLO7" s="87"/>
      <c r="OLP7" s="87"/>
      <c r="OLQ7" s="87"/>
      <c r="OLR7" s="87"/>
      <c r="OLS7" s="87"/>
      <c r="OLT7" s="87"/>
      <c r="OLU7" s="87"/>
      <c r="OLV7" s="87"/>
      <c r="OLW7" s="87"/>
      <c r="OLX7" s="87"/>
      <c r="OLY7" s="87"/>
      <c r="OLZ7" s="87"/>
      <c r="OMA7" s="87"/>
      <c r="OMB7" s="87"/>
      <c r="OMC7" s="87"/>
      <c r="OMD7" s="87"/>
      <c r="OME7" s="87"/>
      <c r="OMF7" s="87"/>
      <c r="OMG7" s="87"/>
      <c r="OMH7" s="87"/>
      <c r="OMI7" s="87"/>
      <c r="OMJ7" s="87"/>
      <c r="OMK7" s="87"/>
      <c r="OML7" s="87"/>
      <c r="OMM7" s="87"/>
      <c r="OMN7" s="87"/>
      <c r="OMO7" s="87"/>
      <c r="OMP7" s="87"/>
      <c r="OMQ7" s="87"/>
      <c r="OMR7" s="87"/>
      <c r="OMS7" s="87"/>
      <c r="OMT7" s="87"/>
      <c r="OMU7" s="87"/>
      <c r="OMV7" s="87"/>
      <c r="OMW7" s="87"/>
      <c r="OMX7" s="87"/>
      <c r="OMY7" s="87"/>
      <c r="OMZ7" s="87"/>
      <c r="ONA7" s="87"/>
      <c r="ONB7" s="87"/>
      <c r="ONC7" s="87"/>
      <c r="OND7" s="87"/>
      <c r="ONE7" s="87"/>
      <c r="ONF7" s="87"/>
      <c r="ONG7" s="87"/>
      <c r="ONH7" s="87"/>
      <c r="ONI7" s="87"/>
      <c r="ONJ7" s="87"/>
      <c r="ONK7" s="87"/>
      <c r="ONL7" s="87"/>
      <c r="ONM7" s="87"/>
      <c r="ONN7" s="87"/>
      <c r="ONO7" s="87"/>
      <c r="ONP7" s="87"/>
      <c r="ONQ7" s="87"/>
      <c r="ONR7" s="87"/>
      <c r="ONS7" s="87"/>
      <c r="ONT7" s="87"/>
      <c r="ONU7" s="87"/>
      <c r="ONV7" s="87"/>
      <c r="ONW7" s="87"/>
      <c r="ONX7" s="87"/>
      <c r="ONY7" s="87"/>
      <c r="ONZ7" s="87"/>
      <c r="OOA7" s="87"/>
      <c r="OOB7" s="87"/>
      <c r="OOC7" s="87"/>
      <c r="OOD7" s="87"/>
      <c r="OOE7" s="87"/>
      <c r="OOF7" s="87"/>
      <c r="OOG7" s="87"/>
      <c r="OOH7" s="87"/>
      <c r="OOI7" s="87"/>
      <c r="OOJ7" s="87"/>
      <c r="OOK7" s="87"/>
      <c r="OOL7" s="87"/>
      <c r="OOM7" s="87"/>
      <c r="OON7" s="87"/>
      <c r="OOO7" s="87"/>
      <c r="OOP7" s="87"/>
      <c r="OOQ7" s="87"/>
      <c r="OOR7" s="87"/>
      <c r="OOS7" s="87"/>
      <c r="OOT7" s="87"/>
      <c r="OOU7" s="87"/>
      <c r="OOV7" s="87"/>
      <c r="OOW7" s="87"/>
      <c r="OOX7" s="87"/>
      <c r="OOY7" s="87"/>
      <c r="OOZ7" s="87"/>
      <c r="OPA7" s="87"/>
      <c r="OPB7" s="87"/>
      <c r="OPC7" s="87"/>
      <c r="OPD7" s="87"/>
      <c r="OPE7" s="87"/>
      <c r="OPF7" s="87"/>
      <c r="OPG7" s="87"/>
      <c r="OPH7" s="87"/>
      <c r="OPI7" s="87"/>
      <c r="OPJ7" s="87"/>
      <c r="OPK7" s="87"/>
      <c r="OPL7" s="87"/>
      <c r="OPM7" s="87"/>
      <c r="OPN7" s="87"/>
      <c r="OPO7" s="87"/>
      <c r="OPP7" s="87"/>
      <c r="OPQ7" s="87"/>
      <c r="OPR7" s="87"/>
      <c r="OPS7" s="87"/>
      <c r="OPT7" s="87"/>
      <c r="OPU7" s="87"/>
      <c r="OPV7" s="87"/>
      <c r="OPW7" s="87"/>
      <c r="OPX7" s="87"/>
      <c r="OPY7" s="87"/>
      <c r="OPZ7" s="87"/>
      <c r="OQA7" s="87"/>
      <c r="OQB7" s="87"/>
      <c r="OQC7" s="87"/>
      <c r="OQD7" s="87"/>
      <c r="OQE7" s="87"/>
      <c r="OQF7" s="87"/>
      <c r="OQG7" s="87"/>
      <c r="OQH7" s="87"/>
      <c r="OQI7" s="87"/>
      <c r="OQJ7" s="87"/>
      <c r="OQK7" s="87"/>
      <c r="OQL7" s="87"/>
      <c r="OQM7" s="87"/>
      <c r="OQN7" s="87"/>
      <c r="OQO7" s="87"/>
      <c r="OQP7" s="87"/>
      <c r="OQQ7" s="87"/>
      <c r="OQR7" s="87"/>
      <c r="OQS7" s="87"/>
      <c r="OQT7" s="87"/>
      <c r="OQU7" s="87"/>
      <c r="OQV7" s="87"/>
      <c r="OQW7" s="87"/>
      <c r="OQX7" s="87"/>
      <c r="OQY7" s="87"/>
      <c r="OQZ7" s="87"/>
      <c r="ORA7" s="87"/>
      <c r="ORB7" s="87"/>
      <c r="ORC7" s="87"/>
      <c r="ORD7" s="87"/>
      <c r="ORE7" s="87"/>
      <c r="ORF7" s="87"/>
      <c r="ORG7" s="87"/>
      <c r="ORH7" s="87"/>
      <c r="ORI7" s="87"/>
      <c r="ORJ7" s="87"/>
      <c r="ORK7" s="87"/>
      <c r="ORL7" s="87"/>
      <c r="ORM7" s="87"/>
      <c r="ORN7" s="87"/>
      <c r="ORO7" s="87"/>
      <c r="ORP7" s="87"/>
      <c r="ORQ7" s="87"/>
      <c r="ORR7" s="87"/>
      <c r="ORS7" s="87"/>
      <c r="ORT7" s="87"/>
      <c r="ORU7" s="87"/>
      <c r="ORV7" s="87"/>
      <c r="ORW7" s="87"/>
      <c r="ORX7" s="87"/>
      <c r="ORY7" s="87"/>
      <c r="ORZ7" s="87"/>
      <c r="OSA7" s="87"/>
      <c r="OSB7" s="87"/>
      <c r="OSC7" s="87"/>
      <c r="OSD7" s="87"/>
      <c r="OSE7" s="87"/>
      <c r="OSF7" s="87"/>
      <c r="OSG7" s="87"/>
      <c r="OSH7" s="87"/>
      <c r="OSI7" s="87"/>
      <c r="OSJ7" s="87"/>
      <c r="OSK7" s="87"/>
      <c r="OSL7" s="87"/>
      <c r="OSM7" s="87"/>
      <c r="OSN7" s="87"/>
      <c r="OSO7" s="87"/>
      <c r="OSP7" s="87"/>
      <c r="OSQ7" s="87"/>
      <c r="OSR7" s="87"/>
      <c r="OSS7" s="87"/>
      <c r="OST7" s="87"/>
      <c r="OSU7" s="87"/>
      <c r="OSV7" s="87"/>
      <c r="OSW7" s="87"/>
      <c r="OSX7" s="87"/>
      <c r="OSY7" s="87"/>
      <c r="OSZ7" s="87"/>
      <c r="OTA7" s="87"/>
      <c r="OTB7" s="87"/>
      <c r="OTC7" s="87"/>
      <c r="OTD7" s="87"/>
      <c r="OTE7" s="87"/>
      <c r="OTF7" s="87"/>
      <c r="OTG7" s="87"/>
      <c r="OTH7" s="87"/>
      <c r="OTI7" s="87"/>
      <c r="OTJ7" s="87"/>
      <c r="OTK7" s="87"/>
      <c r="OTL7" s="87"/>
      <c r="OTM7" s="87"/>
      <c r="OTN7" s="87"/>
      <c r="OTO7" s="87"/>
      <c r="OTP7" s="87"/>
      <c r="OTQ7" s="87"/>
      <c r="OTR7" s="87"/>
      <c r="OTS7" s="87"/>
      <c r="OTT7" s="87"/>
      <c r="OTU7" s="87"/>
      <c r="OTV7" s="87"/>
      <c r="OTW7" s="87"/>
      <c r="OTX7" s="87"/>
      <c r="OTY7" s="87"/>
      <c r="OTZ7" s="87"/>
      <c r="OUA7" s="87"/>
      <c r="OUB7" s="87"/>
      <c r="OUC7" s="87"/>
      <c r="OUD7" s="87"/>
      <c r="OUE7" s="87"/>
      <c r="OUF7" s="87"/>
      <c r="OUG7" s="87"/>
      <c r="OUH7" s="87"/>
      <c r="OUI7" s="87"/>
      <c r="OUJ7" s="87"/>
      <c r="OUK7" s="87"/>
      <c r="OUL7" s="87"/>
      <c r="OUM7" s="87"/>
      <c r="OUN7" s="87"/>
      <c r="OUO7" s="87"/>
      <c r="OUP7" s="87"/>
      <c r="OUQ7" s="87"/>
      <c r="OUR7" s="87"/>
      <c r="OUS7" s="87"/>
      <c r="OUT7" s="87"/>
      <c r="OUU7" s="87"/>
      <c r="OUV7" s="87"/>
      <c r="OUW7" s="87"/>
      <c r="OUX7" s="87"/>
      <c r="OUY7" s="87"/>
      <c r="OUZ7" s="87"/>
      <c r="OVA7" s="87"/>
      <c r="OVB7" s="87"/>
      <c r="OVC7" s="87"/>
      <c r="OVD7" s="87"/>
      <c r="OVE7" s="87"/>
      <c r="OVF7" s="87"/>
      <c r="OVG7" s="87"/>
      <c r="OVH7" s="87"/>
      <c r="OVI7" s="87"/>
      <c r="OVJ7" s="87"/>
      <c r="OVK7" s="87"/>
      <c r="OVL7" s="87"/>
      <c r="OVM7" s="87"/>
      <c r="OVN7" s="87"/>
      <c r="OVO7" s="87"/>
      <c r="OVP7" s="87"/>
      <c r="OVQ7" s="87"/>
      <c r="OVR7" s="87"/>
      <c r="OVS7" s="87"/>
      <c r="OVT7" s="87"/>
      <c r="OVU7" s="87"/>
      <c r="OVV7" s="87"/>
      <c r="OVW7" s="87"/>
      <c r="OVX7" s="87"/>
      <c r="OVY7" s="87"/>
      <c r="OVZ7" s="87"/>
      <c r="OWA7" s="87"/>
      <c r="OWB7" s="87"/>
      <c r="OWC7" s="87"/>
      <c r="OWD7" s="87"/>
      <c r="OWE7" s="87"/>
      <c r="OWF7" s="87"/>
      <c r="OWG7" s="87"/>
      <c r="OWH7" s="87"/>
      <c r="OWI7" s="87"/>
      <c r="OWJ7" s="87"/>
      <c r="OWK7" s="87"/>
      <c r="OWL7" s="87"/>
      <c r="OWM7" s="87"/>
      <c r="OWN7" s="87"/>
      <c r="OWO7" s="87"/>
      <c r="OWP7" s="87"/>
      <c r="OWQ7" s="87"/>
      <c r="OWR7" s="87"/>
      <c r="OWS7" s="87"/>
      <c r="OWT7" s="87"/>
      <c r="OWU7" s="87"/>
      <c r="OWV7" s="87"/>
      <c r="OWW7" s="87"/>
      <c r="OWX7" s="87"/>
      <c r="OWY7" s="87"/>
      <c r="OWZ7" s="87"/>
      <c r="OXA7" s="87"/>
      <c r="OXB7" s="87"/>
      <c r="OXC7" s="87"/>
      <c r="OXD7" s="87"/>
      <c r="OXE7" s="87"/>
      <c r="OXF7" s="87"/>
      <c r="OXG7" s="87"/>
      <c r="OXH7" s="87"/>
      <c r="OXI7" s="87"/>
      <c r="OXJ7" s="87"/>
      <c r="OXK7" s="87"/>
      <c r="OXL7" s="87"/>
      <c r="OXM7" s="87"/>
      <c r="OXN7" s="87"/>
      <c r="OXO7" s="87"/>
      <c r="OXP7" s="87"/>
      <c r="OXQ7" s="87"/>
      <c r="OXR7" s="87"/>
      <c r="OXS7" s="87"/>
      <c r="OXT7" s="87"/>
      <c r="OXU7" s="87"/>
      <c r="OXV7" s="87"/>
      <c r="OXW7" s="87"/>
      <c r="OXX7" s="87"/>
      <c r="OXY7" s="87"/>
      <c r="OXZ7" s="87"/>
      <c r="OYA7" s="87"/>
      <c r="OYB7" s="87"/>
      <c r="OYC7" s="87"/>
      <c r="OYD7" s="87"/>
      <c r="OYE7" s="87"/>
      <c r="OYF7" s="87"/>
      <c r="OYG7" s="87"/>
      <c r="OYH7" s="87"/>
      <c r="OYI7" s="87"/>
      <c r="OYJ7" s="87"/>
      <c r="OYK7" s="87"/>
      <c r="OYL7" s="87"/>
      <c r="OYM7" s="87"/>
      <c r="OYN7" s="87"/>
      <c r="OYO7" s="87"/>
      <c r="OYP7" s="87"/>
      <c r="OYQ7" s="87"/>
      <c r="OYR7" s="87"/>
      <c r="OYS7" s="87"/>
      <c r="OYT7" s="87"/>
      <c r="OYU7" s="87"/>
      <c r="OYV7" s="87"/>
      <c r="OYW7" s="87"/>
      <c r="OYX7" s="87"/>
      <c r="OYY7" s="87"/>
      <c r="OYZ7" s="87"/>
      <c r="OZA7" s="87"/>
      <c r="OZB7" s="87"/>
      <c r="OZC7" s="87"/>
      <c r="OZD7" s="87"/>
      <c r="OZE7" s="87"/>
      <c r="OZF7" s="87"/>
      <c r="OZG7" s="87"/>
      <c r="OZH7" s="87"/>
      <c r="OZI7" s="87"/>
      <c r="OZJ7" s="87"/>
      <c r="OZK7" s="87"/>
      <c r="OZL7" s="87"/>
      <c r="OZM7" s="87"/>
      <c r="OZN7" s="87"/>
      <c r="OZO7" s="87"/>
      <c r="OZP7" s="87"/>
      <c r="OZQ7" s="87"/>
      <c r="OZR7" s="87"/>
      <c r="OZS7" s="87"/>
      <c r="OZT7" s="87"/>
      <c r="OZU7" s="87"/>
      <c r="OZV7" s="87"/>
      <c r="OZW7" s="87"/>
      <c r="OZX7" s="87"/>
      <c r="OZY7" s="87"/>
      <c r="OZZ7" s="87"/>
      <c r="PAA7" s="87"/>
      <c r="PAB7" s="87"/>
      <c r="PAC7" s="87"/>
      <c r="PAD7" s="87"/>
      <c r="PAE7" s="87"/>
      <c r="PAF7" s="87"/>
      <c r="PAG7" s="87"/>
      <c r="PAH7" s="87"/>
      <c r="PAI7" s="87"/>
      <c r="PAJ7" s="87"/>
      <c r="PAK7" s="87"/>
      <c r="PAL7" s="87"/>
      <c r="PAM7" s="87"/>
      <c r="PAN7" s="87"/>
      <c r="PAO7" s="87"/>
      <c r="PAP7" s="87"/>
      <c r="PAQ7" s="87"/>
      <c r="PAR7" s="87"/>
      <c r="PAS7" s="87"/>
      <c r="PAT7" s="87"/>
      <c r="PAU7" s="87"/>
      <c r="PAV7" s="87"/>
      <c r="PAW7" s="87"/>
      <c r="PAX7" s="87"/>
      <c r="PAY7" s="87"/>
      <c r="PAZ7" s="87"/>
      <c r="PBA7" s="87"/>
      <c r="PBB7" s="87"/>
      <c r="PBC7" s="87"/>
      <c r="PBD7" s="87"/>
      <c r="PBE7" s="87"/>
      <c r="PBF7" s="87"/>
      <c r="PBG7" s="87"/>
      <c r="PBH7" s="87"/>
      <c r="PBI7" s="87"/>
      <c r="PBJ7" s="87"/>
      <c r="PBK7" s="87"/>
      <c r="PBL7" s="87"/>
      <c r="PBM7" s="87"/>
      <c r="PBN7" s="87"/>
      <c r="PBO7" s="87"/>
      <c r="PBP7" s="87"/>
      <c r="PBQ7" s="87"/>
      <c r="PBR7" s="87"/>
      <c r="PBS7" s="87"/>
      <c r="PBT7" s="87"/>
      <c r="PBU7" s="87"/>
      <c r="PBV7" s="87"/>
      <c r="PBW7" s="87"/>
      <c r="PBX7" s="87"/>
      <c r="PBY7" s="87"/>
      <c r="PBZ7" s="87"/>
      <c r="PCA7" s="87"/>
      <c r="PCB7" s="87"/>
      <c r="PCC7" s="87"/>
      <c r="PCD7" s="87"/>
      <c r="PCE7" s="87"/>
      <c r="PCF7" s="87"/>
      <c r="PCG7" s="87"/>
      <c r="PCH7" s="87"/>
      <c r="PCI7" s="87"/>
      <c r="PCJ7" s="87"/>
      <c r="PCK7" s="87"/>
      <c r="PCL7" s="87"/>
      <c r="PCM7" s="87"/>
      <c r="PCN7" s="87"/>
      <c r="PCO7" s="87"/>
      <c r="PCP7" s="87"/>
      <c r="PCQ7" s="87"/>
      <c r="PCR7" s="87"/>
      <c r="PCS7" s="87"/>
      <c r="PCT7" s="87"/>
      <c r="PCU7" s="87"/>
      <c r="PCV7" s="87"/>
      <c r="PCW7" s="87"/>
      <c r="PCX7" s="87"/>
      <c r="PCY7" s="87"/>
      <c r="PCZ7" s="87"/>
      <c r="PDA7" s="87"/>
      <c r="PDB7" s="87"/>
      <c r="PDC7" s="87"/>
      <c r="PDD7" s="87"/>
      <c r="PDE7" s="87"/>
      <c r="PDF7" s="87"/>
      <c r="PDG7" s="87"/>
      <c r="PDH7" s="87"/>
      <c r="PDI7" s="87"/>
      <c r="PDJ7" s="87"/>
      <c r="PDK7" s="87"/>
      <c r="PDL7" s="87"/>
      <c r="PDM7" s="87"/>
      <c r="PDN7" s="87"/>
      <c r="PDO7" s="87"/>
      <c r="PDP7" s="87"/>
      <c r="PDQ7" s="87"/>
      <c r="PDR7" s="87"/>
      <c r="PDS7" s="87"/>
      <c r="PDT7" s="87"/>
      <c r="PDU7" s="87"/>
      <c r="PDV7" s="87"/>
      <c r="PDW7" s="87"/>
      <c r="PDX7" s="87"/>
      <c r="PDY7" s="87"/>
      <c r="PDZ7" s="87"/>
      <c r="PEA7" s="87"/>
      <c r="PEB7" s="87"/>
      <c r="PEC7" s="87"/>
      <c r="PED7" s="87"/>
      <c r="PEE7" s="87"/>
      <c r="PEF7" s="87"/>
      <c r="PEG7" s="87"/>
      <c r="PEH7" s="87"/>
      <c r="PEI7" s="87"/>
      <c r="PEJ7" s="87"/>
      <c r="PEK7" s="87"/>
      <c r="PEL7" s="87"/>
      <c r="PEM7" s="87"/>
      <c r="PEN7" s="87"/>
      <c r="PEO7" s="87"/>
      <c r="PEP7" s="87"/>
      <c r="PEQ7" s="87"/>
      <c r="PER7" s="87"/>
      <c r="PES7" s="87"/>
      <c r="PET7" s="87"/>
      <c r="PEU7" s="87"/>
      <c r="PEV7" s="87"/>
      <c r="PEW7" s="87"/>
      <c r="PEX7" s="87"/>
      <c r="PEY7" s="87"/>
      <c r="PEZ7" s="87"/>
      <c r="PFA7" s="87"/>
      <c r="PFB7" s="87"/>
      <c r="PFC7" s="87"/>
      <c r="PFD7" s="87"/>
      <c r="PFE7" s="87"/>
      <c r="PFF7" s="87"/>
      <c r="PFG7" s="87"/>
      <c r="PFH7" s="87"/>
      <c r="PFI7" s="87"/>
      <c r="PFJ7" s="87"/>
      <c r="PFK7" s="87"/>
      <c r="PFL7" s="87"/>
      <c r="PFM7" s="87"/>
      <c r="PFN7" s="87"/>
      <c r="PFO7" s="87"/>
      <c r="PFP7" s="87"/>
      <c r="PFQ7" s="87"/>
      <c r="PFR7" s="87"/>
      <c r="PFS7" s="87"/>
      <c r="PFT7" s="87"/>
      <c r="PFU7" s="87"/>
      <c r="PFV7" s="87"/>
      <c r="PFW7" s="87"/>
      <c r="PFX7" s="87"/>
      <c r="PFY7" s="87"/>
      <c r="PFZ7" s="87"/>
      <c r="PGA7" s="87"/>
      <c r="PGB7" s="87"/>
      <c r="PGC7" s="87"/>
      <c r="PGD7" s="87"/>
      <c r="PGE7" s="87"/>
      <c r="PGF7" s="87"/>
      <c r="PGG7" s="87"/>
      <c r="PGH7" s="87"/>
      <c r="PGI7" s="87"/>
      <c r="PGJ7" s="87"/>
      <c r="PGK7" s="87"/>
      <c r="PGL7" s="87"/>
      <c r="PGM7" s="87"/>
      <c r="PGN7" s="87"/>
      <c r="PGO7" s="87"/>
      <c r="PGP7" s="87"/>
      <c r="PGQ7" s="87"/>
      <c r="PGR7" s="87"/>
      <c r="PGS7" s="87"/>
      <c r="PGT7" s="87"/>
      <c r="PGU7" s="87"/>
      <c r="PGV7" s="87"/>
      <c r="PGW7" s="87"/>
      <c r="PGX7" s="87"/>
      <c r="PGY7" s="87"/>
      <c r="PGZ7" s="87"/>
      <c r="PHA7" s="87"/>
      <c r="PHB7" s="87"/>
      <c r="PHC7" s="87"/>
      <c r="PHD7" s="87"/>
      <c r="PHE7" s="87"/>
      <c r="PHF7" s="87"/>
      <c r="PHG7" s="87"/>
      <c r="PHH7" s="87"/>
      <c r="PHI7" s="87"/>
      <c r="PHJ7" s="87"/>
      <c r="PHK7" s="87"/>
      <c r="PHL7" s="87"/>
      <c r="PHM7" s="87"/>
      <c r="PHN7" s="87"/>
      <c r="PHO7" s="87"/>
      <c r="PHP7" s="87"/>
      <c r="PHQ7" s="87"/>
      <c r="PHR7" s="87"/>
      <c r="PHS7" s="87"/>
      <c r="PHT7" s="87"/>
      <c r="PHU7" s="87"/>
      <c r="PHV7" s="87"/>
      <c r="PHW7" s="87"/>
      <c r="PHX7" s="87"/>
      <c r="PHY7" s="87"/>
      <c r="PHZ7" s="87"/>
      <c r="PIA7" s="87"/>
      <c r="PIB7" s="87"/>
      <c r="PIC7" s="87"/>
      <c r="PID7" s="87"/>
      <c r="PIE7" s="87"/>
      <c r="PIF7" s="87"/>
      <c r="PIG7" s="87"/>
      <c r="PIH7" s="87"/>
      <c r="PII7" s="87"/>
      <c r="PIJ7" s="87"/>
      <c r="PIK7" s="87"/>
      <c r="PIL7" s="87"/>
      <c r="PIM7" s="87"/>
      <c r="PIN7" s="87"/>
      <c r="PIO7" s="87"/>
      <c r="PIP7" s="87"/>
      <c r="PIQ7" s="87"/>
      <c r="PIR7" s="87"/>
      <c r="PIS7" s="87"/>
      <c r="PIT7" s="87"/>
      <c r="PIU7" s="87"/>
      <c r="PIV7" s="87"/>
      <c r="PIW7" s="87"/>
      <c r="PIX7" s="87"/>
      <c r="PIY7" s="87"/>
      <c r="PIZ7" s="87"/>
      <c r="PJA7" s="87"/>
      <c r="PJB7" s="87"/>
      <c r="PJC7" s="87"/>
      <c r="PJD7" s="87"/>
      <c r="PJE7" s="87"/>
      <c r="PJF7" s="87"/>
      <c r="PJG7" s="87"/>
      <c r="PJH7" s="87"/>
      <c r="PJI7" s="87"/>
      <c r="PJJ7" s="87"/>
      <c r="PJK7" s="87"/>
      <c r="PJL7" s="87"/>
      <c r="PJM7" s="87"/>
      <c r="PJN7" s="87"/>
      <c r="PJO7" s="87"/>
      <c r="PJP7" s="87"/>
      <c r="PJQ7" s="87"/>
      <c r="PJR7" s="87"/>
      <c r="PJS7" s="87"/>
      <c r="PJT7" s="87"/>
      <c r="PJU7" s="87"/>
      <c r="PJV7" s="87"/>
      <c r="PJW7" s="87"/>
      <c r="PJX7" s="87"/>
      <c r="PJY7" s="87"/>
      <c r="PJZ7" s="87"/>
      <c r="PKA7" s="87"/>
      <c r="PKB7" s="87"/>
      <c r="PKC7" s="87"/>
      <c r="PKD7" s="87"/>
      <c r="PKE7" s="87"/>
      <c r="PKF7" s="87"/>
      <c r="PKG7" s="87"/>
      <c r="PKH7" s="87"/>
      <c r="PKI7" s="87"/>
      <c r="PKJ7" s="87"/>
      <c r="PKK7" s="87"/>
      <c r="PKL7" s="87"/>
      <c r="PKM7" s="87"/>
      <c r="PKN7" s="87"/>
      <c r="PKO7" s="87"/>
      <c r="PKP7" s="87"/>
      <c r="PKQ7" s="87"/>
      <c r="PKR7" s="87"/>
      <c r="PKS7" s="87"/>
      <c r="PKT7" s="87"/>
      <c r="PKU7" s="87"/>
      <c r="PKV7" s="87"/>
      <c r="PKW7" s="87"/>
      <c r="PKX7" s="87"/>
      <c r="PKY7" s="87"/>
      <c r="PKZ7" s="87"/>
      <c r="PLA7" s="87"/>
      <c r="PLB7" s="87"/>
      <c r="PLC7" s="87"/>
      <c r="PLD7" s="87"/>
      <c r="PLE7" s="87"/>
      <c r="PLF7" s="87"/>
      <c r="PLG7" s="87"/>
      <c r="PLH7" s="87"/>
      <c r="PLI7" s="87"/>
      <c r="PLJ7" s="87"/>
      <c r="PLK7" s="87"/>
      <c r="PLL7" s="87"/>
      <c r="PLM7" s="87"/>
      <c r="PLN7" s="87"/>
      <c r="PLO7" s="87"/>
      <c r="PLP7" s="87"/>
      <c r="PLQ7" s="87"/>
      <c r="PLR7" s="87"/>
      <c r="PLS7" s="87"/>
      <c r="PLT7" s="87"/>
      <c r="PLU7" s="87"/>
      <c r="PLV7" s="87"/>
      <c r="PLW7" s="87"/>
      <c r="PLX7" s="87"/>
      <c r="PLY7" s="87"/>
      <c r="PLZ7" s="87"/>
      <c r="PMA7" s="87"/>
      <c r="PMB7" s="87"/>
      <c r="PMC7" s="87"/>
      <c r="PMD7" s="87"/>
      <c r="PME7" s="87"/>
      <c r="PMF7" s="87"/>
      <c r="PMG7" s="87"/>
      <c r="PMH7" s="87"/>
      <c r="PMI7" s="87"/>
      <c r="PMJ7" s="87"/>
      <c r="PMK7" s="87"/>
      <c r="PML7" s="87"/>
      <c r="PMM7" s="87"/>
      <c r="PMN7" s="87"/>
      <c r="PMO7" s="87"/>
      <c r="PMP7" s="87"/>
      <c r="PMQ7" s="87"/>
      <c r="PMR7" s="87"/>
      <c r="PMS7" s="87"/>
      <c r="PMT7" s="87"/>
      <c r="PMU7" s="87"/>
      <c r="PMV7" s="87"/>
      <c r="PMW7" s="87"/>
      <c r="PMX7" s="87"/>
      <c r="PMY7" s="87"/>
      <c r="PMZ7" s="87"/>
      <c r="PNA7" s="87"/>
      <c r="PNB7" s="87"/>
      <c r="PNC7" s="87"/>
      <c r="PND7" s="87"/>
      <c r="PNE7" s="87"/>
      <c r="PNF7" s="87"/>
      <c r="PNG7" s="87"/>
      <c r="PNH7" s="87"/>
      <c r="PNI7" s="87"/>
      <c r="PNJ7" s="87"/>
      <c r="PNK7" s="87"/>
      <c r="PNL7" s="87"/>
      <c r="PNM7" s="87"/>
      <c r="PNN7" s="87"/>
      <c r="PNO7" s="87"/>
      <c r="PNP7" s="87"/>
      <c r="PNQ7" s="87"/>
      <c r="PNR7" s="87"/>
      <c r="PNS7" s="87"/>
      <c r="PNT7" s="87"/>
      <c r="PNU7" s="87"/>
      <c r="PNV7" s="87"/>
      <c r="PNW7" s="87"/>
      <c r="PNX7" s="87"/>
      <c r="PNY7" s="87"/>
      <c r="PNZ7" s="87"/>
      <c r="POA7" s="87"/>
      <c r="POB7" s="87"/>
      <c r="POC7" s="87"/>
      <c r="POD7" s="87"/>
      <c r="POE7" s="87"/>
      <c r="POF7" s="87"/>
      <c r="POG7" s="87"/>
      <c r="POH7" s="87"/>
      <c r="POI7" s="87"/>
      <c r="POJ7" s="87"/>
      <c r="POK7" s="87"/>
      <c r="POL7" s="87"/>
      <c r="POM7" s="87"/>
      <c r="PON7" s="87"/>
      <c r="POO7" s="87"/>
      <c r="POP7" s="87"/>
      <c r="POQ7" s="87"/>
      <c r="POR7" s="87"/>
      <c r="POS7" s="87"/>
      <c r="POT7" s="87"/>
      <c r="POU7" s="87"/>
      <c r="POV7" s="87"/>
      <c r="POW7" s="87"/>
      <c r="POX7" s="87"/>
      <c r="POY7" s="87"/>
      <c r="POZ7" s="87"/>
      <c r="PPA7" s="87"/>
      <c r="PPB7" s="87"/>
      <c r="PPC7" s="87"/>
      <c r="PPD7" s="87"/>
      <c r="PPE7" s="87"/>
      <c r="PPF7" s="87"/>
      <c r="PPG7" s="87"/>
      <c r="PPH7" s="87"/>
      <c r="PPI7" s="87"/>
      <c r="PPJ7" s="87"/>
      <c r="PPK7" s="87"/>
      <c r="PPL7" s="87"/>
      <c r="PPM7" s="87"/>
      <c r="PPN7" s="87"/>
      <c r="PPO7" s="87"/>
      <c r="PPP7" s="87"/>
      <c r="PPQ7" s="87"/>
      <c r="PPR7" s="87"/>
      <c r="PPS7" s="87"/>
      <c r="PPT7" s="87"/>
      <c r="PPU7" s="87"/>
      <c r="PPV7" s="87"/>
      <c r="PPW7" s="87"/>
      <c r="PPX7" s="87"/>
      <c r="PPY7" s="87"/>
      <c r="PPZ7" s="87"/>
      <c r="PQA7" s="87"/>
      <c r="PQB7" s="87"/>
      <c r="PQC7" s="87"/>
      <c r="PQD7" s="87"/>
      <c r="PQE7" s="87"/>
      <c r="PQF7" s="87"/>
      <c r="PQG7" s="87"/>
      <c r="PQH7" s="87"/>
      <c r="PQI7" s="87"/>
      <c r="PQJ7" s="87"/>
      <c r="PQK7" s="87"/>
      <c r="PQL7" s="87"/>
      <c r="PQM7" s="87"/>
      <c r="PQN7" s="87"/>
      <c r="PQO7" s="87"/>
      <c r="PQP7" s="87"/>
      <c r="PQQ7" s="87"/>
      <c r="PQR7" s="87"/>
      <c r="PQS7" s="87"/>
      <c r="PQT7" s="87"/>
      <c r="PQU7" s="87"/>
      <c r="PQV7" s="87"/>
      <c r="PQW7" s="87"/>
      <c r="PQX7" s="87"/>
      <c r="PQY7" s="87"/>
      <c r="PQZ7" s="87"/>
      <c r="PRA7" s="87"/>
      <c r="PRB7" s="87"/>
      <c r="PRC7" s="87"/>
      <c r="PRD7" s="87"/>
      <c r="PRE7" s="87"/>
      <c r="PRF7" s="87"/>
      <c r="PRG7" s="87"/>
      <c r="PRH7" s="87"/>
      <c r="PRI7" s="87"/>
      <c r="PRJ7" s="87"/>
      <c r="PRK7" s="87"/>
      <c r="PRL7" s="87"/>
      <c r="PRM7" s="87"/>
      <c r="PRN7" s="87"/>
      <c r="PRO7" s="87"/>
      <c r="PRP7" s="87"/>
      <c r="PRQ7" s="87"/>
      <c r="PRR7" s="87"/>
      <c r="PRS7" s="87"/>
      <c r="PRT7" s="87"/>
      <c r="PRU7" s="87"/>
      <c r="PRV7" s="87"/>
      <c r="PRW7" s="87"/>
      <c r="PRX7" s="87"/>
      <c r="PRY7" s="87"/>
      <c r="PRZ7" s="87"/>
      <c r="PSA7" s="87"/>
      <c r="PSB7" s="87"/>
      <c r="PSC7" s="87"/>
      <c r="PSD7" s="87"/>
      <c r="PSE7" s="87"/>
      <c r="PSF7" s="87"/>
      <c r="PSG7" s="87"/>
      <c r="PSH7" s="87"/>
      <c r="PSI7" s="87"/>
      <c r="PSJ7" s="87"/>
      <c r="PSK7" s="87"/>
      <c r="PSL7" s="87"/>
      <c r="PSM7" s="87"/>
      <c r="PSN7" s="87"/>
      <c r="PSO7" s="87"/>
      <c r="PSP7" s="87"/>
      <c r="PSQ7" s="87"/>
      <c r="PSR7" s="87"/>
      <c r="PSS7" s="87"/>
      <c r="PST7" s="87"/>
      <c r="PSU7" s="87"/>
      <c r="PSV7" s="87"/>
      <c r="PSW7" s="87"/>
      <c r="PSX7" s="87"/>
      <c r="PSY7" s="87"/>
      <c r="PSZ7" s="87"/>
      <c r="PTA7" s="87"/>
      <c r="PTB7" s="87"/>
      <c r="PTC7" s="87"/>
      <c r="PTD7" s="87"/>
      <c r="PTE7" s="87"/>
      <c r="PTF7" s="87"/>
      <c r="PTG7" s="87"/>
      <c r="PTH7" s="87"/>
      <c r="PTI7" s="87"/>
      <c r="PTJ7" s="87"/>
      <c r="PTK7" s="87"/>
      <c r="PTL7" s="87"/>
      <c r="PTM7" s="87"/>
      <c r="PTN7" s="87"/>
      <c r="PTO7" s="87"/>
      <c r="PTP7" s="87"/>
      <c r="PTQ7" s="87"/>
      <c r="PTR7" s="87"/>
      <c r="PTS7" s="87"/>
      <c r="PTT7" s="87"/>
      <c r="PTU7" s="87"/>
      <c r="PTV7" s="87"/>
      <c r="PTW7" s="87"/>
      <c r="PTX7" s="87"/>
      <c r="PTY7" s="87"/>
      <c r="PTZ7" s="87"/>
      <c r="PUA7" s="87"/>
      <c r="PUB7" s="87"/>
      <c r="PUC7" s="87"/>
      <c r="PUD7" s="87"/>
      <c r="PUE7" s="87"/>
      <c r="PUF7" s="87"/>
      <c r="PUG7" s="87"/>
      <c r="PUH7" s="87"/>
      <c r="PUI7" s="87"/>
      <c r="PUJ7" s="87"/>
      <c r="PUK7" s="87"/>
      <c r="PUL7" s="87"/>
      <c r="PUM7" s="87"/>
      <c r="PUN7" s="87"/>
      <c r="PUO7" s="87"/>
      <c r="PUP7" s="87"/>
      <c r="PUQ7" s="87"/>
      <c r="PUR7" s="87"/>
      <c r="PUS7" s="87"/>
      <c r="PUT7" s="87"/>
      <c r="PUU7" s="87"/>
      <c r="PUV7" s="87"/>
      <c r="PUW7" s="87"/>
      <c r="PUX7" s="87"/>
      <c r="PUY7" s="87"/>
      <c r="PUZ7" s="87"/>
      <c r="PVA7" s="87"/>
      <c r="PVB7" s="87"/>
      <c r="PVC7" s="87"/>
      <c r="PVD7" s="87"/>
      <c r="PVE7" s="87"/>
      <c r="PVF7" s="87"/>
      <c r="PVG7" s="87"/>
      <c r="PVH7" s="87"/>
      <c r="PVI7" s="87"/>
      <c r="PVJ7" s="87"/>
      <c r="PVK7" s="87"/>
      <c r="PVL7" s="87"/>
      <c r="PVM7" s="87"/>
      <c r="PVN7" s="87"/>
      <c r="PVO7" s="87"/>
      <c r="PVP7" s="87"/>
      <c r="PVQ7" s="87"/>
      <c r="PVR7" s="87"/>
      <c r="PVS7" s="87"/>
      <c r="PVT7" s="87"/>
      <c r="PVU7" s="87"/>
      <c r="PVV7" s="87"/>
      <c r="PVW7" s="87"/>
      <c r="PVX7" s="87"/>
      <c r="PVY7" s="87"/>
      <c r="PVZ7" s="87"/>
      <c r="PWA7" s="87"/>
      <c r="PWB7" s="87"/>
      <c r="PWC7" s="87"/>
      <c r="PWD7" s="87"/>
      <c r="PWE7" s="87"/>
      <c r="PWF7" s="87"/>
      <c r="PWG7" s="87"/>
      <c r="PWH7" s="87"/>
      <c r="PWI7" s="87"/>
      <c r="PWJ7" s="87"/>
      <c r="PWK7" s="87"/>
      <c r="PWL7" s="87"/>
      <c r="PWM7" s="87"/>
      <c r="PWN7" s="87"/>
      <c r="PWO7" s="87"/>
      <c r="PWP7" s="87"/>
      <c r="PWQ7" s="87"/>
      <c r="PWR7" s="87"/>
      <c r="PWS7" s="87"/>
      <c r="PWT7" s="87"/>
      <c r="PWU7" s="87"/>
      <c r="PWV7" s="87"/>
      <c r="PWW7" s="87"/>
      <c r="PWX7" s="87"/>
      <c r="PWY7" s="87"/>
      <c r="PWZ7" s="87"/>
      <c r="PXA7" s="87"/>
      <c r="PXB7" s="87"/>
      <c r="PXC7" s="87"/>
      <c r="PXD7" s="87"/>
      <c r="PXE7" s="87"/>
      <c r="PXF7" s="87"/>
      <c r="PXG7" s="87"/>
      <c r="PXH7" s="87"/>
      <c r="PXI7" s="87"/>
      <c r="PXJ7" s="87"/>
      <c r="PXK7" s="87"/>
      <c r="PXL7" s="87"/>
      <c r="PXM7" s="87"/>
      <c r="PXN7" s="87"/>
      <c r="PXO7" s="87"/>
      <c r="PXP7" s="87"/>
      <c r="PXQ7" s="87"/>
      <c r="PXR7" s="87"/>
      <c r="PXS7" s="87"/>
      <c r="PXT7" s="87"/>
      <c r="PXU7" s="87"/>
      <c r="PXV7" s="87"/>
      <c r="PXW7" s="87"/>
      <c r="PXX7" s="87"/>
      <c r="PXY7" s="87"/>
      <c r="PXZ7" s="87"/>
      <c r="PYA7" s="87"/>
      <c r="PYB7" s="87"/>
      <c r="PYC7" s="87"/>
      <c r="PYD7" s="87"/>
      <c r="PYE7" s="87"/>
      <c r="PYF7" s="87"/>
      <c r="PYG7" s="87"/>
      <c r="PYH7" s="87"/>
      <c r="PYI7" s="87"/>
      <c r="PYJ7" s="87"/>
      <c r="PYK7" s="87"/>
      <c r="PYL7" s="87"/>
      <c r="PYM7" s="87"/>
      <c r="PYN7" s="87"/>
      <c r="PYO7" s="87"/>
      <c r="PYP7" s="87"/>
      <c r="PYQ7" s="87"/>
      <c r="PYR7" s="87"/>
      <c r="PYS7" s="87"/>
      <c r="PYT7" s="87"/>
      <c r="PYU7" s="87"/>
      <c r="PYV7" s="87"/>
      <c r="PYW7" s="87"/>
      <c r="PYX7" s="87"/>
      <c r="PYY7" s="87"/>
      <c r="PYZ7" s="87"/>
      <c r="PZA7" s="87"/>
      <c r="PZB7" s="87"/>
      <c r="PZC7" s="87"/>
      <c r="PZD7" s="87"/>
      <c r="PZE7" s="87"/>
      <c r="PZF7" s="87"/>
      <c r="PZG7" s="87"/>
      <c r="PZH7" s="87"/>
      <c r="PZI7" s="87"/>
      <c r="PZJ7" s="87"/>
      <c r="PZK7" s="87"/>
      <c r="PZL7" s="87"/>
      <c r="PZM7" s="87"/>
      <c r="PZN7" s="87"/>
      <c r="PZO7" s="87"/>
      <c r="PZP7" s="87"/>
      <c r="PZQ7" s="87"/>
      <c r="PZR7" s="87"/>
      <c r="PZS7" s="87"/>
      <c r="PZT7" s="87"/>
      <c r="PZU7" s="87"/>
      <c r="PZV7" s="87"/>
      <c r="PZW7" s="87"/>
      <c r="PZX7" s="87"/>
      <c r="PZY7" s="87"/>
      <c r="PZZ7" s="87"/>
      <c r="QAA7" s="87"/>
      <c r="QAB7" s="87"/>
      <c r="QAC7" s="87"/>
      <c r="QAD7" s="87"/>
      <c r="QAE7" s="87"/>
      <c r="QAF7" s="87"/>
      <c r="QAG7" s="87"/>
      <c r="QAH7" s="87"/>
      <c r="QAI7" s="87"/>
      <c r="QAJ7" s="87"/>
      <c r="QAK7" s="87"/>
      <c r="QAL7" s="87"/>
      <c r="QAM7" s="87"/>
      <c r="QAN7" s="87"/>
      <c r="QAO7" s="87"/>
      <c r="QAP7" s="87"/>
      <c r="QAQ7" s="87"/>
      <c r="QAR7" s="87"/>
      <c r="QAS7" s="87"/>
      <c r="QAT7" s="87"/>
      <c r="QAU7" s="87"/>
      <c r="QAV7" s="87"/>
      <c r="QAW7" s="87"/>
      <c r="QAX7" s="87"/>
      <c r="QAY7" s="87"/>
      <c r="QAZ7" s="87"/>
      <c r="QBA7" s="87"/>
      <c r="QBB7" s="87"/>
      <c r="QBC7" s="87"/>
      <c r="QBD7" s="87"/>
      <c r="QBE7" s="87"/>
      <c r="QBF7" s="87"/>
      <c r="QBG7" s="87"/>
      <c r="QBH7" s="87"/>
      <c r="QBI7" s="87"/>
      <c r="QBJ7" s="87"/>
      <c r="QBK7" s="87"/>
      <c r="QBL7" s="87"/>
      <c r="QBM7" s="87"/>
      <c r="QBN7" s="87"/>
      <c r="QBO7" s="87"/>
      <c r="QBP7" s="87"/>
      <c r="QBQ7" s="87"/>
      <c r="QBR7" s="87"/>
      <c r="QBS7" s="87"/>
      <c r="QBT7" s="87"/>
      <c r="QBU7" s="87"/>
      <c r="QBV7" s="87"/>
      <c r="QBW7" s="87"/>
      <c r="QBX7" s="87"/>
      <c r="QBY7" s="87"/>
      <c r="QBZ7" s="87"/>
      <c r="QCA7" s="87"/>
      <c r="QCB7" s="87"/>
      <c r="QCC7" s="87"/>
      <c r="QCD7" s="87"/>
      <c r="QCE7" s="87"/>
      <c r="QCF7" s="87"/>
      <c r="QCG7" s="87"/>
      <c r="QCH7" s="87"/>
      <c r="QCI7" s="87"/>
      <c r="QCJ7" s="87"/>
      <c r="QCK7" s="87"/>
      <c r="QCL7" s="87"/>
      <c r="QCM7" s="87"/>
      <c r="QCN7" s="87"/>
      <c r="QCO7" s="87"/>
      <c r="QCP7" s="87"/>
      <c r="QCQ7" s="87"/>
      <c r="QCR7" s="87"/>
      <c r="QCS7" s="87"/>
      <c r="QCT7" s="87"/>
      <c r="QCU7" s="87"/>
      <c r="QCV7" s="87"/>
      <c r="QCW7" s="87"/>
      <c r="QCX7" s="87"/>
      <c r="QCY7" s="87"/>
      <c r="QCZ7" s="87"/>
      <c r="QDA7" s="87"/>
      <c r="QDB7" s="87"/>
      <c r="QDC7" s="87"/>
      <c r="QDD7" s="87"/>
      <c r="QDE7" s="87"/>
      <c r="QDF7" s="87"/>
      <c r="QDG7" s="87"/>
      <c r="QDH7" s="87"/>
      <c r="QDI7" s="87"/>
      <c r="QDJ7" s="87"/>
      <c r="QDK7" s="87"/>
      <c r="QDL7" s="87"/>
      <c r="QDM7" s="87"/>
      <c r="QDN7" s="87"/>
      <c r="QDO7" s="87"/>
      <c r="QDP7" s="87"/>
      <c r="QDQ7" s="87"/>
      <c r="QDR7" s="87"/>
      <c r="QDS7" s="87"/>
      <c r="QDT7" s="87"/>
      <c r="QDU7" s="87"/>
      <c r="QDV7" s="87"/>
      <c r="QDW7" s="87"/>
      <c r="QDX7" s="87"/>
      <c r="QDY7" s="87"/>
      <c r="QDZ7" s="87"/>
      <c r="QEA7" s="87"/>
      <c r="QEB7" s="87"/>
      <c r="QEC7" s="87"/>
      <c r="QED7" s="87"/>
      <c r="QEE7" s="87"/>
      <c r="QEF7" s="87"/>
      <c r="QEG7" s="87"/>
      <c r="QEH7" s="87"/>
      <c r="QEI7" s="87"/>
      <c r="QEJ7" s="87"/>
      <c r="QEK7" s="87"/>
      <c r="QEL7" s="87"/>
      <c r="QEM7" s="87"/>
      <c r="QEN7" s="87"/>
      <c r="QEO7" s="87"/>
      <c r="QEP7" s="87"/>
      <c r="QEQ7" s="87"/>
      <c r="QER7" s="87"/>
      <c r="QES7" s="87"/>
      <c r="QET7" s="87"/>
      <c r="QEU7" s="87"/>
      <c r="QEV7" s="87"/>
      <c r="QEW7" s="87"/>
      <c r="QEX7" s="87"/>
      <c r="QEY7" s="87"/>
      <c r="QEZ7" s="87"/>
      <c r="QFA7" s="87"/>
      <c r="QFB7" s="87"/>
      <c r="QFC7" s="87"/>
      <c r="QFD7" s="87"/>
      <c r="QFE7" s="87"/>
      <c r="QFF7" s="87"/>
      <c r="QFG7" s="87"/>
      <c r="QFH7" s="87"/>
      <c r="QFI7" s="87"/>
      <c r="QFJ7" s="87"/>
      <c r="QFK7" s="87"/>
      <c r="QFL7" s="87"/>
      <c r="QFM7" s="87"/>
      <c r="QFN7" s="87"/>
      <c r="QFO7" s="87"/>
      <c r="QFP7" s="87"/>
      <c r="QFQ7" s="87"/>
      <c r="QFR7" s="87"/>
      <c r="QFS7" s="87"/>
      <c r="QFT7" s="87"/>
      <c r="QFU7" s="87"/>
      <c r="QFV7" s="87"/>
      <c r="QFW7" s="87"/>
      <c r="QFX7" s="87"/>
      <c r="QFY7" s="87"/>
      <c r="QFZ7" s="87"/>
      <c r="QGA7" s="87"/>
      <c r="QGB7" s="87"/>
      <c r="QGC7" s="87"/>
      <c r="QGD7" s="87"/>
      <c r="QGE7" s="87"/>
      <c r="QGF7" s="87"/>
      <c r="QGG7" s="87"/>
      <c r="QGH7" s="87"/>
      <c r="QGI7" s="87"/>
      <c r="QGJ7" s="87"/>
      <c r="QGK7" s="87"/>
      <c r="QGL7" s="87"/>
      <c r="QGM7" s="87"/>
      <c r="QGN7" s="87"/>
      <c r="QGO7" s="87"/>
      <c r="QGP7" s="87"/>
      <c r="QGQ7" s="87"/>
      <c r="QGR7" s="87"/>
      <c r="QGS7" s="87"/>
      <c r="QGT7" s="87"/>
      <c r="QGU7" s="87"/>
      <c r="QGV7" s="87"/>
      <c r="QGW7" s="87"/>
      <c r="QGX7" s="87"/>
      <c r="QGY7" s="87"/>
      <c r="QGZ7" s="87"/>
      <c r="QHA7" s="87"/>
      <c r="QHB7" s="87"/>
      <c r="QHC7" s="87"/>
      <c r="QHD7" s="87"/>
      <c r="QHE7" s="87"/>
      <c r="QHF7" s="87"/>
      <c r="QHG7" s="87"/>
      <c r="QHH7" s="87"/>
      <c r="QHI7" s="87"/>
      <c r="QHJ7" s="87"/>
      <c r="QHK7" s="87"/>
      <c r="QHL7" s="87"/>
      <c r="QHM7" s="87"/>
      <c r="QHN7" s="87"/>
      <c r="QHO7" s="87"/>
      <c r="QHP7" s="87"/>
      <c r="QHQ7" s="87"/>
      <c r="QHR7" s="87"/>
      <c r="QHS7" s="87"/>
      <c r="QHT7" s="87"/>
      <c r="QHU7" s="87"/>
      <c r="QHV7" s="87"/>
      <c r="QHW7" s="87"/>
      <c r="QHX7" s="87"/>
      <c r="QHY7" s="87"/>
      <c r="QHZ7" s="87"/>
      <c r="QIA7" s="87"/>
      <c r="QIB7" s="87"/>
      <c r="QIC7" s="87"/>
      <c r="QID7" s="87"/>
      <c r="QIE7" s="87"/>
      <c r="QIF7" s="87"/>
      <c r="QIG7" s="87"/>
      <c r="QIH7" s="87"/>
      <c r="QII7" s="87"/>
      <c r="QIJ7" s="87"/>
      <c r="QIK7" s="87"/>
      <c r="QIL7" s="87"/>
      <c r="QIM7" s="87"/>
      <c r="QIN7" s="87"/>
      <c r="QIO7" s="87"/>
      <c r="QIP7" s="87"/>
      <c r="QIQ7" s="87"/>
      <c r="QIR7" s="87"/>
      <c r="QIS7" s="87"/>
      <c r="QIT7" s="87"/>
      <c r="QIU7" s="87"/>
      <c r="QIV7" s="87"/>
      <c r="QIW7" s="87"/>
      <c r="QIX7" s="87"/>
      <c r="QIY7" s="87"/>
      <c r="QIZ7" s="87"/>
      <c r="QJA7" s="87"/>
      <c r="QJB7" s="87"/>
      <c r="QJC7" s="87"/>
      <c r="QJD7" s="87"/>
      <c r="QJE7" s="87"/>
      <c r="QJF7" s="87"/>
      <c r="QJG7" s="87"/>
      <c r="QJH7" s="87"/>
      <c r="QJI7" s="87"/>
      <c r="QJJ7" s="87"/>
      <c r="QJK7" s="87"/>
      <c r="QJL7" s="87"/>
      <c r="QJM7" s="87"/>
      <c r="QJN7" s="87"/>
      <c r="QJO7" s="87"/>
      <c r="QJP7" s="87"/>
      <c r="QJQ7" s="87"/>
      <c r="QJR7" s="87"/>
      <c r="QJS7" s="87"/>
      <c r="QJT7" s="87"/>
      <c r="QJU7" s="87"/>
      <c r="QJV7" s="87"/>
      <c r="QJW7" s="87"/>
      <c r="QJX7" s="87"/>
      <c r="QJY7" s="87"/>
      <c r="QJZ7" s="87"/>
      <c r="QKA7" s="87"/>
      <c r="QKB7" s="87"/>
      <c r="QKC7" s="87"/>
      <c r="QKD7" s="87"/>
      <c r="QKE7" s="87"/>
      <c r="QKF7" s="87"/>
      <c r="QKG7" s="87"/>
      <c r="QKH7" s="87"/>
      <c r="QKI7" s="87"/>
      <c r="QKJ7" s="87"/>
      <c r="QKK7" s="87"/>
      <c r="QKL7" s="87"/>
      <c r="QKM7" s="87"/>
      <c r="QKN7" s="87"/>
      <c r="QKO7" s="87"/>
      <c r="QKP7" s="87"/>
      <c r="QKQ7" s="87"/>
      <c r="QKR7" s="87"/>
      <c r="QKS7" s="87"/>
      <c r="QKT7" s="87"/>
      <c r="QKU7" s="87"/>
      <c r="QKV7" s="87"/>
      <c r="QKW7" s="87"/>
      <c r="QKX7" s="87"/>
      <c r="QKY7" s="87"/>
      <c r="QKZ7" s="87"/>
      <c r="QLA7" s="87"/>
      <c r="QLB7" s="87"/>
      <c r="QLC7" s="87"/>
      <c r="QLD7" s="87"/>
      <c r="QLE7" s="87"/>
      <c r="QLF7" s="87"/>
      <c r="QLG7" s="87"/>
      <c r="QLH7" s="87"/>
      <c r="QLI7" s="87"/>
      <c r="QLJ7" s="87"/>
      <c r="QLK7" s="87"/>
      <c r="QLL7" s="87"/>
      <c r="QLM7" s="87"/>
      <c r="QLN7" s="87"/>
      <c r="QLO7" s="87"/>
      <c r="QLP7" s="87"/>
      <c r="QLQ7" s="87"/>
      <c r="QLR7" s="87"/>
      <c r="QLS7" s="87"/>
      <c r="QLT7" s="87"/>
      <c r="QLU7" s="87"/>
      <c r="QLV7" s="87"/>
      <c r="QLW7" s="87"/>
      <c r="QLX7" s="87"/>
      <c r="QLY7" s="87"/>
      <c r="QLZ7" s="87"/>
      <c r="QMA7" s="87"/>
      <c r="QMB7" s="87"/>
      <c r="QMC7" s="87"/>
      <c r="QMD7" s="87"/>
      <c r="QME7" s="87"/>
      <c r="QMF7" s="87"/>
      <c r="QMG7" s="87"/>
      <c r="QMH7" s="87"/>
      <c r="QMI7" s="87"/>
      <c r="QMJ7" s="87"/>
      <c r="QMK7" s="87"/>
      <c r="QML7" s="87"/>
      <c r="QMM7" s="87"/>
      <c r="QMN7" s="87"/>
      <c r="QMO7" s="87"/>
      <c r="QMP7" s="87"/>
      <c r="QMQ7" s="87"/>
      <c r="QMR7" s="87"/>
      <c r="QMS7" s="87"/>
      <c r="QMT7" s="87"/>
      <c r="QMU7" s="87"/>
      <c r="QMV7" s="87"/>
      <c r="QMW7" s="87"/>
      <c r="QMX7" s="87"/>
      <c r="QMY7" s="87"/>
      <c r="QMZ7" s="87"/>
      <c r="QNA7" s="87"/>
      <c r="QNB7" s="87"/>
      <c r="QNC7" s="87"/>
      <c r="QND7" s="87"/>
      <c r="QNE7" s="87"/>
      <c r="QNF7" s="87"/>
      <c r="QNG7" s="87"/>
      <c r="QNH7" s="87"/>
      <c r="QNI7" s="87"/>
      <c r="QNJ7" s="87"/>
      <c r="QNK7" s="87"/>
      <c r="QNL7" s="87"/>
      <c r="QNM7" s="87"/>
      <c r="QNN7" s="87"/>
      <c r="QNO7" s="87"/>
      <c r="QNP7" s="87"/>
      <c r="QNQ7" s="87"/>
      <c r="QNR7" s="87"/>
      <c r="QNS7" s="87"/>
      <c r="QNT7" s="87"/>
      <c r="QNU7" s="87"/>
      <c r="QNV7" s="87"/>
      <c r="QNW7" s="87"/>
      <c r="QNX7" s="87"/>
      <c r="QNY7" s="87"/>
      <c r="QNZ7" s="87"/>
      <c r="QOA7" s="87"/>
      <c r="QOB7" s="87"/>
      <c r="QOC7" s="87"/>
      <c r="QOD7" s="87"/>
      <c r="QOE7" s="87"/>
      <c r="QOF7" s="87"/>
      <c r="QOG7" s="87"/>
      <c r="QOH7" s="87"/>
      <c r="QOI7" s="87"/>
      <c r="QOJ7" s="87"/>
      <c r="QOK7" s="87"/>
      <c r="QOL7" s="87"/>
      <c r="QOM7" s="87"/>
      <c r="QON7" s="87"/>
      <c r="QOO7" s="87"/>
      <c r="QOP7" s="87"/>
      <c r="QOQ7" s="87"/>
      <c r="QOR7" s="87"/>
      <c r="QOS7" s="87"/>
      <c r="QOT7" s="87"/>
      <c r="QOU7" s="87"/>
      <c r="QOV7" s="87"/>
      <c r="QOW7" s="87"/>
      <c r="QOX7" s="87"/>
      <c r="QOY7" s="87"/>
      <c r="QOZ7" s="87"/>
      <c r="QPA7" s="87"/>
      <c r="QPB7" s="87"/>
      <c r="QPC7" s="87"/>
      <c r="QPD7" s="87"/>
      <c r="QPE7" s="87"/>
      <c r="QPF7" s="87"/>
      <c r="QPG7" s="87"/>
      <c r="QPH7" s="87"/>
      <c r="QPI7" s="87"/>
      <c r="QPJ7" s="87"/>
      <c r="QPK7" s="87"/>
      <c r="QPL7" s="87"/>
      <c r="QPM7" s="87"/>
      <c r="QPN7" s="87"/>
      <c r="QPO7" s="87"/>
      <c r="QPP7" s="87"/>
      <c r="QPQ7" s="87"/>
      <c r="QPR7" s="87"/>
      <c r="QPS7" s="87"/>
      <c r="QPT7" s="87"/>
      <c r="QPU7" s="87"/>
      <c r="QPV7" s="87"/>
      <c r="QPW7" s="87"/>
      <c r="QPX7" s="87"/>
      <c r="QPY7" s="87"/>
      <c r="QPZ7" s="87"/>
      <c r="QQA7" s="87"/>
      <c r="QQB7" s="87"/>
      <c r="QQC7" s="87"/>
      <c r="QQD7" s="87"/>
      <c r="QQE7" s="87"/>
      <c r="QQF7" s="87"/>
      <c r="QQG7" s="87"/>
      <c r="QQH7" s="87"/>
      <c r="QQI7" s="87"/>
      <c r="QQJ7" s="87"/>
      <c r="QQK7" s="87"/>
      <c r="QQL7" s="87"/>
      <c r="QQM7" s="87"/>
      <c r="QQN7" s="87"/>
      <c r="QQO7" s="87"/>
      <c r="QQP7" s="87"/>
      <c r="QQQ7" s="87"/>
      <c r="QQR7" s="87"/>
      <c r="QQS7" s="87"/>
      <c r="QQT7" s="87"/>
      <c r="QQU7" s="87"/>
      <c r="QQV7" s="87"/>
      <c r="QQW7" s="87"/>
      <c r="QQX7" s="87"/>
      <c r="QQY7" s="87"/>
      <c r="QQZ7" s="87"/>
      <c r="QRA7" s="87"/>
      <c r="QRB7" s="87"/>
      <c r="QRC7" s="87"/>
      <c r="QRD7" s="87"/>
      <c r="QRE7" s="87"/>
      <c r="QRF7" s="87"/>
      <c r="QRG7" s="87"/>
      <c r="QRH7" s="87"/>
      <c r="QRI7" s="87"/>
      <c r="QRJ7" s="87"/>
      <c r="QRK7" s="87"/>
      <c r="QRL7" s="87"/>
      <c r="QRM7" s="87"/>
      <c r="QRN7" s="87"/>
      <c r="QRO7" s="87"/>
      <c r="QRP7" s="87"/>
      <c r="QRQ7" s="87"/>
      <c r="QRR7" s="87"/>
      <c r="QRS7" s="87"/>
      <c r="QRT7" s="87"/>
      <c r="QRU7" s="87"/>
      <c r="QRV7" s="87"/>
      <c r="QRW7" s="87"/>
      <c r="QRX7" s="87"/>
      <c r="QRY7" s="87"/>
      <c r="QRZ7" s="87"/>
      <c r="QSA7" s="87"/>
      <c r="QSB7" s="87"/>
      <c r="QSC7" s="87"/>
      <c r="QSD7" s="87"/>
      <c r="QSE7" s="87"/>
      <c r="QSF7" s="87"/>
      <c r="QSG7" s="87"/>
      <c r="QSH7" s="87"/>
      <c r="QSI7" s="87"/>
      <c r="QSJ7" s="87"/>
      <c r="QSK7" s="87"/>
      <c r="QSL7" s="87"/>
      <c r="QSM7" s="87"/>
      <c r="QSN7" s="87"/>
      <c r="QSO7" s="87"/>
      <c r="QSP7" s="87"/>
      <c r="QSQ7" s="87"/>
      <c r="QSR7" s="87"/>
      <c r="QSS7" s="87"/>
      <c r="QST7" s="87"/>
      <c r="QSU7" s="87"/>
      <c r="QSV7" s="87"/>
      <c r="QSW7" s="87"/>
      <c r="QSX7" s="87"/>
      <c r="QSY7" s="87"/>
      <c r="QSZ7" s="87"/>
      <c r="QTA7" s="87"/>
      <c r="QTB7" s="87"/>
      <c r="QTC7" s="87"/>
      <c r="QTD7" s="87"/>
      <c r="QTE7" s="87"/>
      <c r="QTF7" s="87"/>
      <c r="QTG7" s="87"/>
      <c r="QTH7" s="87"/>
      <c r="QTI7" s="87"/>
      <c r="QTJ7" s="87"/>
      <c r="QTK7" s="87"/>
      <c r="QTL7" s="87"/>
      <c r="QTM7" s="87"/>
      <c r="QTN7" s="87"/>
      <c r="QTO7" s="87"/>
      <c r="QTP7" s="87"/>
      <c r="QTQ7" s="87"/>
      <c r="QTR7" s="87"/>
      <c r="QTS7" s="87"/>
      <c r="QTT7" s="87"/>
      <c r="QTU7" s="87"/>
      <c r="QTV7" s="87"/>
      <c r="QTW7" s="87"/>
      <c r="QTX7" s="87"/>
      <c r="QTY7" s="87"/>
      <c r="QTZ7" s="87"/>
      <c r="QUA7" s="87"/>
      <c r="QUB7" s="87"/>
      <c r="QUC7" s="87"/>
      <c r="QUD7" s="87"/>
      <c r="QUE7" s="87"/>
      <c r="QUF7" s="87"/>
      <c r="QUG7" s="87"/>
      <c r="QUH7" s="87"/>
      <c r="QUI7" s="87"/>
      <c r="QUJ7" s="87"/>
      <c r="QUK7" s="87"/>
      <c r="QUL7" s="87"/>
      <c r="QUM7" s="87"/>
      <c r="QUN7" s="87"/>
      <c r="QUO7" s="87"/>
      <c r="QUP7" s="87"/>
      <c r="QUQ7" s="87"/>
      <c r="QUR7" s="87"/>
      <c r="QUS7" s="87"/>
      <c r="QUT7" s="87"/>
      <c r="QUU7" s="87"/>
      <c r="QUV7" s="87"/>
      <c r="QUW7" s="87"/>
      <c r="QUX7" s="87"/>
      <c r="QUY7" s="87"/>
      <c r="QUZ7" s="87"/>
      <c r="QVA7" s="87"/>
      <c r="QVB7" s="87"/>
      <c r="QVC7" s="87"/>
      <c r="QVD7" s="87"/>
      <c r="QVE7" s="87"/>
      <c r="QVF7" s="87"/>
      <c r="QVG7" s="87"/>
      <c r="QVH7" s="87"/>
      <c r="QVI7" s="87"/>
      <c r="QVJ7" s="87"/>
      <c r="QVK7" s="87"/>
      <c r="QVL7" s="87"/>
      <c r="QVM7" s="87"/>
      <c r="QVN7" s="87"/>
      <c r="QVO7" s="87"/>
      <c r="QVP7" s="87"/>
      <c r="QVQ7" s="87"/>
      <c r="QVR7" s="87"/>
      <c r="QVS7" s="87"/>
      <c r="QVT7" s="87"/>
      <c r="QVU7" s="87"/>
      <c r="QVV7" s="87"/>
      <c r="QVW7" s="87"/>
      <c r="QVX7" s="87"/>
      <c r="QVY7" s="87"/>
      <c r="QVZ7" s="87"/>
      <c r="QWA7" s="87"/>
      <c r="QWB7" s="87"/>
      <c r="QWC7" s="87"/>
      <c r="QWD7" s="87"/>
      <c r="QWE7" s="87"/>
      <c r="QWF7" s="87"/>
      <c r="QWG7" s="87"/>
      <c r="QWH7" s="87"/>
      <c r="QWI7" s="87"/>
      <c r="QWJ7" s="87"/>
      <c r="QWK7" s="87"/>
      <c r="QWL7" s="87"/>
      <c r="QWM7" s="87"/>
      <c r="QWN7" s="87"/>
      <c r="QWO7" s="87"/>
      <c r="QWP7" s="87"/>
      <c r="QWQ7" s="87"/>
      <c r="QWR7" s="87"/>
      <c r="QWS7" s="87"/>
      <c r="QWT7" s="87"/>
      <c r="QWU7" s="87"/>
      <c r="QWV7" s="87"/>
      <c r="QWW7" s="87"/>
      <c r="QWX7" s="87"/>
      <c r="QWY7" s="87"/>
      <c r="QWZ7" s="87"/>
      <c r="QXA7" s="87"/>
      <c r="QXB7" s="87"/>
      <c r="QXC7" s="87"/>
      <c r="QXD7" s="87"/>
      <c r="QXE7" s="87"/>
      <c r="QXF7" s="87"/>
      <c r="QXG7" s="87"/>
      <c r="QXH7" s="87"/>
      <c r="QXI7" s="87"/>
      <c r="QXJ7" s="87"/>
      <c r="QXK7" s="87"/>
      <c r="QXL7" s="87"/>
      <c r="QXM7" s="87"/>
      <c r="QXN7" s="87"/>
      <c r="QXO7" s="87"/>
      <c r="QXP7" s="87"/>
      <c r="QXQ7" s="87"/>
      <c r="QXR7" s="87"/>
      <c r="QXS7" s="87"/>
      <c r="QXT7" s="87"/>
      <c r="QXU7" s="87"/>
      <c r="QXV7" s="87"/>
      <c r="QXW7" s="87"/>
      <c r="QXX7" s="87"/>
      <c r="QXY7" s="87"/>
      <c r="QXZ7" s="87"/>
      <c r="QYA7" s="87"/>
      <c r="QYB7" s="87"/>
      <c r="QYC7" s="87"/>
      <c r="QYD7" s="87"/>
      <c r="QYE7" s="87"/>
      <c r="QYF7" s="87"/>
      <c r="QYG7" s="87"/>
      <c r="QYH7" s="87"/>
      <c r="QYI7" s="87"/>
      <c r="QYJ7" s="87"/>
      <c r="QYK7" s="87"/>
      <c r="QYL7" s="87"/>
      <c r="QYM7" s="87"/>
      <c r="QYN7" s="87"/>
      <c r="QYO7" s="87"/>
      <c r="QYP7" s="87"/>
      <c r="QYQ7" s="87"/>
      <c r="QYR7" s="87"/>
      <c r="QYS7" s="87"/>
      <c r="QYT7" s="87"/>
      <c r="QYU7" s="87"/>
      <c r="QYV7" s="87"/>
      <c r="QYW7" s="87"/>
      <c r="QYX7" s="87"/>
      <c r="QYY7" s="87"/>
      <c r="QYZ7" s="87"/>
      <c r="QZA7" s="87"/>
      <c r="QZB7" s="87"/>
      <c r="QZC7" s="87"/>
      <c r="QZD7" s="87"/>
      <c r="QZE7" s="87"/>
      <c r="QZF7" s="87"/>
      <c r="QZG7" s="87"/>
      <c r="QZH7" s="87"/>
      <c r="QZI7" s="87"/>
      <c r="QZJ7" s="87"/>
      <c r="QZK7" s="87"/>
      <c r="QZL7" s="87"/>
      <c r="QZM7" s="87"/>
      <c r="QZN7" s="87"/>
      <c r="QZO7" s="87"/>
      <c r="QZP7" s="87"/>
      <c r="QZQ7" s="87"/>
      <c r="QZR7" s="87"/>
      <c r="QZS7" s="87"/>
      <c r="QZT7" s="87"/>
      <c r="QZU7" s="87"/>
      <c r="QZV7" s="87"/>
      <c r="QZW7" s="87"/>
      <c r="QZX7" s="87"/>
      <c r="QZY7" s="87"/>
      <c r="QZZ7" s="87"/>
      <c r="RAA7" s="87"/>
      <c r="RAB7" s="87"/>
      <c r="RAC7" s="87"/>
      <c r="RAD7" s="87"/>
      <c r="RAE7" s="87"/>
      <c r="RAF7" s="87"/>
      <c r="RAG7" s="87"/>
      <c r="RAH7" s="87"/>
      <c r="RAI7" s="87"/>
      <c r="RAJ7" s="87"/>
      <c r="RAK7" s="87"/>
      <c r="RAL7" s="87"/>
      <c r="RAM7" s="87"/>
      <c r="RAN7" s="87"/>
      <c r="RAO7" s="87"/>
      <c r="RAP7" s="87"/>
      <c r="RAQ7" s="87"/>
      <c r="RAR7" s="87"/>
      <c r="RAS7" s="87"/>
      <c r="RAT7" s="87"/>
      <c r="RAU7" s="87"/>
      <c r="RAV7" s="87"/>
      <c r="RAW7" s="87"/>
      <c r="RAX7" s="87"/>
      <c r="RAY7" s="87"/>
      <c r="RAZ7" s="87"/>
      <c r="RBA7" s="87"/>
      <c r="RBB7" s="87"/>
      <c r="RBC7" s="87"/>
      <c r="RBD7" s="87"/>
      <c r="RBE7" s="87"/>
      <c r="RBF7" s="87"/>
      <c r="RBG7" s="87"/>
      <c r="RBH7" s="87"/>
      <c r="RBI7" s="87"/>
      <c r="RBJ7" s="87"/>
      <c r="RBK7" s="87"/>
      <c r="RBL7" s="87"/>
      <c r="RBM7" s="87"/>
      <c r="RBN7" s="87"/>
      <c r="RBO7" s="87"/>
      <c r="RBP7" s="87"/>
      <c r="RBQ7" s="87"/>
      <c r="RBR7" s="87"/>
      <c r="RBS7" s="87"/>
      <c r="RBT7" s="87"/>
      <c r="RBU7" s="87"/>
      <c r="RBV7" s="87"/>
      <c r="RBW7" s="87"/>
      <c r="RBX7" s="87"/>
      <c r="RBY7" s="87"/>
      <c r="RBZ7" s="87"/>
      <c r="RCA7" s="87"/>
      <c r="RCB7" s="87"/>
      <c r="RCC7" s="87"/>
      <c r="RCD7" s="87"/>
      <c r="RCE7" s="87"/>
      <c r="RCF7" s="87"/>
      <c r="RCG7" s="87"/>
      <c r="RCH7" s="87"/>
      <c r="RCI7" s="87"/>
      <c r="RCJ7" s="87"/>
      <c r="RCK7" s="87"/>
      <c r="RCL7" s="87"/>
      <c r="RCM7" s="87"/>
      <c r="RCN7" s="87"/>
      <c r="RCO7" s="87"/>
      <c r="RCP7" s="87"/>
      <c r="RCQ7" s="87"/>
      <c r="RCR7" s="87"/>
      <c r="RCS7" s="87"/>
      <c r="RCT7" s="87"/>
      <c r="RCU7" s="87"/>
      <c r="RCV7" s="87"/>
      <c r="RCW7" s="87"/>
      <c r="RCX7" s="87"/>
      <c r="RCY7" s="87"/>
      <c r="RCZ7" s="87"/>
      <c r="RDA7" s="87"/>
      <c r="RDB7" s="87"/>
      <c r="RDC7" s="87"/>
      <c r="RDD7" s="87"/>
      <c r="RDE7" s="87"/>
      <c r="RDF7" s="87"/>
      <c r="RDG7" s="87"/>
      <c r="RDH7" s="87"/>
      <c r="RDI7" s="87"/>
      <c r="RDJ7" s="87"/>
      <c r="RDK7" s="87"/>
      <c r="RDL7" s="87"/>
      <c r="RDM7" s="87"/>
      <c r="RDN7" s="87"/>
      <c r="RDO7" s="87"/>
      <c r="RDP7" s="87"/>
      <c r="RDQ7" s="87"/>
      <c r="RDR7" s="87"/>
      <c r="RDS7" s="87"/>
      <c r="RDT7" s="87"/>
      <c r="RDU7" s="87"/>
      <c r="RDV7" s="87"/>
      <c r="RDW7" s="87"/>
      <c r="RDX7" s="87"/>
      <c r="RDY7" s="87"/>
      <c r="RDZ7" s="87"/>
      <c r="REA7" s="87"/>
      <c r="REB7" s="87"/>
      <c r="REC7" s="87"/>
      <c r="RED7" s="87"/>
      <c r="REE7" s="87"/>
      <c r="REF7" s="87"/>
      <c r="REG7" s="87"/>
      <c r="REH7" s="87"/>
      <c r="REI7" s="87"/>
      <c r="REJ7" s="87"/>
      <c r="REK7" s="87"/>
      <c r="REL7" s="87"/>
      <c r="REM7" s="87"/>
      <c r="REN7" s="87"/>
      <c r="REO7" s="87"/>
      <c r="REP7" s="87"/>
      <c r="REQ7" s="87"/>
      <c r="RER7" s="87"/>
      <c r="RES7" s="87"/>
      <c r="RET7" s="87"/>
      <c r="REU7" s="87"/>
      <c r="REV7" s="87"/>
      <c r="REW7" s="87"/>
      <c r="REX7" s="87"/>
      <c r="REY7" s="87"/>
      <c r="REZ7" s="87"/>
      <c r="RFA7" s="87"/>
      <c r="RFB7" s="87"/>
      <c r="RFC7" s="87"/>
      <c r="RFD7" s="87"/>
      <c r="RFE7" s="87"/>
      <c r="RFF7" s="87"/>
      <c r="RFG7" s="87"/>
      <c r="RFH7" s="87"/>
      <c r="RFI7" s="87"/>
      <c r="RFJ7" s="87"/>
      <c r="RFK7" s="87"/>
      <c r="RFL7" s="87"/>
      <c r="RFM7" s="87"/>
      <c r="RFN7" s="87"/>
      <c r="RFO7" s="87"/>
      <c r="RFP7" s="87"/>
      <c r="RFQ7" s="87"/>
      <c r="RFR7" s="87"/>
      <c r="RFS7" s="87"/>
      <c r="RFT7" s="87"/>
      <c r="RFU7" s="87"/>
      <c r="RFV7" s="87"/>
      <c r="RFW7" s="87"/>
      <c r="RFX7" s="87"/>
      <c r="RFY7" s="87"/>
      <c r="RFZ7" s="87"/>
      <c r="RGA7" s="87"/>
      <c r="RGB7" s="87"/>
      <c r="RGC7" s="87"/>
      <c r="RGD7" s="87"/>
      <c r="RGE7" s="87"/>
      <c r="RGF7" s="87"/>
      <c r="RGG7" s="87"/>
      <c r="RGH7" s="87"/>
      <c r="RGI7" s="87"/>
      <c r="RGJ7" s="87"/>
      <c r="RGK7" s="87"/>
      <c r="RGL7" s="87"/>
      <c r="RGM7" s="87"/>
      <c r="RGN7" s="87"/>
      <c r="RGO7" s="87"/>
      <c r="RGP7" s="87"/>
      <c r="RGQ7" s="87"/>
      <c r="RGR7" s="87"/>
      <c r="RGS7" s="87"/>
      <c r="RGT7" s="87"/>
      <c r="RGU7" s="87"/>
      <c r="RGV7" s="87"/>
      <c r="RGW7" s="87"/>
      <c r="RGX7" s="87"/>
      <c r="RGY7" s="87"/>
      <c r="RGZ7" s="87"/>
      <c r="RHA7" s="87"/>
      <c r="RHB7" s="87"/>
      <c r="RHC7" s="87"/>
      <c r="RHD7" s="87"/>
      <c r="RHE7" s="87"/>
      <c r="RHF7" s="87"/>
      <c r="RHG7" s="87"/>
      <c r="RHH7" s="87"/>
      <c r="RHI7" s="87"/>
      <c r="RHJ7" s="87"/>
      <c r="RHK7" s="87"/>
      <c r="RHL7" s="87"/>
      <c r="RHM7" s="87"/>
      <c r="RHN7" s="87"/>
      <c r="RHO7" s="87"/>
      <c r="RHP7" s="87"/>
      <c r="RHQ7" s="87"/>
      <c r="RHR7" s="87"/>
      <c r="RHS7" s="87"/>
      <c r="RHT7" s="87"/>
      <c r="RHU7" s="87"/>
      <c r="RHV7" s="87"/>
      <c r="RHW7" s="87"/>
      <c r="RHX7" s="87"/>
      <c r="RHY7" s="87"/>
      <c r="RHZ7" s="87"/>
      <c r="RIA7" s="87"/>
      <c r="RIB7" s="87"/>
      <c r="RIC7" s="87"/>
      <c r="RID7" s="87"/>
      <c r="RIE7" s="87"/>
      <c r="RIF7" s="87"/>
      <c r="RIG7" s="87"/>
      <c r="RIH7" s="87"/>
      <c r="RII7" s="87"/>
      <c r="RIJ7" s="87"/>
      <c r="RIK7" s="87"/>
      <c r="RIL7" s="87"/>
      <c r="RIM7" s="87"/>
      <c r="RIN7" s="87"/>
      <c r="RIO7" s="87"/>
      <c r="RIP7" s="87"/>
      <c r="RIQ7" s="87"/>
      <c r="RIR7" s="87"/>
      <c r="RIS7" s="87"/>
      <c r="RIT7" s="87"/>
      <c r="RIU7" s="87"/>
      <c r="RIV7" s="87"/>
      <c r="RIW7" s="87"/>
      <c r="RIX7" s="87"/>
      <c r="RIY7" s="87"/>
      <c r="RIZ7" s="87"/>
      <c r="RJA7" s="87"/>
      <c r="RJB7" s="87"/>
      <c r="RJC7" s="87"/>
      <c r="RJD7" s="87"/>
      <c r="RJE7" s="87"/>
      <c r="RJF7" s="87"/>
      <c r="RJG7" s="87"/>
      <c r="RJH7" s="87"/>
      <c r="RJI7" s="87"/>
      <c r="RJJ7" s="87"/>
      <c r="RJK7" s="87"/>
      <c r="RJL7" s="87"/>
      <c r="RJM7" s="87"/>
      <c r="RJN7" s="87"/>
      <c r="RJO7" s="87"/>
      <c r="RJP7" s="87"/>
      <c r="RJQ7" s="87"/>
      <c r="RJR7" s="87"/>
      <c r="RJS7" s="87"/>
      <c r="RJT7" s="87"/>
      <c r="RJU7" s="87"/>
      <c r="RJV7" s="87"/>
      <c r="RJW7" s="87"/>
      <c r="RJX7" s="87"/>
      <c r="RJY7" s="87"/>
      <c r="RJZ7" s="87"/>
      <c r="RKA7" s="87"/>
      <c r="RKB7" s="87"/>
      <c r="RKC7" s="87"/>
      <c r="RKD7" s="87"/>
      <c r="RKE7" s="87"/>
      <c r="RKF7" s="87"/>
      <c r="RKG7" s="87"/>
      <c r="RKH7" s="87"/>
      <c r="RKI7" s="87"/>
      <c r="RKJ7" s="87"/>
      <c r="RKK7" s="87"/>
      <c r="RKL7" s="87"/>
      <c r="RKM7" s="87"/>
      <c r="RKN7" s="87"/>
      <c r="RKO7" s="87"/>
      <c r="RKP7" s="87"/>
      <c r="RKQ7" s="87"/>
      <c r="RKR7" s="87"/>
      <c r="RKS7" s="87"/>
      <c r="RKT7" s="87"/>
      <c r="RKU7" s="87"/>
      <c r="RKV7" s="87"/>
      <c r="RKW7" s="87"/>
      <c r="RKX7" s="87"/>
      <c r="RKY7" s="87"/>
      <c r="RKZ7" s="87"/>
      <c r="RLA7" s="87"/>
      <c r="RLB7" s="87"/>
      <c r="RLC7" s="87"/>
      <c r="RLD7" s="87"/>
      <c r="RLE7" s="87"/>
      <c r="RLF7" s="87"/>
      <c r="RLG7" s="87"/>
      <c r="RLH7" s="87"/>
      <c r="RLI7" s="87"/>
      <c r="RLJ7" s="87"/>
      <c r="RLK7" s="87"/>
      <c r="RLL7" s="87"/>
      <c r="RLM7" s="87"/>
      <c r="RLN7" s="87"/>
      <c r="RLO7" s="87"/>
      <c r="RLP7" s="87"/>
      <c r="RLQ7" s="87"/>
      <c r="RLR7" s="87"/>
      <c r="RLS7" s="87"/>
      <c r="RLT7" s="87"/>
      <c r="RLU7" s="87"/>
      <c r="RLV7" s="87"/>
      <c r="RLW7" s="87"/>
      <c r="RLX7" s="87"/>
      <c r="RLY7" s="87"/>
      <c r="RLZ7" s="87"/>
      <c r="RMA7" s="87"/>
      <c r="RMB7" s="87"/>
      <c r="RMC7" s="87"/>
      <c r="RMD7" s="87"/>
      <c r="RME7" s="87"/>
      <c r="RMF7" s="87"/>
      <c r="RMG7" s="87"/>
      <c r="RMH7" s="87"/>
      <c r="RMI7" s="87"/>
      <c r="RMJ7" s="87"/>
      <c r="RMK7" s="87"/>
      <c r="RML7" s="87"/>
      <c r="RMM7" s="87"/>
      <c r="RMN7" s="87"/>
      <c r="RMO7" s="87"/>
      <c r="RMP7" s="87"/>
      <c r="RMQ7" s="87"/>
      <c r="RMR7" s="87"/>
      <c r="RMS7" s="87"/>
      <c r="RMT7" s="87"/>
      <c r="RMU7" s="87"/>
      <c r="RMV7" s="87"/>
      <c r="RMW7" s="87"/>
      <c r="RMX7" s="87"/>
      <c r="RMY7" s="87"/>
      <c r="RMZ7" s="87"/>
      <c r="RNA7" s="87"/>
      <c r="RNB7" s="87"/>
      <c r="RNC7" s="87"/>
      <c r="RND7" s="87"/>
      <c r="RNE7" s="87"/>
      <c r="RNF7" s="87"/>
      <c r="RNG7" s="87"/>
      <c r="RNH7" s="87"/>
      <c r="RNI7" s="87"/>
      <c r="RNJ7" s="87"/>
      <c r="RNK7" s="87"/>
      <c r="RNL7" s="87"/>
      <c r="RNM7" s="87"/>
      <c r="RNN7" s="87"/>
      <c r="RNO7" s="87"/>
      <c r="RNP7" s="87"/>
      <c r="RNQ7" s="87"/>
      <c r="RNR7" s="87"/>
      <c r="RNS7" s="87"/>
      <c r="RNT7" s="87"/>
      <c r="RNU7" s="87"/>
      <c r="RNV7" s="87"/>
      <c r="RNW7" s="87"/>
      <c r="RNX7" s="87"/>
      <c r="RNY7" s="87"/>
      <c r="RNZ7" s="87"/>
      <c r="ROA7" s="87"/>
      <c r="ROB7" s="87"/>
      <c r="ROC7" s="87"/>
      <c r="ROD7" s="87"/>
      <c r="ROE7" s="87"/>
      <c r="ROF7" s="87"/>
      <c r="ROG7" s="87"/>
      <c r="ROH7" s="87"/>
      <c r="ROI7" s="87"/>
      <c r="ROJ7" s="87"/>
      <c r="ROK7" s="87"/>
      <c r="ROL7" s="87"/>
      <c r="ROM7" s="87"/>
      <c r="RON7" s="87"/>
      <c r="ROO7" s="87"/>
      <c r="ROP7" s="87"/>
      <c r="ROQ7" s="87"/>
      <c r="ROR7" s="87"/>
      <c r="ROS7" s="87"/>
      <c r="ROT7" s="87"/>
      <c r="ROU7" s="87"/>
      <c r="ROV7" s="87"/>
      <c r="ROW7" s="87"/>
      <c r="ROX7" s="87"/>
      <c r="ROY7" s="87"/>
      <c r="ROZ7" s="87"/>
      <c r="RPA7" s="87"/>
      <c r="RPB7" s="87"/>
      <c r="RPC7" s="87"/>
      <c r="RPD7" s="87"/>
      <c r="RPE7" s="87"/>
      <c r="RPF7" s="87"/>
      <c r="RPG7" s="87"/>
      <c r="RPH7" s="87"/>
      <c r="RPI7" s="87"/>
      <c r="RPJ7" s="87"/>
      <c r="RPK7" s="87"/>
      <c r="RPL7" s="87"/>
      <c r="RPM7" s="87"/>
      <c r="RPN7" s="87"/>
      <c r="RPO7" s="87"/>
      <c r="RPP7" s="87"/>
      <c r="RPQ7" s="87"/>
      <c r="RPR7" s="87"/>
      <c r="RPS7" s="87"/>
      <c r="RPT7" s="87"/>
      <c r="RPU7" s="87"/>
      <c r="RPV7" s="87"/>
      <c r="RPW7" s="87"/>
      <c r="RPX7" s="87"/>
      <c r="RPY7" s="87"/>
      <c r="RPZ7" s="87"/>
      <c r="RQA7" s="87"/>
      <c r="RQB7" s="87"/>
      <c r="RQC7" s="87"/>
      <c r="RQD7" s="87"/>
      <c r="RQE7" s="87"/>
      <c r="RQF7" s="87"/>
      <c r="RQG7" s="87"/>
      <c r="RQH7" s="87"/>
      <c r="RQI7" s="87"/>
      <c r="RQJ7" s="87"/>
      <c r="RQK7" s="87"/>
      <c r="RQL7" s="87"/>
      <c r="RQM7" s="87"/>
      <c r="RQN7" s="87"/>
      <c r="RQO7" s="87"/>
      <c r="RQP7" s="87"/>
      <c r="RQQ7" s="87"/>
      <c r="RQR7" s="87"/>
      <c r="RQS7" s="87"/>
      <c r="RQT7" s="87"/>
      <c r="RQU7" s="87"/>
      <c r="RQV7" s="87"/>
      <c r="RQW7" s="87"/>
      <c r="RQX7" s="87"/>
      <c r="RQY7" s="87"/>
      <c r="RQZ7" s="87"/>
      <c r="RRA7" s="87"/>
      <c r="RRB7" s="87"/>
      <c r="RRC7" s="87"/>
      <c r="RRD7" s="87"/>
      <c r="RRE7" s="87"/>
      <c r="RRF7" s="87"/>
      <c r="RRG7" s="87"/>
      <c r="RRH7" s="87"/>
      <c r="RRI7" s="87"/>
      <c r="RRJ7" s="87"/>
      <c r="RRK7" s="87"/>
      <c r="RRL7" s="87"/>
      <c r="RRM7" s="87"/>
      <c r="RRN7" s="87"/>
      <c r="RRO7" s="87"/>
      <c r="RRP7" s="87"/>
      <c r="RRQ7" s="87"/>
      <c r="RRR7" s="87"/>
      <c r="RRS7" s="87"/>
      <c r="RRT7" s="87"/>
      <c r="RRU7" s="87"/>
      <c r="RRV7" s="87"/>
      <c r="RRW7" s="87"/>
      <c r="RRX7" s="87"/>
      <c r="RRY7" s="87"/>
      <c r="RRZ7" s="87"/>
      <c r="RSA7" s="87"/>
      <c r="RSB7" s="87"/>
      <c r="RSC7" s="87"/>
      <c r="RSD7" s="87"/>
      <c r="RSE7" s="87"/>
      <c r="RSF7" s="87"/>
      <c r="RSG7" s="87"/>
      <c r="RSH7" s="87"/>
      <c r="RSI7" s="87"/>
      <c r="RSJ7" s="87"/>
      <c r="RSK7" s="87"/>
      <c r="RSL7" s="87"/>
      <c r="RSM7" s="87"/>
      <c r="RSN7" s="87"/>
      <c r="RSO7" s="87"/>
      <c r="RSP7" s="87"/>
      <c r="RSQ7" s="87"/>
      <c r="RSR7" s="87"/>
      <c r="RSS7" s="87"/>
      <c r="RST7" s="87"/>
      <c r="RSU7" s="87"/>
      <c r="RSV7" s="87"/>
      <c r="RSW7" s="87"/>
      <c r="RSX7" s="87"/>
      <c r="RSY7" s="87"/>
      <c r="RSZ7" s="87"/>
      <c r="RTA7" s="87"/>
      <c r="RTB7" s="87"/>
      <c r="RTC7" s="87"/>
      <c r="RTD7" s="87"/>
      <c r="RTE7" s="87"/>
      <c r="RTF7" s="87"/>
      <c r="RTG7" s="87"/>
      <c r="RTH7" s="87"/>
      <c r="RTI7" s="87"/>
      <c r="RTJ7" s="87"/>
      <c r="RTK7" s="87"/>
      <c r="RTL7" s="87"/>
      <c r="RTM7" s="87"/>
      <c r="RTN7" s="87"/>
      <c r="RTO7" s="87"/>
      <c r="RTP7" s="87"/>
      <c r="RTQ7" s="87"/>
      <c r="RTR7" s="87"/>
      <c r="RTS7" s="87"/>
      <c r="RTT7" s="87"/>
      <c r="RTU7" s="87"/>
      <c r="RTV7" s="87"/>
      <c r="RTW7" s="87"/>
      <c r="RTX7" s="87"/>
      <c r="RTY7" s="87"/>
      <c r="RTZ7" s="87"/>
      <c r="RUA7" s="87"/>
      <c r="RUB7" s="87"/>
      <c r="RUC7" s="87"/>
      <c r="RUD7" s="87"/>
      <c r="RUE7" s="87"/>
      <c r="RUF7" s="87"/>
      <c r="RUG7" s="87"/>
      <c r="RUH7" s="87"/>
      <c r="RUI7" s="87"/>
      <c r="RUJ7" s="87"/>
      <c r="RUK7" s="87"/>
      <c r="RUL7" s="87"/>
      <c r="RUM7" s="87"/>
      <c r="RUN7" s="87"/>
      <c r="RUO7" s="87"/>
      <c r="RUP7" s="87"/>
      <c r="RUQ7" s="87"/>
      <c r="RUR7" s="87"/>
      <c r="RUS7" s="87"/>
      <c r="RUT7" s="87"/>
      <c r="RUU7" s="87"/>
      <c r="RUV7" s="87"/>
      <c r="RUW7" s="87"/>
      <c r="RUX7" s="87"/>
      <c r="RUY7" s="87"/>
      <c r="RUZ7" s="87"/>
      <c r="RVA7" s="87"/>
      <c r="RVB7" s="87"/>
      <c r="RVC7" s="87"/>
      <c r="RVD7" s="87"/>
      <c r="RVE7" s="87"/>
      <c r="RVF7" s="87"/>
      <c r="RVG7" s="87"/>
      <c r="RVH7" s="87"/>
      <c r="RVI7" s="87"/>
      <c r="RVJ7" s="87"/>
      <c r="RVK7" s="87"/>
      <c r="RVL7" s="87"/>
      <c r="RVM7" s="87"/>
      <c r="RVN7" s="87"/>
      <c r="RVO7" s="87"/>
      <c r="RVP7" s="87"/>
      <c r="RVQ7" s="87"/>
      <c r="RVR7" s="87"/>
      <c r="RVS7" s="87"/>
      <c r="RVT7" s="87"/>
      <c r="RVU7" s="87"/>
      <c r="RVV7" s="87"/>
      <c r="RVW7" s="87"/>
      <c r="RVX7" s="87"/>
      <c r="RVY7" s="87"/>
      <c r="RVZ7" s="87"/>
      <c r="RWA7" s="87"/>
      <c r="RWB7" s="87"/>
      <c r="RWC7" s="87"/>
      <c r="RWD7" s="87"/>
      <c r="RWE7" s="87"/>
      <c r="RWF7" s="87"/>
      <c r="RWG7" s="87"/>
      <c r="RWH7" s="87"/>
      <c r="RWI7" s="87"/>
      <c r="RWJ7" s="87"/>
      <c r="RWK7" s="87"/>
      <c r="RWL7" s="87"/>
      <c r="RWM7" s="87"/>
      <c r="RWN7" s="87"/>
      <c r="RWO7" s="87"/>
      <c r="RWP7" s="87"/>
      <c r="RWQ7" s="87"/>
      <c r="RWR7" s="87"/>
      <c r="RWS7" s="87"/>
      <c r="RWT7" s="87"/>
      <c r="RWU7" s="87"/>
      <c r="RWV7" s="87"/>
      <c r="RWW7" s="87"/>
      <c r="RWX7" s="87"/>
      <c r="RWY7" s="87"/>
      <c r="RWZ7" s="87"/>
      <c r="RXA7" s="87"/>
      <c r="RXB7" s="87"/>
      <c r="RXC7" s="87"/>
      <c r="RXD7" s="87"/>
      <c r="RXE7" s="87"/>
      <c r="RXF7" s="87"/>
      <c r="RXG7" s="87"/>
      <c r="RXH7" s="87"/>
      <c r="RXI7" s="87"/>
      <c r="RXJ7" s="87"/>
      <c r="RXK7" s="87"/>
      <c r="RXL7" s="87"/>
      <c r="RXM7" s="87"/>
      <c r="RXN7" s="87"/>
      <c r="RXO7" s="87"/>
      <c r="RXP7" s="87"/>
      <c r="RXQ7" s="87"/>
      <c r="RXR7" s="87"/>
      <c r="RXS7" s="87"/>
      <c r="RXT7" s="87"/>
      <c r="RXU7" s="87"/>
      <c r="RXV7" s="87"/>
      <c r="RXW7" s="87"/>
      <c r="RXX7" s="87"/>
      <c r="RXY7" s="87"/>
      <c r="RXZ7" s="87"/>
      <c r="RYA7" s="87"/>
      <c r="RYB7" s="87"/>
      <c r="RYC7" s="87"/>
      <c r="RYD7" s="87"/>
      <c r="RYE7" s="87"/>
      <c r="RYF7" s="87"/>
      <c r="RYG7" s="87"/>
      <c r="RYH7" s="87"/>
      <c r="RYI7" s="87"/>
      <c r="RYJ7" s="87"/>
      <c r="RYK7" s="87"/>
      <c r="RYL7" s="87"/>
      <c r="RYM7" s="87"/>
      <c r="RYN7" s="87"/>
      <c r="RYO7" s="87"/>
      <c r="RYP7" s="87"/>
      <c r="RYQ7" s="87"/>
      <c r="RYR7" s="87"/>
      <c r="RYS7" s="87"/>
      <c r="RYT7" s="87"/>
      <c r="RYU7" s="87"/>
      <c r="RYV7" s="87"/>
      <c r="RYW7" s="87"/>
      <c r="RYX7" s="87"/>
      <c r="RYY7" s="87"/>
      <c r="RYZ7" s="87"/>
      <c r="RZA7" s="87"/>
      <c r="RZB7" s="87"/>
      <c r="RZC7" s="87"/>
      <c r="RZD7" s="87"/>
      <c r="RZE7" s="87"/>
      <c r="RZF7" s="87"/>
      <c r="RZG7" s="87"/>
      <c r="RZH7" s="87"/>
      <c r="RZI7" s="87"/>
      <c r="RZJ7" s="87"/>
      <c r="RZK7" s="87"/>
      <c r="RZL7" s="87"/>
      <c r="RZM7" s="87"/>
      <c r="RZN7" s="87"/>
      <c r="RZO7" s="87"/>
      <c r="RZP7" s="87"/>
      <c r="RZQ7" s="87"/>
      <c r="RZR7" s="87"/>
      <c r="RZS7" s="87"/>
      <c r="RZT7" s="87"/>
      <c r="RZU7" s="87"/>
      <c r="RZV7" s="87"/>
      <c r="RZW7" s="87"/>
      <c r="RZX7" s="87"/>
      <c r="RZY7" s="87"/>
      <c r="RZZ7" s="87"/>
      <c r="SAA7" s="87"/>
      <c r="SAB7" s="87"/>
      <c r="SAC7" s="87"/>
      <c r="SAD7" s="87"/>
      <c r="SAE7" s="87"/>
      <c r="SAF7" s="87"/>
      <c r="SAG7" s="87"/>
      <c r="SAH7" s="87"/>
      <c r="SAI7" s="87"/>
      <c r="SAJ7" s="87"/>
      <c r="SAK7" s="87"/>
      <c r="SAL7" s="87"/>
      <c r="SAM7" s="87"/>
      <c r="SAN7" s="87"/>
      <c r="SAO7" s="87"/>
      <c r="SAP7" s="87"/>
      <c r="SAQ7" s="87"/>
      <c r="SAR7" s="87"/>
      <c r="SAS7" s="87"/>
      <c r="SAT7" s="87"/>
      <c r="SAU7" s="87"/>
      <c r="SAV7" s="87"/>
      <c r="SAW7" s="87"/>
      <c r="SAX7" s="87"/>
      <c r="SAY7" s="87"/>
      <c r="SAZ7" s="87"/>
      <c r="SBA7" s="87"/>
      <c r="SBB7" s="87"/>
      <c r="SBC7" s="87"/>
      <c r="SBD7" s="87"/>
      <c r="SBE7" s="87"/>
      <c r="SBF7" s="87"/>
      <c r="SBG7" s="87"/>
      <c r="SBH7" s="87"/>
      <c r="SBI7" s="87"/>
      <c r="SBJ7" s="87"/>
      <c r="SBK7" s="87"/>
      <c r="SBL7" s="87"/>
      <c r="SBM7" s="87"/>
      <c r="SBN7" s="87"/>
      <c r="SBO7" s="87"/>
      <c r="SBP7" s="87"/>
      <c r="SBQ7" s="87"/>
      <c r="SBR7" s="87"/>
      <c r="SBS7" s="87"/>
      <c r="SBT7" s="87"/>
      <c r="SBU7" s="87"/>
      <c r="SBV7" s="87"/>
      <c r="SBW7" s="87"/>
      <c r="SBX7" s="87"/>
      <c r="SBY7" s="87"/>
      <c r="SBZ7" s="87"/>
      <c r="SCA7" s="87"/>
      <c r="SCB7" s="87"/>
      <c r="SCC7" s="87"/>
      <c r="SCD7" s="87"/>
      <c r="SCE7" s="87"/>
      <c r="SCF7" s="87"/>
      <c r="SCG7" s="87"/>
      <c r="SCH7" s="87"/>
      <c r="SCI7" s="87"/>
      <c r="SCJ7" s="87"/>
      <c r="SCK7" s="87"/>
      <c r="SCL7" s="87"/>
      <c r="SCM7" s="87"/>
      <c r="SCN7" s="87"/>
      <c r="SCO7" s="87"/>
      <c r="SCP7" s="87"/>
      <c r="SCQ7" s="87"/>
      <c r="SCR7" s="87"/>
      <c r="SCS7" s="87"/>
      <c r="SCT7" s="87"/>
      <c r="SCU7" s="87"/>
      <c r="SCV7" s="87"/>
      <c r="SCW7" s="87"/>
      <c r="SCX7" s="87"/>
      <c r="SCY7" s="87"/>
      <c r="SCZ7" s="87"/>
      <c r="SDA7" s="87"/>
      <c r="SDB7" s="87"/>
      <c r="SDC7" s="87"/>
      <c r="SDD7" s="87"/>
      <c r="SDE7" s="87"/>
      <c r="SDF7" s="87"/>
      <c r="SDG7" s="87"/>
      <c r="SDH7" s="87"/>
      <c r="SDI7" s="87"/>
      <c r="SDJ7" s="87"/>
      <c r="SDK7" s="87"/>
      <c r="SDL7" s="87"/>
      <c r="SDM7" s="87"/>
      <c r="SDN7" s="87"/>
      <c r="SDO7" s="87"/>
      <c r="SDP7" s="87"/>
      <c r="SDQ7" s="87"/>
      <c r="SDR7" s="87"/>
      <c r="SDS7" s="87"/>
      <c r="SDT7" s="87"/>
      <c r="SDU7" s="87"/>
      <c r="SDV7" s="87"/>
      <c r="SDW7" s="87"/>
      <c r="SDX7" s="87"/>
      <c r="SDY7" s="87"/>
      <c r="SDZ7" s="87"/>
      <c r="SEA7" s="87"/>
      <c r="SEB7" s="87"/>
      <c r="SEC7" s="87"/>
      <c r="SED7" s="87"/>
      <c r="SEE7" s="87"/>
      <c r="SEF7" s="87"/>
      <c r="SEG7" s="87"/>
      <c r="SEH7" s="87"/>
      <c r="SEI7" s="87"/>
      <c r="SEJ7" s="87"/>
      <c r="SEK7" s="87"/>
      <c r="SEL7" s="87"/>
      <c r="SEM7" s="87"/>
      <c r="SEN7" s="87"/>
      <c r="SEO7" s="87"/>
      <c r="SEP7" s="87"/>
      <c r="SEQ7" s="87"/>
      <c r="SER7" s="87"/>
      <c r="SES7" s="87"/>
      <c r="SET7" s="87"/>
      <c r="SEU7" s="87"/>
      <c r="SEV7" s="87"/>
      <c r="SEW7" s="87"/>
      <c r="SEX7" s="87"/>
      <c r="SEY7" s="87"/>
      <c r="SEZ7" s="87"/>
      <c r="SFA7" s="87"/>
      <c r="SFB7" s="87"/>
      <c r="SFC7" s="87"/>
      <c r="SFD7" s="87"/>
      <c r="SFE7" s="87"/>
      <c r="SFF7" s="87"/>
      <c r="SFG7" s="87"/>
      <c r="SFH7" s="87"/>
      <c r="SFI7" s="87"/>
      <c r="SFJ7" s="87"/>
      <c r="SFK7" s="87"/>
      <c r="SFL7" s="87"/>
      <c r="SFM7" s="87"/>
      <c r="SFN7" s="87"/>
      <c r="SFO7" s="87"/>
      <c r="SFP7" s="87"/>
      <c r="SFQ7" s="87"/>
      <c r="SFR7" s="87"/>
      <c r="SFS7" s="87"/>
      <c r="SFT7" s="87"/>
      <c r="SFU7" s="87"/>
      <c r="SFV7" s="87"/>
      <c r="SFW7" s="87"/>
      <c r="SFX7" s="87"/>
      <c r="SFY7" s="87"/>
      <c r="SFZ7" s="87"/>
      <c r="SGA7" s="87"/>
      <c r="SGB7" s="87"/>
      <c r="SGC7" s="87"/>
      <c r="SGD7" s="87"/>
      <c r="SGE7" s="87"/>
      <c r="SGF7" s="87"/>
      <c r="SGG7" s="87"/>
      <c r="SGH7" s="87"/>
      <c r="SGI7" s="87"/>
      <c r="SGJ7" s="87"/>
      <c r="SGK7" s="87"/>
      <c r="SGL7" s="87"/>
      <c r="SGM7" s="87"/>
      <c r="SGN7" s="87"/>
      <c r="SGO7" s="87"/>
      <c r="SGP7" s="87"/>
      <c r="SGQ7" s="87"/>
      <c r="SGR7" s="87"/>
      <c r="SGS7" s="87"/>
      <c r="SGT7" s="87"/>
      <c r="SGU7" s="87"/>
      <c r="SGV7" s="87"/>
      <c r="SGW7" s="87"/>
      <c r="SGX7" s="87"/>
      <c r="SGY7" s="87"/>
      <c r="SGZ7" s="87"/>
      <c r="SHA7" s="87"/>
      <c r="SHB7" s="87"/>
      <c r="SHC7" s="87"/>
      <c r="SHD7" s="87"/>
      <c r="SHE7" s="87"/>
      <c r="SHF7" s="87"/>
      <c r="SHG7" s="87"/>
      <c r="SHH7" s="87"/>
      <c r="SHI7" s="87"/>
      <c r="SHJ7" s="87"/>
      <c r="SHK7" s="87"/>
      <c r="SHL7" s="87"/>
      <c r="SHM7" s="87"/>
      <c r="SHN7" s="87"/>
      <c r="SHO7" s="87"/>
      <c r="SHP7" s="87"/>
      <c r="SHQ7" s="87"/>
      <c r="SHR7" s="87"/>
      <c r="SHS7" s="87"/>
      <c r="SHT7" s="87"/>
      <c r="SHU7" s="87"/>
      <c r="SHV7" s="87"/>
      <c r="SHW7" s="87"/>
      <c r="SHX7" s="87"/>
      <c r="SHY7" s="87"/>
      <c r="SHZ7" s="87"/>
      <c r="SIA7" s="87"/>
      <c r="SIB7" s="87"/>
      <c r="SIC7" s="87"/>
      <c r="SID7" s="87"/>
      <c r="SIE7" s="87"/>
      <c r="SIF7" s="87"/>
      <c r="SIG7" s="87"/>
      <c r="SIH7" s="87"/>
      <c r="SII7" s="87"/>
      <c r="SIJ7" s="87"/>
      <c r="SIK7" s="87"/>
      <c r="SIL7" s="87"/>
      <c r="SIM7" s="87"/>
      <c r="SIN7" s="87"/>
      <c r="SIO7" s="87"/>
      <c r="SIP7" s="87"/>
      <c r="SIQ7" s="87"/>
      <c r="SIR7" s="87"/>
      <c r="SIS7" s="87"/>
      <c r="SIT7" s="87"/>
      <c r="SIU7" s="87"/>
      <c r="SIV7" s="87"/>
      <c r="SIW7" s="87"/>
      <c r="SIX7" s="87"/>
      <c r="SIY7" s="87"/>
      <c r="SIZ7" s="87"/>
      <c r="SJA7" s="87"/>
      <c r="SJB7" s="87"/>
      <c r="SJC7" s="87"/>
      <c r="SJD7" s="87"/>
      <c r="SJE7" s="87"/>
      <c r="SJF7" s="87"/>
      <c r="SJG7" s="87"/>
      <c r="SJH7" s="87"/>
      <c r="SJI7" s="87"/>
      <c r="SJJ7" s="87"/>
      <c r="SJK7" s="87"/>
      <c r="SJL7" s="87"/>
      <c r="SJM7" s="87"/>
      <c r="SJN7" s="87"/>
      <c r="SJO7" s="87"/>
      <c r="SJP7" s="87"/>
      <c r="SJQ7" s="87"/>
      <c r="SJR7" s="87"/>
      <c r="SJS7" s="87"/>
      <c r="SJT7" s="87"/>
      <c r="SJU7" s="87"/>
      <c r="SJV7" s="87"/>
      <c r="SJW7" s="87"/>
      <c r="SJX7" s="87"/>
      <c r="SJY7" s="87"/>
      <c r="SJZ7" s="87"/>
      <c r="SKA7" s="87"/>
      <c r="SKB7" s="87"/>
      <c r="SKC7" s="87"/>
      <c r="SKD7" s="87"/>
      <c r="SKE7" s="87"/>
      <c r="SKF7" s="87"/>
      <c r="SKG7" s="87"/>
      <c r="SKH7" s="87"/>
      <c r="SKI7" s="87"/>
      <c r="SKJ7" s="87"/>
      <c r="SKK7" s="87"/>
      <c r="SKL7" s="87"/>
      <c r="SKM7" s="87"/>
      <c r="SKN7" s="87"/>
      <c r="SKO7" s="87"/>
      <c r="SKP7" s="87"/>
      <c r="SKQ7" s="87"/>
      <c r="SKR7" s="87"/>
      <c r="SKS7" s="87"/>
      <c r="SKT7" s="87"/>
      <c r="SKU7" s="87"/>
      <c r="SKV7" s="87"/>
      <c r="SKW7" s="87"/>
      <c r="SKX7" s="87"/>
      <c r="SKY7" s="87"/>
      <c r="SKZ7" s="87"/>
      <c r="SLA7" s="87"/>
      <c r="SLB7" s="87"/>
      <c r="SLC7" s="87"/>
      <c r="SLD7" s="87"/>
      <c r="SLE7" s="87"/>
      <c r="SLF7" s="87"/>
      <c r="SLG7" s="87"/>
      <c r="SLH7" s="87"/>
      <c r="SLI7" s="87"/>
      <c r="SLJ7" s="87"/>
      <c r="SLK7" s="87"/>
      <c r="SLL7" s="87"/>
      <c r="SLM7" s="87"/>
      <c r="SLN7" s="87"/>
      <c r="SLO7" s="87"/>
      <c r="SLP7" s="87"/>
      <c r="SLQ7" s="87"/>
      <c r="SLR7" s="87"/>
      <c r="SLS7" s="87"/>
      <c r="SLT7" s="87"/>
      <c r="SLU7" s="87"/>
      <c r="SLV7" s="87"/>
      <c r="SLW7" s="87"/>
      <c r="SLX7" s="87"/>
      <c r="SLY7" s="87"/>
      <c r="SLZ7" s="87"/>
      <c r="SMA7" s="87"/>
      <c r="SMB7" s="87"/>
      <c r="SMC7" s="87"/>
      <c r="SMD7" s="87"/>
      <c r="SME7" s="87"/>
      <c r="SMF7" s="87"/>
      <c r="SMG7" s="87"/>
      <c r="SMH7" s="87"/>
      <c r="SMI7" s="87"/>
      <c r="SMJ7" s="87"/>
      <c r="SMK7" s="87"/>
      <c r="SML7" s="87"/>
      <c r="SMM7" s="87"/>
      <c r="SMN7" s="87"/>
      <c r="SMO7" s="87"/>
      <c r="SMP7" s="87"/>
      <c r="SMQ7" s="87"/>
      <c r="SMR7" s="87"/>
      <c r="SMS7" s="87"/>
      <c r="SMT7" s="87"/>
      <c r="SMU7" s="87"/>
      <c r="SMV7" s="87"/>
      <c r="SMW7" s="87"/>
      <c r="SMX7" s="87"/>
      <c r="SMY7" s="87"/>
      <c r="SMZ7" s="87"/>
      <c r="SNA7" s="87"/>
      <c r="SNB7" s="87"/>
      <c r="SNC7" s="87"/>
      <c r="SND7" s="87"/>
      <c r="SNE7" s="87"/>
      <c r="SNF7" s="87"/>
      <c r="SNG7" s="87"/>
      <c r="SNH7" s="87"/>
      <c r="SNI7" s="87"/>
      <c r="SNJ7" s="87"/>
      <c r="SNK7" s="87"/>
      <c r="SNL7" s="87"/>
      <c r="SNM7" s="87"/>
      <c r="SNN7" s="87"/>
      <c r="SNO7" s="87"/>
      <c r="SNP7" s="87"/>
      <c r="SNQ7" s="87"/>
      <c r="SNR7" s="87"/>
      <c r="SNS7" s="87"/>
      <c r="SNT7" s="87"/>
      <c r="SNU7" s="87"/>
      <c r="SNV7" s="87"/>
      <c r="SNW7" s="87"/>
      <c r="SNX7" s="87"/>
      <c r="SNY7" s="87"/>
      <c r="SNZ7" s="87"/>
      <c r="SOA7" s="87"/>
      <c r="SOB7" s="87"/>
      <c r="SOC7" s="87"/>
      <c r="SOD7" s="87"/>
      <c r="SOE7" s="87"/>
      <c r="SOF7" s="87"/>
      <c r="SOG7" s="87"/>
      <c r="SOH7" s="87"/>
      <c r="SOI7" s="87"/>
      <c r="SOJ7" s="87"/>
      <c r="SOK7" s="87"/>
      <c r="SOL7" s="87"/>
      <c r="SOM7" s="87"/>
      <c r="SON7" s="87"/>
      <c r="SOO7" s="87"/>
      <c r="SOP7" s="87"/>
      <c r="SOQ7" s="87"/>
      <c r="SOR7" s="87"/>
      <c r="SOS7" s="87"/>
      <c r="SOT7" s="87"/>
      <c r="SOU7" s="87"/>
      <c r="SOV7" s="87"/>
      <c r="SOW7" s="87"/>
      <c r="SOX7" s="87"/>
      <c r="SOY7" s="87"/>
      <c r="SOZ7" s="87"/>
      <c r="SPA7" s="87"/>
      <c r="SPB7" s="87"/>
      <c r="SPC7" s="87"/>
      <c r="SPD7" s="87"/>
      <c r="SPE7" s="87"/>
      <c r="SPF7" s="87"/>
      <c r="SPG7" s="87"/>
      <c r="SPH7" s="87"/>
      <c r="SPI7" s="87"/>
      <c r="SPJ7" s="87"/>
      <c r="SPK7" s="87"/>
      <c r="SPL7" s="87"/>
      <c r="SPM7" s="87"/>
      <c r="SPN7" s="87"/>
      <c r="SPO7" s="87"/>
      <c r="SPP7" s="87"/>
      <c r="SPQ7" s="87"/>
      <c r="SPR7" s="87"/>
      <c r="SPS7" s="87"/>
      <c r="SPT7" s="87"/>
      <c r="SPU7" s="87"/>
      <c r="SPV7" s="87"/>
      <c r="SPW7" s="87"/>
      <c r="SPX7" s="87"/>
      <c r="SPY7" s="87"/>
      <c r="SPZ7" s="87"/>
      <c r="SQA7" s="87"/>
      <c r="SQB7" s="87"/>
      <c r="SQC7" s="87"/>
      <c r="SQD7" s="87"/>
      <c r="SQE7" s="87"/>
      <c r="SQF7" s="87"/>
      <c r="SQG7" s="87"/>
      <c r="SQH7" s="87"/>
      <c r="SQI7" s="87"/>
      <c r="SQJ7" s="87"/>
      <c r="SQK7" s="87"/>
      <c r="SQL7" s="87"/>
      <c r="SQM7" s="87"/>
      <c r="SQN7" s="87"/>
      <c r="SQO7" s="87"/>
      <c r="SQP7" s="87"/>
      <c r="SQQ7" s="87"/>
      <c r="SQR7" s="87"/>
      <c r="SQS7" s="87"/>
      <c r="SQT7" s="87"/>
      <c r="SQU7" s="87"/>
      <c r="SQV7" s="87"/>
      <c r="SQW7" s="87"/>
      <c r="SQX7" s="87"/>
      <c r="SQY7" s="87"/>
      <c r="SQZ7" s="87"/>
      <c r="SRA7" s="87"/>
      <c r="SRB7" s="87"/>
      <c r="SRC7" s="87"/>
      <c r="SRD7" s="87"/>
      <c r="SRE7" s="87"/>
      <c r="SRF7" s="87"/>
      <c r="SRG7" s="87"/>
      <c r="SRH7" s="87"/>
      <c r="SRI7" s="87"/>
      <c r="SRJ7" s="87"/>
      <c r="SRK7" s="87"/>
      <c r="SRL7" s="87"/>
      <c r="SRM7" s="87"/>
      <c r="SRN7" s="87"/>
      <c r="SRO7" s="87"/>
      <c r="SRP7" s="87"/>
      <c r="SRQ7" s="87"/>
      <c r="SRR7" s="87"/>
      <c r="SRS7" s="87"/>
      <c r="SRT7" s="87"/>
      <c r="SRU7" s="87"/>
      <c r="SRV7" s="87"/>
      <c r="SRW7" s="87"/>
      <c r="SRX7" s="87"/>
      <c r="SRY7" s="87"/>
      <c r="SRZ7" s="87"/>
      <c r="SSA7" s="87"/>
      <c r="SSB7" s="87"/>
      <c r="SSC7" s="87"/>
      <c r="SSD7" s="87"/>
      <c r="SSE7" s="87"/>
      <c r="SSF7" s="87"/>
      <c r="SSG7" s="87"/>
      <c r="SSH7" s="87"/>
      <c r="SSI7" s="87"/>
      <c r="SSJ7" s="87"/>
      <c r="SSK7" s="87"/>
      <c r="SSL7" s="87"/>
      <c r="SSM7" s="87"/>
      <c r="SSN7" s="87"/>
      <c r="SSO7" s="87"/>
      <c r="SSP7" s="87"/>
      <c r="SSQ7" s="87"/>
      <c r="SSR7" s="87"/>
      <c r="SSS7" s="87"/>
      <c r="SST7" s="87"/>
      <c r="SSU7" s="87"/>
      <c r="SSV7" s="87"/>
      <c r="SSW7" s="87"/>
      <c r="SSX7" s="87"/>
      <c r="SSY7" s="87"/>
      <c r="SSZ7" s="87"/>
      <c r="STA7" s="87"/>
      <c r="STB7" s="87"/>
      <c r="STC7" s="87"/>
      <c r="STD7" s="87"/>
      <c r="STE7" s="87"/>
      <c r="STF7" s="87"/>
      <c r="STG7" s="87"/>
      <c r="STH7" s="87"/>
      <c r="STI7" s="87"/>
      <c r="STJ7" s="87"/>
      <c r="STK7" s="87"/>
      <c r="STL7" s="87"/>
      <c r="STM7" s="87"/>
      <c r="STN7" s="87"/>
      <c r="STO7" s="87"/>
      <c r="STP7" s="87"/>
      <c r="STQ7" s="87"/>
      <c r="STR7" s="87"/>
      <c r="STS7" s="87"/>
      <c r="STT7" s="87"/>
      <c r="STU7" s="87"/>
      <c r="STV7" s="87"/>
      <c r="STW7" s="87"/>
      <c r="STX7" s="87"/>
      <c r="STY7" s="87"/>
      <c r="STZ7" s="87"/>
      <c r="SUA7" s="87"/>
      <c r="SUB7" s="87"/>
      <c r="SUC7" s="87"/>
      <c r="SUD7" s="87"/>
      <c r="SUE7" s="87"/>
      <c r="SUF7" s="87"/>
      <c r="SUG7" s="87"/>
      <c r="SUH7" s="87"/>
      <c r="SUI7" s="87"/>
      <c r="SUJ7" s="87"/>
      <c r="SUK7" s="87"/>
      <c r="SUL7" s="87"/>
      <c r="SUM7" s="87"/>
      <c r="SUN7" s="87"/>
      <c r="SUO7" s="87"/>
      <c r="SUP7" s="87"/>
      <c r="SUQ7" s="87"/>
      <c r="SUR7" s="87"/>
      <c r="SUS7" s="87"/>
      <c r="SUT7" s="87"/>
      <c r="SUU7" s="87"/>
      <c r="SUV7" s="87"/>
      <c r="SUW7" s="87"/>
      <c r="SUX7" s="87"/>
      <c r="SUY7" s="87"/>
      <c r="SUZ7" s="87"/>
      <c r="SVA7" s="87"/>
      <c r="SVB7" s="87"/>
      <c r="SVC7" s="87"/>
      <c r="SVD7" s="87"/>
      <c r="SVE7" s="87"/>
      <c r="SVF7" s="87"/>
      <c r="SVG7" s="87"/>
      <c r="SVH7" s="87"/>
      <c r="SVI7" s="87"/>
      <c r="SVJ7" s="87"/>
      <c r="SVK7" s="87"/>
      <c r="SVL7" s="87"/>
      <c r="SVM7" s="87"/>
      <c r="SVN7" s="87"/>
      <c r="SVO7" s="87"/>
      <c r="SVP7" s="87"/>
      <c r="SVQ7" s="87"/>
      <c r="SVR7" s="87"/>
      <c r="SVS7" s="87"/>
      <c r="SVT7" s="87"/>
      <c r="SVU7" s="87"/>
      <c r="SVV7" s="87"/>
      <c r="SVW7" s="87"/>
      <c r="SVX7" s="87"/>
      <c r="SVY7" s="87"/>
      <c r="SVZ7" s="87"/>
      <c r="SWA7" s="87"/>
      <c r="SWB7" s="87"/>
      <c r="SWC7" s="87"/>
      <c r="SWD7" s="87"/>
      <c r="SWE7" s="87"/>
      <c r="SWF7" s="87"/>
      <c r="SWG7" s="87"/>
      <c r="SWH7" s="87"/>
      <c r="SWI7" s="87"/>
      <c r="SWJ7" s="87"/>
      <c r="SWK7" s="87"/>
      <c r="SWL7" s="87"/>
      <c r="SWM7" s="87"/>
      <c r="SWN7" s="87"/>
      <c r="SWO7" s="87"/>
      <c r="SWP7" s="87"/>
      <c r="SWQ7" s="87"/>
      <c r="SWR7" s="87"/>
      <c r="SWS7" s="87"/>
      <c r="SWT7" s="87"/>
      <c r="SWU7" s="87"/>
      <c r="SWV7" s="87"/>
      <c r="SWW7" s="87"/>
      <c r="SWX7" s="87"/>
      <c r="SWY7" s="87"/>
      <c r="SWZ7" s="87"/>
      <c r="SXA7" s="87"/>
      <c r="SXB7" s="87"/>
      <c r="SXC7" s="87"/>
      <c r="SXD7" s="87"/>
      <c r="SXE7" s="87"/>
      <c r="SXF7" s="87"/>
      <c r="SXG7" s="87"/>
      <c r="SXH7" s="87"/>
      <c r="SXI7" s="87"/>
      <c r="SXJ7" s="87"/>
      <c r="SXK7" s="87"/>
      <c r="SXL7" s="87"/>
      <c r="SXM7" s="87"/>
      <c r="SXN7" s="87"/>
      <c r="SXO7" s="87"/>
      <c r="SXP7" s="87"/>
      <c r="SXQ7" s="87"/>
      <c r="SXR7" s="87"/>
      <c r="SXS7" s="87"/>
      <c r="SXT7" s="87"/>
      <c r="SXU7" s="87"/>
      <c r="SXV7" s="87"/>
      <c r="SXW7" s="87"/>
      <c r="SXX7" s="87"/>
      <c r="SXY7" s="87"/>
      <c r="SXZ7" s="87"/>
      <c r="SYA7" s="87"/>
      <c r="SYB7" s="87"/>
      <c r="SYC7" s="87"/>
      <c r="SYD7" s="87"/>
      <c r="SYE7" s="87"/>
      <c r="SYF7" s="87"/>
      <c r="SYG7" s="87"/>
      <c r="SYH7" s="87"/>
      <c r="SYI7" s="87"/>
      <c r="SYJ7" s="87"/>
      <c r="SYK7" s="87"/>
      <c r="SYL7" s="87"/>
      <c r="SYM7" s="87"/>
      <c r="SYN7" s="87"/>
      <c r="SYO7" s="87"/>
      <c r="SYP7" s="87"/>
      <c r="SYQ7" s="87"/>
      <c r="SYR7" s="87"/>
      <c r="SYS7" s="87"/>
      <c r="SYT7" s="87"/>
      <c r="SYU7" s="87"/>
      <c r="SYV7" s="87"/>
      <c r="SYW7" s="87"/>
      <c r="SYX7" s="87"/>
      <c r="SYY7" s="87"/>
      <c r="SYZ7" s="87"/>
      <c r="SZA7" s="87"/>
      <c r="SZB7" s="87"/>
      <c r="SZC7" s="87"/>
      <c r="SZD7" s="87"/>
      <c r="SZE7" s="87"/>
      <c r="SZF7" s="87"/>
      <c r="SZG7" s="87"/>
      <c r="SZH7" s="87"/>
      <c r="SZI7" s="87"/>
      <c r="SZJ7" s="87"/>
      <c r="SZK7" s="87"/>
      <c r="SZL7" s="87"/>
      <c r="SZM7" s="87"/>
      <c r="SZN7" s="87"/>
      <c r="SZO7" s="87"/>
      <c r="SZP7" s="87"/>
      <c r="SZQ7" s="87"/>
      <c r="SZR7" s="87"/>
      <c r="SZS7" s="87"/>
      <c r="SZT7" s="87"/>
      <c r="SZU7" s="87"/>
      <c r="SZV7" s="87"/>
      <c r="SZW7" s="87"/>
      <c r="SZX7" s="87"/>
      <c r="SZY7" s="87"/>
      <c r="SZZ7" s="87"/>
      <c r="TAA7" s="87"/>
      <c r="TAB7" s="87"/>
      <c r="TAC7" s="87"/>
      <c r="TAD7" s="87"/>
      <c r="TAE7" s="87"/>
      <c r="TAF7" s="87"/>
      <c r="TAG7" s="87"/>
      <c r="TAH7" s="87"/>
      <c r="TAI7" s="87"/>
      <c r="TAJ7" s="87"/>
      <c r="TAK7" s="87"/>
      <c r="TAL7" s="87"/>
      <c r="TAM7" s="87"/>
      <c r="TAN7" s="87"/>
      <c r="TAO7" s="87"/>
      <c r="TAP7" s="87"/>
      <c r="TAQ7" s="87"/>
      <c r="TAR7" s="87"/>
      <c r="TAS7" s="87"/>
      <c r="TAT7" s="87"/>
      <c r="TAU7" s="87"/>
      <c r="TAV7" s="87"/>
      <c r="TAW7" s="87"/>
      <c r="TAX7" s="87"/>
      <c r="TAY7" s="87"/>
      <c r="TAZ7" s="87"/>
      <c r="TBA7" s="87"/>
      <c r="TBB7" s="87"/>
      <c r="TBC7" s="87"/>
      <c r="TBD7" s="87"/>
      <c r="TBE7" s="87"/>
      <c r="TBF7" s="87"/>
      <c r="TBG7" s="87"/>
      <c r="TBH7" s="87"/>
      <c r="TBI7" s="87"/>
      <c r="TBJ7" s="87"/>
      <c r="TBK7" s="87"/>
      <c r="TBL7" s="87"/>
      <c r="TBM7" s="87"/>
      <c r="TBN7" s="87"/>
      <c r="TBO7" s="87"/>
      <c r="TBP7" s="87"/>
      <c r="TBQ7" s="87"/>
      <c r="TBR7" s="87"/>
      <c r="TBS7" s="87"/>
      <c r="TBT7" s="87"/>
      <c r="TBU7" s="87"/>
      <c r="TBV7" s="87"/>
      <c r="TBW7" s="87"/>
      <c r="TBX7" s="87"/>
      <c r="TBY7" s="87"/>
      <c r="TBZ7" s="87"/>
      <c r="TCA7" s="87"/>
      <c r="TCB7" s="87"/>
      <c r="TCC7" s="87"/>
      <c r="TCD7" s="87"/>
      <c r="TCE7" s="87"/>
      <c r="TCF7" s="87"/>
      <c r="TCG7" s="87"/>
      <c r="TCH7" s="87"/>
      <c r="TCI7" s="87"/>
      <c r="TCJ7" s="87"/>
      <c r="TCK7" s="87"/>
      <c r="TCL7" s="87"/>
      <c r="TCM7" s="87"/>
      <c r="TCN7" s="87"/>
      <c r="TCO7" s="87"/>
      <c r="TCP7" s="87"/>
      <c r="TCQ7" s="87"/>
      <c r="TCR7" s="87"/>
      <c r="TCS7" s="87"/>
      <c r="TCT7" s="87"/>
      <c r="TCU7" s="87"/>
      <c r="TCV7" s="87"/>
      <c r="TCW7" s="87"/>
      <c r="TCX7" s="87"/>
      <c r="TCY7" s="87"/>
      <c r="TCZ7" s="87"/>
      <c r="TDA7" s="87"/>
      <c r="TDB7" s="87"/>
      <c r="TDC7" s="87"/>
      <c r="TDD7" s="87"/>
      <c r="TDE7" s="87"/>
      <c r="TDF7" s="87"/>
      <c r="TDG7" s="87"/>
      <c r="TDH7" s="87"/>
      <c r="TDI7" s="87"/>
      <c r="TDJ7" s="87"/>
      <c r="TDK7" s="87"/>
      <c r="TDL7" s="87"/>
      <c r="TDM7" s="87"/>
      <c r="TDN7" s="87"/>
      <c r="TDO7" s="87"/>
      <c r="TDP7" s="87"/>
      <c r="TDQ7" s="87"/>
      <c r="TDR7" s="87"/>
      <c r="TDS7" s="87"/>
      <c r="TDT7" s="87"/>
      <c r="TDU7" s="87"/>
      <c r="TDV7" s="87"/>
      <c r="TDW7" s="87"/>
      <c r="TDX7" s="87"/>
      <c r="TDY7" s="87"/>
      <c r="TDZ7" s="87"/>
      <c r="TEA7" s="87"/>
      <c r="TEB7" s="87"/>
      <c r="TEC7" s="87"/>
      <c r="TED7" s="87"/>
      <c r="TEE7" s="87"/>
      <c r="TEF7" s="87"/>
      <c r="TEG7" s="87"/>
      <c r="TEH7" s="87"/>
      <c r="TEI7" s="87"/>
      <c r="TEJ7" s="87"/>
      <c r="TEK7" s="87"/>
      <c r="TEL7" s="87"/>
      <c r="TEM7" s="87"/>
      <c r="TEN7" s="87"/>
      <c r="TEO7" s="87"/>
      <c r="TEP7" s="87"/>
      <c r="TEQ7" s="87"/>
      <c r="TER7" s="87"/>
      <c r="TES7" s="87"/>
      <c r="TET7" s="87"/>
      <c r="TEU7" s="87"/>
      <c r="TEV7" s="87"/>
      <c r="TEW7" s="87"/>
      <c r="TEX7" s="87"/>
      <c r="TEY7" s="87"/>
      <c r="TEZ7" s="87"/>
      <c r="TFA7" s="87"/>
      <c r="TFB7" s="87"/>
      <c r="TFC7" s="87"/>
      <c r="TFD7" s="87"/>
      <c r="TFE7" s="87"/>
      <c r="TFF7" s="87"/>
      <c r="TFG7" s="87"/>
      <c r="TFH7" s="87"/>
      <c r="TFI7" s="87"/>
      <c r="TFJ7" s="87"/>
      <c r="TFK7" s="87"/>
      <c r="TFL7" s="87"/>
      <c r="TFM7" s="87"/>
      <c r="TFN7" s="87"/>
      <c r="TFO7" s="87"/>
      <c r="TFP7" s="87"/>
      <c r="TFQ7" s="87"/>
      <c r="TFR7" s="87"/>
      <c r="TFS7" s="87"/>
      <c r="TFT7" s="87"/>
      <c r="TFU7" s="87"/>
      <c r="TFV7" s="87"/>
      <c r="TFW7" s="87"/>
      <c r="TFX7" s="87"/>
      <c r="TFY7" s="87"/>
      <c r="TFZ7" s="87"/>
      <c r="TGA7" s="87"/>
      <c r="TGB7" s="87"/>
      <c r="TGC7" s="87"/>
      <c r="TGD7" s="87"/>
      <c r="TGE7" s="87"/>
      <c r="TGF7" s="87"/>
      <c r="TGG7" s="87"/>
      <c r="TGH7" s="87"/>
      <c r="TGI7" s="87"/>
      <c r="TGJ7" s="87"/>
      <c r="TGK7" s="87"/>
      <c r="TGL7" s="87"/>
      <c r="TGM7" s="87"/>
      <c r="TGN7" s="87"/>
      <c r="TGO7" s="87"/>
      <c r="TGP7" s="87"/>
      <c r="TGQ7" s="87"/>
      <c r="TGR7" s="87"/>
      <c r="TGS7" s="87"/>
      <c r="TGT7" s="87"/>
      <c r="TGU7" s="87"/>
      <c r="TGV7" s="87"/>
      <c r="TGW7" s="87"/>
      <c r="TGX7" s="87"/>
      <c r="TGY7" s="87"/>
      <c r="TGZ7" s="87"/>
      <c r="THA7" s="87"/>
      <c r="THB7" s="87"/>
      <c r="THC7" s="87"/>
      <c r="THD7" s="87"/>
      <c r="THE7" s="87"/>
      <c r="THF7" s="87"/>
      <c r="THG7" s="87"/>
      <c r="THH7" s="87"/>
      <c r="THI7" s="87"/>
      <c r="THJ7" s="87"/>
      <c r="THK7" s="87"/>
      <c r="THL7" s="87"/>
      <c r="THM7" s="87"/>
      <c r="THN7" s="87"/>
      <c r="THO7" s="87"/>
      <c r="THP7" s="87"/>
      <c r="THQ7" s="87"/>
      <c r="THR7" s="87"/>
      <c r="THS7" s="87"/>
      <c r="THT7" s="87"/>
      <c r="THU7" s="87"/>
      <c r="THV7" s="87"/>
      <c r="THW7" s="87"/>
      <c r="THX7" s="87"/>
      <c r="THY7" s="87"/>
      <c r="THZ7" s="87"/>
      <c r="TIA7" s="87"/>
      <c r="TIB7" s="87"/>
      <c r="TIC7" s="87"/>
      <c r="TID7" s="87"/>
      <c r="TIE7" s="87"/>
      <c r="TIF7" s="87"/>
      <c r="TIG7" s="87"/>
      <c r="TIH7" s="87"/>
      <c r="TII7" s="87"/>
      <c r="TIJ7" s="87"/>
      <c r="TIK7" s="87"/>
      <c r="TIL7" s="87"/>
      <c r="TIM7" s="87"/>
      <c r="TIN7" s="87"/>
      <c r="TIO7" s="87"/>
      <c r="TIP7" s="87"/>
      <c r="TIQ7" s="87"/>
      <c r="TIR7" s="87"/>
      <c r="TIS7" s="87"/>
      <c r="TIT7" s="87"/>
      <c r="TIU7" s="87"/>
      <c r="TIV7" s="87"/>
      <c r="TIW7" s="87"/>
      <c r="TIX7" s="87"/>
      <c r="TIY7" s="87"/>
      <c r="TIZ7" s="87"/>
      <c r="TJA7" s="87"/>
      <c r="TJB7" s="87"/>
      <c r="TJC7" s="87"/>
      <c r="TJD7" s="87"/>
      <c r="TJE7" s="87"/>
      <c r="TJF7" s="87"/>
      <c r="TJG7" s="87"/>
      <c r="TJH7" s="87"/>
      <c r="TJI7" s="87"/>
      <c r="TJJ7" s="87"/>
      <c r="TJK7" s="87"/>
      <c r="TJL7" s="87"/>
      <c r="TJM7" s="87"/>
      <c r="TJN7" s="87"/>
      <c r="TJO7" s="87"/>
      <c r="TJP7" s="87"/>
      <c r="TJQ7" s="87"/>
      <c r="TJR7" s="87"/>
      <c r="TJS7" s="87"/>
      <c r="TJT7" s="87"/>
      <c r="TJU7" s="87"/>
      <c r="TJV7" s="87"/>
      <c r="TJW7" s="87"/>
      <c r="TJX7" s="87"/>
      <c r="TJY7" s="87"/>
      <c r="TJZ7" s="87"/>
      <c r="TKA7" s="87"/>
      <c r="TKB7" s="87"/>
      <c r="TKC7" s="87"/>
      <c r="TKD7" s="87"/>
      <c r="TKE7" s="87"/>
      <c r="TKF7" s="87"/>
      <c r="TKG7" s="87"/>
      <c r="TKH7" s="87"/>
      <c r="TKI7" s="87"/>
      <c r="TKJ7" s="87"/>
      <c r="TKK7" s="87"/>
      <c r="TKL7" s="87"/>
      <c r="TKM7" s="87"/>
      <c r="TKN7" s="87"/>
      <c r="TKO7" s="87"/>
      <c r="TKP7" s="87"/>
      <c r="TKQ7" s="87"/>
      <c r="TKR7" s="87"/>
      <c r="TKS7" s="87"/>
      <c r="TKT7" s="87"/>
      <c r="TKU7" s="87"/>
      <c r="TKV7" s="87"/>
      <c r="TKW7" s="87"/>
      <c r="TKX7" s="87"/>
      <c r="TKY7" s="87"/>
      <c r="TKZ7" s="87"/>
      <c r="TLA7" s="87"/>
      <c r="TLB7" s="87"/>
      <c r="TLC7" s="87"/>
      <c r="TLD7" s="87"/>
      <c r="TLE7" s="87"/>
      <c r="TLF7" s="87"/>
      <c r="TLG7" s="87"/>
      <c r="TLH7" s="87"/>
      <c r="TLI7" s="87"/>
      <c r="TLJ7" s="87"/>
      <c r="TLK7" s="87"/>
      <c r="TLL7" s="87"/>
      <c r="TLM7" s="87"/>
      <c r="TLN7" s="87"/>
      <c r="TLO7" s="87"/>
      <c r="TLP7" s="87"/>
      <c r="TLQ7" s="87"/>
      <c r="TLR7" s="87"/>
      <c r="TLS7" s="87"/>
      <c r="TLT7" s="87"/>
      <c r="TLU7" s="87"/>
      <c r="TLV7" s="87"/>
      <c r="TLW7" s="87"/>
      <c r="TLX7" s="87"/>
      <c r="TLY7" s="87"/>
      <c r="TLZ7" s="87"/>
      <c r="TMA7" s="87"/>
      <c r="TMB7" s="87"/>
      <c r="TMC7" s="87"/>
      <c r="TMD7" s="87"/>
      <c r="TME7" s="87"/>
      <c r="TMF7" s="87"/>
      <c r="TMG7" s="87"/>
      <c r="TMH7" s="87"/>
      <c r="TMI7" s="87"/>
      <c r="TMJ7" s="87"/>
      <c r="TMK7" s="87"/>
      <c r="TML7" s="87"/>
      <c r="TMM7" s="87"/>
      <c r="TMN7" s="87"/>
      <c r="TMO7" s="87"/>
      <c r="TMP7" s="87"/>
      <c r="TMQ7" s="87"/>
      <c r="TMR7" s="87"/>
      <c r="TMS7" s="87"/>
      <c r="TMT7" s="87"/>
      <c r="TMU7" s="87"/>
      <c r="TMV7" s="87"/>
      <c r="TMW7" s="87"/>
      <c r="TMX7" s="87"/>
      <c r="TMY7" s="87"/>
      <c r="TMZ7" s="87"/>
      <c r="TNA7" s="87"/>
      <c r="TNB7" s="87"/>
      <c r="TNC7" s="87"/>
      <c r="TND7" s="87"/>
      <c r="TNE7" s="87"/>
      <c r="TNF7" s="87"/>
      <c r="TNG7" s="87"/>
      <c r="TNH7" s="87"/>
      <c r="TNI7" s="87"/>
      <c r="TNJ7" s="87"/>
      <c r="TNK7" s="87"/>
      <c r="TNL7" s="87"/>
      <c r="TNM7" s="87"/>
      <c r="TNN7" s="87"/>
      <c r="TNO7" s="87"/>
      <c r="TNP7" s="87"/>
      <c r="TNQ7" s="87"/>
      <c r="TNR7" s="87"/>
      <c r="TNS7" s="87"/>
      <c r="TNT7" s="87"/>
      <c r="TNU7" s="87"/>
      <c r="TNV7" s="87"/>
      <c r="TNW7" s="87"/>
      <c r="TNX7" s="87"/>
      <c r="TNY7" s="87"/>
      <c r="TNZ7" s="87"/>
      <c r="TOA7" s="87"/>
      <c r="TOB7" s="87"/>
      <c r="TOC7" s="87"/>
      <c r="TOD7" s="87"/>
      <c r="TOE7" s="87"/>
      <c r="TOF7" s="87"/>
      <c r="TOG7" s="87"/>
      <c r="TOH7" s="87"/>
      <c r="TOI7" s="87"/>
      <c r="TOJ7" s="87"/>
      <c r="TOK7" s="87"/>
      <c r="TOL7" s="87"/>
      <c r="TOM7" s="87"/>
      <c r="TON7" s="87"/>
      <c r="TOO7" s="87"/>
      <c r="TOP7" s="87"/>
      <c r="TOQ7" s="87"/>
      <c r="TOR7" s="87"/>
      <c r="TOS7" s="87"/>
      <c r="TOT7" s="87"/>
      <c r="TOU7" s="87"/>
      <c r="TOV7" s="87"/>
      <c r="TOW7" s="87"/>
      <c r="TOX7" s="87"/>
      <c r="TOY7" s="87"/>
      <c r="TOZ7" s="87"/>
      <c r="TPA7" s="87"/>
      <c r="TPB7" s="87"/>
      <c r="TPC7" s="87"/>
      <c r="TPD7" s="87"/>
      <c r="TPE7" s="87"/>
      <c r="TPF7" s="87"/>
      <c r="TPG7" s="87"/>
      <c r="TPH7" s="87"/>
      <c r="TPI7" s="87"/>
      <c r="TPJ7" s="87"/>
      <c r="TPK7" s="87"/>
      <c r="TPL7" s="87"/>
      <c r="TPM7" s="87"/>
      <c r="TPN7" s="87"/>
      <c r="TPO7" s="87"/>
      <c r="TPP7" s="87"/>
      <c r="TPQ7" s="87"/>
      <c r="TPR7" s="87"/>
      <c r="TPS7" s="87"/>
      <c r="TPT7" s="87"/>
      <c r="TPU7" s="87"/>
      <c r="TPV7" s="87"/>
      <c r="TPW7" s="87"/>
      <c r="TPX7" s="87"/>
      <c r="TPY7" s="87"/>
      <c r="TPZ7" s="87"/>
      <c r="TQA7" s="87"/>
      <c r="TQB7" s="87"/>
      <c r="TQC7" s="87"/>
      <c r="TQD7" s="87"/>
      <c r="TQE7" s="87"/>
      <c r="TQF7" s="87"/>
      <c r="TQG7" s="87"/>
      <c r="TQH7" s="87"/>
      <c r="TQI7" s="87"/>
      <c r="TQJ7" s="87"/>
      <c r="TQK7" s="87"/>
      <c r="TQL7" s="87"/>
      <c r="TQM7" s="87"/>
      <c r="TQN7" s="87"/>
      <c r="TQO7" s="87"/>
      <c r="TQP7" s="87"/>
      <c r="TQQ7" s="87"/>
      <c r="TQR7" s="87"/>
      <c r="TQS7" s="87"/>
      <c r="TQT7" s="87"/>
      <c r="TQU7" s="87"/>
      <c r="TQV7" s="87"/>
      <c r="TQW7" s="87"/>
      <c r="TQX7" s="87"/>
      <c r="TQY7" s="87"/>
      <c r="TQZ7" s="87"/>
      <c r="TRA7" s="87"/>
      <c r="TRB7" s="87"/>
      <c r="TRC7" s="87"/>
      <c r="TRD7" s="87"/>
      <c r="TRE7" s="87"/>
      <c r="TRF7" s="87"/>
      <c r="TRG7" s="87"/>
      <c r="TRH7" s="87"/>
      <c r="TRI7" s="87"/>
      <c r="TRJ7" s="87"/>
      <c r="TRK7" s="87"/>
      <c r="TRL7" s="87"/>
      <c r="TRM7" s="87"/>
      <c r="TRN7" s="87"/>
      <c r="TRO7" s="87"/>
      <c r="TRP7" s="87"/>
      <c r="TRQ7" s="87"/>
      <c r="TRR7" s="87"/>
      <c r="TRS7" s="87"/>
      <c r="TRT7" s="87"/>
      <c r="TRU7" s="87"/>
      <c r="TRV7" s="87"/>
      <c r="TRW7" s="87"/>
      <c r="TRX7" s="87"/>
      <c r="TRY7" s="87"/>
      <c r="TRZ7" s="87"/>
      <c r="TSA7" s="87"/>
      <c r="TSB7" s="87"/>
      <c r="TSC7" s="87"/>
      <c r="TSD7" s="87"/>
      <c r="TSE7" s="87"/>
      <c r="TSF7" s="87"/>
      <c r="TSG7" s="87"/>
      <c r="TSH7" s="87"/>
      <c r="TSI7" s="87"/>
      <c r="TSJ7" s="87"/>
      <c r="TSK7" s="87"/>
      <c r="TSL7" s="87"/>
      <c r="TSM7" s="87"/>
      <c r="TSN7" s="87"/>
      <c r="TSO7" s="87"/>
      <c r="TSP7" s="87"/>
      <c r="TSQ7" s="87"/>
      <c r="TSR7" s="87"/>
      <c r="TSS7" s="87"/>
      <c r="TST7" s="87"/>
      <c r="TSU7" s="87"/>
      <c r="TSV7" s="87"/>
      <c r="TSW7" s="87"/>
      <c r="TSX7" s="87"/>
      <c r="TSY7" s="87"/>
      <c r="TSZ7" s="87"/>
      <c r="TTA7" s="87"/>
      <c r="TTB7" s="87"/>
      <c r="TTC7" s="87"/>
      <c r="TTD7" s="87"/>
      <c r="TTE7" s="87"/>
      <c r="TTF7" s="87"/>
      <c r="TTG7" s="87"/>
      <c r="TTH7" s="87"/>
      <c r="TTI7" s="87"/>
      <c r="TTJ7" s="87"/>
      <c r="TTK7" s="87"/>
      <c r="TTL7" s="87"/>
      <c r="TTM7" s="87"/>
      <c r="TTN7" s="87"/>
      <c r="TTO7" s="87"/>
      <c r="TTP7" s="87"/>
      <c r="TTQ7" s="87"/>
      <c r="TTR7" s="87"/>
      <c r="TTS7" s="87"/>
      <c r="TTT7" s="87"/>
      <c r="TTU7" s="87"/>
      <c r="TTV7" s="87"/>
      <c r="TTW7" s="87"/>
      <c r="TTX7" s="87"/>
      <c r="TTY7" s="87"/>
      <c r="TTZ7" s="87"/>
      <c r="TUA7" s="87"/>
      <c r="TUB7" s="87"/>
      <c r="TUC7" s="87"/>
      <c r="TUD7" s="87"/>
      <c r="TUE7" s="87"/>
      <c r="TUF7" s="87"/>
      <c r="TUG7" s="87"/>
      <c r="TUH7" s="87"/>
      <c r="TUI7" s="87"/>
      <c r="TUJ7" s="87"/>
      <c r="TUK7" s="87"/>
      <c r="TUL7" s="87"/>
      <c r="TUM7" s="87"/>
      <c r="TUN7" s="87"/>
      <c r="TUO7" s="87"/>
      <c r="TUP7" s="87"/>
      <c r="TUQ7" s="87"/>
      <c r="TUR7" s="87"/>
      <c r="TUS7" s="87"/>
      <c r="TUT7" s="87"/>
      <c r="TUU7" s="87"/>
      <c r="TUV7" s="87"/>
      <c r="TUW7" s="87"/>
      <c r="TUX7" s="87"/>
      <c r="TUY7" s="87"/>
      <c r="TUZ7" s="87"/>
      <c r="TVA7" s="87"/>
      <c r="TVB7" s="87"/>
      <c r="TVC7" s="87"/>
      <c r="TVD7" s="87"/>
      <c r="TVE7" s="87"/>
      <c r="TVF7" s="87"/>
      <c r="TVG7" s="87"/>
      <c r="TVH7" s="87"/>
      <c r="TVI7" s="87"/>
      <c r="TVJ7" s="87"/>
      <c r="TVK7" s="87"/>
      <c r="TVL7" s="87"/>
      <c r="TVM7" s="87"/>
      <c r="TVN7" s="87"/>
      <c r="TVO7" s="87"/>
      <c r="TVP7" s="87"/>
      <c r="TVQ7" s="87"/>
      <c r="TVR7" s="87"/>
      <c r="TVS7" s="87"/>
      <c r="TVT7" s="87"/>
      <c r="TVU7" s="87"/>
      <c r="TVV7" s="87"/>
      <c r="TVW7" s="87"/>
      <c r="TVX7" s="87"/>
      <c r="TVY7" s="87"/>
      <c r="TVZ7" s="87"/>
      <c r="TWA7" s="87"/>
      <c r="TWB7" s="87"/>
      <c r="TWC7" s="87"/>
      <c r="TWD7" s="87"/>
      <c r="TWE7" s="87"/>
      <c r="TWF7" s="87"/>
      <c r="TWG7" s="87"/>
      <c r="TWH7" s="87"/>
      <c r="TWI7" s="87"/>
      <c r="TWJ7" s="87"/>
      <c r="TWK7" s="87"/>
      <c r="TWL7" s="87"/>
      <c r="TWM7" s="87"/>
      <c r="TWN7" s="87"/>
      <c r="TWO7" s="87"/>
      <c r="TWP7" s="87"/>
      <c r="TWQ7" s="87"/>
      <c r="TWR7" s="87"/>
      <c r="TWS7" s="87"/>
      <c r="TWT7" s="87"/>
      <c r="TWU7" s="87"/>
      <c r="TWV7" s="87"/>
      <c r="TWW7" s="87"/>
      <c r="TWX7" s="87"/>
      <c r="TWY7" s="87"/>
      <c r="TWZ7" s="87"/>
      <c r="TXA7" s="87"/>
      <c r="TXB7" s="87"/>
      <c r="TXC7" s="87"/>
      <c r="TXD7" s="87"/>
      <c r="TXE7" s="87"/>
      <c r="TXF7" s="87"/>
      <c r="TXG7" s="87"/>
      <c r="TXH7" s="87"/>
      <c r="TXI7" s="87"/>
      <c r="TXJ7" s="87"/>
      <c r="TXK7" s="87"/>
      <c r="TXL7" s="87"/>
      <c r="TXM7" s="87"/>
      <c r="TXN7" s="87"/>
      <c r="TXO7" s="87"/>
      <c r="TXP7" s="87"/>
      <c r="TXQ7" s="87"/>
      <c r="TXR7" s="87"/>
      <c r="TXS7" s="87"/>
      <c r="TXT7" s="87"/>
      <c r="TXU7" s="87"/>
      <c r="TXV7" s="87"/>
      <c r="TXW7" s="87"/>
      <c r="TXX7" s="87"/>
      <c r="TXY7" s="87"/>
      <c r="TXZ7" s="87"/>
      <c r="TYA7" s="87"/>
      <c r="TYB7" s="87"/>
      <c r="TYC7" s="87"/>
      <c r="TYD7" s="87"/>
      <c r="TYE7" s="87"/>
      <c r="TYF7" s="87"/>
      <c r="TYG7" s="87"/>
      <c r="TYH7" s="87"/>
      <c r="TYI7" s="87"/>
      <c r="TYJ7" s="87"/>
      <c r="TYK7" s="87"/>
      <c r="TYL7" s="87"/>
      <c r="TYM7" s="87"/>
      <c r="TYN7" s="87"/>
      <c r="TYO7" s="87"/>
      <c r="TYP7" s="87"/>
      <c r="TYQ7" s="87"/>
      <c r="TYR7" s="87"/>
      <c r="TYS7" s="87"/>
      <c r="TYT7" s="87"/>
      <c r="TYU7" s="87"/>
      <c r="TYV7" s="87"/>
      <c r="TYW7" s="87"/>
      <c r="TYX7" s="87"/>
      <c r="TYY7" s="87"/>
      <c r="TYZ7" s="87"/>
      <c r="TZA7" s="87"/>
      <c r="TZB7" s="87"/>
      <c r="TZC7" s="87"/>
      <c r="TZD7" s="87"/>
      <c r="TZE7" s="87"/>
      <c r="TZF7" s="87"/>
      <c r="TZG7" s="87"/>
      <c r="TZH7" s="87"/>
      <c r="TZI7" s="87"/>
      <c r="TZJ7" s="87"/>
      <c r="TZK7" s="87"/>
      <c r="TZL7" s="87"/>
      <c r="TZM7" s="87"/>
      <c r="TZN7" s="87"/>
      <c r="TZO7" s="87"/>
      <c r="TZP7" s="87"/>
      <c r="TZQ7" s="87"/>
      <c r="TZR7" s="87"/>
      <c r="TZS7" s="87"/>
      <c r="TZT7" s="87"/>
      <c r="TZU7" s="87"/>
      <c r="TZV7" s="87"/>
      <c r="TZW7" s="87"/>
      <c r="TZX7" s="87"/>
      <c r="TZY7" s="87"/>
      <c r="TZZ7" s="87"/>
      <c r="UAA7" s="87"/>
      <c r="UAB7" s="87"/>
      <c r="UAC7" s="87"/>
      <c r="UAD7" s="87"/>
      <c r="UAE7" s="87"/>
      <c r="UAF7" s="87"/>
      <c r="UAG7" s="87"/>
      <c r="UAH7" s="87"/>
      <c r="UAI7" s="87"/>
      <c r="UAJ7" s="87"/>
      <c r="UAK7" s="87"/>
      <c r="UAL7" s="87"/>
      <c r="UAM7" s="87"/>
      <c r="UAN7" s="87"/>
      <c r="UAO7" s="87"/>
      <c r="UAP7" s="87"/>
      <c r="UAQ7" s="87"/>
      <c r="UAR7" s="87"/>
      <c r="UAS7" s="87"/>
      <c r="UAT7" s="87"/>
      <c r="UAU7" s="87"/>
      <c r="UAV7" s="87"/>
      <c r="UAW7" s="87"/>
      <c r="UAX7" s="87"/>
      <c r="UAY7" s="87"/>
      <c r="UAZ7" s="87"/>
      <c r="UBA7" s="87"/>
      <c r="UBB7" s="87"/>
      <c r="UBC7" s="87"/>
      <c r="UBD7" s="87"/>
      <c r="UBE7" s="87"/>
      <c r="UBF7" s="87"/>
      <c r="UBG7" s="87"/>
      <c r="UBH7" s="87"/>
      <c r="UBI7" s="87"/>
      <c r="UBJ7" s="87"/>
      <c r="UBK7" s="87"/>
      <c r="UBL7" s="87"/>
      <c r="UBM7" s="87"/>
      <c r="UBN7" s="87"/>
      <c r="UBO7" s="87"/>
      <c r="UBP7" s="87"/>
      <c r="UBQ7" s="87"/>
      <c r="UBR7" s="87"/>
      <c r="UBS7" s="87"/>
      <c r="UBT7" s="87"/>
      <c r="UBU7" s="87"/>
      <c r="UBV7" s="87"/>
      <c r="UBW7" s="87"/>
      <c r="UBX7" s="87"/>
      <c r="UBY7" s="87"/>
      <c r="UBZ7" s="87"/>
      <c r="UCA7" s="87"/>
      <c r="UCB7" s="87"/>
      <c r="UCC7" s="87"/>
      <c r="UCD7" s="87"/>
      <c r="UCE7" s="87"/>
      <c r="UCF7" s="87"/>
      <c r="UCG7" s="87"/>
      <c r="UCH7" s="87"/>
      <c r="UCI7" s="87"/>
      <c r="UCJ7" s="87"/>
      <c r="UCK7" s="87"/>
      <c r="UCL7" s="87"/>
      <c r="UCM7" s="87"/>
      <c r="UCN7" s="87"/>
      <c r="UCO7" s="87"/>
      <c r="UCP7" s="87"/>
      <c r="UCQ7" s="87"/>
      <c r="UCR7" s="87"/>
      <c r="UCS7" s="87"/>
      <c r="UCT7" s="87"/>
      <c r="UCU7" s="87"/>
      <c r="UCV7" s="87"/>
      <c r="UCW7" s="87"/>
      <c r="UCX7" s="87"/>
      <c r="UCY7" s="87"/>
      <c r="UCZ7" s="87"/>
      <c r="UDA7" s="87"/>
      <c r="UDB7" s="87"/>
      <c r="UDC7" s="87"/>
      <c r="UDD7" s="87"/>
      <c r="UDE7" s="87"/>
      <c r="UDF7" s="87"/>
      <c r="UDG7" s="87"/>
      <c r="UDH7" s="87"/>
      <c r="UDI7" s="87"/>
      <c r="UDJ7" s="87"/>
      <c r="UDK7" s="87"/>
      <c r="UDL7" s="87"/>
      <c r="UDM7" s="87"/>
      <c r="UDN7" s="87"/>
      <c r="UDO7" s="87"/>
      <c r="UDP7" s="87"/>
      <c r="UDQ7" s="87"/>
      <c r="UDR7" s="87"/>
      <c r="UDS7" s="87"/>
      <c r="UDT7" s="87"/>
      <c r="UDU7" s="87"/>
      <c r="UDV7" s="87"/>
      <c r="UDW7" s="87"/>
      <c r="UDX7" s="87"/>
      <c r="UDY7" s="87"/>
      <c r="UDZ7" s="87"/>
      <c r="UEA7" s="87"/>
      <c r="UEB7" s="87"/>
      <c r="UEC7" s="87"/>
      <c r="UED7" s="87"/>
      <c r="UEE7" s="87"/>
      <c r="UEF7" s="87"/>
      <c r="UEG7" s="87"/>
      <c r="UEH7" s="87"/>
      <c r="UEI7" s="87"/>
      <c r="UEJ7" s="87"/>
      <c r="UEK7" s="87"/>
      <c r="UEL7" s="87"/>
      <c r="UEM7" s="87"/>
      <c r="UEN7" s="87"/>
      <c r="UEO7" s="87"/>
      <c r="UEP7" s="87"/>
      <c r="UEQ7" s="87"/>
      <c r="UER7" s="87"/>
      <c r="UES7" s="87"/>
      <c r="UET7" s="87"/>
      <c r="UEU7" s="87"/>
      <c r="UEV7" s="87"/>
      <c r="UEW7" s="87"/>
      <c r="UEX7" s="87"/>
      <c r="UEY7" s="87"/>
      <c r="UEZ7" s="87"/>
      <c r="UFA7" s="87"/>
      <c r="UFB7" s="87"/>
      <c r="UFC7" s="87"/>
      <c r="UFD7" s="87"/>
      <c r="UFE7" s="87"/>
      <c r="UFF7" s="87"/>
      <c r="UFG7" s="87"/>
      <c r="UFH7" s="87"/>
      <c r="UFI7" s="87"/>
      <c r="UFJ7" s="87"/>
      <c r="UFK7" s="87"/>
      <c r="UFL7" s="87"/>
      <c r="UFM7" s="87"/>
      <c r="UFN7" s="87"/>
      <c r="UFO7" s="87"/>
      <c r="UFP7" s="87"/>
      <c r="UFQ7" s="87"/>
      <c r="UFR7" s="87"/>
      <c r="UFS7" s="87"/>
      <c r="UFT7" s="87"/>
      <c r="UFU7" s="87"/>
      <c r="UFV7" s="87"/>
      <c r="UFW7" s="87"/>
      <c r="UFX7" s="87"/>
      <c r="UFY7" s="87"/>
      <c r="UFZ7" s="87"/>
      <c r="UGA7" s="87"/>
      <c r="UGB7" s="87"/>
      <c r="UGC7" s="87"/>
      <c r="UGD7" s="87"/>
      <c r="UGE7" s="87"/>
      <c r="UGF7" s="87"/>
      <c r="UGG7" s="87"/>
      <c r="UGH7" s="87"/>
      <c r="UGI7" s="87"/>
      <c r="UGJ7" s="87"/>
      <c r="UGK7" s="87"/>
      <c r="UGL7" s="87"/>
      <c r="UGM7" s="87"/>
      <c r="UGN7" s="87"/>
      <c r="UGO7" s="87"/>
      <c r="UGP7" s="87"/>
      <c r="UGQ7" s="87"/>
      <c r="UGR7" s="87"/>
      <c r="UGS7" s="87"/>
      <c r="UGT7" s="87"/>
      <c r="UGU7" s="87"/>
      <c r="UGV7" s="87"/>
      <c r="UGW7" s="87"/>
      <c r="UGX7" s="87"/>
      <c r="UGY7" s="87"/>
      <c r="UGZ7" s="87"/>
      <c r="UHA7" s="87"/>
      <c r="UHB7" s="87"/>
      <c r="UHC7" s="87"/>
      <c r="UHD7" s="87"/>
      <c r="UHE7" s="87"/>
      <c r="UHF7" s="87"/>
      <c r="UHG7" s="87"/>
      <c r="UHH7" s="87"/>
      <c r="UHI7" s="87"/>
      <c r="UHJ7" s="87"/>
      <c r="UHK7" s="87"/>
      <c r="UHL7" s="87"/>
      <c r="UHM7" s="87"/>
      <c r="UHN7" s="87"/>
      <c r="UHO7" s="87"/>
      <c r="UHP7" s="87"/>
      <c r="UHQ7" s="87"/>
      <c r="UHR7" s="87"/>
      <c r="UHS7" s="87"/>
      <c r="UHT7" s="87"/>
      <c r="UHU7" s="87"/>
      <c r="UHV7" s="87"/>
      <c r="UHW7" s="87"/>
      <c r="UHX7" s="87"/>
      <c r="UHY7" s="87"/>
      <c r="UHZ7" s="87"/>
      <c r="UIA7" s="87"/>
      <c r="UIB7" s="87"/>
      <c r="UIC7" s="87"/>
      <c r="UID7" s="87"/>
      <c r="UIE7" s="87"/>
      <c r="UIF7" s="87"/>
      <c r="UIG7" s="87"/>
      <c r="UIH7" s="87"/>
      <c r="UII7" s="87"/>
      <c r="UIJ7" s="87"/>
      <c r="UIK7" s="87"/>
      <c r="UIL7" s="87"/>
      <c r="UIM7" s="87"/>
      <c r="UIN7" s="87"/>
      <c r="UIO7" s="87"/>
      <c r="UIP7" s="87"/>
      <c r="UIQ7" s="87"/>
      <c r="UIR7" s="87"/>
      <c r="UIS7" s="87"/>
      <c r="UIT7" s="87"/>
      <c r="UIU7" s="87"/>
      <c r="UIV7" s="87"/>
      <c r="UIW7" s="87"/>
      <c r="UIX7" s="87"/>
      <c r="UIY7" s="87"/>
      <c r="UIZ7" s="87"/>
      <c r="UJA7" s="87"/>
      <c r="UJB7" s="87"/>
      <c r="UJC7" s="87"/>
      <c r="UJD7" s="87"/>
      <c r="UJE7" s="87"/>
      <c r="UJF7" s="87"/>
      <c r="UJG7" s="87"/>
      <c r="UJH7" s="87"/>
      <c r="UJI7" s="87"/>
      <c r="UJJ7" s="87"/>
      <c r="UJK7" s="87"/>
      <c r="UJL7" s="87"/>
      <c r="UJM7" s="87"/>
      <c r="UJN7" s="87"/>
      <c r="UJO7" s="87"/>
      <c r="UJP7" s="87"/>
      <c r="UJQ7" s="87"/>
      <c r="UJR7" s="87"/>
      <c r="UJS7" s="87"/>
      <c r="UJT7" s="87"/>
      <c r="UJU7" s="87"/>
      <c r="UJV7" s="87"/>
      <c r="UJW7" s="87"/>
      <c r="UJX7" s="87"/>
      <c r="UJY7" s="87"/>
      <c r="UJZ7" s="87"/>
      <c r="UKA7" s="87"/>
      <c r="UKB7" s="87"/>
      <c r="UKC7" s="87"/>
      <c r="UKD7" s="87"/>
      <c r="UKE7" s="87"/>
      <c r="UKF7" s="87"/>
      <c r="UKG7" s="87"/>
      <c r="UKH7" s="87"/>
      <c r="UKI7" s="87"/>
      <c r="UKJ7" s="87"/>
      <c r="UKK7" s="87"/>
      <c r="UKL7" s="87"/>
      <c r="UKM7" s="87"/>
      <c r="UKN7" s="87"/>
      <c r="UKO7" s="87"/>
      <c r="UKP7" s="87"/>
      <c r="UKQ7" s="87"/>
      <c r="UKR7" s="87"/>
      <c r="UKS7" s="87"/>
      <c r="UKT7" s="87"/>
      <c r="UKU7" s="87"/>
      <c r="UKV7" s="87"/>
      <c r="UKW7" s="87"/>
      <c r="UKX7" s="87"/>
      <c r="UKY7" s="87"/>
      <c r="UKZ7" s="87"/>
      <c r="ULA7" s="87"/>
      <c r="ULB7" s="87"/>
      <c r="ULC7" s="87"/>
      <c r="ULD7" s="87"/>
      <c r="ULE7" s="87"/>
      <c r="ULF7" s="87"/>
      <c r="ULG7" s="87"/>
      <c r="ULH7" s="87"/>
      <c r="ULI7" s="87"/>
      <c r="ULJ7" s="87"/>
      <c r="ULK7" s="87"/>
      <c r="ULL7" s="87"/>
      <c r="ULM7" s="87"/>
      <c r="ULN7" s="87"/>
      <c r="ULO7" s="87"/>
      <c r="ULP7" s="87"/>
      <c r="ULQ7" s="87"/>
      <c r="ULR7" s="87"/>
      <c r="ULS7" s="87"/>
      <c r="ULT7" s="87"/>
      <c r="ULU7" s="87"/>
      <c r="ULV7" s="87"/>
      <c r="ULW7" s="87"/>
      <c r="ULX7" s="87"/>
      <c r="ULY7" s="87"/>
      <c r="ULZ7" s="87"/>
      <c r="UMA7" s="87"/>
      <c r="UMB7" s="87"/>
      <c r="UMC7" s="87"/>
      <c r="UMD7" s="87"/>
      <c r="UME7" s="87"/>
      <c r="UMF7" s="87"/>
      <c r="UMG7" s="87"/>
      <c r="UMH7" s="87"/>
      <c r="UMI7" s="87"/>
      <c r="UMJ7" s="87"/>
      <c r="UMK7" s="87"/>
      <c r="UML7" s="87"/>
      <c r="UMM7" s="87"/>
      <c r="UMN7" s="87"/>
      <c r="UMO7" s="87"/>
      <c r="UMP7" s="87"/>
      <c r="UMQ7" s="87"/>
      <c r="UMR7" s="87"/>
      <c r="UMS7" s="87"/>
      <c r="UMT7" s="87"/>
      <c r="UMU7" s="87"/>
      <c r="UMV7" s="87"/>
      <c r="UMW7" s="87"/>
      <c r="UMX7" s="87"/>
      <c r="UMY7" s="87"/>
      <c r="UMZ7" s="87"/>
      <c r="UNA7" s="87"/>
      <c r="UNB7" s="87"/>
      <c r="UNC7" s="87"/>
      <c r="UND7" s="87"/>
      <c r="UNE7" s="87"/>
      <c r="UNF7" s="87"/>
      <c r="UNG7" s="87"/>
      <c r="UNH7" s="87"/>
      <c r="UNI7" s="87"/>
      <c r="UNJ7" s="87"/>
      <c r="UNK7" s="87"/>
      <c r="UNL7" s="87"/>
      <c r="UNM7" s="87"/>
      <c r="UNN7" s="87"/>
      <c r="UNO7" s="87"/>
      <c r="UNP7" s="87"/>
      <c r="UNQ7" s="87"/>
      <c r="UNR7" s="87"/>
      <c r="UNS7" s="87"/>
      <c r="UNT7" s="87"/>
      <c r="UNU7" s="87"/>
      <c r="UNV7" s="87"/>
      <c r="UNW7" s="87"/>
      <c r="UNX7" s="87"/>
      <c r="UNY7" s="87"/>
      <c r="UNZ7" s="87"/>
      <c r="UOA7" s="87"/>
      <c r="UOB7" s="87"/>
      <c r="UOC7" s="87"/>
      <c r="UOD7" s="87"/>
      <c r="UOE7" s="87"/>
      <c r="UOF7" s="87"/>
      <c r="UOG7" s="87"/>
      <c r="UOH7" s="87"/>
      <c r="UOI7" s="87"/>
      <c r="UOJ7" s="87"/>
      <c r="UOK7" s="87"/>
      <c r="UOL7" s="87"/>
      <c r="UOM7" s="87"/>
      <c r="UON7" s="87"/>
      <c r="UOO7" s="87"/>
      <c r="UOP7" s="87"/>
      <c r="UOQ7" s="87"/>
      <c r="UOR7" s="87"/>
      <c r="UOS7" s="87"/>
      <c r="UOT7" s="87"/>
      <c r="UOU7" s="87"/>
      <c r="UOV7" s="87"/>
      <c r="UOW7" s="87"/>
      <c r="UOX7" s="87"/>
      <c r="UOY7" s="87"/>
      <c r="UOZ7" s="87"/>
      <c r="UPA7" s="87"/>
      <c r="UPB7" s="87"/>
      <c r="UPC7" s="87"/>
      <c r="UPD7" s="87"/>
      <c r="UPE7" s="87"/>
      <c r="UPF7" s="87"/>
      <c r="UPG7" s="87"/>
      <c r="UPH7" s="87"/>
      <c r="UPI7" s="87"/>
      <c r="UPJ7" s="87"/>
      <c r="UPK7" s="87"/>
      <c r="UPL7" s="87"/>
      <c r="UPM7" s="87"/>
      <c r="UPN7" s="87"/>
      <c r="UPO7" s="87"/>
      <c r="UPP7" s="87"/>
      <c r="UPQ7" s="87"/>
      <c r="UPR7" s="87"/>
      <c r="UPS7" s="87"/>
      <c r="UPT7" s="87"/>
      <c r="UPU7" s="87"/>
      <c r="UPV7" s="87"/>
      <c r="UPW7" s="87"/>
      <c r="UPX7" s="87"/>
      <c r="UPY7" s="87"/>
      <c r="UPZ7" s="87"/>
      <c r="UQA7" s="87"/>
      <c r="UQB7" s="87"/>
      <c r="UQC7" s="87"/>
      <c r="UQD7" s="87"/>
      <c r="UQE7" s="87"/>
      <c r="UQF7" s="87"/>
      <c r="UQG7" s="87"/>
      <c r="UQH7" s="87"/>
      <c r="UQI7" s="87"/>
      <c r="UQJ7" s="87"/>
      <c r="UQK7" s="87"/>
      <c r="UQL7" s="87"/>
      <c r="UQM7" s="87"/>
      <c r="UQN7" s="87"/>
      <c r="UQO7" s="87"/>
      <c r="UQP7" s="87"/>
      <c r="UQQ7" s="87"/>
      <c r="UQR7" s="87"/>
      <c r="UQS7" s="87"/>
      <c r="UQT7" s="87"/>
      <c r="UQU7" s="87"/>
      <c r="UQV7" s="87"/>
      <c r="UQW7" s="87"/>
      <c r="UQX7" s="87"/>
      <c r="UQY7" s="87"/>
      <c r="UQZ7" s="87"/>
      <c r="URA7" s="87"/>
      <c r="URB7" s="87"/>
      <c r="URC7" s="87"/>
      <c r="URD7" s="87"/>
      <c r="URE7" s="87"/>
      <c r="URF7" s="87"/>
      <c r="URG7" s="87"/>
      <c r="URH7" s="87"/>
      <c r="URI7" s="87"/>
      <c r="URJ7" s="87"/>
      <c r="URK7" s="87"/>
      <c r="URL7" s="87"/>
      <c r="URM7" s="87"/>
      <c r="URN7" s="87"/>
      <c r="URO7" s="87"/>
      <c r="URP7" s="87"/>
      <c r="URQ7" s="87"/>
      <c r="URR7" s="87"/>
      <c r="URS7" s="87"/>
      <c r="URT7" s="87"/>
      <c r="URU7" s="87"/>
      <c r="URV7" s="87"/>
      <c r="URW7" s="87"/>
      <c r="URX7" s="87"/>
      <c r="URY7" s="87"/>
      <c r="URZ7" s="87"/>
      <c r="USA7" s="87"/>
      <c r="USB7" s="87"/>
      <c r="USC7" s="87"/>
      <c r="USD7" s="87"/>
      <c r="USE7" s="87"/>
      <c r="USF7" s="87"/>
      <c r="USG7" s="87"/>
      <c r="USH7" s="87"/>
      <c r="USI7" s="87"/>
      <c r="USJ7" s="87"/>
      <c r="USK7" s="87"/>
      <c r="USL7" s="87"/>
      <c r="USM7" s="87"/>
      <c r="USN7" s="87"/>
      <c r="USO7" s="87"/>
      <c r="USP7" s="87"/>
      <c r="USQ7" s="87"/>
      <c r="USR7" s="87"/>
      <c r="USS7" s="87"/>
      <c r="UST7" s="87"/>
      <c r="USU7" s="87"/>
      <c r="USV7" s="87"/>
      <c r="USW7" s="87"/>
      <c r="USX7" s="87"/>
      <c r="USY7" s="87"/>
      <c r="USZ7" s="87"/>
      <c r="UTA7" s="87"/>
      <c r="UTB7" s="87"/>
      <c r="UTC7" s="87"/>
      <c r="UTD7" s="87"/>
      <c r="UTE7" s="87"/>
      <c r="UTF7" s="87"/>
      <c r="UTG7" s="87"/>
      <c r="UTH7" s="87"/>
      <c r="UTI7" s="87"/>
      <c r="UTJ7" s="87"/>
      <c r="UTK7" s="87"/>
      <c r="UTL7" s="87"/>
      <c r="UTM7" s="87"/>
      <c r="UTN7" s="87"/>
      <c r="UTO7" s="87"/>
      <c r="UTP7" s="87"/>
      <c r="UTQ7" s="87"/>
      <c r="UTR7" s="87"/>
      <c r="UTS7" s="87"/>
      <c r="UTT7" s="87"/>
      <c r="UTU7" s="87"/>
      <c r="UTV7" s="87"/>
      <c r="UTW7" s="87"/>
      <c r="UTX7" s="87"/>
      <c r="UTY7" s="87"/>
      <c r="UTZ7" s="87"/>
      <c r="UUA7" s="87"/>
      <c r="UUB7" s="87"/>
      <c r="UUC7" s="87"/>
      <c r="UUD7" s="87"/>
      <c r="UUE7" s="87"/>
      <c r="UUF7" s="87"/>
      <c r="UUG7" s="87"/>
      <c r="UUH7" s="87"/>
      <c r="UUI7" s="87"/>
      <c r="UUJ7" s="87"/>
      <c r="UUK7" s="87"/>
      <c r="UUL7" s="87"/>
      <c r="UUM7" s="87"/>
      <c r="UUN7" s="87"/>
      <c r="UUO7" s="87"/>
      <c r="UUP7" s="87"/>
      <c r="UUQ7" s="87"/>
      <c r="UUR7" s="87"/>
      <c r="UUS7" s="87"/>
      <c r="UUT7" s="87"/>
      <c r="UUU7" s="87"/>
      <c r="UUV7" s="87"/>
      <c r="UUW7" s="87"/>
      <c r="UUX7" s="87"/>
      <c r="UUY7" s="87"/>
      <c r="UUZ7" s="87"/>
      <c r="UVA7" s="87"/>
      <c r="UVB7" s="87"/>
      <c r="UVC7" s="87"/>
      <c r="UVD7" s="87"/>
      <c r="UVE7" s="87"/>
      <c r="UVF7" s="87"/>
      <c r="UVG7" s="87"/>
      <c r="UVH7" s="87"/>
      <c r="UVI7" s="87"/>
      <c r="UVJ7" s="87"/>
      <c r="UVK7" s="87"/>
      <c r="UVL7" s="87"/>
      <c r="UVM7" s="87"/>
      <c r="UVN7" s="87"/>
      <c r="UVO7" s="87"/>
      <c r="UVP7" s="87"/>
      <c r="UVQ7" s="87"/>
      <c r="UVR7" s="87"/>
      <c r="UVS7" s="87"/>
      <c r="UVT7" s="87"/>
      <c r="UVU7" s="87"/>
      <c r="UVV7" s="87"/>
      <c r="UVW7" s="87"/>
      <c r="UVX7" s="87"/>
      <c r="UVY7" s="87"/>
      <c r="UVZ7" s="87"/>
      <c r="UWA7" s="87"/>
      <c r="UWB7" s="87"/>
      <c r="UWC7" s="87"/>
      <c r="UWD7" s="87"/>
      <c r="UWE7" s="87"/>
      <c r="UWF7" s="87"/>
      <c r="UWG7" s="87"/>
      <c r="UWH7" s="87"/>
      <c r="UWI7" s="87"/>
      <c r="UWJ7" s="87"/>
      <c r="UWK7" s="87"/>
      <c r="UWL7" s="87"/>
      <c r="UWM7" s="87"/>
      <c r="UWN7" s="87"/>
      <c r="UWO7" s="87"/>
      <c r="UWP7" s="87"/>
      <c r="UWQ7" s="87"/>
      <c r="UWR7" s="87"/>
      <c r="UWS7" s="87"/>
      <c r="UWT7" s="87"/>
      <c r="UWU7" s="87"/>
      <c r="UWV7" s="87"/>
      <c r="UWW7" s="87"/>
      <c r="UWX7" s="87"/>
      <c r="UWY7" s="87"/>
      <c r="UWZ7" s="87"/>
      <c r="UXA7" s="87"/>
      <c r="UXB7" s="87"/>
      <c r="UXC7" s="87"/>
      <c r="UXD7" s="87"/>
      <c r="UXE7" s="87"/>
      <c r="UXF7" s="87"/>
      <c r="UXG7" s="87"/>
      <c r="UXH7" s="87"/>
      <c r="UXI7" s="87"/>
      <c r="UXJ7" s="87"/>
      <c r="UXK7" s="87"/>
      <c r="UXL7" s="87"/>
      <c r="UXM7" s="87"/>
      <c r="UXN7" s="87"/>
      <c r="UXO7" s="87"/>
      <c r="UXP7" s="87"/>
      <c r="UXQ7" s="87"/>
      <c r="UXR7" s="87"/>
      <c r="UXS7" s="87"/>
      <c r="UXT7" s="87"/>
      <c r="UXU7" s="87"/>
      <c r="UXV7" s="87"/>
      <c r="UXW7" s="87"/>
      <c r="UXX7" s="87"/>
      <c r="UXY7" s="87"/>
      <c r="UXZ7" s="87"/>
      <c r="UYA7" s="87"/>
      <c r="UYB7" s="87"/>
      <c r="UYC7" s="87"/>
      <c r="UYD7" s="87"/>
      <c r="UYE7" s="87"/>
      <c r="UYF7" s="87"/>
      <c r="UYG7" s="87"/>
      <c r="UYH7" s="87"/>
      <c r="UYI7" s="87"/>
      <c r="UYJ7" s="87"/>
      <c r="UYK7" s="87"/>
      <c r="UYL7" s="87"/>
      <c r="UYM7" s="87"/>
      <c r="UYN7" s="87"/>
      <c r="UYO7" s="87"/>
      <c r="UYP7" s="87"/>
      <c r="UYQ7" s="87"/>
      <c r="UYR7" s="87"/>
      <c r="UYS7" s="87"/>
      <c r="UYT7" s="87"/>
      <c r="UYU7" s="87"/>
      <c r="UYV7" s="87"/>
      <c r="UYW7" s="87"/>
      <c r="UYX7" s="87"/>
      <c r="UYY7" s="87"/>
      <c r="UYZ7" s="87"/>
      <c r="UZA7" s="87"/>
      <c r="UZB7" s="87"/>
      <c r="UZC7" s="87"/>
      <c r="UZD7" s="87"/>
      <c r="UZE7" s="87"/>
      <c r="UZF7" s="87"/>
      <c r="UZG7" s="87"/>
      <c r="UZH7" s="87"/>
      <c r="UZI7" s="87"/>
      <c r="UZJ7" s="87"/>
      <c r="UZK7" s="87"/>
      <c r="UZL7" s="87"/>
      <c r="UZM7" s="87"/>
      <c r="UZN7" s="87"/>
      <c r="UZO7" s="87"/>
      <c r="UZP7" s="87"/>
      <c r="UZQ7" s="87"/>
      <c r="UZR7" s="87"/>
      <c r="UZS7" s="87"/>
      <c r="UZT7" s="87"/>
      <c r="UZU7" s="87"/>
      <c r="UZV7" s="87"/>
      <c r="UZW7" s="87"/>
      <c r="UZX7" s="87"/>
      <c r="UZY7" s="87"/>
      <c r="UZZ7" s="87"/>
      <c r="VAA7" s="87"/>
      <c r="VAB7" s="87"/>
      <c r="VAC7" s="87"/>
      <c r="VAD7" s="87"/>
      <c r="VAE7" s="87"/>
      <c r="VAF7" s="87"/>
      <c r="VAG7" s="87"/>
      <c r="VAH7" s="87"/>
      <c r="VAI7" s="87"/>
      <c r="VAJ7" s="87"/>
      <c r="VAK7" s="87"/>
      <c r="VAL7" s="87"/>
      <c r="VAM7" s="87"/>
      <c r="VAN7" s="87"/>
      <c r="VAO7" s="87"/>
      <c r="VAP7" s="87"/>
      <c r="VAQ7" s="87"/>
      <c r="VAR7" s="87"/>
      <c r="VAS7" s="87"/>
      <c r="VAT7" s="87"/>
      <c r="VAU7" s="87"/>
      <c r="VAV7" s="87"/>
      <c r="VAW7" s="87"/>
      <c r="VAX7" s="87"/>
      <c r="VAY7" s="87"/>
      <c r="VAZ7" s="87"/>
      <c r="VBA7" s="87"/>
      <c r="VBB7" s="87"/>
      <c r="VBC7" s="87"/>
      <c r="VBD7" s="87"/>
      <c r="VBE7" s="87"/>
      <c r="VBF7" s="87"/>
      <c r="VBG7" s="87"/>
      <c r="VBH7" s="87"/>
      <c r="VBI7" s="87"/>
      <c r="VBJ7" s="87"/>
      <c r="VBK7" s="87"/>
      <c r="VBL7" s="87"/>
      <c r="VBM7" s="87"/>
      <c r="VBN7" s="87"/>
      <c r="VBO7" s="87"/>
      <c r="VBP7" s="87"/>
      <c r="VBQ7" s="87"/>
      <c r="VBR7" s="87"/>
      <c r="VBS7" s="87"/>
      <c r="VBT7" s="87"/>
      <c r="VBU7" s="87"/>
      <c r="VBV7" s="87"/>
      <c r="VBW7" s="87"/>
      <c r="VBX7" s="87"/>
      <c r="VBY7" s="87"/>
      <c r="VBZ7" s="87"/>
      <c r="VCA7" s="87"/>
      <c r="VCB7" s="87"/>
      <c r="VCC7" s="87"/>
      <c r="VCD7" s="87"/>
      <c r="VCE7" s="87"/>
      <c r="VCF7" s="87"/>
      <c r="VCG7" s="87"/>
      <c r="VCH7" s="87"/>
      <c r="VCI7" s="87"/>
      <c r="VCJ7" s="87"/>
      <c r="VCK7" s="87"/>
      <c r="VCL7" s="87"/>
      <c r="VCM7" s="87"/>
      <c r="VCN7" s="87"/>
      <c r="VCO7" s="87"/>
      <c r="VCP7" s="87"/>
      <c r="VCQ7" s="87"/>
      <c r="VCR7" s="87"/>
      <c r="VCS7" s="87"/>
      <c r="VCT7" s="87"/>
      <c r="VCU7" s="87"/>
      <c r="VCV7" s="87"/>
      <c r="VCW7" s="87"/>
      <c r="VCX7" s="87"/>
      <c r="VCY7" s="87"/>
      <c r="VCZ7" s="87"/>
      <c r="VDA7" s="87"/>
      <c r="VDB7" s="87"/>
      <c r="VDC7" s="87"/>
      <c r="VDD7" s="87"/>
      <c r="VDE7" s="87"/>
      <c r="VDF7" s="87"/>
      <c r="VDG7" s="87"/>
      <c r="VDH7" s="87"/>
      <c r="VDI7" s="87"/>
      <c r="VDJ7" s="87"/>
      <c r="VDK7" s="87"/>
      <c r="VDL7" s="87"/>
      <c r="VDM7" s="87"/>
      <c r="VDN7" s="87"/>
      <c r="VDO7" s="87"/>
      <c r="VDP7" s="87"/>
      <c r="VDQ7" s="87"/>
      <c r="VDR7" s="87"/>
      <c r="VDS7" s="87"/>
      <c r="VDT7" s="87"/>
      <c r="VDU7" s="87"/>
      <c r="VDV7" s="87"/>
      <c r="VDW7" s="87"/>
      <c r="VDX7" s="87"/>
      <c r="VDY7" s="87"/>
      <c r="VDZ7" s="87"/>
      <c r="VEA7" s="87"/>
      <c r="VEB7" s="87"/>
      <c r="VEC7" s="87"/>
      <c r="VED7" s="87"/>
      <c r="VEE7" s="87"/>
      <c r="VEF7" s="87"/>
      <c r="VEG7" s="87"/>
      <c r="VEH7" s="87"/>
      <c r="VEI7" s="87"/>
      <c r="VEJ7" s="87"/>
      <c r="VEK7" s="87"/>
      <c r="VEL7" s="87"/>
      <c r="VEM7" s="87"/>
      <c r="VEN7" s="87"/>
      <c r="VEO7" s="87"/>
      <c r="VEP7" s="87"/>
      <c r="VEQ7" s="87"/>
      <c r="VER7" s="87"/>
      <c r="VES7" s="87"/>
      <c r="VET7" s="87"/>
      <c r="VEU7" s="87"/>
      <c r="VEV7" s="87"/>
      <c r="VEW7" s="87"/>
      <c r="VEX7" s="87"/>
      <c r="VEY7" s="87"/>
      <c r="VEZ7" s="87"/>
      <c r="VFA7" s="87"/>
      <c r="VFB7" s="87"/>
      <c r="VFC7" s="87"/>
      <c r="VFD7" s="87"/>
      <c r="VFE7" s="87"/>
      <c r="VFF7" s="87"/>
      <c r="VFG7" s="87"/>
      <c r="VFH7" s="87"/>
      <c r="VFI7" s="87"/>
      <c r="VFJ7" s="87"/>
      <c r="VFK7" s="87"/>
      <c r="VFL7" s="87"/>
      <c r="VFM7" s="87"/>
      <c r="VFN7" s="87"/>
      <c r="VFO7" s="87"/>
      <c r="VFP7" s="87"/>
      <c r="VFQ7" s="87"/>
      <c r="VFR7" s="87"/>
      <c r="VFS7" s="87"/>
      <c r="VFT7" s="87"/>
      <c r="VFU7" s="87"/>
      <c r="VFV7" s="87"/>
      <c r="VFW7" s="87"/>
      <c r="VFX7" s="87"/>
      <c r="VFY7" s="87"/>
      <c r="VFZ7" s="87"/>
      <c r="VGA7" s="87"/>
      <c r="VGB7" s="87"/>
      <c r="VGC7" s="87"/>
      <c r="VGD7" s="87"/>
      <c r="VGE7" s="87"/>
      <c r="VGF7" s="87"/>
      <c r="VGG7" s="87"/>
      <c r="VGH7" s="87"/>
      <c r="VGI7" s="87"/>
      <c r="VGJ7" s="87"/>
      <c r="VGK7" s="87"/>
      <c r="VGL7" s="87"/>
      <c r="VGM7" s="87"/>
      <c r="VGN7" s="87"/>
      <c r="VGO7" s="87"/>
      <c r="VGP7" s="87"/>
      <c r="VGQ7" s="87"/>
      <c r="VGR7" s="87"/>
      <c r="VGS7" s="87"/>
      <c r="VGT7" s="87"/>
      <c r="VGU7" s="87"/>
      <c r="VGV7" s="87"/>
      <c r="VGW7" s="87"/>
      <c r="VGX7" s="87"/>
      <c r="VGY7" s="87"/>
      <c r="VGZ7" s="87"/>
      <c r="VHA7" s="87"/>
      <c r="VHB7" s="87"/>
      <c r="VHC7" s="87"/>
      <c r="VHD7" s="87"/>
      <c r="VHE7" s="87"/>
      <c r="VHF7" s="87"/>
      <c r="VHG7" s="87"/>
      <c r="VHH7" s="87"/>
      <c r="VHI7" s="87"/>
      <c r="VHJ7" s="87"/>
      <c r="VHK7" s="87"/>
      <c r="VHL7" s="87"/>
      <c r="VHM7" s="87"/>
      <c r="VHN7" s="87"/>
      <c r="VHO7" s="87"/>
      <c r="VHP7" s="87"/>
      <c r="VHQ7" s="87"/>
      <c r="VHR7" s="87"/>
      <c r="VHS7" s="87"/>
      <c r="VHT7" s="87"/>
      <c r="VHU7" s="87"/>
      <c r="VHV7" s="87"/>
      <c r="VHW7" s="87"/>
      <c r="VHX7" s="87"/>
      <c r="VHY7" s="87"/>
      <c r="VHZ7" s="87"/>
      <c r="VIA7" s="87"/>
      <c r="VIB7" s="87"/>
      <c r="VIC7" s="87"/>
      <c r="VID7" s="87"/>
      <c r="VIE7" s="87"/>
      <c r="VIF7" s="87"/>
      <c r="VIG7" s="87"/>
      <c r="VIH7" s="87"/>
      <c r="VII7" s="87"/>
      <c r="VIJ7" s="87"/>
      <c r="VIK7" s="87"/>
      <c r="VIL7" s="87"/>
      <c r="VIM7" s="87"/>
      <c r="VIN7" s="87"/>
      <c r="VIO7" s="87"/>
      <c r="VIP7" s="87"/>
      <c r="VIQ7" s="87"/>
      <c r="VIR7" s="87"/>
      <c r="VIS7" s="87"/>
      <c r="VIT7" s="87"/>
      <c r="VIU7" s="87"/>
      <c r="VIV7" s="87"/>
      <c r="VIW7" s="87"/>
      <c r="VIX7" s="87"/>
      <c r="VIY7" s="87"/>
      <c r="VIZ7" s="87"/>
      <c r="VJA7" s="87"/>
      <c r="VJB7" s="87"/>
      <c r="VJC7" s="87"/>
      <c r="VJD7" s="87"/>
      <c r="VJE7" s="87"/>
      <c r="VJF7" s="87"/>
      <c r="VJG7" s="87"/>
      <c r="VJH7" s="87"/>
      <c r="VJI7" s="87"/>
      <c r="VJJ7" s="87"/>
      <c r="VJK7" s="87"/>
      <c r="VJL7" s="87"/>
      <c r="VJM7" s="87"/>
      <c r="VJN7" s="87"/>
      <c r="VJO7" s="87"/>
      <c r="VJP7" s="87"/>
      <c r="VJQ7" s="87"/>
      <c r="VJR7" s="87"/>
      <c r="VJS7" s="87"/>
      <c r="VJT7" s="87"/>
      <c r="VJU7" s="87"/>
      <c r="VJV7" s="87"/>
      <c r="VJW7" s="87"/>
      <c r="VJX7" s="87"/>
      <c r="VJY7" s="87"/>
      <c r="VJZ7" s="87"/>
      <c r="VKA7" s="87"/>
      <c r="VKB7" s="87"/>
      <c r="VKC7" s="87"/>
      <c r="VKD7" s="87"/>
      <c r="VKE7" s="87"/>
      <c r="VKF7" s="87"/>
      <c r="VKG7" s="87"/>
      <c r="VKH7" s="87"/>
      <c r="VKI7" s="87"/>
      <c r="VKJ7" s="87"/>
      <c r="VKK7" s="87"/>
      <c r="VKL7" s="87"/>
      <c r="VKM7" s="87"/>
      <c r="VKN7" s="87"/>
      <c r="VKO7" s="87"/>
      <c r="VKP7" s="87"/>
      <c r="VKQ7" s="87"/>
      <c r="VKR7" s="87"/>
      <c r="VKS7" s="87"/>
      <c r="VKT7" s="87"/>
      <c r="VKU7" s="87"/>
      <c r="VKV7" s="87"/>
      <c r="VKW7" s="87"/>
      <c r="VKX7" s="87"/>
      <c r="VKY7" s="87"/>
      <c r="VKZ7" s="87"/>
      <c r="VLA7" s="87"/>
      <c r="VLB7" s="87"/>
      <c r="VLC7" s="87"/>
      <c r="VLD7" s="87"/>
      <c r="VLE7" s="87"/>
      <c r="VLF7" s="87"/>
      <c r="VLG7" s="87"/>
      <c r="VLH7" s="87"/>
      <c r="VLI7" s="87"/>
      <c r="VLJ7" s="87"/>
      <c r="VLK7" s="87"/>
      <c r="VLL7" s="87"/>
      <c r="VLM7" s="87"/>
      <c r="VLN7" s="87"/>
      <c r="VLO7" s="87"/>
      <c r="VLP7" s="87"/>
      <c r="VLQ7" s="87"/>
      <c r="VLR7" s="87"/>
      <c r="VLS7" s="87"/>
      <c r="VLT7" s="87"/>
      <c r="VLU7" s="87"/>
      <c r="VLV7" s="87"/>
      <c r="VLW7" s="87"/>
      <c r="VLX7" s="87"/>
      <c r="VLY7" s="87"/>
      <c r="VLZ7" s="87"/>
      <c r="VMA7" s="87"/>
      <c r="VMB7" s="87"/>
      <c r="VMC7" s="87"/>
      <c r="VMD7" s="87"/>
      <c r="VME7" s="87"/>
      <c r="VMF7" s="87"/>
      <c r="VMG7" s="87"/>
      <c r="VMH7" s="87"/>
      <c r="VMI7" s="87"/>
      <c r="VMJ7" s="87"/>
      <c r="VMK7" s="87"/>
      <c r="VML7" s="87"/>
      <c r="VMM7" s="87"/>
      <c r="VMN7" s="87"/>
      <c r="VMO7" s="87"/>
      <c r="VMP7" s="87"/>
      <c r="VMQ7" s="87"/>
      <c r="VMR7" s="87"/>
      <c r="VMS7" s="87"/>
      <c r="VMT7" s="87"/>
      <c r="VMU7" s="87"/>
      <c r="VMV7" s="87"/>
      <c r="VMW7" s="87"/>
      <c r="VMX7" s="87"/>
      <c r="VMY7" s="87"/>
      <c r="VMZ7" s="87"/>
      <c r="VNA7" s="87"/>
      <c r="VNB7" s="87"/>
      <c r="VNC7" s="87"/>
      <c r="VND7" s="87"/>
      <c r="VNE7" s="87"/>
      <c r="VNF7" s="87"/>
      <c r="VNG7" s="87"/>
      <c r="VNH7" s="87"/>
      <c r="VNI7" s="87"/>
      <c r="VNJ7" s="87"/>
      <c r="VNK7" s="87"/>
      <c r="VNL7" s="87"/>
      <c r="VNM7" s="87"/>
      <c r="VNN7" s="87"/>
      <c r="VNO7" s="87"/>
      <c r="VNP7" s="87"/>
      <c r="VNQ7" s="87"/>
      <c r="VNR7" s="87"/>
      <c r="VNS7" s="87"/>
      <c r="VNT7" s="87"/>
      <c r="VNU7" s="87"/>
      <c r="VNV7" s="87"/>
      <c r="VNW7" s="87"/>
      <c r="VNX7" s="87"/>
      <c r="VNY7" s="87"/>
      <c r="VNZ7" s="87"/>
      <c r="VOA7" s="87"/>
      <c r="VOB7" s="87"/>
      <c r="VOC7" s="87"/>
      <c r="VOD7" s="87"/>
      <c r="VOE7" s="87"/>
      <c r="VOF7" s="87"/>
      <c r="VOG7" s="87"/>
      <c r="VOH7" s="87"/>
      <c r="VOI7" s="87"/>
      <c r="VOJ7" s="87"/>
      <c r="VOK7" s="87"/>
      <c r="VOL7" s="87"/>
      <c r="VOM7" s="87"/>
      <c r="VON7" s="87"/>
      <c r="VOO7" s="87"/>
      <c r="VOP7" s="87"/>
      <c r="VOQ7" s="87"/>
      <c r="VOR7" s="87"/>
      <c r="VOS7" s="87"/>
      <c r="VOT7" s="87"/>
      <c r="VOU7" s="87"/>
      <c r="VOV7" s="87"/>
      <c r="VOW7" s="87"/>
      <c r="VOX7" s="87"/>
      <c r="VOY7" s="87"/>
      <c r="VOZ7" s="87"/>
      <c r="VPA7" s="87"/>
      <c r="VPB7" s="87"/>
      <c r="VPC7" s="87"/>
      <c r="VPD7" s="87"/>
      <c r="VPE7" s="87"/>
      <c r="VPF7" s="87"/>
      <c r="VPG7" s="87"/>
      <c r="VPH7" s="87"/>
      <c r="VPI7" s="87"/>
      <c r="VPJ7" s="87"/>
      <c r="VPK7" s="87"/>
      <c r="VPL7" s="87"/>
      <c r="VPM7" s="87"/>
      <c r="VPN7" s="87"/>
      <c r="VPO7" s="87"/>
      <c r="VPP7" s="87"/>
      <c r="VPQ7" s="87"/>
      <c r="VPR7" s="87"/>
      <c r="VPS7" s="87"/>
      <c r="VPT7" s="87"/>
      <c r="VPU7" s="87"/>
      <c r="VPV7" s="87"/>
      <c r="VPW7" s="87"/>
      <c r="VPX7" s="87"/>
      <c r="VPY7" s="87"/>
      <c r="VPZ7" s="87"/>
      <c r="VQA7" s="87"/>
      <c r="VQB7" s="87"/>
      <c r="VQC7" s="87"/>
      <c r="VQD7" s="87"/>
      <c r="VQE7" s="87"/>
      <c r="VQF7" s="87"/>
      <c r="VQG7" s="87"/>
      <c r="VQH7" s="87"/>
      <c r="VQI7" s="87"/>
      <c r="VQJ7" s="87"/>
      <c r="VQK7" s="87"/>
      <c r="VQL7" s="87"/>
      <c r="VQM7" s="87"/>
      <c r="VQN7" s="87"/>
      <c r="VQO7" s="87"/>
      <c r="VQP7" s="87"/>
      <c r="VQQ7" s="87"/>
      <c r="VQR7" s="87"/>
      <c r="VQS7" s="87"/>
      <c r="VQT7" s="87"/>
      <c r="VQU7" s="87"/>
      <c r="VQV7" s="87"/>
      <c r="VQW7" s="87"/>
      <c r="VQX7" s="87"/>
      <c r="VQY7" s="87"/>
      <c r="VQZ7" s="87"/>
      <c r="VRA7" s="87"/>
      <c r="VRB7" s="87"/>
      <c r="VRC7" s="87"/>
      <c r="VRD7" s="87"/>
      <c r="VRE7" s="87"/>
      <c r="VRF7" s="87"/>
      <c r="VRG7" s="87"/>
      <c r="VRH7" s="87"/>
      <c r="VRI7" s="87"/>
      <c r="VRJ7" s="87"/>
      <c r="VRK7" s="87"/>
      <c r="VRL7" s="87"/>
      <c r="VRM7" s="87"/>
      <c r="VRN7" s="87"/>
      <c r="VRO7" s="87"/>
      <c r="VRP7" s="87"/>
      <c r="VRQ7" s="87"/>
      <c r="VRR7" s="87"/>
      <c r="VRS7" s="87"/>
      <c r="VRT7" s="87"/>
      <c r="VRU7" s="87"/>
      <c r="VRV7" s="87"/>
      <c r="VRW7" s="87"/>
      <c r="VRX7" s="87"/>
      <c r="VRY7" s="87"/>
      <c r="VRZ7" s="87"/>
      <c r="VSA7" s="87"/>
      <c r="VSB7" s="87"/>
      <c r="VSC7" s="87"/>
      <c r="VSD7" s="87"/>
      <c r="VSE7" s="87"/>
      <c r="VSF7" s="87"/>
      <c r="VSG7" s="87"/>
      <c r="VSH7" s="87"/>
      <c r="VSI7" s="87"/>
      <c r="VSJ7" s="87"/>
      <c r="VSK7" s="87"/>
      <c r="VSL7" s="87"/>
      <c r="VSM7" s="87"/>
      <c r="VSN7" s="87"/>
      <c r="VSO7" s="87"/>
      <c r="VSP7" s="87"/>
      <c r="VSQ7" s="87"/>
      <c r="VSR7" s="87"/>
      <c r="VSS7" s="87"/>
      <c r="VST7" s="87"/>
      <c r="VSU7" s="87"/>
      <c r="VSV7" s="87"/>
      <c r="VSW7" s="87"/>
      <c r="VSX7" s="87"/>
      <c r="VSY7" s="87"/>
      <c r="VSZ7" s="87"/>
      <c r="VTA7" s="87"/>
      <c r="VTB7" s="87"/>
      <c r="VTC7" s="87"/>
      <c r="VTD7" s="87"/>
      <c r="VTE7" s="87"/>
      <c r="VTF7" s="87"/>
      <c r="VTG7" s="87"/>
      <c r="VTH7" s="87"/>
      <c r="VTI7" s="87"/>
      <c r="VTJ7" s="87"/>
      <c r="VTK7" s="87"/>
      <c r="VTL7" s="87"/>
      <c r="VTM7" s="87"/>
      <c r="VTN7" s="87"/>
      <c r="VTO7" s="87"/>
      <c r="VTP7" s="87"/>
      <c r="VTQ7" s="87"/>
      <c r="VTR7" s="87"/>
      <c r="VTS7" s="87"/>
      <c r="VTT7" s="87"/>
      <c r="VTU7" s="87"/>
      <c r="VTV7" s="87"/>
      <c r="VTW7" s="87"/>
      <c r="VTX7" s="87"/>
      <c r="VTY7" s="87"/>
      <c r="VTZ7" s="87"/>
      <c r="VUA7" s="87"/>
      <c r="VUB7" s="87"/>
      <c r="VUC7" s="87"/>
      <c r="VUD7" s="87"/>
      <c r="VUE7" s="87"/>
      <c r="VUF7" s="87"/>
      <c r="VUG7" s="87"/>
      <c r="VUH7" s="87"/>
      <c r="VUI7" s="87"/>
      <c r="VUJ7" s="87"/>
      <c r="VUK7" s="87"/>
      <c r="VUL7" s="87"/>
      <c r="VUM7" s="87"/>
      <c r="VUN7" s="87"/>
      <c r="VUO7" s="87"/>
      <c r="VUP7" s="87"/>
      <c r="VUQ7" s="87"/>
      <c r="VUR7" s="87"/>
      <c r="VUS7" s="87"/>
      <c r="VUT7" s="87"/>
      <c r="VUU7" s="87"/>
      <c r="VUV7" s="87"/>
      <c r="VUW7" s="87"/>
      <c r="VUX7" s="87"/>
      <c r="VUY7" s="87"/>
      <c r="VUZ7" s="87"/>
      <c r="VVA7" s="87"/>
      <c r="VVB7" s="87"/>
      <c r="VVC7" s="87"/>
      <c r="VVD7" s="87"/>
      <c r="VVE7" s="87"/>
      <c r="VVF7" s="87"/>
      <c r="VVG7" s="87"/>
      <c r="VVH7" s="87"/>
      <c r="VVI7" s="87"/>
      <c r="VVJ7" s="87"/>
      <c r="VVK7" s="87"/>
      <c r="VVL7" s="87"/>
      <c r="VVM7" s="87"/>
      <c r="VVN7" s="87"/>
      <c r="VVO7" s="87"/>
      <c r="VVP7" s="87"/>
      <c r="VVQ7" s="87"/>
      <c r="VVR7" s="87"/>
      <c r="VVS7" s="87"/>
      <c r="VVT7" s="87"/>
      <c r="VVU7" s="87"/>
      <c r="VVV7" s="87"/>
      <c r="VVW7" s="87"/>
      <c r="VVX7" s="87"/>
      <c r="VVY7" s="87"/>
      <c r="VVZ7" s="87"/>
      <c r="VWA7" s="87"/>
      <c r="VWB7" s="87"/>
      <c r="VWC7" s="87"/>
      <c r="VWD7" s="87"/>
      <c r="VWE7" s="87"/>
      <c r="VWF7" s="87"/>
      <c r="VWG7" s="87"/>
      <c r="VWH7" s="87"/>
      <c r="VWI7" s="87"/>
      <c r="VWJ7" s="87"/>
      <c r="VWK7" s="87"/>
      <c r="VWL7" s="87"/>
      <c r="VWM7" s="87"/>
      <c r="VWN7" s="87"/>
      <c r="VWO7" s="87"/>
      <c r="VWP7" s="87"/>
      <c r="VWQ7" s="87"/>
      <c r="VWR7" s="87"/>
      <c r="VWS7" s="87"/>
      <c r="VWT7" s="87"/>
      <c r="VWU7" s="87"/>
      <c r="VWV7" s="87"/>
      <c r="VWW7" s="87"/>
      <c r="VWX7" s="87"/>
      <c r="VWY7" s="87"/>
      <c r="VWZ7" s="87"/>
      <c r="VXA7" s="87"/>
      <c r="VXB7" s="87"/>
      <c r="VXC7" s="87"/>
      <c r="VXD7" s="87"/>
      <c r="VXE7" s="87"/>
      <c r="VXF7" s="87"/>
      <c r="VXG7" s="87"/>
      <c r="VXH7" s="87"/>
      <c r="VXI7" s="87"/>
      <c r="VXJ7" s="87"/>
      <c r="VXK7" s="87"/>
      <c r="VXL7" s="87"/>
      <c r="VXM7" s="87"/>
      <c r="VXN7" s="87"/>
      <c r="VXO7" s="87"/>
      <c r="VXP7" s="87"/>
      <c r="VXQ7" s="87"/>
      <c r="VXR7" s="87"/>
      <c r="VXS7" s="87"/>
      <c r="VXT7" s="87"/>
      <c r="VXU7" s="87"/>
      <c r="VXV7" s="87"/>
      <c r="VXW7" s="87"/>
      <c r="VXX7" s="87"/>
      <c r="VXY7" s="87"/>
      <c r="VXZ7" s="87"/>
      <c r="VYA7" s="87"/>
      <c r="VYB7" s="87"/>
      <c r="VYC7" s="87"/>
      <c r="VYD7" s="87"/>
      <c r="VYE7" s="87"/>
      <c r="VYF7" s="87"/>
      <c r="VYG7" s="87"/>
      <c r="VYH7" s="87"/>
      <c r="VYI7" s="87"/>
      <c r="VYJ7" s="87"/>
      <c r="VYK7" s="87"/>
      <c r="VYL7" s="87"/>
      <c r="VYM7" s="87"/>
      <c r="VYN7" s="87"/>
      <c r="VYO7" s="87"/>
      <c r="VYP7" s="87"/>
      <c r="VYQ7" s="87"/>
      <c r="VYR7" s="87"/>
      <c r="VYS7" s="87"/>
      <c r="VYT7" s="87"/>
      <c r="VYU7" s="87"/>
      <c r="VYV7" s="87"/>
      <c r="VYW7" s="87"/>
      <c r="VYX7" s="87"/>
      <c r="VYY7" s="87"/>
      <c r="VYZ7" s="87"/>
      <c r="VZA7" s="87"/>
      <c r="VZB7" s="87"/>
      <c r="VZC7" s="87"/>
      <c r="VZD7" s="87"/>
      <c r="VZE7" s="87"/>
      <c r="VZF7" s="87"/>
      <c r="VZG7" s="87"/>
      <c r="VZH7" s="87"/>
      <c r="VZI7" s="87"/>
      <c r="VZJ7" s="87"/>
      <c r="VZK7" s="87"/>
      <c r="VZL7" s="87"/>
      <c r="VZM7" s="87"/>
      <c r="VZN7" s="87"/>
      <c r="VZO7" s="87"/>
      <c r="VZP7" s="87"/>
      <c r="VZQ7" s="87"/>
      <c r="VZR7" s="87"/>
      <c r="VZS7" s="87"/>
      <c r="VZT7" s="87"/>
      <c r="VZU7" s="87"/>
      <c r="VZV7" s="87"/>
      <c r="VZW7" s="87"/>
      <c r="VZX7" s="87"/>
      <c r="VZY7" s="87"/>
      <c r="VZZ7" s="87"/>
      <c r="WAA7" s="87"/>
      <c r="WAB7" s="87"/>
      <c r="WAC7" s="87"/>
      <c r="WAD7" s="87"/>
      <c r="WAE7" s="87"/>
      <c r="WAF7" s="87"/>
      <c r="WAG7" s="87"/>
      <c r="WAH7" s="87"/>
      <c r="WAI7" s="87"/>
      <c r="WAJ7" s="87"/>
      <c r="WAK7" s="87"/>
      <c r="WAL7" s="87"/>
      <c r="WAM7" s="87"/>
      <c r="WAN7" s="87"/>
      <c r="WAO7" s="87"/>
      <c r="WAP7" s="87"/>
      <c r="WAQ7" s="87"/>
      <c r="WAR7" s="87"/>
      <c r="WAS7" s="87"/>
      <c r="WAT7" s="87"/>
      <c r="WAU7" s="87"/>
      <c r="WAV7" s="87"/>
      <c r="WAW7" s="87"/>
      <c r="WAX7" s="87"/>
      <c r="WAY7" s="87"/>
      <c r="WAZ7" s="87"/>
      <c r="WBA7" s="87"/>
      <c r="WBB7" s="87"/>
      <c r="WBC7" s="87"/>
      <c r="WBD7" s="87"/>
      <c r="WBE7" s="87"/>
      <c r="WBF7" s="87"/>
      <c r="WBG7" s="87"/>
      <c r="WBH7" s="87"/>
      <c r="WBI7" s="87"/>
      <c r="WBJ7" s="87"/>
      <c r="WBK7" s="87"/>
      <c r="WBL7" s="87"/>
      <c r="WBM7" s="87"/>
      <c r="WBN7" s="87"/>
      <c r="WBO7" s="87"/>
      <c r="WBP7" s="87"/>
      <c r="WBQ7" s="87"/>
      <c r="WBR7" s="87"/>
      <c r="WBS7" s="87"/>
      <c r="WBT7" s="87"/>
      <c r="WBU7" s="87"/>
      <c r="WBV7" s="87"/>
      <c r="WBW7" s="87"/>
      <c r="WBX7" s="87"/>
      <c r="WBY7" s="87"/>
      <c r="WBZ7" s="87"/>
      <c r="WCA7" s="87"/>
      <c r="WCB7" s="87"/>
      <c r="WCC7" s="87"/>
      <c r="WCD7" s="87"/>
      <c r="WCE7" s="87"/>
      <c r="WCF7" s="87"/>
      <c r="WCG7" s="87"/>
      <c r="WCH7" s="87"/>
      <c r="WCI7" s="87"/>
      <c r="WCJ7" s="87"/>
      <c r="WCK7" s="87"/>
      <c r="WCL7" s="87"/>
      <c r="WCM7" s="87"/>
      <c r="WCN7" s="87"/>
      <c r="WCO7" s="87"/>
      <c r="WCP7" s="87"/>
      <c r="WCQ7" s="87"/>
      <c r="WCR7" s="87"/>
      <c r="WCS7" s="87"/>
      <c r="WCT7" s="87"/>
      <c r="WCU7" s="87"/>
      <c r="WCV7" s="87"/>
      <c r="WCW7" s="87"/>
      <c r="WCX7" s="87"/>
      <c r="WCY7" s="87"/>
      <c r="WCZ7" s="87"/>
      <c r="WDA7" s="87"/>
      <c r="WDB7" s="87"/>
      <c r="WDC7" s="87"/>
      <c r="WDD7" s="87"/>
      <c r="WDE7" s="87"/>
      <c r="WDF7" s="87"/>
      <c r="WDG7" s="87"/>
      <c r="WDH7" s="87"/>
      <c r="WDI7" s="87"/>
      <c r="WDJ7" s="87"/>
      <c r="WDK7" s="87"/>
      <c r="WDL7" s="87"/>
      <c r="WDM7" s="87"/>
      <c r="WDN7" s="87"/>
      <c r="WDO7" s="87"/>
      <c r="WDP7" s="87"/>
      <c r="WDQ7" s="87"/>
      <c r="WDR7" s="87"/>
      <c r="WDS7" s="87"/>
      <c r="WDT7" s="87"/>
      <c r="WDU7" s="87"/>
      <c r="WDV7" s="87"/>
      <c r="WDW7" s="87"/>
      <c r="WDX7" s="87"/>
      <c r="WDY7" s="87"/>
      <c r="WDZ7" s="87"/>
      <c r="WEA7" s="87"/>
      <c r="WEB7" s="87"/>
      <c r="WEC7" s="87"/>
      <c r="WED7" s="87"/>
      <c r="WEE7" s="87"/>
      <c r="WEF7" s="87"/>
      <c r="WEG7" s="87"/>
      <c r="WEH7" s="87"/>
      <c r="WEI7" s="87"/>
      <c r="WEJ7" s="87"/>
      <c r="WEK7" s="87"/>
      <c r="WEL7" s="87"/>
      <c r="WEM7" s="87"/>
      <c r="WEN7" s="87"/>
      <c r="WEO7" s="87"/>
      <c r="WEP7" s="87"/>
      <c r="WEQ7" s="87"/>
      <c r="WER7" s="87"/>
      <c r="WES7" s="87"/>
      <c r="WET7" s="87"/>
      <c r="WEU7" s="87"/>
      <c r="WEV7" s="87"/>
      <c r="WEW7" s="87"/>
      <c r="WEX7" s="87"/>
      <c r="WEY7" s="87"/>
      <c r="WEZ7" s="87"/>
      <c r="WFA7" s="87"/>
      <c r="WFB7" s="87"/>
      <c r="WFC7" s="87"/>
      <c r="WFD7" s="87"/>
      <c r="WFE7" s="87"/>
      <c r="WFF7" s="87"/>
      <c r="WFG7" s="87"/>
      <c r="WFH7" s="87"/>
      <c r="WFI7" s="87"/>
      <c r="WFJ7" s="87"/>
      <c r="WFK7" s="87"/>
      <c r="WFL7" s="87"/>
      <c r="WFM7" s="87"/>
      <c r="WFN7" s="87"/>
      <c r="WFO7" s="87"/>
      <c r="WFP7" s="87"/>
      <c r="WFQ7" s="87"/>
      <c r="WFR7" s="87"/>
      <c r="WFS7" s="87"/>
      <c r="WFT7" s="87"/>
      <c r="WFU7" s="87"/>
      <c r="WFV7" s="87"/>
      <c r="WFW7" s="87"/>
      <c r="WFX7" s="87"/>
      <c r="WFY7" s="87"/>
      <c r="WFZ7" s="87"/>
      <c r="WGA7" s="87"/>
      <c r="WGB7" s="87"/>
      <c r="WGC7" s="87"/>
      <c r="WGD7" s="87"/>
      <c r="WGE7" s="87"/>
      <c r="WGF7" s="87"/>
      <c r="WGG7" s="87"/>
      <c r="WGH7" s="87"/>
      <c r="WGI7" s="87"/>
      <c r="WGJ7" s="87"/>
      <c r="WGK7" s="87"/>
      <c r="WGL7" s="87"/>
      <c r="WGM7" s="87"/>
      <c r="WGN7" s="87"/>
      <c r="WGO7" s="87"/>
      <c r="WGP7" s="87"/>
      <c r="WGQ7" s="87"/>
      <c r="WGR7" s="87"/>
      <c r="WGS7" s="87"/>
      <c r="WGT7" s="87"/>
      <c r="WGU7" s="87"/>
      <c r="WGV7" s="87"/>
      <c r="WGW7" s="87"/>
      <c r="WGX7" s="87"/>
      <c r="WGY7" s="87"/>
      <c r="WGZ7" s="87"/>
      <c r="WHA7" s="87"/>
      <c r="WHB7" s="87"/>
      <c r="WHC7" s="87"/>
      <c r="WHD7" s="87"/>
      <c r="WHE7" s="87"/>
      <c r="WHF7" s="87"/>
      <c r="WHG7" s="87"/>
      <c r="WHH7" s="87"/>
      <c r="WHI7" s="87"/>
      <c r="WHJ7" s="87"/>
      <c r="WHK7" s="87"/>
      <c r="WHL7" s="87"/>
      <c r="WHM7" s="87"/>
      <c r="WHN7" s="87"/>
      <c r="WHO7" s="87"/>
      <c r="WHP7" s="87"/>
      <c r="WHQ7" s="87"/>
      <c r="WHR7" s="87"/>
      <c r="WHS7" s="87"/>
      <c r="WHT7" s="87"/>
      <c r="WHU7" s="87"/>
      <c r="WHV7" s="87"/>
      <c r="WHW7" s="87"/>
      <c r="WHX7" s="87"/>
      <c r="WHY7" s="87"/>
      <c r="WHZ7" s="87"/>
      <c r="WIA7" s="87"/>
      <c r="WIB7" s="87"/>
      <c r="WIC7" s="87"/>
      <c r="WID7" s="87"/>
      <c r="WIE7" s="87"/>
      <c r="WIF7" s="87"/>
      <c r="WIG7" s="87"/>
      <c r="WIH7" s="87"/>
      <c r="WII7" s="87"/>
      <c r="WIJ7" s="87"/>
      <c r="WIK7" s="87"/>
      <c r="WIL7" s="87"/>
      <c r="WIM7" s="87"/>
      <c r="WIN7" s="87"/>
      <c r="WIO7" s="87"/>
      <c r="WIP7" s="87"/>
      <c r="WIQ7" s="87"/>
      <c r="WIR7" s="87"/>
      <c r="WIS7" s="87"/>
      <c r="WIT7" s="87"/>
      <c r="WIU7" s="87"/>
      <c r="WIV7" s="87"/>
      <c r="WIW7" s="87"/>
      <c r="WIX7" s="87"/>
      <c r="WIY7" s="87"/>
      <c r="WIZ7" s="87"/>
      <c r="WJA7" s="87"/>
      <c r="WJB7" s="87"/>
      <c r="WJC7" s="87"/>
      <c r="WJD7" s="87"/>
      <c r="WJE7" s="87"/>
      <c r="WJF7" s="87"/>
      <c r="WJG7" s="87"/>
      <c r="WJH7" s="87"/>
      <c r="WJI7" s="87"/>
      <c r="WJJ7" s="87"/>
      <c r="WJK7" s="87"/>
      <c r="WJL7" s="87"/>
      <c r="WJM7" s="87"/>
      <c r="WJN7" s="87"/>
      <c r="WJO7" s="87"/>
      <c r="WJP7" s="87"/>
      <c r="WJQ7" s="87"/>
      <c r="WJR7" s="87"/>
      <c r="WJS7" s="87"/>
      <c r="WJT7" s="87"/>
      <c r="WJU7" s="87"/>
      <c r="WJV7" s="87"/>
      <c r="WJW7" s="87"/>
      <c r="WJX7" s="87"/>
      <c r="WJY7" s="87"/>
      <c r="WJZ7" s="87"/>
      <c r="WKA7" s="87"/>
      <c r="WKB7" s="87"/>
      <c r="WKC7" s="87"/>
      <c r="WKD7" s="87"/>
      <c r="WKE7" s="87"/>
      <c r="WKF7" s="87"/>
      <c r="WKG7" s="87"/>
      <c r="WKH7" s="87"/>
      <c r="WKI7" s="87"/>
      <c r="WKJ7" s="87"/>
      <c r="WKK7" s="87"/>
      <c r="WKL7" s="87"/>
      <c r="WKM7" s="87"/>
      <c r="WKN7" s="87"/>
      <c r="WKO7" s="87"/>
      <c r="WKP7" s="87"/>
      <c r="WKQ7" s="87"/>
      <c r="WKR7" s="87"/>
      <c r="WKS7" s="87"/>
      <c r="WKT7" s="87"/>
      <c r="WKU7" s="87"/>
      <c r="WKV7" s="87"/>
      <c r="WKW7" s="87"/>
      <c r="WKX7" s="87"/>
      <c r="WKY7" s="87"/>
      <c r="WKZ7" s="87"/>
      <c r="WLA7" s="87"/>
      <c r="WLB7" s="87"/>
      <c r="WLC7" s="87"/>
      <c r="WLD7" s="87"/>
      <c r="WLE7" s="87"/>
      <c r="WLF7" s="87"/>
      <c r="WLG7" s="87"/>
      <c r="WLH7" s="87"/>
      <c r="WLI7" s="87"/>
      <c r="WLJ7" s="87"/>
      <c r="WLK7" s="87"/>
      <c r="WLL7" s="87"/>
      <c r="WLM7" s="87"/>
      <c r="WLN7" s="87"/>
      <c r="WLO7" s="87"/>
      <c r="WLP7" s="87"/>
      <c r="WLQ7" s="87"/>
      <c r="WLR7" s="87"/>
      <c r="WLS7" s="87"/>
      <c r="WLT7" s="87"/>
      <c r="WLU7" s="87"/>
      <c r="WLV7" s="87"/>
      <c r="WLW7" s="87"/>
      <c r="WLX7" s="87"/>
      <c r="WLY7" s="87"/>
      <c r="WLZ7" s="87"/>
      <c r="WMA7" s="87"/>
      <c r="WMB7" s="87"/>
      <c r="WMC7" s="87"/>
      <c r="WMD7" s="87"/>
      <c r="WME7" s="87"/>
      <c r="WMF7" s="87"/>
      <c r="WMG7" s="87"/>
      <c r="WMH7" s="87"/>
      <c r="WMI7" s="87"/>
      <c r="WMJ7" s="87"/>
      <c r="WMK7" s="87"/>
      <c r="WML7" s="87"/>
      <c r="WMM7" s="87"/>
      <c r="WMN7" s="87"/>
      <c r="WMO7" s="87"/>
      <c r="WMP7" s="87"/>
      <c r="WMQ7" s="87"/>
      <c r="WMR7" s="87"/>
      <c r="WMS7" s="87"/>
      <c r="WMT7" s="87"/>
      <c r="WMU7" s="87"/>
      <c r="WMV7" s="87"/>
      <c r="WMW7" s="87"/>
      <c r="WMX7" s="87"/>
      <c r="WMY7" s="87"/>
      <c r="WMZ7" s="87"/>
      <c r="WNA7" s="87"/>
      <c r="WNB7" s="87"/>
      <c r="WNC7" s="87"/>
      <c r="WND7" s="87"/>
      <c r="WNE7" s="87"/>
      <c r="WNF7" s="87"/>
      <c r="WNG7" s="87"/>
      <c r="WNH7" s="87"/>
      <c r="WNI7" s="87"/>
      <c r="WNJ7" s="87"/>
      <c r="WNK7" s="87"/>
      <c r="WNL7" s="87"/>
      <c r="WNM7" s="87"/>
      <c r="WNN7" s="87"/>
      <c r="WNO7" s="87"/>
      <c r="WNP7" s="87"/>
      <c r="WNQ7" s="87"/>
      <c r="WNR7" s="87"/>
      <c r="WNS7" s="87"/>
      <c r="WNT7" s="87"/>
      <c r="WNU7" s="87"/>
      <c r="WNV7" s="87"/>
      <c r="WNW7" s="87"/>
      <c r="WNX7" s="87"/>
      <c r="WNY7" s="87"/>
      <c r="WNZ7" s="87"/>
      <c r="WOA7" s="87"/>
      <c r="WOB7" s="87"/>
      <c r="WOC7" s="87"/>
      <c r="WOD7" s="87"/>
      <c r="WOE7" s="87"/>
      <c r="WOF7" s="87"/>
      <c r="WOG7" s="87"/>
      <c r="WOH7" s="87"/>
      <c r="WOI7" s="87"/>
      <c r="WOJ7" s="87"/>
      <c r="WOK7" s="87"/>
      <c r="WOL7" s="87"/>
      <c r="WOM7" s="87"/>
      <c r="WON7" s="87"/>
      <c r="WOO7" s="87"/>
      <c r="WOP7" s="87"/>
      <c r="WOQ7" s="87"/>
      <c r="WOR7" s="87"/>
      <c r="WOS7" s="87"/>
      <c r="WOT7" s="87"/>
      <c r="WOU7" s="87"/>
      <c r="WOV7" s="87"/>
      <c r="WOW7" s="87"/>
      <c r="WOX7" s="87"/>
      <c r="WOY7" s="87"/>
      <c r="WOZ7" s="87"/>
      <c r="WPA7" s="87"/>
      <c r="WPB7" s="87"/>
      <c r="WPC7" s="87"/>
      <c r="WPD7" s="87"/>
      <c r="WPE7" s="87"/>
      <c r="WPF7" s="87"/>
      <c r="WPG7" s="87"/>
      <c r="WPH7" s="87"/>
      <c r="WPI7" s="87"/>
      <c r="WPJ7" s="87"/>
      <c r="WPK7" s="87"/>
      <c r="WPL7" s="87"/>
      <c r="WPM7" s="87"/>
      <c r="WPN7" s="87"/>
      <c r="WPO7" s="87"/>
      <c r="WPP7" s="87"/>
      <c r="WPQ7" s="87"/>
      <c r="WPR7" s="87"/>
      <c r="WPS7" s="87"/>
      <c r="WPT7" s="87"/>
      <c r="WPU7" s="87"/>
      <c r="WPV7" s="87"/>
      <c r="WPW7" s="87"/>
      <c r="WPX7" s="87"/>
      <c r="WPY7" s="87"/>
      <c r="WPZ7" s="87"/>
      <c r="WQA7" s="87"/>
      <c r="WQB7" s="87"/>
      <c r="WQC7" s="87"/>
      <c r="WQD7" s="87"/>
      <c r="WQE7" s="87"/>
      <c r="WQF7" s="87"/>
      <c r="WQG7" s="87"/>
      <c r="WQH7" s="87"/>
      <c r="WQI7" s="87"/>
      <c r="WQJ7" s="87"/>
      <c r="WQK7" s="87"/>
      <c r="WQL7" s="87"/>
      <c r="WQM7" s="87"/>
      <c r="WQN7" s="87"/>
      <c r="WQO7" s="87"/>
      <c r="WQP7" s="87"/>
      <c r="WQQ7" s="87"/>
      <c r="WQR7" s="87"/>
      <c r="WQS7" s="87"/>
      <c r="WQT7" s="87"/>
      <c r="WQU7" s="87"/>
      <c r="WQV7" s="87"/>
      <c r="WQW7" s="87"/>
      <c r="WQX7" s="87"/>
      <c r="WQY7" s="87"/>
      <c r="WQZ7" s="87"/>
      <c r="WRA7" s="87"/>
      <c r="WRB7" s="87"/>
      <c r="WRC7" s="87"/>
      <c r="WRD7" s="87"/>
      <c r="WRE7" s="87"/>
      <c r="WRF7" s="87"/>
      <c r="WRG7" s="87"/>
      <c r="WRH7" s="87"/>
      <c r="WRI7" s="87"/>
      <c r="WRJ7" s="87"/>
      <c r="WRK7" s="87"/>
      <c r="WRL7" s="87"/>
      <c r="WRM7" s="87"/>
      <c r="WRN7" s="87"/>
      <c r="WRO7" s="87"/>
      <c r="WRP7" s="87"/>
      <c r="WRQ7" s="87"/>
      <c r="WRR7" s="87"/>
      <c r="WRS7" s="87"/>
      <c r="WRT7" s="87"/>
      <c r="WRU7" s="87"/>
      <c r="WRV7" s="87"/>
      <c r="WRW7" s="87"/>
      <c r="WRX7" s="87"/>
      <c r="WRY7" s="87"/>
      <c r="WRZ7" s="87"/>
      <c r="WSA7" s="87"/>
      <c r="WSB7" s="87"/>
      <c r="WSC7" s="87"/>
      <c r="WSD7" s="87"/>
      <c r="WSE7" s="87"/>
      <c r="WSF7" s="87"/>
      <c r="WSG7" s="87"/>
      <c r="WSH7" s="87"/>
      <c r="WSI7" s="87"/>
      <c r="WSJ7" s="87"/>
      <c r="WSK7" s="87"/>
      <c r="WSL7" s="87"/>
      <c r="WSM7" s="87"/>
      <c r="WSN7" s="87"/>
      <c r="WSO7" s="87"/>
      <c r="WSP7" s="87"/>
      <c r="WSQ7" s="87"/>
      <c r="WSR7" s="87"/>
      <c r="WSS7" s="87"/>
      <c r="WST7" s="87"/>
      <c r="WSU7" s="87"/>
      <c r="WSV7" s="87"/>
      <c r="WSW7" s="87"/>
      <c r="WSX7" s="87"/>
      <c r="WSY7" s="87"/>
      <c r="WSZ7" s="87"/>
      <c r="WTA7" s="87"/>
      <c r="WTB7" s="87"/>
      <c r="WTC7" s="87"/>
      <c r="WTD7" s="87"/>
      <c r="WTE7" s="87"/>
      <c r="WTF7" s="87"/>
      <c r="WTG7" s="87"/>
      <c r="WTH7" s="87"/>
      <c r="WTI7" s="87"/>
      <c r="WTJ7" s="87"/>
      <c r="WTK7" s="87"/>
      <c r="WTL7" s="87"/>
      <c r="WTM7" s="87"/>
      <c r="WTN7" s="87"/>
      <c r="WTO7" s="87"/>
      <c r="WTP7" s="87"/>
      <c r="WTQ7" s="87"/>
      <c r="WTR7" s="87"/>
      <c r="WTS7" s="87"/>
      <c r="WTT7" s="87"/>
      <c r="WTU7" s="87"/>
      <c r="WTV7" s="87"/>
      <c r="WTW7" s="87"/>
      <c r="WTX7" s="87"/>
      <c r="WTY7" s="87"/>
      <c r="WTZ7" s="87"/>
      <c r="WUA7" s="87"/>
      <c r="WUB7" s="87"/>
      <c r="WUC7" s="87"/>
      <c r="WUD7" s="87"/>
      <c r="WUE7" s="87"/>
      <c r="WUF7" s="87"/>
      <c r="WUG7" s="87"/>
      <c r="WUH7" s="87"/>
      <c r="WUI7" s="87"/>
      <c r="WUJ7" s="87"/>
      <c r="WUK7" s="87"/>
      <c r="WUL7" s="87"/>
      <c r="WUM7" s="87"/>
      <c r="WUN7" s="87"/>
      <c r="WUO7" s="87"/>
      <c r="WUP7" s="87"/>
      <c r="WUQ7" s="87"/>
      <c r="WUR7" s="87"/>
      <c r="WUS7" s="87"/>
      <c r="WUT7" s="87"/>
      <c r="WUU7" s="87"/>
      <c r="WUV7" s="87"/>
      <c r="WUW7" s="87"/>
      <c r="WUX7" s="87"/>
      <c r="WUY7" s="87"/>
      <c r="WUZ7" s="87"/>
      <c r="WVA7" s="87"/>
      <c r="WVB7" s="87"/>
      <c r="WVC7" s="87"/>
      <c r="WVD7" s="87"/>
      <c r="WVE7" s="87"/>
      <c r="WVF7" s="87"/>
      <c r="WVG7" s="87"/>
      <c r="WVH7" s="87"/>
      <c r="WVI7" s="87"/>
      <c r="WVJ7" s="87"/>
      <c r="WVK7" s="87"/>
      <c r="WVL7" s="87"/>
      <c r="WVM7" s="87"/>
      <c r="WVN7" s="87"/>
      <c r="WVO7" s="87"/>
      <c r="WVP7" s="87"/>
      <c r="WVQ7" s="87"/>
      <c r="WVR7" s="87"/>
      <c r="WVS7" s="87"/>
      <c r="WVT7" s="87"/>
      <c r="WVU7" s="87"/>
      <c r="WVV7" s="87"/>
      <c r="WVW7" s="87"/>
      <c r="WVX7" s="87"/>
      <c r="WVY7" s="87"/>
      <c r="WVZ7" s="87"/>
      <c r="WWA7" s="87"/>
      <c r="WWB7" s="87"/>
      <c r="WWC7" s="87"/>
      <c r="WWD7" s="87"/>
      <c r="WWE7" s="87"/>
      <c r="WWF7" s="87"/>
      <c r="WWG7" s="87"/>
      <c r="WWH7" s="87"/>
      <c r="WWI7" s="87"/>
      <c r="WWJ7" s="87"/>
      <c r="WWK7" s="87"/>
      <c r="WWL7" s="87"/>
      <c r="WWM7" s="87"/>
      <c r="WWN7" s="87"/>
      <c r="WWO7" s="87"/>
      <c r="WWP7" s="87"/>
      <c r="WWQ7" s="87"/>
      <c r="WWR7" s="87"/>
      <c r="WWS7" s="87"/>
      <c r="WWT7" s="87"/>
      <c r="WWU7" s="87"/>
      <c r="WWV7" s="87"/>
      <c r="WWW7" s="87"/>
      <c r="WWX7" s="87"/>
      <c r="WWY7" s="87"/>
      <c r="WWZ7" s="87"/>
      <c r="WXA7" s="87"/>
      <c r="WXB7" s="87"/>
      <c r="WXC7" s="87"/>
      <c r="WXD7" s="87"/>
      <c r="WXE7" s="87"/>
      <c r="WXF7" s="87"/>
      <c r="WXG7" s="87"/>
      <c r="WXH7" s="87"/>
      <c r="WXI7" s="87"/>
      <c r="WXJ7" s="87"/>
      <c r="WXK7" s="87"/>
      <c r="WXL7" s="87"/>
      <c r="WXM7" s="87"/>
      <c r="WXN7" s="87"/>
      <c r="WXO7" s="87"/>
      <c r="WXP7" s="87"/>
      <c r="WXQ7" s="87"/>
      <c r="WXR7" s="87"/>
      <c r="WXS7" s="87"/>
      <c r="WXT7" s="87"/>
      <c r="WXU7" s="87"/>
      <c r="WXV7" s="87"/>
      <c r="WXW7" s="87"/>
      <c r="WXX7" s="87"/>
      <c r="WXY7" s="87"/>
      <c r="WXZ7" s="87"/>
      <c r="WYA7" s="87"/>
      <c r="WYB7" s="87"/>
      <c r="WYC7" s="87"/>
      <c r="WYD7" s="87"/>
      <c r="WYE7" s="87"/>
      <c r="WYF7" s="87"/>
      <c r="WYG7" s="87"/>
      <c r="WYH7" s="87"/>
      <c r="WYI7" s="87"/>
      <c r="WYJ7" s="87"/>
      <c r="WYK7" s="87"/>
      <c r="WYL7" s="87"/>
      <c r="WYM7" s="87"/>
      <c r="WYN7" s="87"/>
      <c r="WYO7" s="87"/>
      <c r="WYP7" s="87"/>
      <c r="WYQ7" s="87"/>
      <c r="WYR7" s="87"/>
      <c r="WYS7" s="87"/>
      <c r="WYT7" s="87"/>
      <c r="WYU7" s="87"/>
      <c r="WYV7" s="87"/>
      <c r="WYW7" s="87"/>
      <c r="WYX7" s="87"/>
      <c r="WYY7" s="87"/>
      <c r="WYZ7" s="87"/>
      <c r="WZA7" s="87"/>
      <c r="WZB7" s="87"/>
      <c r="WZC7" s="87"/>
      <c r="WZD7" s="87"/>
      <c r="WZE7" s="87"/>
      <c r="WZF7" s="87"/>
      <c r="WZG7" s="87"/>
      <c r="WZH7" s="87"/>
      <c r="WZI7" s="87"/>
      <c r="WZJ7" s="87"/>
      <c r="WZK7" s="87"/>
      <c r="WZL7" s="87"/>
      <c r="WZM7" s="87"/>
      <c r="WZN7" s="87"/>
      <c r="WZO7" s="87"/>
      <c r="WZP7" s="87"/>
      <c r="WZQ7" s="87"/>
      <c r="WZR7" s="87"/>
      <c r="WZS7" s="87"/>
      <c r="WZT7" s="87"/>
      <c r="WZU7" s="87"/>
      <c r="WZV7" s="87"/>
      <c r="WZW7" s="87"/>
      <c r="WZX7" s="87"/>
      <c r="WZY7" s="87"/>
      <c r="WZZ7" s="87"/>
      <c r="XAA7" s="87"/>
      <c r="XAB7" s="87"/>
      <c r="XAC7" s="87"/>
      <c r="XAD7" s="87"/>
      <c r="XAE7" s="87"/>
      <c r="XAF7" s="87"/>
      <c r="XAG7" s="87"/>
      <c r="XAH7" s="87"/>
      <c r="XAI7" s="87"/>
      <c r="XAJ7" s="87"/>
      <c r="XAK7" s="87"/>
      <c r="XAL7" s="87"/>
      <c r="XAM7" s="87"/>
      <c r="XAN7" s="87"/>
      <c r="XAO7" s="87"/>
      <c r="XAP7" s="87"/>
      <c r="XAQ7" s="87"/>
      <c r="XAR7" s="87"/>
      <c r="XAS7" s="87"/>
      <c r="XAT7" s="87"/>
      <c r="XAU7" s="87"/>
      <c r="XAV7" s="87"/>
      <c r="XAW7" s="87"/>
      <c r="XAX7" s="87"/>
      <c r="XAY7" s="87"/>
      <c r="XAZ7" s="87"/>
      <c r="XBA7" s="87"/>
      <c r="XBB7" s="87"/>
      <c r="XBC7" s="87"/>
      <c r="XBD7" s="87"/>
      <c r="XBE7" s="87"/>
      <c r="XBF7" s="87"/>
      <c r="XBG7" s="87"/>
      <c r="XBH7" s="87"/>
      <c r="XBI7" s="87"/>
      <c r="XBJ7" s="87"/>
      <c r="XBK7" s="87"/>
      <c r="XBL7" s="87"/>
      <c r="XBM7" s="87"/>
      <c r="XBN7" s="87"/>
      <c r="XBO7" s="87"/>
      <c r="XBP7" s="87"/>
      <c r="XBQ7" s="87"/>
      <c r="XBR7" s="87"/>
      <c r="XBS7" s="87"/>
      <c r="XBT7" s="87"/>
      <c r="XBU7" s="87"/>
      <c r="XBV7" s="87"/>
      <c r="XBW7" s="87"/>
      <c r="XBX7" s="87"/>
      <c r="XBY7" s="87"/>
      <c r="XBZ7" s="87"/>
      <c r="XCA7" s="87"/>
      <c r="XCB7" s="87"/>
      <c r="XCC7" s="87"/>
      <c r="XCD7" s="87"/>
      <c r="XCE7" s="87"/>
      <c r="XCF7" s="87"/>
      <c r="XCG7" s="87"/>
      <c r="XCH7" s="87"/>
      <c r="XCI7" s="87"/>
      <c r="XCJ7" s="87"/>
      <c r="XCK7" s="87"/>
      <c r="XCL7" s="87"/>
      <c r="XCM7" s="87"/>
      <c r="XCN7" s="87"/>
      <c r="XCO7" s="87"/>
      <c r="XCP7" s="87"/>
      <c r="XCQ7" s="87"/>
      <c r="XCR7" s="87"/>
      <c r="XCS7" s="87"/>
      <c r="XCT7" s="87"/>
      <c r="XCU7" s="87"/>
      <c r="XCV7" s="87"/>
    </row>
    <row r="8" spans="1:16324" ht="14.5">
      <c r="A8" s="102">
        <v>11</v>
      </c>
      <c r="B8" s="94">
        <v>100</v>
      </c>
      <c r="C8" s="103" t="s">
        <v>1021</v>
      </c>
      <c r="D8" s="100" t="s">
        <v>1022</v>
      </c>
      <c r="E8" s="95">
        <v>220</v>
      </c>
      <c r="F8" s="19" t="s">
        <v>890</v>
      </c>
      <c r="G8" s="96">
        <v>0.5</v>
      </c>
      <c r="H8" s="96">
        <f t="shared" ref="H8" si="54">IF(E8&lt;=230,(G8)/((E8/1000)*J8*(B8/100)),(G8)/(1.732*(E8/1000)*J8*(B8/100)))</f>
        <v>2.2727272727272729</v>
      </c>
      <c r="I8" s="95">
        <v>1</v>
      </c>
      <c r="J8" s="96">
        <v>1</v>
      </c>
      <c r="K8" s="96">
        <f t="shared" ref="K8" si="55">ROUND(SQRT(1-(J8)^2)/J8,2)</f>
        <v>0</v>
      </c>
      <c r="L8" s="97">
        <f t="shared" ref="L8" si="56">I8*G8</f>
        <v>0.5</v>
      </c>
      <c r="M8" s="97">
        <f t="shared" ref="M8" si="57">I8*G8*K8</f>
        <v>0</v>
      </c>
      <c r="N8" s="97">
        <f t="shared" ref="N8" si="58">1*G8^2</f>
        <v>0.25</v>
      </c>
      <c r="O8" s="97"/>
      <c r="P8" s="97"/>
      <c r="Q8" s="97"/>
      <c r="R8" s="97"/>
      <c r="S8" s="97"/>
      <c r="T8" s="97"/>
      <c r="U8" s="86">
        <f>16*1.2</f>
        <v>19.2</v>
      </c>
      <c r="V8" s="86">
        <f t="shared" ref="V8" si="59">7*H8</f>
        <v>15.90909090909091</v>
      </c>
      <c r="W8" s="116" t="s">
        <v>872</v>
      </c>
      <c r="X8" s="87" t="s">
        <v>300</v>
      </c>
      <c r="Y8" s="87">
        <f t="shared" ref="Y8" si="60">IF(U8&lt;=6,6,IF(U8&lt;=10,10,IF(U8&lt;=16,16,IF(U8&lt;=20,20,IF(U8&lt;=25,25,IF(U8&lt;=32,32,IF(U8&lt;=40,40,IF(U8&lt;=50,50,IF(U8&lt;=63,63,"др.выкл")))))))))</f>
        <v>20</v>
      </c>
      <c r="Z8" s="87" t="str">
        <f>INDEX(автоматы!$B$3:$D$11,MATCH(Y8,автоматы!$A$3:$A$11,0),MATCH(X8,кол_пол,0))</f>
        <v>EZ9F34120</v>
      </c>
      <c r="AA8" s="87">
        <f t="shared" ref="AA8" si="61">IF(U8&lt;=0.16,0.16,IF(U8&lt;=0.25,0.25,IF(U8&lt;=0.4,0.4,IF(U8&lt;=0.63,0.63,IF(U8&lt;=1,1,IF(U8&lt;=1.6,1.6,IF(U8&lt;=2.5,2.5,IF(U8&lt;=4,4,IF(U8&lt;=6.3,6.3,IF(U8&lt;=10,10,IF(U8&lt;=14,14,IF(U8&lt;=18,18,IF(U8&lt;=23,23,IF(U8&lt;=25,25,IF(U8&lt;=32,32,"др.авт")))))))))))))))</f>
        <v>23</v>
      </c>
      <c r="AB8" s="87" t="str">
        <f>VLOOKUP(AA8,автоматы!$H$3:$I$17,2,0)</f>
        <v>GZ1 E21</v>
      </c>
      <c r="AC8" s="87">
        <f t="shared" ref="AC8" si="62">IF(U8&lt;=20,20,IF(U8&lt;=25,25,IF(U8&lt;=32,32,IF(U8&lt;=40,40,IF(U8&lt;=50,50,IF(U8&lt;=63,63,IF(U8&lt;=80,80,IF(U8&lt;=100,100,IF(U8&lt;=125,125,IF(U8&lt;=160,160,IF(U8&lt;=200,200,IF(U8&lt;=250,250,IF(U8&lt;=300,300,IF(U8&lt;=320,320,IF(U8&lt;=400,400,IF(U8&lt;=500,500,IF(U8&lt;=630,630,"др.авт")))))))))))))))))</f>
        <v>20</v>
      </c>
      <c r="AD8" s="87" t="str">
        <f>VLOOKUP(AC8,автоматы!$N$3:$O$19,2,0)</f>
        <v>LZMB1-A20-I</v>
      </c>
      <c r="AE8" s="88">
        <f t="shared" ref="AE8" si="63">IF(U8&lt;=6,6,IF(U8&lt;=10,10,IF(U8&lt;=16,16,IF(U8&lt;=20,20,IF(U8&lt;=25,25,IF(U8&lt;=32,32,IF(U8&lt;=40,40,IF(U8&lt;=50,50,IF(U8&lt;=63,63,"др.выкл")))))))))</f>
        <v>20</v>
      </c>
      <c r="AF8" s="87" t="str">
        <f>INDEX(автоматы!$T$2:$V$15,MATCH(AE8,автоматы!$S$2:$S$15,0),MATCH(X8,автоматы!$T$1:$V$1,0))</f>
        <v>iC60N C20 1P</v>
      </c>
      <c r="AG8" s="87">
        <f t="shared" ref="AG8" si="64">IF(U8&lt;=6,6,IF(U8&lt;=10,10,IF(U8&lt;=16,16,IF(U8&lt;=20,20,IF(U8&lt;=25,25,IF(U8&lt;=32,32,IF(U8&lt;=40,40,"др.выкл")))))))</f>
        <v>20</v>
      </c>
      <c r="AH8" s="87" t="str">
        <f>VLOOKUP(AG8,автоматы!$Z$3:$AA$9,2,0)</f>
        <v>A9D31620</v>
      </c>
      <c r="AI8" s="2">
        <f t="shared" ref="AI8" si="65">IF(U8&lt;=15,15,IF(U8&lt;=16,16,IF(U8&lt;=20,20,IF(U8&lt;=25,25,IF(U8&lt;=32,32,IF(U8&lt;=40,40,IF(U8&lt;=45,45,IF(U8&lt;=50,50,IF(U8&lt;=60,60,IF(U8&lt;=63,63,IF(U8&lt;=75,75,IF(U8&lt;=80,80,IF(U8&lt;=100,100,IF(U8&lt;=125,125,IF(U8&lt;=150,150,IF(U8&lt;=160,160,IF(U8&lt;=175,175,IF(U8&lt;=200,200,IF(U8&lt;=225,225,IF(U8&lt;=250,250,IF(U8&lt;=320,320,IF(U8&lt;=350,350,IF(U8&lt;=400,400,"др.выкл")))))))))))))))))))))))</f>
        <v>20</v>
      </c>
      <c r="AJ8" t="str">
        <f>VLOOKUP(AI8,автоматы!$AE$3:$AF$26,2,0)</f>
        <v>EZC100F3020</v>
      </c>
      <c r="AK8" s="3">
        <f t="shared" ref="AK8" si="66">IF(U8&lt;=0.16,0.16,IF(U8&lt;=0.25,0.25,IF(U8&lt;=0.4,0.4,IF(U8&lt;=0.63,0.63,IF(U8&lt;=1,1,IF(U8&lt;=1.6,1.6,IF(U8&lt;=2.5,2.5,IF(U8&lt;=4,4,IF(U8&lt;=6.3,6.3,IF(U8&lt;=10,10,IF(U8&lt;=14,14,IF(U8&lt;=18,18,IF(U8&lt;=23,23,IF(U8&lt;=25,25,IF(U8&lt;=32,32,"др.авт")))))))))))))))</f>
        <v>23</v>
      </c>
      <c r="AL8" t="str">
        <f>VLOOKUP(AK8,DEKraft!$I$2:$J$16,2,0)</f>
        <v>21232DEK</v>
      </c>
      <c r="AM8">
        <f t="shared" ref="AM8" si="67">IF(U8&lt;=0.16,0.16,IF(U8&lt;=0.25,0.25,IF(U8&lt;=0.4,0.4,IF(U8&lt;=0.63,0.63,IF(U8&lt;=1,1,IF(U8&lt;=1.6,1.6,IF(U8&lt;=2.5,2.5,IF(U8&lt;=4,4,IF(U8&lt;=6.3,6.3,IF(U8&lt;=10,10,IF(U8&lt;=14,14,IF(U8&lt;=18,18,IF(U8&lt;=23,23,IF(U8&lt;=25,25,IF(U8&lt;=32,32,"др.авт")))))))))))))))</f>
        <v>23</v>
      </c>
      <c r="AN8" t="str">
        <f>VLOOKUP(AM8,systeme!$A$33:$B$47,2,0)</f>
        <v>GM2ME21</v>
      </c>
      <c r="AO8">
        <f t="shared" ref="AO8" si="68">IF(U8&lt;=0.16,0.16,IF(U8&lt;=0.25,0.25,IF(U8&lt;=0.4,0.4,IF(U8&lt;=0.63,0.63,IF(U8&lt;=1,1,IF(U8&lt;=1.6,1.6,IF(U8&lt;=2.5,2.5,IF(U8&lt;=4,4,IF(U8&lt;=6.3,6.3,IF(U8&lt;=10,10,IF(U8&lt;=14,14,IF(U8&lt;=18,18,IF(U8&lt;=23,23,IF(U8&lt;=25,25,IF(U8&lt;=32,32,"др.авт")))))))))))))))</f>
        <v>23</v>
      </c>
      <c r="AP8">
        <f>VLOOKUP(AO8,chint!$A$34:$B$48,2,0)</f>
        <v>495084</v>
      </c>
      <c r="AQ8" s="3">
        <f t="shared" ref="AQ8" si="69">IF(U8&lt;=6,6,IF(U8&lt;=10,10,IF(U8&lt;=16,16,IF(U8&lt;=20,20,IF(U8&lt;=25,25,IF(U8&lt;=32,32,IF(U8&lt;=40,40,IF(U8&lt;=50,50,IF(U8&lt;=63,63,"др.выкл")))))))))</f>
        <v>20</v>
      </c>
      <c r="AR8" t="str">
        <f>INDEX(DEKraft!$B$2:$D$13,MATCH(AQ8,DEKraft!$A$2:$A$13,0),MATCH(X8,DEKraft!$B$1:$D$1,0))</f>
        <v>13154DEK</v>
      </c>
      <c r="AS8" t="str">
        <f>INDEX(DEKraft!$B$21:$D$32,MATCH(AQ8,DEKraft!$A$21:$A$32,0),MATCH(X8,DEKraft!$B$20:$D$20,0))</f>
        <v>12274DEK</v>
      </c>
      <c r="AT8" t="str">
        <f>INDEX(systeme!$B$2:$D$10,MATCH(AQ8,systeme!$A$2:$A$10,0),MATCH(X8,systeme!$B$1:$D$1,0))</f>
        <v>C9F36120</v>
      </c>
      <c r="AU8">
        <f>INDEX(chint!$B$2:$D$10,MATCH(AQ8,chint!$A$2:$A$10,0),MATCH(X8,chint!$B$1:$D$1,0))</f>
        <v>179618</v>
      </c>
      <c r="AV8" s="3">
        <f t="shared" ref="AV8" si="70">IF(U8&lt;=6,6,IF(U8&lt;=10,10,IF(U8&lt;=16,16,IF(U8&lt;=20,20,IF(U8&lt;=25,25,IF(U8&lt;=32,32,IF(U8&lt;=40,40,"др.выкл")))))))</f>
        <v>20</v>
      </c>
      <c r="AW8" t="str">
        <f>VLOOKUP(AV8,DEKraft!$A$41:$B$47,2,0)</f>
        <v>16205DEK</v>
      </c>
      <c r="AX8">
        <f t="shared" ref="AX8" si="71">IF(U8&lt;=10,10,IF(U8&lt;=16,16,IF(U8&lt;=20,20,IF(U8&lt;=25,25,IF(U8&lt;=32,32,IF(U8&lt;=40,40,"др.выкл"))))))</f>
        <v>20</v>
      </c>
      <c r="AY8" t="str">
        <f>VLOOKUP(AX8,systeme!$G$2:$H$7,2,0)</f>
        <v>C9D36620</v>
      </c>
      <c r="AZ8">
        <f t="shared" ref="AZ8" si="72">IF(U8&lt;=6,6,IF(U8&lt;=10,10,IF(U8&lt;=16,16,IF(U8&lt;=20,20,IF(U8&lt;=25,25,IF(U8&lt;=32,32,IF(U8&lt;=40,40,"др.выкл")))))))</f>
        <v>20</v>
      </c>
      <c r="BA8">
        <f>VLOOKUP(AV8,chint!$G$2:$H$8,2,0)</f>
        <v>689003</v>
      </c>
      <c r="BB8" s="3">
        <f t="shared" ref="BB8" si="73">IF(U8&lt;=25,25,IF(U8&lt;=32,32,IF(U8&lt;=40,40,IF(U8&lt;=50,50,IF(U8&lt;=63,63,IF(U8&lt;=80,80,IF(U8&lt;=100,100,IF(U8&lt;=125,125,IF(U8&lt;=140,140,IF(U8&lt;=160,160,IF(U8&lt;=200,200,IF(U8&lt;=250,250,IF(U8&lt;=320,320,IF(U8&lt;=400,400,IF(U8&lt;=500,500,IF(U8&lt;=630,630,"др.выкл"))))))))))))))))</f>
        <v>25</v>
      </c>
      <c r="BC8" t="str">
        <f>VLOOKUP(BB8,DEKraft!$I$21:$J$36,2,0)</f>
        <v>28100DEK</v>
      </c>
      <c r="BD8">
        <f t="shared" ref="BD8" si="74">IF(U8&lt;=16,16,IF(U8&lt;=25,25,IF(U8&lt;=32,32,IF(U8&lt;=40,40,IF(U8&lt;=50,50,IF(U8&lt;=63,63,IF(U8&lt;=80,80,IF(U8&lt;=100,100,IF(U8&lt;=125,125,IF(U8&lt;=160,160,IF(U8&lt;=200,200,IF(U8&lt;=250,250,IF(U8&lt;=400,400,IF(U8&lt;=500,500,IF(U8&lt;=600,600,"др.авт")))))))))))))))</f>
        <v>25</v>
      </c>
      <c r="BE8" t="str">
        <f>VLOOKUP(BD8,systeme!$A$16:$B$30,2,0)</f>
        <v>SPC100F025L3DF</v>
      </c>
      <c r="BF8">
        <f t="shared" ref="BF8" si="75">IF(U8&lt;=16,16,IF(U8&lt;=25,25,IF(U8&lt;=32,32,IF(U8&lt;=40,40,IF(U8&lt;=50,50,IF(U8&lt;=63,63,IF(U8&lt;=80,80,IF(U8&lt;=100,100,IF(U8&lt;=125,125,IF(U8&lt;=160,160,IF(U8&lt;=200,200,IF(U8&lt;=225,225,IF(U8&lt;=250,250,IF(U8&lt;=315,315,IF(U8&lt;=350,350,IF(U8&lt;=400,400,IF(U8&lt;=500,500,IF(U8&lt;=630,630,"др.выкл"))))))))))))))))))</f>
        <v>25</v>
      </c>
      <c r="BG8" s="4">
        <f>VLOOKUP(BF8,chint!$A$14:$B$31,2,0)</f>
        <v>271583</v>
      </c>
      <c r="BH8">
        <f t="shared" ref="BH8" si="76">IF(U8&lt;=6,6,IF(U8&lt;=10,10,IF(U8&lt;=16,16,IF(U8&lt;=20,20,IF(U8&lt;=25,25,IF(U8&lt;=32,32,IF(U8&lt;=40,40,IF(U8&lt;=50,50,IF(U8&lt;=63,63,"др.выкл")))))))))</f>
        <v>20</v>
      </c>
      <c r="BI8" t="str">
        <f>INDEX(КЭАЗ!$B$2:$E$14,MATCH(BH8,КЭАЗ!$A$2:$A$14,0),MATCH(X8,КЭАЗ!$B$1:$D$1,0))</f>
        <v>kea.341882</v>
      </c>
      <c r="BJ8">
        <f t="shared" ref="BJ8" si="77">IF(U8&lt;=6,6,IF(U8&lt;=10,10,IF(U8&lt;=16,16,IF(U8&lt;=20,20,IF(U8&lt;=25,25,IF(U8&lt;=32,32,IF(U8&lt;=40,40,IF(U8&lt;=50,50,IF(U8&lt;=63,63,IF(U8&lt;=80,80,IF(U8&lt;=100,100,IF(U8&lt;=125,125,"др.выкл"))))))))))))</f>
        <v>20</v>
      </c>
      <c r="BK8" t="str">
        <f>INDEX(hy!$B$2:$D$18,MATCH(BJ8,hy!$A$2:$A$18,0),MATCH(X8,hy!$B$1:$D$1,0))</f>
        <v>HGD63M 1PMCS0000C 00020</v>
      </c>
      <c r="BL8" t="str">
        <f>VLOOKUP(BJ8,hy!$G$2:$H$15,2,0)</f>
        <v>HRO63M 1NG4С0000C00020G</v>
      </c>
      <c r="BM8">
        <f t="shared" ref="BM8" si="78">IF(U8&lt;=0.16,0.16,IF(U8&lt;=0.25,0.25,IF(U8&lt;=0.4,0.4,IF(U8&lt;=0.63,0.63,IF(U8&lt;=1,1,IF(U8&lt;=1.6,1.6,IF(U8&lt;=2.5,2.5,IF(U8&lt;=4,4,IF(U8&lt;=6.3,6.3,IF(U8&lt;=10,10,IF(U8&lt;=14,14,IF(U8&lt;=18,18,IF(U8&lt;=23,23,IF(U8&lt;=25,25,IF(U8&lt;=32,32,"др.авт")))))))))))))))</f>
        <v>23</v>
      </c>
      <c r="BN8" t="str">
        <f>VLOOKUP(BM8,hy!$A$41:$B$55,2,0)</f>
        <v>MMS32K 0023</v>
      </c>
      <c r="BO8">
        <f t="shared" ref="BO8" si="79">IF(U8&lt;=100,100,IF(U8&lt;=125,125,IF(U8&lt;=150,150,IF(U8&lt;=160,160,IF(U8&lt;=175,175,IF(U8&lt;=200,200,IF(U8&lt;=225,225,IF(U8&lt;=250,250,IF(U8&lt;=300,300,IF(U8&lt;=350,350,IF(U8&lt;=400,400,IF(U8&lt;=500,500,IF(U8&lt;=630,630,IF(U8&lt;=700,700,IF(U8&lt;=800,800,"др.выкл")))))))))))))))</f>
        <v>100</v>
      </c>
      <c r="BP8" t="str">
        <f>VLOOKUP(BO8,hy!$A$21:$B$35,2,0)</f>
        <v>HGP100S-G 3PT4S0000C 00100H</v>
      </c>
      <c r="BQ8" s="89">
        <f>IF($W8=автоматы!$D$45,Z8,IF($W8=автоматы!$D$46,AF8,IF($W8=автоматы!$D$47,AH8,IF($W8=автоматы!$D$48,AB8,IF($W8=автоматы!$D$49,AJ8,IF($W8=автоматы!$D$50,AD8,IF($W8=автоматы!$D$51,BI8,IF($W8=автоматы!$D$52,AR8,IF($W8=автоматы!$D$53,AS8,IF($W8=автоматы!$D$54,AW8,IF($W8=автоматы!$D$55,AL8,IF($W8=автоматы!$D$56,BC8,IF($W8=автоматы!$D$57,AT8,IF($W8=автоматы!$D$58,AY8,IF($W8=автоматы!$D$59,AN8,IF($W8=автоматы!$D$60,BE8,IF($W8=автоматы!$D$61,AU8,IF($W8=автоматы!$D$62,BA8,IF($W8=автоматы!$D$63,AP8,IF($W8=автоматы!$D$64,BG8,IF($W8=автоматы!$D$65,BK8,IF($W8=автоматы!$D$66,BL8,IF($W8=автоматы!$D$67,BN8,IF($W8=автоматы!$D$68,BP8,"др"))))))))))))))))))))))))</f>
        <v>179618</v>
      </c>
      <c r="BR8" s="89">
        <f>IF($W8=автоматы!$D$45,Y8,IF($W8=автоматы!$D$46,AE8,IF($W8=автоматы!$D$47,AG8,IF($W8=автоматы!$D$48,AA8,IF($W8=автоматы!$D$49,AI8,IF($W8=автоматы!$D$50,AC8,IF($W8=автоматы!$D$51,BH8,IF($W8=автоматы!$D$52,AQ8,IF($W8=автоматы!$D$53,AQ8,IF($W8=автоматы!$D$54,AV8,IF($W8=автоматы!$D$55,AK8,IF($W8=автоматы!$D$56,BB8,IF($W8=автоматы!$D$57,AQ8,IF($W8=автоматы!$D$58,AX8,IF($W8=автоматы!$D$59,AM8,IF($W8=автоматы!$D$60,BD8,IF($W8=автоматы!$D$61,AQ8,IF($W8=автоматы!$D$62,AZ8,IF($W8=автоматы!$D$63,AO8,IF($W8=автоматы!$D$64,BF8,IF($W8=автоматы!$D$65,BJ8,IF($W8=автоматы!$D$66,BJ8,IF($W8=автоматы!$D$67,BM8,IF($W8=автоматы!$D$68,BO8,"др"))))))))))))))))))))))))</f>
        <v>20</v>
      </c>
      <c r="BS8" s="89" t="str">
        <f>CONCATENATE(IF($W8=автоматы!$A$1,Y8,IF($W8=автоматы!$H$1,VLOOKUP(AA8,автоматы!$H$3:$K$17,3,0),IF($W8=автоматы!$N$1,VLOOKUP(AC8,автоматы!$N$3:$Q$19,3,0),IF($W8=автоматы!$S$17,AE8,IF($W8=автоматы!$Z$1,AG8,IF($W8=автоматы!$AE$1,AI8,"др"))))))," А")</f>
        <v>др А</v>
      </c>
      <c r="BT8" s="89" t="str">
        <f>IF($W8=автоматы!$A$1,Y8*10,IF($W8=автоматы!$H$1,VLOOKUP(AA8,автоматы!$H$3:$K$17,4,0),IF($W8=автоматы!$N$1,VLOOKUP(AC8,автоматы!$N$3:$Q$19,4,0),IF($W8=автоматы!$S$17,AE8*10,IF($W8=автоматы!$Z$1,AG8*10,IF($W8=автоматы!$AE$1,AI8*10,"др"))))))</f>
        <v>др</v>
      </c>
      <c r="BU8" s="85"/>
      <c r="BV8" s="90" t="s">
        <v>147</v>
      </c>
      <c r="BW8" s="90">
        <v>1</v>
      </c>
      <c r="BX8" s="91">
        <v>3</v>
      </c>
      <c r="BY8" s="92">
        <v>2.5</v>
      </c>
      <c r="BZ8" s="91">
        <f>HLOOKUP(BV8,каталог!$CG$1:$CO$22,MATCH(BY8,каталог!$CF$1:$CF$22,0),0)*BW8</f>
        <v>25</v>
      </c>
      <c r="CA8" s="87" t="str">
        <f t="shared" ref="CA8" si="80">CONCATENATE("н",C8,"")</f>
        <v>нЩУГ</v>
      </c>
      <c r="CB8" s="87" t="str">
        <f t="shared" ref="CB8" si="81">CONCATENATE(BV8," ",BX8,"x",BY8)</f>
        <v>ВВГнг(А)-LS 3x2,5</v>
      </c>
      <c r="CC8" s="87"/>
      <c r="CD8" s="87"/>
      <c r="CE8" s="87"/>
      <c r="CF8" s="87"/>
      <c r="CG8" s="87"/>
      <c r="CH8" s="87"/>
      <c r="CI8" s="87"/>
      <c r="CJ8" s="87"/>
      <c r="CK8" s="87"/>
      <c r="CL8" s="87"/>
      <c r="CM8" s="87"/>
      <c r="CN8" s="87"/>
      <c r="CO8" s="87"/>
      <c r="CP8" s="87"/>
      <c r="CQ8" s="87"/>
      <c r="CR8" s="87"/>
      <c r="CS8" s="87"/>
      <c r="CT8" s="87"/>
      <c r="CU8" s="87"/>
      <c r="CV8" s="87"/>
      <c r="CW8" s="87"/>
      <c r="CX8" s="87"/>
      <c r="CY8" s="87"/>
      <c r="CZ8" s="87"/>
      <c r="DA8" s="87"/>
      <c r="DB8" s="87"/>
      <c r="DC8" s="87"/>
      <c r="DD8" s="87"/>
      <c r="DE8" s="87"/>
      <c r="DF8" s="87"/>
      <c r="DG8" s="87"/>
      <c r="DH8" s="87"/>
      <c r="DI8" s="87"/>
      <c r="DJ8" s="87"/>
      <c r="DK8" s="87"/>
      <c r="DL8" s="87"/>
      <c r="DM8" s="87"/>
      <c r="DN8" s="87"/>
      <c r="DO8" s="87"/>
      <c r="DP8" s="87"/>
      <c r="DQ8" s="87"/>
      <c r="DR8" s="87"/>
      <c r="DS8" s="87"/>
      <c r="DT8" s="87"/>
      <c r="DU8" s="87"/>
      <c r="DV8" s="87"/>
      <c r="DW8" s="87"/>
      <c r="DX8" s="87"/>
      <c r="DY8" s="87"/>
      <c r="DZ8" s="87"/>
      <c r="EA8" s="87"/>
      <c r="EB8" s="87"/>
      <c r="EC8" s="87"/>
      <c r="ED8" s="87"/>
      <c r="EE8" s="87"/>
      <c r="EF8" s="87"/>
      <c r="EG8" s="87"/>
      <c r="EH8" s="87"/>
      <c r="EI8" s="87"/>
      <c r="EJ8" s="87"/>
      <c r="EK8" s="87"/>
      <c r="EL8" s="87"/>
      <c r="EM8" s="87"/>
      <c r="EN8" s="87"/>
      <c r="EO8" s="87"/>
      <c r="EP8" s="87"/>
      <c r="EQ8" s="87"/>
      <c r="ER8" s="87"/>
      <c r="ES8" s="87"/>
      <c r="ET8" s="87"/>
      <c r="EU8" s="87"/>
      <c r="EV8" s="87"/>
      <c r="EW8" s="87"/>
      <c r="EX8" s="87"/>
      <c r="EY8" s="87"/>
      <c r="EZ8" s="87"/>
      <c r="FA8" s="87"/>
      <c r="FB8" s="87"/>
      <c r="FC8" s="87"/>
      <c r="FD8" s="87"/>
      <c r="FE8" s="87"/>
      <c r="FF8" s="87"/>
      <c r="FG8" s="87"/>
      <c r="FH8" s="87"/>
      <c r="FI8" s="87"/>
      <c r="FJ8" s="87"/>
      <c r="FK8" s="87"/>
      <c r="FL8" s="87"/>
      <c r="FM8" s="87"/>
      <c r="FN8" s="87"/>
      <c r="FO8" s="87"/>
      <c r="FP8" s="87"/>
      <c r="FQ8" s="87"/>
      <c r="FR8" s="87"/>
      <c r="FS8" s="87"/>
      <c r="FT8" s="87"/>
      <c r="FU8" s="87"/>
      <c r="FV8" s="87"/>
      <c r="FW8" s="87"/>
      <c r="FX8" s="87"/>
      <c r="FY8" s="87"/>
      <c r="FZ8" s="87"/>
      <c r="GA8" s="87"/>
      <c r="GB8" s="87"/>
      <c r="GC8" s="87"/>
      <c r="GD8" s="87"/>
      <c r="GE8" s="87"/>
      <c r="GF8" s="87"/>
      <c r="GG8" s="87"/>
      <c r="GH8" s="87"/>
      <c r="GI8" s="87"/>
      <c r="GJ8" s="87"/>
      <c r="GK8" s="87"/>
      <c r="GL8" s="87"/>
      <c r="GM8" s="87"/>
      <c r="GN8" s="87"/>
      <c r="GO8" s="87"/>
      <c r="GP8" s="87"/>
      <c r="GQ8" s="87"/>
      <c r="GR8" s="87"/>
      <c r="GS8" s="87"/>
      <c r="GT8" s="87"/>
      <c r="GU8" s="87"/>
      <c r="GV8" s="87"/>
      <c r="GW8" s="87"/>
      <c r="GX8" s="87"/>
      <c r="GY8" s="87"/>
      <c r="GZ8" s="87"/>
      <c r="HA8" s="87"/>
      <c r="HB8" s="87"/>
      <c r="HC8" s="87"/>
      <c r="HD8" s="87"/>
      <c r="HE8" s="87"/>
      <c r="HF8" s="87"/>
      <c r="HG8" s="87"/>
      <c r="HH8" s="87"/>
      <c r="HI8" s="87"/>
      <c r="HJ8" s="87"/>
      <c r="HK8" s="87"/>
      <c r="HL8" s="87"/>
      <c r="HM8" s="87"/>
      <c r="HN8" s="87"/>
      <c r="HO8" s="87"/>
      <c r="HP8" s="87"/>
      <c r="HQ8" s="87"/>
      <c r="HR8" s="87"/>
      <c r="HS8" s="87"/>
      <c r="HT8" s="87"/>
      <c r="HU8" s="87"/>
      <c r="HV8" s="87"/>
      <c r="HW8" s="87"/>
      <c r="HX8" s="87"/>
      <c r="HY8" s="87"/>
      <c r="HZ8" s="87"/>
      <c r="IA8" s="87"/>
      <c r="IB8" s="87"/>
      <c r="IC8" s="87"/>
      <c r="ID8" s="87"/>
      <c r="IE8" s="87"/>
      <c r="IF8" s="87"/>
      <c r="IG8" s="87"/>
      <c r="IH8" s="87"/>
      <c r="II8" s="87"/>
      <c r="IJ8" s="87"/>
      <c r="IK8" s="87"/>
      <c r="IL8" s="87"/>
      <c r="IM8" s="87"/>
      <c r="IN8" s="87"/>
      <c r="IO8" s="87"/>
      <c r="IP8" s="87"/>
      <c r="IQ8" s="87"/>
      <c r="IR8" s="87"/>
      <c r="IS8" s="87"/>
      <c r="IT8" s="87"/>
      <c r="IU8" s="87"/>
      <c r="IV8" s="87"/>
      <c r="IW8" s="87"/>
      <c r="IX8" s="87"/>
      <c r="IY8" s="87"/>
      <c r="IZ8" s="87"/>
      <c r="JA8" s="87"/>
      <c r="JB8" s="87"/>
      <c r="JC8" s="87"/>
      <c r="JD8" s="87"/>
      <c r="JE8" s="87"/>
      <c r="JF8" s="87"/>
      <c r="JG8" s="87"/>
      <c r="JH8" s="87"/>
      <c r="JI8" s="87"/>
      <c r="JJ8" s="87"/>
      <c r="JK8" s="87"/>
      <c r="JL8" s="87"/>
      <c r="JM8" s="87"/>
      <c r="JN8" s="87"/>
      <c r="JO8" s="87"/>
      <c r="JP8" s="87"/>
      <c r="JQ8" s="87"/>
      <c r="JR8" s="87"/>
      <c r="JS8" s="87"/>
      <c r="JT8" s="87"/>
      <c r="JU8" s="87"/>
      <c r="JV8" s="87"/>
      <c r="JW8" s="87"/>
      <c r="JX8" s="87"/>
      <c r="JY8" s="87"/>
      <c r="JZ8" s="87"/>
      <c r="KA8" s="87"/>
      <c r="KB8" s="87"/>
      <c r="KC8" s="87"/>
      <c r="KD8" s="87"/>
      <c r="KE8" s="87"/>
      <c r="KF8" s="87"/>
      <c r="KG8" s="87"/>
      <c r="KH8" s="87"/>
      <c r="KI8" s="87"/>
      <c r="KJ8" s="87"/>
      <c r="KK8" s="87"/>
      <c r="KL8" s="87"/>
      <c r="KM8" s="87"/>
      <c r="KN8" s="87"/>
      <c r="KO8" s="87"/>
      <c r="KP8" s="87"/>
      <c r="KQ8" s="87"/>
      <c r="KR8" s="87"/>
      <c r="KS8" s="87"/>
      <c r="KT8" s="87"/>
      <c r="KU8" s="87"/>
      <c r="KV8" s="87"/>
      <c r="KW8" s="87"/>
      <c r="KX8" s="87"/>
      <c r="KY8" s="87"/>
      <c r="KZ8" s="87"/>
      <c r="LA8" s="87"/>
      <c r="LB8" s="87"/>
      <c r="LC8" s="87"/>
      <c r="LD8" s="87"/>
      <c r="LE8" s="87"/>
      <c r="LF8" s="87"/>
      <c r="LG8" s="87"/>
      <c r="LH8" s="87"/>
      <c r="LI8" s="87"/>
      <c r="LJ8" s="87"/>
      <c r="LK8" s="87"/>
      <c r="LL8" s="87"/>
      <c r="LM8" s="87"/>
      <c r="LN8" s="87"/>
      <c r="LO8" s="87"/>
      <c r="LP8" s="87"/>
      <c r="LQ8" s="87"/>
      <c r="LR8" s="87"/>
      <c r="LS8" s="87"/>
      <c r="LT8" s="87"/>
      <c r="LU8" s="87"/>
      <c r="LV8" s="87"/>
      <c r="LW8" s="87"/>
      <c r="LX8" s="87"/>
      <c r="LY8" s="87"/>
      <c r="LZ8" s="87"/>
      <c r="MA8" s="87"/>
      <c r="MB8" s="87"/>
      <c r="MC8" s="87"/>
      <c r="MD8" s="87"/>
      <c r="ME8" s="87"/>
      <c r="MF8" s="87"/>
      <c r="MG8" s="87"/>
      <c r="MH8" s="87"/>
      <c r="MI8" s="87"/>
      <c r="MJ8" s="87"/>
      <c r="MK8" s="87"/>
      <c r="ML8" s="87"/>
      <c r="MM8" s="87"/>
      <c r="MN8" s="87"/>
      <c r="MO8" s="87"/>
      <c r="MP8" s="87"/>
      <c r="MQ8" s="87"/>
      <c r="MR8" s="87"/>
      <c r="MS8" s="87"/>
      <c r="MT8" s="87"/>
      <c r="MU8" s="87"/>
      <c r="MV8" s="87"/>
      <c r="MW8" s="87"/>
      <c r="MX8" s="87"/>
      <c r="MY8" s="87"/>
      <c r="MZ8" s="87"/>
      <c r="NA8" s="87"/>
      <c r="NB8" s="87"/>
      <c r="NC8" s="87"/>
      <c r="ND8" s="87"/>
      <c r="NE8" s="87"/>
      <c r="NF8" s="87"/>
      <c r="NG8" s="87"/>
      <c r="NH8" s="87"/>
      <c r="NI8" s="87"/>
      <c r="NJ8" s="87"/>
      <c r="NK8" s="87"/>
      <c r="NL8" s="87"/>
      <c r="NM8" s="87"/>
      <c r="NN8" s="87"/>
      <c r="NO8" s="87"/>
      <c r="NP8" s="87"/>
      <c r="NQ8" s="87"/>
      <c r="NR8" s="87"/>
      <c r="NS8" s="87"/>
      <c r="NT8" s="87"/>
      <c r="NU8" s="87"/>
      <c r="NV8" s="87"/>
      <c r="NW8" s="87"/>
      <c r="NX8" s="87"/>
      <c r="NY8" s="87"/>
      <c r="NZ8" s="87"/>
      <c r="OA8" s="87"/>
      <c r="OB8" s="87"/>
      <c r="OC8" s="87"/>
      <c r="OD8" s="87"/>
      <c r="OE8" s="87"/>
      <c r="OF8" s="87"/>
      <c r="OG8" s="87"/>
      <c r="OH8" s="87"/>
      <c r="OI8" s="87"/>
      <c r="OJ8" s="87"/>
      <c r="OK8" s="87"/>
      <c r="OL8" s="87"/>
      <c r="OM8" s="87"/>
      <c r="ON8" s="87"/>
      <c r="OO8" s="87"/>
      <c r="OP8" s="87"/>
      <c r="OQ8" s="87"/>
      <c r="OR8" s="87"/>
      <c r="OS8" s="87"/>
      <c r="OT8" s="87"/>
      <c r="OU8" s="87"/>
      <c r="OV8" s="87"/>
      <c r="OW8" s="87"/>
      <c r="OX8" s="87"/>
      <c r="OY8" s="87"/>
      <c r="OZ8" s="87"/>
      <c r="PA8" s="87"/>
      <c r="PB8" s="87"/>
      <c r="PC8" s="87"/>
      <c r="PD8" s="87"/>
      <c r="PE8" s="87"/>
      <c r="PF8" s="87"/>
      <c r="PG8" s="87"/>
      <c r="PH8" s="87"/>
      <c r="PI8" s="87"/>
      <c r="PJ8" s="87"/>
      <c r="PK8" s="87"/>
      <c r="PL8" s="87"/>
      <c r="PM8" s="87"/>
      <c r="PN8" s="87"/>
      <c r="PO8" s="87"/>
      <c r="PP8" s="87"/>
      <c r="PQ8" s="87"/>
      <c r="PR8" s="87"/>
      <c r="PS8" s="87"/>
      <c r="PT8" s="87"/>
      <c r="PU8" s="87"/>
      <c r="PV8" s="87"/>
      <c r="PW8" s="87"/>
      <c r="PX8" s="87"/>
      <c r="PY8" s="87"/>
      <c r="PZ8" s="87"/>
      <c r="QA8" s="87"/>
      <c r="QB8" s="87"/>
      <c r="QC8" s="87"/>
      <c r="QD8" s="87"/>
      <c r="QE8" s="87"/>
      <c r="QF8" s="87"/>
      <c r="QG8" s="87"/>
      <c r="QH8" s="87"/>
      <c r="QI8" s="87"/>
      <c r="QJ8" s="87"/>
      <c r="QK8" s="87"/>
      <c r="QL8" s="87"/>
      <c r="QM8" s="87"/>
      <c r="QN8" s="87"/>
      <c r="QO8" s="87"/>
      <c r="QP8" s="87"/>
      <c r="QQ8" s="87"/>
      <c r="QR8" s="87"/>
      <c r="QS8" s="87"/>
      <c r="QT8" s="87"/>
      <c r="QU8" s="87"/>
      <c r="QV8" s="87"/>
      <c r="QW8" s="87"/>
      <c r="QX8" s="87"/>
      <c r="QY8" s="87"/>
      <c r="QZ8" s="87"/>
      <c r="RA8" s="87"/>
      <c r="RB8" s="87"/>
      <c r="RC8" s="87"/>
      <c r="RD8" s="87"/>
      <c r="RE8" s="87"/>
      <c r="RF8" s="87"/>
      <c r="RG8" s="87"/>
      <c r="RH8" s="87"/>
      <c r="RI8" s="87"/>
      <c r="RJ8" s="87"/>
      <c r="RK8" s="87"/>
      <c r="RL8" s="87"/>
      <c r="RM8" s="87"/>
      <c r="RN8" s="87"/>
      <c r="RO8" s="87"/>
      <c r="RP8" s="87"/>
      <c r="RQ8" s="87"/>
      <c r="RR8" s="87"/>
      <c r="RS8" s="87"/>
      <c r="RT8" s="87"/>
      <c r="RU8" s="87"/>
      <c r="RV8" s="87"/>
      <c r="RW8" s="87"/>
      <c r="RX8" s="87"/>
      <c r="RY8" s="87"/>
      <c r="RZ8" s="87"/>
      <c r="SA8" s="87"/>
      <c r="SB8" s="87"/>
      <c r="SC8" s="87"/>
      <c r="SD8" s="87"/>
      <c r="SE8" s="87"/>
      <c r="SF8" s="87"/>
      <c r="SG8" s="87"/>
      <c r="SH8" s="87"/>
      <c r="SI8" s="87"/>
      <c r="SJ8" s="87"/>
      <c r="SK8" s="87"/>
      <c r="SL8" s="87"/>
      <c r="SM8" s="87"/>
      <c r="SN8" s="87"/>
      <c r="SO8" s="87"/>
      <c r="SP8" s="87"/>
      <c r="SQ8" s="87"/>
      <c r="SR8" s="87"/>
      <c r="SS8" s="87"/>
      <c r="ST8" s="87"/>
      <c r="SU8" s="87"/>
      <c r="SV8" s="87"/>
      <c r="SW8" s="87"/>
      <c r="SX8" s="87"/>
      <c r="SY8" s="87"/>
      <c r="SZ8" s="87"/>
      <c r="TA8" s="87"/>
      <c r="TB8" s="87"/>
      <c r="TC8" s="87"/>
      <c r="TD8" s="87"/>
      <c r="TE8" s="87"/>
      <c r="TF8" s="87"/>
      <c r="TG8" s="87"/>
      <c r="TH8" s="87"/>
      <c r="TI8" s="87"/>
      <c r="TJ8" s="87"/>
      <c r="TK8" s="87"/>
      <c r="TL8" s="87"/>
      <c r="TM8" s="87"/>
      <c r="TN8" s="87"/>
      <c r="TO8" s="87"/>
      <c r="TP8" s="87"/>
      <c r="TQ8" s="87"/>
      <c r="TR8" s="87"/>
      <c r="TS8" s="87"/>
      <c r="TT8" s="87"/>
      <c r="TU8" s="87"/>
      <c r="TV8" s="87"/>
      <c r="TW8" s="87"/>
      <c r="TX8" s="87"/>
      <c r="TY8" s="87"/>
      <c r="TZ8" s="87"/>
      <c r="UA8" s="87"/>
      <c r="UB8" s="87"/>
      <c r="UC8" s="87"/>
      <c r="UD8" s="87"/>
      <c r="UE8" s="87"/>
      <c r="UF8" s="87"/>
      <c r="UG8" s="87"/>
      <c r="UH8" s="87"/>
      <c r="UI8" s="87"/>
      <c r="UJ8" s="87"/>
      <c r="UK8" s="87"/>
      <c r="UL8" s="87"/>
      <c r="UM8" s="87"/>
      <c r="UN8" s="87"/>
      <c r="UO8" s="87"/>
      <c r="UP8" s="87"/>
      <c r="UQ8" s="87"/>
      <c r="UR8" s="87"/>
      <c r="US8" s="87"/>
      <c r="UT8" s="87"/>
      <c r="UU8" s="87"/>
      <c r="UV8" s="87"/>
      <c r="UW8" s="87"/>
      <c r="UX8" s="87"/>
      <c r="UY8" s="87"/>
      <c r="UZ8" s="87"/>
      <c r="VA8" s="87"/>
      <c r="VB8" s="87"/>
      <c r="VC8" s="87"/>
      <c r="VD8" s="87"/>
      <c r="VE8" s="87"/>
      <c r="VF8" s="87"/>
      <c r="VG8" s="87"/>
      <c r="VH8" s="87"/>
      <c r="VI8" s="87"/>
      <c r="VJ8" s="87"/>
      <c r="VK8" s="87"/>
      <c r="VL8" s="87"/>
      <c r="VM8" s="87"/>
      <c r="VN8" s="87"/>
      <c r="VO8" s="87"/>
      <c r="VP8" s="87"/>
      <c r="VQ8" s="87"/>
      <c r="VR8" s="87"/>
      <c r="VS8" s="87"/>
      <c r="VT8" s="87"/>
      <c r="VU8" s="87"/>
      <c r="VV8" s="87"/>
      <c r="VW8" s="87"/>
      <c r="VX8" s="87"/>
      <c r="VY8" s="87"/>
      <c r="VZ8" s="87"/>
      <c r="WA8" s="87"/>
      <c r="WB8" s="87"/>
      <c r="WC8" s="87"/>
      <c r="WD8" s="87"/>
      <c r="WE8" s="87"/>
      <c r="WF8" s="87"/>
      <c r="WG8" s="87"/>
      <c r="WH8" s="87"/>
      <c r="WI8" s="87"/>
      <c r="WJ8" s="87"/>
      <c r="WK8" s="87"/>
      <c r="WL8" s="87"/>
      <c r="WM8" s="87"/>
      <c r="WN8" s="87"/>
      <c r="WO8" s="87"/>
      <c r="WP8" s="87"/>
      <c r="WQ8" s="87"/>
      <c r="WR8" s="87"/>
      <c r="WS8" s="87"/>
      <c r="WT8" s="87"/>
      <c r="WU8" s="87"/>
      <c r="WV8" s="87"/>
      <c r="WW8" s="87"/>
      <c r="WX8" s="87"/>
      <c r="WY8" s="87"/>
      <c r="WZ8" s="87"/>
      <c r="XA8" s="87"/>
      <c r="XB8" s="87"/>
      <c r="XC8" s="87"/>
      <c r="XD8" s="87"/>
      <c r="XE8" s="87"/>
      <c r="XF8" s="87"/>
      <c r="XG8" s="87"/>
      <c r="XH8" s="87"/>
      <c r="XI8" s="87"/>
      <c r="XJ8" s="87"/>
      <c r="XK8" s="87"/>
      <c r="XL8" s="87"/>
      <c r="XM8" s="87"/>
      <c r="XN8" s="87"/>
      <c r="XO8" s="87"/>
      <c r="XP8" s="87"/>
      <c r="XQ8" s="87"/>
      <c r="XR8" s="87"/>
      <c r="XS8" s="87"/>
      <c r="XT8" s="87"/>
      <c r="XU8" s="87"/>
      <c r="XV8" s="87"/>
      <c r="XW8" s="87"/>
      <c r="XX8" s="87"/>
      <c r="XY8" s="87"/>
      <c r="XZ8" s="87"/>
      <c r="YA8" s="87"/>
      <c r="YB8" s="87"/>
      <c r="YC8" s="87"/>
      <c r="YD8" s="87"/>
      <c r="YE8" s="87"/>
      <c r="YF8" s="87"/>
      <c r="YG8" s="87"/>
      <c r="YH8" s="87"/>
      <c r="YI8" s="87"/>
      <c r="YJ8" s="87"/>
      <c r="YK8" s="87"/>
      <c r="YL8" s="87"/>
      <c r="YM8" s="87"/>
      <c r="YN8" s="87"/>
      <c r="YO8" s="87"/>
      <c r="YP8" s="87"/>
      <c r="YQ8" s="87"/>
      <c r="YR8" s="87"/>
      <c r="YS8" s="87"/>
      <c r="YT8" s="87"/>
      <c r="YU8" s="87"/>
      <c r="YV8" s="87"/>
      <c r="YW8" s="87"/>
      <c r="YX8" s="87"/>
      <c r="YY8" s="87"/>
      <c r="YZ8" s="87"/>
      <c r="ZA8" s="87"/>
      <c r="ZB8" s="87"/>
      <c r="ZC8" s="87"/>
      <c r="ZD8" s="87"/>
      <c r="ZE8" s="87"/>
      <c r="ZF8" s="87"/>
      <c r="ZG8" s="87"/>
      <c r="ZH8" s="87"/>
      <c r="ZI8" s="87"/>
      <c r="ZJ8" s="87"/>
      <c r="ZK8" s="87"/>
      <c r="ZL8" s="87"/>
      <c r="ZM8" s="87"/>
      <c r="ZN8" s="87"/>
      <c r="ZO8" s="87"/>
      <c r="ZP8" s="87"/>
      <c r="ZQ8" s="87"/>
      <c r="ZR8" s="87"/>
      <c r="ZS8" s="87"/>
      <c r="ZT8" s="87"/>
      <c r="ZU8" s="87"/>
      <c r="ZV8" s="87"/>
      <c r="ZW8" s="87"/>
      <c r="ZX8" s="87"/>
      <c r="ZY8" s="87"/>
      <c r="ZZ8" s="87"/>
      <c r="AAA8" s="87"/>
      <c r="AAB8" s="87"/>
      <c r="AAC8" s="87"/>
      <c r="AAD8" s="87"/>
      <c r="AAE8" s="87"/>
      <c r="AAF8" s="87"/>
      <c r="AAG8" s="87"/>
      <c r="AAH8" s="87"/>
      <c r="AAI8" s="87"/>
      <c r="AAJ8" s="87"/>
      <c r="AAK8" s="87"/>
      <c r="AAL8" s="87"/>
      <c r="AAM8" s="87"/>
      <c r="AAN8" s="87"/>
      <c r="AAO8" s="87"/>
      <c r="AAP8" s="87"/>
      <c r="AAQ8" s="87"/>
      <c r="AAR8" s="87"/>
      <c r="AAS8" s="87"/>
      <c r="AAT8" s="87"/>
      <c r="AAU8" s="87"/>
      <c r="AAV8" s="87"/>
      <c r="AAW8" s="87"/>
      <c r="AAX8" s="87"/>
      <c r="AAY8" s="87"/>
      <c r="AAZ8" s="87"/>
      <c r="ABA8" s="87"/>
      <c r="ABB8" s="87"/>
      <c r="ABC8" s="87"/>
      <c r="ABD8" s="87"/>
      <c r="ABE8" s="87"/>
      <c r="ABF8" s="87"/>
      <c r="ABG8" s="87"/>
      <c r="ABH8" s="87"/>
      <c r="ABI8" s="87"/>
      <c r="ABJ8" s="87"/>
      <c r="ABK8" s="87"/>
      <c r="ABL8" s="87"/>
      <c r="ABM8" s="87"/>
      <c r="ABN8" s="87"/>
      <c r="ABO8" s="87"/>
      <c r="ABP8" s="87"/>
      <c r="ABQ8" s="87"/>
      <c r="ABR8" s="87"/>
      <c r="ABS8" s="87"/>
      <c r="ABT8" s="87"/>
      <c r="ABU8" s="87"/>
      <c r="ABV8" s="87"/>
      <c r="ABW8" s="87"/>
      <c r="ABX8" s="87"/>
      <c r="ABY8" s="87"/>
      <c r="ABZ8" s="87"/>
      <c r="ACA8" s="87"/>
      <c r="ACB8" s="87"/>
      <c r="ACC8" s="87"/>
      <c r="ACD8" s="87"/>
      <c r="ACE8" s="87"/>
      <c r="ACF8" s="87"/>
      <c r="ACG8" s="87"/>
      <c r="ACH8" s="87"/>
      <c r="ACI8" s="87"/>
      <c r="ACJ8" s="87"/>
      <c r="ACK8" s="87"/>
      <c r="ACL8" s="87"/>
      <c r="ACM8" s="87"/>
      <c r="ACN8" s="87"/>
      <c r="ACO8" s="87"/>
      <c r="ACP8" s="87"/>
      <c r="ACQ8" s="87"/>
      <c r="ACR8" s="87"/>
      <c r="ACS8" s="87"/>
      <c r="ACT8" s="87"/>
      <c r="ACU8" s="87"/>
      <c r="ACV8" s="87"/>
      <c r="ACW8" s="87"/>
      <c r="ACX8" s="87"/>
      <c r="ACY8" s="87"/>
      <c r="ACZ8" s="87"/>
      <c r="ADA8" s="87"/>
      <c r="ADB8" s="87"/>
      <c r="ADC8" s="87"/>
      <c r="ADD8" s="87"/>
      <c r="ADE8" s="87"/>
      <c r="ADF8" s="87"/>
      <c r="ADG8" s="87"/>
      <c r="ADH8" s="87"/>
      <c r="ADI8" s="87"/>
      <c r="ADJ8" s="87"/>
      <c r="ADK8" s="87"/>
      <c r="ADL8" s="87"/>
      <c r="ADM8" s="87"/>
      <c r="ADN8" s="87"/>
      <c r="ADO8" s="87"/>
      <c r="ADP8" s="87"/>
      <c r="ADQ8" s="87"/>
      <c r="ADR8" s="87"/>
      <c r="ADS8" s="87"/>
      <c r="ADT8" s="87"/>
      <c r="ADU8" s="87"/>
      <c r="ADV8" s="87"/>
      <c r="ADW8" s="87"/>
      <c r="ADX8" s="87"/>
      <c r="ADY8" s="87"/>
      <c r="ADZ8" s="87"/>
      <c r="AEA8" s="87"/>
      <c r="AEB8" s="87"/>
      <c r="AEC8" s="87"/>
      <c r="AED8" s="87"/>
      <c r="AEE8" s="87"/>
      <c r="AEF8" s="87"/>
      <c r="AEG8" s="87"/>
      <c r="AEH8" s="87"/>
      <c r="AEI8" s="87"/>
      <c r="AEJ8" s="87"/>
      <c r="AEK8" s="87"/>
      <c r="AEL8" s="87"/>
      <c r="AEM8" s="87"/>
      <c r="AEN8" s="87"/>
      <c r="AEO8" s="87"/>
      <c r="AEP8" s="87"/>
      <c r="AEQ8" s="87"/>
      <c r="AER8" s="87"/>
      <c r="AES8" s="87"/>
      <c r="AET8" s="87"/>
      <c r="AEU8" s="87"/>
      <c r="AEV8" s="87"/>
      <c r="AEW8" s="87"/>
      <c r="AEX8" s="87"/>
      <c r="AEY8" s="87"/>
      <c r="AEZ8" s="87"/>
      <c r="AFA8" s="87"/>
      <c r="AFB8" s="87"/>
      <c r="AFC8" s="87"/>
      <c r="AFD8" s="87"/>
      <c r="AFE8" s="87"/>
      <c r="AFF8" s="87"/>
      <c r="AFG8" s="87"/>
      <c r="AFH8" s="87"/>
      <c r="AFI8" s="87"/>
      <c r="AFJ8" s="87"/>
      <c r="AFK8" s="87"/>
      <c r="AFL8" s="87"/>
      <c r="AFM8" s="87"/>
      <c r="AFN8" s="87"/>
      <c r="AFO8" s="87"/>
      <c r="AFP8" s="87"/>
      <c r="AFQ8" s="87"/>
      <c r="AFR8" s="87"/>
      <c r="AFS8" s="87"/>
      <c r="AFT8" s="87"/>
      <c r="AFU8" s="87"/>
      <c r="AFV8" s="87"/>
      <c r="AFW8" s="87"/>
      <c r="AFX8" s="87"/>
      <c r="AFY8" s="87"/>
      <c r="AFZ8" s="87"/>
      <c r="AGA8" s="87"/>
      <c r="AGB8" s="87"/>
      <c r="AGC8" s="87"/>
      <c r="AGD8" s="87"/>
      <c r="AGE8" s="87"/>
      <c r="AGF8" s="87"/>
      <c r="AGG8" s="87"/>
      <c r="AGH8" s="87"/>
      <c r="AGI8" s="87"/>
      <c r="AGJ8" s="87"/>
      <c r="AGK8" s="87"/>
      <c r="AGL8" s="87"/>
      <c r="AGM8" s="87"/>
      <c r="AGN8" s="87"/>
      <c r="AGO8" s="87"/>
      <c r="AGP8" s="87"/>
      <c r="AGQ8" s="87"/>
      <c r="AGR8" s="87"/>
      <c r="AGS8" s="87"/>
      <c r="AGT8" s="87"/>
      <c r="AGU8" s="87"/>
      <c r="AGV8" s="87"/>
      <c r="AGW8" s="87"/>
      <c r="AGX8" s="87"/>
      <c r="AGY8" s="87"/>
      <c r="AGZ8" s="87"/>
      <c r="AHA8" s="87"/>
      <c r="AHB8" s="87"/>
      <c r="AHC8" s="87"/>
      <c r="AHD8" s="87"/>
      <c r="AHE8" s="87"/>
      <c r="AHF8" s="87"/>
      <c r="AHG8" s="87"/>
      <c r="AHH8" s="87"/>
      <c r="AHI8" s="87"/>
      <c r="AHJ8" s="87"/>
      <c r="AHK8" s="87"/>
      <c r="AHL8" s="87"/>
      <c r="AHM8" s="87"/>
      <c r="AHN8" s="87"/>
      <c r="AHO8" s="87"/>
      <c r="AHP8" s="87"/>
      <c r="AHQ8" s="87"/>
      <c r="AHR8" s="87"/>
      <c r="AHS8" s="87"/>
      <c r="AHT8" s="87"/>
      <c r="AHU8" s="87"/>
      <c r="AHV8" s="87"/>
      <c r="AHW8" s="87"/>
      <c r="AHX8" s="87"/>
      <c r="AHY8" s="87"/>
      <c r="AHZ8" s="87"/>
      <c r="AIA8" s="87"/>
      <c r="AIB8" s="87"/>
      <c r="AIC8" s="87"/>
      <c r="AID8" s="87"/>
      <c r="AIE8" s="87"/>
      <c r="AIF8" s="87"/>
      <c r="AIG8" s="87"/>
      <c r="AIH8" s="87"/>
      <c r="AII8" s="87"/>
      <c r="AIJ8" s="87"/>
      <c r="AIK8" s="87"/>
      <c r="AIL8" s="87"/>
      <c r="AIM8" s="87"/>
      <c r="AIN8" s="87"/>
      <c r="AIO8" s="87"/>
      <c r="AIP8" s="87"/>
      <c r="AIQ8" s="87"/>
      <c r="AIR8" s="87"/>
      <c r="AIS8" s="87"/>
      <c r="AIT8" s="87"/>
      <c r="AIU8" s="87"/>
      <c r="AIV8" s="87"/>
      <c r="AIW8" s="87"/>
      <c r="AIX8" s="87"/>
      <c r="AIY8" s="87"/>
      <c r="AIZ8" s="87"/>
      <c r="AJA8" s="87"/>
      <c r="AJB8" s="87"/>
      <c r="AJC8" s="87"/>
      <c r="AJD8" s="87"/>
      <c r="AJE8" s="87"/>
      <c r="AJF8" s="87"/>
      <c r="AJG8" s="87"/>
      <c r="AJH8" s="87"/>
      <c r="AJI8" s="87"/>
      <c r="AJJ8" s="87"/>
      <c r="AJK8" s="87"/>
      <c r="AJL8" s="87"/>
      <c r="AJM8" s="87"/>
      <c r="AJN8" s="87"/>
      <c r="AJO8" s="87"/>
      <c r="AJP8" s="87"/>
      <c r="AJQ8" s="87"/>
      <c r="AJR8" s="87"/>
      <c r="AJS8" s="87"/>
      <c r="AJT8" s="87"/>
      <c r="AJU8" s="87"/>
      <c r="AJV8" s="87"/>
      <c r="AJW8" s="87"/>
      <c r="AJX8" s="87"/>
      <c r="AJY8" s="87"/>
      <c r="AJZ8" s="87"/>
      <c r="AKA8" s="87"/>
      <c r="AKB8" s="87"/>
      <c r="AKC8" s="87"/>
      <c r="AKD8" s="87"/>
      <c r="AKE8" s="87"/>
      <c r="AKF8" s="87"/>
      <c r="AKG8" s="87"/>
      <c r="AKH8" s="87"/>
      <c r="AKI8" s="87"/>
      <c r="AKJ8" s="87"/>
      <c r="AKK8" s="87"/>
      <c r="AKL8" s="87"/>
      <c r="AKM8" s="87"/>
      <c r="AKN8" s="87"/>
      <c r="AKO8" s="87"/>
      <c r="AKP8" s="87"/>
      <c r="AKQ8" s="87"/>
      <c r="AKR8" s="87"/>
      <c r="AKS8" s="87"/>
      <c r="AKT8" s="87"/>
      <c r="AKU8" s="87"/>
      <c r="AKV8" s="87"/>
      <c r="AKW8" s="87"/>
      <c r="AKX8" s="87"/>
      <c r="AKY8" s="87"/>
      <c r="AKZ8" s="87"/>
      <c r="ALA8" s="87"/>
      <c r="ALB8" s="87"/>
      <c r="ALC8" s="87"/>
      <c r="ALD8" s="87"/>
      <c r="ALE8" s="87"/>
      <c r="ALF8" s="87"/>
      <c r="ALG8" s="87"/>
      <c r="ALH8" s="87"/>
      <c r="ALI8" s="87"/>
      <c r="ALJ8" s="87"/>
      <c r="ALK8" s="87"/>
      <c r="ALL8" s="87"/>
      <c r="ALM8" s="87"/>
      <c r="ALN8" s="87"/>
      <c r="ALO8" s="87"/>
      <c r="ALP8" s="87"/>
      <c r="ALQ8" s="87"/>
      <c r="ALR8" s="87"/>
      <c r="ALS8" s="87"/>
      <c r="ALT8" s="87"/>
      <c r="ALU8" s="87"/>
      <c r="ALV8" s="87"/>
      <c r="ALW8" s="87"/>
      <c r="ALX8" s="87"/>
      <c r="ALY8" s="87"/>
      <c r="ALZ8" s="87"/>
      <c r="AMA8" s="87"/>
      <c r="AMB8" s="87"/>
      <c r="AMC8" s="87"/>
      <c r="AMD8" s="87"/>
      <c r="AME8" s="87"/>
      <c r="AMF8" s="87"/>
      <c r="AMG8" s="87"/>
      <c r="AMH8" s="87"/>
      <c r="AMI8" s="87"/>
      <c r="AMJ8" s="87"/>
      <c r="AMK8" s="87"/>
      <c r="AML8" s="87"/>
      <c r="AMM8" s="87"/>
      <c r="AMN8" s="87"/>
      <c r="AMO8" s="87"/>
      <c r="AMP8" s="87"/>
      <c r="AMQ8" s="87"/>
      <c r="AMR8" s="87"/>
      <c r="AMS8" s="87"/>
      <c r="AMT8" s="87"/>
      <c r="AMU8" s="87"/>
      <c r="AMV8" s="87"/>
      <c r="AMW8" s="87"/>
      <c r="AMX8" s="87"/>
      <c r="AMY8" s="87"/>
      <c r="AMZ8" s="87"/>
      <c r="ANA8" s="87"/>
      <c r="ANB8" s="87"/>
      <c r="ANC8" s="87"/>
      <c r="AND8" s="87"/>
      <c r="ANE8" s="87"/>
      <c r="ANF8" s="87"/>
      <c r="ANG8" s="87"/>
      <c r="ANH8" s="87"/>
      <c r="ANI8" s="87"/>
      <c r="ANJ8" s="87"/>
      <c r="ANK8" s="87"/>
      <c r="ANL8" s="87"/>
      <c r="ANM8" s="87"/>
      <c r="ANN8" s="87"/>
      <c r="ANO8" s="87"/>
      <c r="ANP8" s="87"/>
      <c r="ANQ8" s="87"/>
      <c r="ANR8" s="87"/>
      <c r="ANS8" s="87"/>
      <c r="ANT8" s="87"/>
      <c r="ANU8" s="87"/>
      <c r="ANV8" s="87"/>
      <c r="ANW8" s="87"/>
      <c r="ANX8" s="87"/>
      <c r="ANY8" s="87"/>
      <c r="ANZ8" s="87"/>
      <c r="AOA8" s="87"/>
      <c r="AOB8" s="87"/>
      <c r="AOC8" s="87"/>
      <c r="AOD8" s="87"/>
      <c r="AOE8" s="87"/>
      <c r="AOF8" s="87"/>
      <c r="AOG8" s="87"/>
      <c r="AOH8" s="87"/>
      <c r="AOI8" s="87"/>
      <c r="AOJ8" s="87"/>
      <c r="AOK8" s="87"/>
      <c r="AOL8" s="87"/>
      <c r="AOM8" s="87"/>
      <c r="AON8" s="87"/>
      <c r="AOO8" s="87"/>
      <c r="AOP8" s="87"/>
      <c r="AOQ8" s="87"/>
      <c r="AOR8" s="87"/>
      <c r="AOS8" s="87"/>
      <c r="AOT8" s="87"/>
      <c r="AOU8" s="87"/>
      <c r="AOV8" s="87"/>
      <c r="AOW8" s="87"/>
      <c r="AOX8" s="87"/>
      <c r="AOY8" s="87"/>
      <c r="AOZ8" s="87"/>
      <c r="APA8" s="87"/>
      <c r="APB8" s="87"/>
      <c r="APC8" s="87"/>
      <c r="APD8" s="87"/>
      <c r="APE8" s="87"/>
      <c r="APF8" s="87"/>
      <c r="APG8" s="87"/>
      <c r="APH8" s="87"/>
      <c r="API8" s="87"/>
      <c r="APJ8" s="87"/>
      <c r="APK8" s="87"/>
      <c r="APL8" s="87"/>
      <c r="APM8" s="87"/>
      <c r="APN8" s="87"/>
      <c r="APO8" s="87"/>
      <c r="APP8" s="87"/>
      <c r="APQ8" s="87"/>
      <c r="APR8" s="87"/>
      <c r="APS8" s="87"/>
      <c r="APT8" s="87"/>
      <c r="APU8" s="87"/>
      <c r="APV8" s="87"/>
      <c r="APW8" s="87"/>
      <c r="APX8" s="87"/>
      <c r="APY8" s="87"/>
      <c r="APZ8" s="87"/>
      <c r="AQA8" s="87"/>
      <c r="AQB8" s="87"/>
      <c r="AQC8" s="87"/>
      <c r="AQD8" s="87"/>
      <c r="AQE8" s="87"/>
      <c r="AQF8" s="87"/>
      <c r="AQG8" s="87"/>
      <c r="AQH8" s="87"/>
      <c r="AQI8" s="87"/>
      <c r="AQJ8" s="87"/>
      <c r="AQK8" s="87"/>
      <c r="AQL8" s="87"/>
      <c r="AQM8" s="87"/>
      <c r="AQN8" s="87"/>
      <c r="AQO8" s="87"/>
      <c r="AQP8" s="87"/>
      <c r="AQQ8" s="87"/>
      <c r="AQR8" s="87"/>
      <c r="AQS8" s="87"/>
      <c r="AQT8" s="87"/>
      <c r="AQU8" s="87"/>
      <c r="AQV8" s="87"/>
      <c r="AQW8" s="87"/>
      <c r="AQX8" s="87"/>
      <c r="AQY8" s="87"/>
      <c r="AQZ8" s="87"/>
      <c r="ARA8" s="87"/>
      <c r="ARB8" s="87"/>
      <c r="ARC8" s="87"/>
      <c r="ARD8" s="87"/>
      <c r="ARE8" s="87"/>
      <c r="ARF8" s="87"/>
      <c r="ARG8" s="87"/>
      <c r="ARH8" s="87"/>
      <c r="ARI8" s="87"/>
      <c r="ARJ8" s="87"/>
      <c r="ARK8" s="87"/>
      <c r="ARL8" s="87"/>
      <c r="ARM8" s="87"/>
      <c r="ARN8" s="87"/>
      <c r="ARO8" s="87"/>
      <c r="ARP8" s="87"/>
      <c r="ARQ8" s="87"/>
      <c r="ARR8" s="87"/>
      <c r="ARS8" s="87"/>
      <c r="ART8" s="87"/>
      <c r="ARU8" s="87"/>
      <c r="ARV8" s="87"/>
      <c r="ARW8" s="87"/>
      <c r="ARX8" s="87"/>
      <c r="ARY8" s="87"/>
      <c r="ARZ8" s="87"/>
      <c r="ASA8" s="87"/>
      <c r="ASB8" s="87"/>
      <c r="ASC8" s="87"/>
      <c r="ASD8" s="87"/>
      <c r="ASE8" s="87"/>
      <c r="ASF8" s="87"/>
      <c r="ASG8" s="87"/>
      <c r="ASH8" s="87"/>
      <c r="ASI8" s="87"/>
      <c r="ASJ8" s="87"/>
      <c r="ASK8" s="87"/>
      <c r="ASL8" s="87"/>
      <c r="ASM8" s="87"/>
      <c r="ASN8" s="87"/>
      <c r="ASO8" s="87"/>
      <c r="ASP8" s="87"/>
      <c r="ASQ8" s="87"/>
      <c r="ASR8" s="87"/>
      <c r="ASS8" s="87"/>
      <c r="AST8" s="87"/>
      <c r="ASU8" s="87"/>
      <c r="ASV8" s="87"/>
      <c r="ASW8" s="87"/>
      <c r="ASX8" s="87"/>
      <c r="ASY8" s="87"/>
      <c r="ASZ8" s="87"/>
      <c r="ATA8" s="87"/>
      <c r="ATB8" s="87"/>
      <c r="ATC8" s="87"/>
      <c r="ATD8" s="87"/>
      <c r="ATE8" s="87"/>
      <c r="ATF8" s="87"/>
      <c r="ATG8" s="87"/>
      <c r="ATH8" s="87"/>
      <c r="ATI8" s="87"/>
      <c r="ATJ8" s="87"/>
      <c r="ATK8" s="87"/>
      <c r="ATL8" s="87"/>
      <c r="ATM8" s="87"/>
      <c r="ATN8" s="87"/>
      <c r="ATO8" s="87"/>
      <c r="ATP8" s="87"/>
      <c r="ATQ8" s="87"/>
      <c r="ATR8" s="87"/>
      <c r="ATS8" s="87"/>
      <c r="ATT8" s="87"/>
      <c r="ATU8" s="87"/>
      <c r="ATV8" s="87"/>
      <c r="ATW8" s="87"/>
      <c r="ATX8" s="87"/>
      <c r="ATY8" s="87"/>
      <c r="ATZ8" s="87"/>
      <c r="AUA8" s="87"/>
      <c r="AUB8" s="87"/>
      <c r="AUC8" s="87"/>
      <c r="AUD8" s="87"/>
      <c r="AUE8" s="87"/>
      <c r="AUF8" s="87"/>
      <c r="AUG8" s="87"/>
      <c r="AUH8" s="87"/>
      <c r="AUI8" s="87"/>
      <c r="AUJ8" s="87"/>
      <c r="AUK8" s="87"/>
      <c r="AUL8" s="87"/>
      <c r="AUM8" s="87"/>
      <c r="AUN8" s="87"/>
      <c r="AUO8" s="87"/>
      <c r="AUP8" s="87"/>
      <c r="AUQ8" s="87"/>
      <c r="AUR8" s="87"/>
      <c r="AUS8" s="87"/>
      <c r="AUT8" s="87"/>
      <c r="AUU8" s="87"/>
      <c r="AUV8" s="87"/>
      <c r="AUW8" s="87"/>
      <c r="AUX8" s="87"/>
      <c r="AUY8" s="87"/>
      <c r="AUZ8" s="87"/>
      <c r="AVA8" s="87"/>
      <c r="AVB8" s="87"/>
      <c r="AVC8" s="87"/>
      <c r="AVD8" s="87"/>
      <c r="AVE8" s="87"/>
      <c r="AVF8" s="87"/>
      <c r="AVG8" s="87"/>
      <c r="AVH8" s="87"/>
      <c r="AVI8" s="87"/>
      <c r="AVJ8" s="87"/>
      <c r="AVK8" s="87"/>
      <c r="AVL8" s="87"/>
      <c r="AVM8" s="87"/>
      <c r="AVN8" s="87"/>
      <c r="AVO8" s="87"/>
      <c r="AVP8" s="87"/>
      <c r="AVQ8" s="87"/>
      <c r="AVR8" s="87"/>
      <c r="AVS8" s="87"/>
      <c r="AVT8" s="87"/>
      <c r="AVU8" s="87"/>
      <c r="AVV8" s="87"/>
      <c r="AVW8" s="87"/>
      <c r="AVX8" s="87"/>
      <c r="AVY8" s="87"/>
      <c r="AVZ8" s="87"/>
      <c r="AWA8" s="87"/>
      <c r="AWB8" s="87"/>
      <c r="AWC8" s="87"/>
      <c r="AWD8" s="87"/>
      <c r="AWE8" s="87"/>
      <c r="AWF8" s="87"/>
      <c r="AWG8" s="87"/>
      <c r="AWH8" s="87"/>
      <c r="AWI8" s="87"/>
      <c r="AWJ8" s="87"/>
      <c r="AWK8" s="87"/>
      <c r="AWL8" s="87"/>
      <c r="AWM8" s="87"/>
      <c r="AWN8" s="87"/>
      <c r="AWO8" s="87"/>
      <c r="AWP8" s="87"/>
      <c r="AWQ8" s="87"/>
      <c r="AWR8" s="87"/>
      <c r="AWS8" s="87"/>
      <c r="AWT8" s="87"/>
      <c r="AWU8" s="87"/>
      <c r="AWV8" s="87"/>
      <c r="AWW8" s="87"/>
      <c r="AWX8" s="87"/>
      <c r="AWY8" s="87"/>
      <c r="AWZ8" s="87"/>
      <c r="AXA8" s="87"/>
      <c r="AXB8" s="87"/>
      <c r="AXC8" s="87"/>
      <c r="AXD8" s="87"/>
      <c r="AXE8" s="87"/>
      <c r="AXF8" s="87"/>
      <c r="AXG8" s="87"/>
      <c r="AXH8" s="87"/>
      <c r="AXI8" s="87"/>
      <c r="AXJ8" s="87"/>
      <c r="AXK8" s="87"/>
      <c r="AXL8" s="87"/>
      <c r="AXM8" s="87"/>
      <c r="AXN8" s="87"/>
      <c r="AXO8" s="87"/>
      <c r="AXP8" s="87"/>
      <c r="AXQ8" s="87"/>
      <c r="AXR8" s="87"/>
      <c r="AXS8" s="87"/>
      <c r="AXT8" s="87"/>
      <c r="AXU8" s="87"/>
      <c r="AXV8" s="87"/>
      <c r="AXW8" s="87"/>
      <c r="AXX8" s="87"/>
      <c r="AXY8" s="87"/>
      <c r="AXZ8" s="87"/>
      <c r="AYA8" s="87"/>
      <c r="AYB8" s="87"/>
      <c r="AYC8" s="87"/>
      <c r="AYD8" s="87"/>
      <c r="AYE8" s="87"/>
      <c r="AYF8" s="87"/>
      <c r="AYG8" s="87"/>
      <c r="AYH8" s="87"/>
      <c r="AYI8" s="87"/>
      <c r="AYJ8" s="87"/>
      <c r="AYK8" s="87"/>
      <c r="AYL8" s="87"/>
      <c r="AYM8" s="87"/>
      <c r="AYN8" s="87"/>
      <c r="AYO8" s="87"/>
      <c r="AYP8" s="87"/>
      <c r="AYQ8" s="87"/>
      <c r="AYR8" s="87"/>
      <c r="AYS8" s="87"/>
      <c r="AYT8" s="87"/>
      <c r="AYU8" s="87"/>
      <c r="AYV8" s="87"/>
      <c r="AYW8" s="87"/>
      <c r="AYX8" s="87"/>
      <c r="AYY8" s="87"/>
      <c r="AYZ8" s="87"/>
      <c r="AZA8" s="87"/>
      <c r="AZB8" s="87"/>
      <c r="AZC8" s="87"/>
      <c r="AZD8" s="87"/>
      <c r="AZE8" s="87"/>
      <c r="AZF8" s="87"/>
      <c r="AZG8" s="87"/>
      <c r="AZH8" s="87"/>
      <c r="AZI8" s="87"/>
      <c r="AZJ8" s="87"/>
      <c r="AZK8" s="87"/>
      <c r="AZL8" s="87"/>
      <c r="AZM8" s="87"/>
      <c r="AZN8" s="87"/>
      <c r="AZO8" s="87"/>
      <c r="AZP8" s="87"/>
      <c r="AZQ8" s="87"/>
      <c r="AZR8" s="87"/>
      <c r="AZS8" s="87"/>
      <c r="AZT8" s="87"/>
      <c r="AZU8" s="87"/>
      <c r="AZV8" s="87"/>
      <c r="AZW8" s="87"/>
      <c r="AZX8" s="87"/>
      <c r="AZY8" s="87"/>
      <c r="AZZ8" s="87"/>
      <c r="BAA8" s="87"/>
      <c r="BAB8" s="87"/>
      <c r="BAC8" s="87"/>
      <c r="BAD8" s="87"/>
      <c r="BAE8" s="87"/>
      <c r="BAF8" s="87"/>
      <c r="BAG8" s="87"/>
      <c r="BAH8" s="87"/>
      <c r="BAI8" s="87"/>
      <c r="BAJ8" s="87"/>
      <c r="BAK8" s="87"/>
      <c r="BAL8" s="87"/>
      <c r="BAM8" s="87"/>
      <c r="BAN8" s="87"/>
      <c r="BAO8" s="87"/>
      <c r="BAP8" s="87"/>
      <c r="BAQ8" s="87"/>
      <c r="BAR8" s="87"/>
      <c r="BAS8" s="87"/>
      <c r="BAT8" s="87"/>
      <c r="BAU8" s="87"/>
      <c r="BAV8" s="87"/>
      <c r="BAW8" s="87"/>
      <c r="BAX8" s="87"/>
      <c r="BAY8" s="87"/>
      <c r="BAZ8" s="87"/>
      <c r="BBA8" s="87"/>
      <c r="BBB8" s="87"/>
      <c r="BBC8" s="87"/>
      <c r="BBD8" s="87"/>
      <c r="BBE8" s="87"/>
      <c r="BBF8" s="87"/>
      <c r="BBG8" s="87"/>
      <c r="BBH8" s="87"/>
      <c r="BBI8" s="87"/>
      <c r="BBJ8" s="87"/>
      <c r="BBK8" s="87"/>
      <c r="BBL8" s="87"/>
      <c r="BBM8" s="87"/>
      <c r="BBN8" s="87"/>
      <c r="BBO8" s="87"/>
      <c r="BBP8" s="87"/>
      <c r="BBQ8" s="87"/>
      <c r="BBR8" s="87"/>
      <c r="BBS8" s="87"/>
      <c r="BBT8" s="87"/>
      <c r="BBU8" s="87"/>
      <c r="BBV8" s="87"/>
      <c r="BBW8" s="87"/>
      <c r="BBX8" s="87"/>
      <c r="BBY8" s="87"/>
      <c r="BBZ8" s="87"/>
      <c r="BCA8" s="87"/>
      <c r="BCB8" s="87"/>
      <c r="BCC8" s="87"/>
      <c r="BCD8" s="87"/>
      <c r="BCE8" s="87"/>
      <c r="BCF8" s="87"/>
      <c r="BCG8" s="87"/>
      <c r="BCH8" s="87"/>
      <c r="BCI8" s="87"/>
      <c r="BCJ8" s="87"/>
      <c r="BCK8" s="87"/>
      <c r="BCL8" s="87"/>
      <c r="BCM8" s="87"/>
      <c r="BCN8" s="87"/>
      <c r="BCO8" s="87"/>
      <c r="BCP8" s="87"/>
      <c r="BCQ8" s="87"/>
      <c r="BCR8" s="87"/>
      <c r="BCS8" s="87"/>
      <c r="BCT8" s="87"/>
      <c r="BCU8" s="87"/>
      <c r="BCV8" s="87"/>
      <c r="BCW8" s="87"/>
      <c r="BCX8" s="87"/>
      <c r="BCY8" s="87"/>
      <c r="BCZ8" s="87"/>
      <c r="BDA8" s="87"/>
      <c r="BDB8" s="87"/>
      <c r="BDC8" s="87"/>
      <c r="BDD8" s="87"/>
      <c r="BDE8" s="87"/>
      <c r="BDF8" s="87"/>
      <c r="BDG8" s="87"/>
      <c r="BDH8" s="87"/>
      <c r="BDI8" s="87"/>
      <c r="BDJ8" s="87"/>
      <c r="BDK8" s="87"/>
      <c r="BDL8" s="87"/>
      <c r="BDM8" s="87"/>
      <c r="BDN8" s="87"/>
      <c r="BDO8" s="87"/>
      <c r="BDP8" s="87"/>
      <c r="BDQ8" s="87"/>
      <c r="BDR8" s="87"/>
      <c r="BDS8" s="87"/>
      <c r="BDT8" s="87"/>
      <c r="BDU8" s="87"/>
      <c r="BDV8" s="87"/>
      <c r="BDW8" s="87"/>
      <c r="BDX8" s="87"/>
      <c r="BDY8" s="87"/>
      <c r="BDZ8" s="87"/>
      <c r="BEA8" s="87"/>
      <c r="BEB8" s="87"/>
      <c r="BEC8" s="87"/>
      <c r="BED8" s="87"/>
      <c r="BEE8" s="87"/>
      <c r="BEF8" s="87"/>
      <c r="BEG8" s="87"/>
      <c r="BEH8" s="87"/>
      <c r="BEI8" s="87"/>
      <c r="BEJ8" s="87"/>
      <c r="BEK8" s="87"/>
      <c r="BEL8" s="87"/>
      <c r="BEM8" s="87"/>
      <c r="BEN8" s="87"/>
      <c r="BEO8" s="87"/>
      <c r="BEP8" s="87"/>
      <c r="BEQ8" s="87"/>
      <c r="BER8" s="87"/>
      <c r="BES8" s="87"/>
      <c r="BET8" s="87"/>
      <c r="BEU8" s="87"/>
      <c r="BEV8" s="87"/>
      <c r="BEW8" s="87"/>
      <c r="BEX8" s="87"/>
      <c r="BEY8" s="87"/>
      <c r="BEZ8" s="87"/>
      <c r="BFA8" s="87"/>
      <c r="BFB8" s="87"/>
      <c r="BFC8" s="87"/>
      <c r="BFD8" s="87"/>
      <c r="BFE8" s="87"/>
      <c r="BFF8" s="87"/>
      <c r="BFG8" s="87"/>
      <c r="BFH8" s="87"/>
      <c r="BFI8" s="87"/>
      <c r="BFJ8" s="87"/>
      <c r="BFK8" s="87"/>
      <c r="BFL8" s="87"/>
      <c r="BFM8" s="87"/>
      <c r="BFN8" s="87"/>
      <c r="BFO8" s="87"/>
      <c r="BFP8" s="87"/>
      <c r="BFQ8" s="87"/>
      <c r="BFR8" s="87"/>
      <c r="BFS8" s="87"/>
      <c r="BFT8" s="87"/>
      <c r="BFU8" s="87"/>
      <c r="BFV8" s="87"/>
      <c r="BFW8" s="87"/>
      <c r="BFX8" s="87"/>
      <c r="BFY8" s="87"/>
      <c r="BFZ8" s="87"/>
      <c r="BGA8" s="87"/>
      <c r="BGB8" s="87"/>
      <c r="BGC8" s="87"/>
      <c r="BGD8" s="87"/>
      <c r="BGE8" s="87"/>
      <c r="BGF8" s="87"/>
      <c r="BGG8" s="87"/>
      <c r="BGH8" s="87"/>
      <c r="BGI8" s="87"/>
      <c r="BGJ8" s="87"/>
      <c r="BGK8" s="87"/>
      <c r="BGL8" s="87"/>
      <c r="BGM8" s="87"/>
      <c r="BGN8" s="87"/>
      <c r="BGO8" s="87"/>
      <c r="BGP8" s="87"/>
      <c r="BGQ8" s="87"/>
      <c r="BGR8" s="87"/>
      <c r="BGS8" s="87"/>
      <c r="BGT8" s="87"/>
      <c r="BGU8" s="87"/>
      <c r="BGV8" s="87"/>
      <c r="BGW8" s="87"/>
      <c r="BGX8" s="87"/>
      <c r="BGY8" s="87"/>
      <c r="BGZ8" s="87"/>
      <c r="BHA8" s="87"/>
      <c r="BHB8" s="87"/>
      <c r="BHC8" s="87"/>
      <c r="BHD8" s="87"/>
      <c r="BHE8" s="87"/>
      <c r="BHF8" s="87"/>
      <c r="BHG8" s="87"/>
      <c r="BHH8" s="87"/>
      <c r="BHI8" s="87"/>
      <c r="BHJ8" s="87"/>
      <c r="BHK8" s="87"/>
      <c r="BHL8" s="87"/>
      <c r="BHM8" s="87"/>
      <c r="BHN8" s="87"/>
      <c r="BHO8" s="87"/>
      <c r="BHP8" s="87"/>
      <c r="BHQ8" s="87"/>
      <c r="BHR8" s="87"/>
      <c r="BHS8" s="87"/>
      <c r="BHT8" s="87"/>
      <c r="BHU8" s="87"/>
      <c r="BHV8" s="87"/>
      <c r="BHW8" s="87"/>
      <c r="BHX8" s="87"/>
      <c r="BHY8" s="87"/>
      <c r="BHZ8" s="87"/>
      <c r="BIA8" s="87"/>
      <c r="BIB8" s="87"/>
      <c r="BIC8" s="87"/>
      <c r="BID8" s="87"/>
      <c r="BIE8" s="87"/>
      <c r="BIF8" s="87"/>
      <c r="BIG8" s="87"/>
      <c r="BIH8" s="87"/>
      <c r="BII8" s="87"/>
      <c r="BIJ8" s="87"/>
      <c r="BIK8" s="87"/>
      <c r="BIL8" s="87"/>
      <c r="BIM8" s="87"/>
      <c r="BIN8" s="87"/>
      <c r="BIO8" s="87"/>
      <c r="BIP8" s="87"/>
      <c r="BIQ8" s="87"/>
      <c r="BIR8" s="87"/>
      <c r="BIS8" s="87"/>
      <c r="BIT8" s="87"/>
      <c r="BIU8" s="87"/>
      <c r="BIV8" s="87"/>
      <c r="BIW8" s="87"/>
      <c r="BIX8" s="87"/>
      <c r="BIY8" s="87"/>
      <c r="BIZ8" s="87"/>
      <c r="BJA8" s="87"/>
      <c r="BJB8" s="87"/>
      <c r="BJC8" s="87"/>
      <c r="BJD8" s="87"/>
      <c r="BJE8" s="87"/>
      <c r="BJF8" s="87"/>
      <c r="BJG8" s="87"/>
      <c r="BJH8" s="87"/>
      <c r="BJI8" s="87"/>
      <c r="BJJ8" s="87"/>
      <c r="BJK8" s="87"/>
      <c r="BJL8" s="87"/>
      <c r="BJM8" s="87"/>
      <c r="BJN8" s="87"/>
      <c r="BJO8" s="87"/>
      <c r="BJP8" s="87"/>
      <c r="BJQ8" s="87"/>
      <c r="BJR8" s="87"/>
      <c r="BJS8" s="87"/>
      <c r="BJT8" s="87"/>
      <c r="BJU8" s="87"/>
      <c r="BJV8" s="87"/>
      <c r="BJW8" s="87"/>
      <c r="BJX8" s="87"/>
      <c r="BJY8" s="87"/>
      <c r="BJZ8" s="87"/>
      <c r="BKA8" s="87"/>
      <c r="BKB8" s="87"/>
      <c r="BKC8" s="87"/>
      <c r="BKD8" s="87"/>
      <c r="BKE8" s="87"/>
      <c r="BKF8" s="87"/>
      <c r="BKG8" s="87"/>
      <c r="BKH8" s="87"/>
      <c r="BKI8" s="87"/>
      <c r="BKJ8" s="87"/>
      <c r="BKK8" s="87"/>
      <c r="BKL8" s="87"/>
      <c r="BKM8" s="87"/>
      <c r="BKN8" s="87"/>
      <c r="BKO8" s="87"/>
      <c r="BKP8" s="87"/>
      <c r="BKQ8" s="87"/>
      <c r="BKR8" s="87"/>
      <c r="BKS8" s="87"/>
      <c r="BKT8" s="87"/>
      <c r="BKU8" s="87"/>
      <c r="BKV8" s="87"/>
      <c r="BKW8" s="87"/>
      <c r="BKX8" s="87"/>
      <c r="BKY8" s="87"/>
      <c r="BKZ8" s="87"/>
      <c r="BLA8" s="87"/>
      <c r="BLB8" s="87"/>
      <c r="BLC8" s="87"/>
      <c r="BLD8" s="87"/>
      <c r="BLE8" s="87"/>
      <c r="BLF8" s="87"/>
      <c r="BLG8" s="87"/>
      <c r="BLH8" s="87"/>
      <c r="BLI8" s="87"/>
      <c r="BLJ8" s="87"/>
      <c r="BLK8" s="87"/>
      <c r="BLL8" s="87"/>
      <c r="BLM8" s="87"/>
      <c r="BLN8" s="87"/>
      <c r="BLO8" s="87"/>
      <c r="BLP8" s="87"/>
      <c r="BLQ8" s="87"/>
      <c r="BLR8" s="87"/>
      <c r="BLS8" s="87"/>
      <c r="BLT8" s="87"/>
      <c r="BLU8" s="87"/>
      <c r="BLV8" s="87"/>
      <c r="BLW8" s="87"/>
      <c r="BLX8" s="87"/>
      <c r="BLY8" s="87"/>
      <c r="BLZ8" s="87"/>
      <c r="BMA8" s="87"/>
      <c r="BMB8" s="87"/>
      <c r="BMC8" s="87"/>
      <c r="BMD8" s="87"/>
      <c r="BME8" s="87"/>
      <c r="BMF8" s="87"/>
      <c r="BMG8" s="87"/>
      <c r="BMH8" s="87"/>
      <c r="BMI8" s="87"/>
      <c r="BMJ8" s="87"/>
      <c r="BMK8" s="87"/>
      <c r="BML8" s="87"/>
      <c r="BMM8" s="87"/>
      <c r="BMN8" s="87"/>
      <c r="BMO8" s="87"/>
      <c r="BMP8" s="87"/>
      <c r="BMQ8" s="87"/>
      <c r="BMR8" s="87"/>
      <c r="BMS8" s="87"/>
      <c r="BMT8" s="87"/>
      <c r="BMU8" s="87"/>
      <c r="BMV8" s="87"/>
      <c r="BMW8" s="87"/>
      <c r="BMX8" s="87"/>
      <c r="BMY8" s="87"/>
      <c r="BMZ8" s="87"/>
      <c r="BNA8" s="87"/>
      <c r="BNB8" s="87"/>
      <c r="BNC8" s="87"/>
      <c r="BND8" s="87"/>
      <c r="BNE8" s="87"/>
      <c r="BNF8" s="87"/>
      <c r="BNG8" s="87"/>
      <c r="BNH8" s="87"/>
      <c r="BNI8" s="87"/>
      <c r="BNJ8" s="87"/>
      <c r="BNK8" s="87"/>
      <c r="BNL8" s="87"/>
      <c r="BNM8" s="87"/>
      <c r="BNN8" s="87"/>
      <c r="BNO8" s="87"/>
      <c r="BNP8" s="87"/>
      <c r="BNQ8" s="87"/>
      <c r="BNR8" s="87"/>
      <c r="BNS8" s="87"/>
      <c r="BNT8" s="87"/>
      <c r="BNU8" s="87"/>
      <c r="BNV8" s="87"/>
      <c r="BNW8" s="87"/>
      <c r="BNX8" s="87"/>
      <c r="BNY8" s="87"/>
      <c r="BNZ8" s="87"/>
      <c r="BOA8" s="87"/>
      <c r="BOB8" s="87"/>
      <c r="BOC8" s="87"/>
      <c r="BOD8" s="87"/>
      <c r="BOE8" s="87"/>
      <c r="BOF8" s="87"/>
      <c r="BOG8" s="87"/>
      <c r="BOH8" s="87"/>
      <c r="BOI8" s="87"/>
      <c r="BOJ8" s="87"/>
      <c r="BOK8" s="87"/>
      <c r="BOL8" s="87"/>
      <c r="BOM8" s="87"/>
      <c r="BON8" s="87"/>
      <c r="BOO8" s="87"/>
      <c r="BOP8" s="87"/>
      <c r="BOQ8" s="87"/>
      <c r="BOR8" s="87"/>
      <c r="BOS8" s="87"/>
      <c r="BOT8" s="87"/>
      <c r="BOU8" s="87"/>
      <c r="BOV8" s="87"/>
      <c r="BOW8" s="87"/>
      <c r="BOX8" s="87"/>
      <c r="BOY8" s="87"/>
      <c r="BOZ8" s="87"/>
      <c r="BPA8" s="87"/>
      <c r="BPB8" s="87"/>
      <c r="BPC8" s="87"/>
      <c r="BPD8" s="87"/>
      <c r="BPE8" s="87"/>
      <c r="BPF8" s="87"/>
      <c r="BPG8" s="87"/>
      <c r="BPH8" s="87"/>
      <c r="BPI8" s="87"/>
      <c r="BPJ8" s="87"/>
      <c r="BPK8" s="87"/>
      <c r="BPL8" s="87"/>
      <c r="BPM8" s="87"/>
      <c r="BPN8" s="87"/>
      <c r="BPO8" s="87"/>
      <c r="BPP8" s="87"/>
      <c r="BPQ8" s="87"/>
      <c r="BPR8" s="87"/>
      <c r="BPS8" s="87"/>
      <c r="BPT8" s="87"/>
      <c r="BPU8" s="87"/>
      <c r="BPV8" s="87"/>
      <c r="BPW8" s="87"/>
      <c r="BPX8" s="87"/>
      <c r="BPY8" s="87"/>
      <c r="BPZ8" s="87"/>
      <c r="BQA8" s="87"/>
      <c r="BQB8" s="87"/>
      <c r="BQC8" s="87"/>
      <c r="BQD8" s="87"/>
      <c r="BQE8" s="87"/>
      <c r="BQF8" s="87"/>
      <c r="BQG8" s="87"/>
      <c r="BQH8" s="87"/>
      <c r="BQI8" s="87"/>
      <c r="BQJ8" s="87"/>
      <c r="BQK8" s="87"/>
      <c r="BQL8" s="87"/>
      <c r="BQM8" s="87"/>
      <c r="BQN8" s="87"/>
      <c r="BQO8" s="87"/>
      <c r="BQP8" s="87"/>
      <c r="BQQ8" s="87"/>
      <c r="BQR8" s="87"/>
      <c r="BQS8" s="87"/>
      <c r="BQT8" s="87"/>
      <c r="BQU8" s="87"/>
      <c r="BQV8" s="87"/>
      <c r="BQW8" s="87"/>
      <c r="BQX8" s="87"/>
      <c r="BQY8" s="87"/>
      <c r="BQZ8" s="87"/>
      <c r="BRA8" s="87"/>
      <c r="BRB8" s="87"/>
      <c r="BRC8" s="87"/>
      <c r="BRD8" s="87"/>
      <c r="BRE8" s="87"/>
      <c r="BRF8" s="87"/>
      <c r="BRG8" s="87"/>
      <c r="BRH8" s="87"/>
      <c r="BRI8" s="87"/>
      <c r="BRJ8" s="87"/>
      <c r="BRK8" s="87"/>
      <c r="BRL8" s="87"/>
      <c r="BRM8" s="87"/>
      <c r="BRN8" s="87"/>
      <c r="BRO8" s="87"/>
      <c r="BRP8" s="87"/>
      <c r="BRQ8" s="87"/>
      <c r="BRR8" s="87"/>
      <c r="BRS8" s="87"/>
      <c r="BRT8" s="87"/>
      <c r="BRU8" s="87"/>
      <c r="BRV8" s="87"/>
      <c r="BRW8" s="87"/>
      <c r="BRX8" s="87"/>
      <c r="BRY8" s="87"/>
      <c r="BRZ8" s="87"/>
      <c r="BSA8" s="87"/>
      <c r="BSB8" s="87"/>
      <c r="BSC8" s="87"/>
      <c r="BSD8" s="87"/>
      <c r="BSE8" s="87"/>
      <c r="BSF8" s="87"/>
      <c r="BSG8" s="87"/>
      <c r="BSH8" s="87"/>
      <c r="BSI8" s="87"/>
      <c r="BSJ8" s="87"/>
      <c r="BSK8" s="87"/>
      <c r="BSL8" s="87"/>
      <c r="BSM8" s="87"/>
      <c r="BSN8" s="87"/>
      <c r="BSO8" s="87"/>
      <c r="BSP8" s="87"/>
      <c r="BSQ8" s="87"/>
      <c r="BSR8" s="87"/>
      <c r="BSS8" s="87"/>
      <c r="BST8" s="87"/>
      <c r="BSU8" s="87"/>
      <c r="BSV8" s="87"/>
      <c r="BSW8" s="87"/>
      <c r="BSX8" s="87"/>
      <c r="BSY8" s="87"/>
      <c r="BSZ8" s="87"/>
      <c r="BTA8" s="87"/>
      <c r="BTB8" s="87"/>
      <c r="BTC8" s="87"/>
      <c r="BTD8" s="87"/>
      <c r="BTE8" s="87"/>
      <c r="BTF8" s="87"/>
      <c r="BTG8" s="87"/>
      <c r="BTH8" s="87"/>
      <c r="BTI8" s="87"/>
      <c r="BTJ8" s="87"/>
      <c r="BTK8" s="87"/>
      <c r="BTL8" s="87"/>
      <c r="BTM8" s="87"/>
      <c r="BTN8" s="87"/>
      <c r="BTO8" s="87"/>
      <c r="BTP8" s="87"/>
      <c r="BTQ8" s="87"/>
      <c r="BTR8" s="87"/>
      <c r="BTS8" s="87"/>
      <c r="BTT8" s="87"/>
      <c r="BTU8" s="87"/>
      <c r="BTV8" s="87"/>
      <c r="BTW8" s="87"/>
      <c r="BTX8" s="87"/>
      <c r="BTY8" s="87"/>
      <c r="BTZ8" s="87"/>
      <c r="BUA8" s="87"/>
      <c r="BUB8" s="87"/>
      <c r="BUC8" s="87"/>
      <c r="BUD8" s="87"/>
      <c r="BUE8" s="87"/>
      <c r="BUF8" s="87"/>
      <c r="BUG8" s="87"/>
      <c r="BUH8" s="87"/>
      <c r="BUI8" s="87"/>
      <c r="BUJ8" s="87"/>
      <c r="BUK8" s="87"/>
      <c r="BUL8" s="87"/>
      <c r="BUM8" s="87"/>
      <c r="BUN8" s="87"/>
      <c r="BUO8" s="87"/>
      <c r="BUP8" s="87"/>
      <c r="BUQ8" s="87"/>
      <c r="BUR8" s="87"/>
      <c r="BUS8" s="87"/>
      <c r="BUT8" s="87"/>
      <c r="BUU8" s="87"/>
      <c r="BUV8" s="87"/>
      <c r="BUW8" s="87"/>
      <c r="BUX8" s="87"/>
      <c r="BUY8" s="87"/>
      <c r="BUZ8" s="87"/>
      <c r="BVA8" s="87"/>
      <c r="BVB8" s="87"/>
      <c r="BVC8" s="87"/>
      <c r="BVD8" s="87"/>
      <c r="BVE8" s="87"/>
      <c r="BVF8" s="87"/>
      <c r="BVG8" s="87"/>
      <c r="BVH8" s="87"/>
      <c r="BVI8" s="87"/>
      <c r="BVJ8" s="87"/>
      <c r="BVK8" s="87"/>
      <c r="BVL8" s="87"/>
      <c r="BVM8" s="87"/>
      <c r="BVN8" s="87"/>
      <c r="BVO8" s="87"/>
      <c r="BVP8" s="87"/>
      <c r="BVQ8" s="87"/>
      <c r="BVR8" s="87"/>
      <c r="BVS8" s="87"/>
      <c r="BVT8" s="87"/>
      <c r="BVU8" s="87"/>
      <c r="BVV8" s="87"/>
      <c r="BVW8" s="87"/>
      <c r="BVX8" s="87"/>
      <c r="BVY8" s="87"/>
      <c r="BVZ8" s="87"/>
      <c r="BWA8" s="87"/>
      <c r="BWB8" s="87"/>
      <c r="BWC8" s="87"/>
      <c r="BWD8" s="87"/>
      <c r="BWE8" s="87"/>
      <c r="BWF8" s="87"/>
      <c r="BWG8" s="87"/>
      <c r="BWH8" s="87"/>
      <c r="BWI8" s="87"/>
      <c r="BWJ8" s="87"/>
      <c r="BWK8" s="87"/>
      <c r="BWL8" s="87"/>
      <c r="BWM8" s="87"/>
      <c r="BWN8" s="87"/>
      <c r="BWO8" s="87"/>
      <c r="BWP8" s="87"/>
      <c r="BWQ8" s="87"/>
      <c r="BWR8" s="87"/>
      <c r="BWS8" s="87"/>
      <c r="BWT8" s="87"/>
      <c r="BWU8" s="87"/>
      <c r="BWV8" s="87"/>
      <c r="BWW8" s="87"/>
      <c r="BWX8" s="87"/>
      <c r="BWY8" s="87"/>
      <c r="BWZ8" s="87"/>
      <c r="BXA8" s="87"/>
      <c r="BXB8" s="87"/>
      <c r="BXC8" s="87"/>
      <c r="BXD8" s="87"/>
      <c r="BXE8" s="87"/>
      <c r="BXF8" s="87"/>
      <c r="BXG8" s="87"/>
      <c r="BXH8" s="87"/>
      <c r="BXI8" s="87"/>
      <c r="BXJ8" s="87"/>
      <c r="BXK8" s="87"/>
      <c r="BXL8" s="87"/>
      <c r="BXM8" s="87"/>
      <c r="BXN8" s="87"/>
      <c r="BXO8" s="87"/>
      <c r="BXP8" s="87"/>
      <c r="BXQ8" s="87"/>
      <c r="BXR8" s="87"/>
      <c r="BXS8" s="87"/>
      <c r="BXT8" s="87"/>
      <c r="BXU8" s="87"/>
      <c r="BXV8" s="87"/>
      <c r="BXW8" s="87"/>
      <c r="BXX8" s="87"/>
      <c r="BXY8" s="87"/>
      <c r="BXZ8" s="87"/>
      <c r="BYA8" s="87"/>
      <c r="BYB8" s="87"/>
      <c r="BYC8" s="87"/>
      <c r="BYD8" s="87"/>
      <c r="BYE8" s="87"/>
      <c r="BYF8" s="87"/>
      <c r="BYG8" s="87"/>
      <c r="BYH8" s="87"/>
      <c r="BYI8" s="87"/>
      <c r="BYJ8" s="87"/>
      <c r="BYK8" s="87"/>
      <c r="BYL8" s="87"/>
      <c r="BYM8" s="87"/>
      <c r="BYN8" s="87"/>
      <c r="BYO8" s="87"/>
      <c r="BYP8" s="87"/>
      <c r="BYQ8" s="87"/>
      <c r="BYR8" s="87"/>
      <c r="BYS8" s="87"/>
      <c r="BYT8" s="87"/>
      <c r="BYU8" s="87"/>
      <c r="BYV8" s="87"/>
      <c r="BYW8" s="87"/>
      <c r="BYX8" s="87"/>
      <c r="BYY8" s="87"/>
      <c r="BYZ8" s="87"/>
      <c r="BZA8" s="87"/>
      <c r="BZB8" s="87"/>
      <c r="BZC8" s="87"/>
      <c r="BZD8" s="87"/>
      <c r="BZE8" s="87"/>
      <c r="BZF8" s="87"/>
      <c r="BZG8" s="87"/>
      <c r="BZH8" s="87"/>
      <c r="BZI8" s="87"/>
      <c r="BZJ8" s="87"/>
      <c r="BZK8" s="87"/>
      <c r="BZL8" s="87"/>
      <c r="BZM8" s="87"/>
      <c r="BZN8" s="87"/>
      <c r="BZO8" s="87"/>
      <c r="BZP8" s="87"/>
      <c r="BZQ8" s="87"/>
      <c r="BZR8" s="87"/>
      <c r="BZS8" s="87"/>
      <c r="BZT8" s="87"/>
      <c r="BZU8" s="87"/>
      <c r="BZV8" s="87"/>
      <c r="BZW8" s="87"/>
      <c r="BZX8" s="87"/>
      <c r="BZY8" s="87"/>
      <c r="BZZ8" s="87"/>
      <c r="CAA8" s="87"/>
      <c r="CAB8" s="87"/>
      <c r="CAC8" s="87"/>
      <c r="CAD8" s="87"/>
      <c r="CAE8" s="87"/>
      <c r="CAF8" s="87"/>
      <c r="CAG8" s="87"/>
      <c r="CAH8" s="87"/>
      <c r="CAI8" s="87"/>
      <c r="CAJ8" s="87"/>
      <c r="CAK8" s="87"/>
      <c r="CAL8" s="87"/>
      <c r="CAM8" s="87"/>
      <c r="CAN8" s="87"/>
      <c r="CAO8" s="87"/>
      <c r="CAP8" s="87"/>
      <c r="CAQ8" s="87"/>
      <c r="CAR8" s="87"/>
      <c r="CAS8" s="87"/>
      <c r="CAT8" s="87"/>
      <c r="CAU8" s="87"/>
      <c r="CAV8" s="87"/>
      <c r="CAW8" s="87"/>
      <c r="CAX8" s="87"/>
      <c r="CAY8" s="87"/>
      <c r="CAZ8" s="87"/>
      <c r="CBA8" s="87"/>
      <c r="CBB8" s="87"/>
      <c r="CBC8" s="87"/>
      <c r="CBD8" s="87"/>
      <c r="CBE8" s="87"/>
      <c r="CBF8" s="87"/>
      <c r="CBG8" s="87"/>
      <c r="CBH8" s="87"/>
      <c r="CBI8" s="87"/>
      <c r="CBJ8" s="87"/>
      <c r="CBK8" s="87"/>
      <c r="CBL8" s="87"/>
      <c r="CBM8" s="87"/>
      <c r="CBN8" s="87"/>
      <c r="CBO8" s="87"/>
      <c r="CBP8" s="87"/>
      <c r="CBQ8" s="87"/>
      <c r="CBR8" s="87"/>
      <c r="CBS8" s="87"/>
      <c r="CBT8" s="87"/>
      <c r="CBU8" s="87"/>
      <c r="CBV8" s="87"/>
      <c r="CBW8" s="87"/>
      <c r="CBX8" s="87"/>
      <c r="CBY8" s="87"/>
      <c r="CBZ8" s="87"/>
      <c r="CCA8" s="87"/>
      <c r="CCB8" s="87"/>
      <c r="CCC8" s="87"/>
      <c r="CCD8" s="87"/>
      <c r="CCE8" s="87"/>
      <c r="CCF8" s="87"/>
      <c r="CCG8" s="87"/>
      <c r="CCH8" s="87"/>
      <c r="CCI8" s="87"/>
      <c r="CCJ8" s="87"/>
      <c r="CCK8" s="87"/>
      <c r="CCL8" s="87"/>
      <c r="CCM8" s="87"/>
      <c r="CCN8" s="87"/>
      <c r="CCO8" s="87"/>
      <c r="CCP8" s="87"/>
      <c r="CCQ8" s="87"/>
      <c r="CCR8" s="87"/>
      <c r="CCS8" s="87"/>
      <c r="CCT8" s="87"/>
      <c r="CCU8" s="87"/>
      <c r="CCV8" s="87"/>
      <c r="CCW8" s="87"/>
      <c r="CCX8" s="87"/>
      <c r="CCY8" s="87"/>
      <c r="CCZ8" s="87"/>
      <c r="CDA8" s="87"/>
      <c r="CDB8" s="87"/>
      <c r="CDC8" s="87"/>
      <c r="CDD8" s="87"/>
      <c r="CDE8" s="87"/>
      <c r="CDF8" s="87"/>
      <c r="CDG8" s="87"/>
      <c r="CDH8" s="87"/>
      <c r="CDI8" s="87"/>
      <c r="CDJ8" s="87"/>
      <c r="CDK8" s="87"/>
      <c r="CDL8" s="87"/>
      <c r="CDM8" s="87"/>
      <c r="CDN8" s="87"/>
      <c r="CDO8" s="87"/>
      <c r="CDP8" s="87"/>
      <c r="CDQ8" s="87"/>
      <c r="CDR8" s="87"/>
      <c r="CDS8" s="87"/>
      <c r="CDT8" s="87"/>
      <c r="CDU8" s="87"/>
      <c r="CDV8" s="87"/>
      <c r="CDW8" s="87"/>
      <c r="CDX8" s="87"/>
      <c r="CDY8" s="87"/>
      <c r="CDZ8" s="87"/>
      <c r="CEA8" s="87"/>
      <c r="CEB8" s="87"/>
      <c r="CEC8" s="87"/>
      <c r="CED8" s="87"/>
      <c r="CEE8" s="87"/>
      <c r="CEF8" s="87"/>
      <c r="CEG8" s="87"/>
      <c r="CEH8" s="87"/>
      <c r="CEI8" s="87"/>
      <c r="CEJ8" s="87"/>
      <c r="CEK8" s="87"/>
      <c r="CEL8" s="87"/>
      <c r="CEM8" s="87"/>
      <c r="CEN8" s="87"/>
      <c r="CEO8" s="87"/>
      <c r="CEP8" s="87"/>
      <c r="CEQ8" s="87"/>
      <c r="CER8" s="87"/>
      <c r="CES8" s="87"/>
      <c r="CET8" s="87"/>
      <c r="CEU8" s="87"/>
      <c r="CEV8" s="87"/>
      <c r="CEW8" s="87"/>
      <c r="CEX8" s="87"/>
      <c r="CEY8" s="87"/>
      <c r="CEZ8" s="87"/>
      <c r="CFA8" s="87"/>
      <c r="CFB8" s="87"/>
      <c r="CFC8" s="87"/>
      <c r="CFD8" s="87"/>
      <c r="CFE8" s="87"/>
      <c r="CFF8" s="87"/>
      <c r="CFG8" s="87"/>
      <c r="CFH8" s="87"/>
      <c r="CFI8" s="87"/>
      <c r="CFJ8" s="87"/>
      <c r="CFK8" s="87"/>
      <c r="CFL8" s="87"/>
      <c r="CFM8" s="87"/>
      <c r="CFN8" s="87"/>
      <c r="CFO8" s="87"/>
      <c r="CFP8" s="87"/>
      <c r="CFQ8" s="87"/>
      <c r="CFR8" s="87"/>
      <c r="CFS8" s="87"/>
      <c r="CFT8" s="87"/>
      <c r="CFU8" s="87"/>
      <c r="CFV8" s="87"/>
      <c r="CFW8" s="87"/>
      <c r="CFX8" s="87"/>
      <c r="CFY8" s="87"/>
      <c r="CFZ8" s="87"/>
      <c r="CGA8" s="87"/>
      <c r="CGB8" s="87"/>
      <c r="CGC8" s="87"/>
      <c r="CGD8" s="87"/>
      <c r="CGE8" s="87"/>
      <c r="CGF8" s="87"/>
      <c r="CGG8" s="87"/>
      <c r="CGH8" s="87"/>
      <c r="CGI8" s="87"/>
      <c r="CGJ8" s="87"/>
      <c r="CGK8" s="87"/>
      <c r="CGL8" s="87"/>
      <c r="CGM8" s="87"/>
      <c r="CGN8" s="87"/>
      <c r="CGO8" s="87"/>
      <c r="CGP8" s="87"/>
      <c r="CGQ8" s="87"/>
      <c r="CGR8" s="87"/>
      <c r="CGS8" s="87"/>
      <c r="CGT8" s="87"/>
      <c r="CGU8" s="87"/>
      <c r="CGV8" s="87"/>
      <c r="CGW8" s="87"/>
      <c r="CGX8" s="87"/>
      <c r="CGY8" s="87"/>
      <c r="CGZ8" s="87"/>
      <c r="CHA8" s="87"/>
      <c r="CHB8" s="87"/>
      <c r="CHC8" s="87"/>
      <c r="CHD8" s="87"/>
      <c r="CHE8" s="87"/>
      <c r="CHF8" s="87"/>
      <c r="CHG8" s="87"/>
      <c r="CHH8" s="87"/>
      <c r="CHI8" s="87"/>
      <c r="CHJ8" s="87"/>
      <c r="CHK8" s="87"/>
      <c r="CHL8" s="87"/>
      <c r="CHM8" s="87"/>
      <c r="CHN8" s="87"/>
      <c r="CHO8" s="87"/>
      <c r="CHP8" s="87"/>
      <c r="CHQ8" s="87"/>
      <c r="CHR8" s="87"/>
      <c r="CHS8" s="87"/>
      <c r="CHT8" s="87"/>
      <c r="CHU8" s="87"/>
      <c r="CHV8" s="87"/>
      <c r="CHW8" s="87"/>
      <c r="CHX8" s="87"/>
      <c r="CHY8" s="87"/>
      <c r="CHZ8" s="87"/>
      <c r="CIA8" s="87"/>
      <c r="CIB8" s="87"/>
      <c r="CIC8" s="87"/>
      <c r="CID8" s="87"/>
      <c r="CIE8" s="87"/>
      <c r="CIF8" s="87"/>
      <c r="CIG8" s="87"/>
      <c r="CIH8" s="87"/>
      <c r="CII8" s="87"/>
      <c r="CIJ8" s="87"/>
      <c r="CIK8" s="87"/>
      <c r="CIL8" s="87"/>
      <c r="CIM8" s="87"/>
      <c r="CIN8" s="87"/>
      <c r="CIO8" s="87"/>
      <c r="CIP8" s="87"/>
      <c r="CIQ8" s="87"/>
      <c r="CIR8" s="87"/>
      <c r="CIS8" s="87"/>
      <c r="CIT8" s="87"/>
      <c r="CIU8" s="87"/>
      <c r="CIV8" s="87"/>
      <c r="CIW8" s="87"/>
      <c r="CIX8" s="87"/>
      <c r="CIY8" s="87"/>
      <c r="CIZ8" s="87"/>
      <c r="CJA8" s="87"/>
      <c r="CJB8" s="87"/>
      <c r="CJC8" s="87"/>
      <c r="CJD8" s="87"/>
      <c r="CJE8" s="87"/>
      <c r="CJF8" s="87"/>
      <c r="CJG8" s="87"/>
      <c r="CJH8" s="87"/>
      <c r="CJI8" s="87"/>
      <c r="CJJ8" s="87"/>
      <c r="CJK8" s="87"/>
      <c r="CJL8" s="87"/>
      <c r="CJM8" s="87"/>
      <c r="CJN8" s="87"/>
      <c r="CJO8" s="87"/>
      <c r="CJP8" s="87"/>
      <c r="CJQ8" s="87"/>
      <c r="CJR8" s="87"/>
      <c r="CJS8" s="87"/>
      <c r="CJT8" s="87"/>
      <c r="CJU8" s="87"/>
      <c r="CJV8" s="87"/>
      <c r="CJW8" s="87"/>
      <c r="CJX8" s="87"/>
      <c r="CJY8" s="87"/>
      <c r="CJZ8" s="87"/>
      <c r="CKA8" s="87"/>
      <c r="CKB8" s="87"/>
      <c r="CKC8" s="87"/>
      <c r="CKD8" s="87"/>
      <c r="CKE8" s="87"/>
      <c r="CKF8" s="87"/>
      <c r="CKG8" s="87"/>
      <c r="CKH8" s="87"/>
      <c r="CKI8" s="87"/>
      <c r="CKJ8" s="87"/>
      <c r="CKK8" s="87"/>
      <c r="CKL8" s="87"/>
      <c r="CKM8" s="87"/>
      <c r="CKN8" s="87"/>
      <c r="CKO8" s="87"/>
      <c r="CKP8" s="87"/>
      <c r="CKQ8" s="87"/>
      <c r="CKR8" s="87"/>
      <c r="CKS8" s="87"/>
      <c r="CKT8" s="87"/>
      <c r="CKU8" s="87"/>
      <c r="CKV8" s="87"/>
      <c r="CKW8" s="87"/>
      <c r="CKX8" s="87"/>
      <c r="CKY8" s="87"/>
      <c r="CKZ8" s="87"/>
      <c r="CLA8" s="87"/>
      <c r="CLB8" s="87"/>
      <c r="CLC8" s="87"/>
      <c r="CLD8" s="87"/>
      <c r="CLE8" s="87"/>
      <c r="CLF8" s="87"/>
      <c r="CLG8" s="87"/>
      <c r="CLH8" s="87"/>
      <c r="CLI8" s="87"/>
      <c r="CLJ8" s="87"/>
      <c r="CLK8" s="87"/>
      <c r="CLL8" s="87"/>
      <c r="CLM8" s="87"/>
      <c r="CLN8" s="87"/>
      <c r="CLO8" s="87"/>
      <c r="CLP8" s="87"/>
      <c r="CLQ8" s="87"/>
      <c r="CLR8" s="87"/>
      <c r="CLS8" s="87"/>
      <c r="CLT8" s="87"/>
      <c r="CLU8" s="87"/>
      <c r="CLV8" s="87"/>
      <c r="CLW8" s="87"/>
      <c r="CLX8" s="87"/>
      <c r="CLY8" s="87"/>
      <c r="CLZ8" s="87"/>
      <c r="CMA8" s="87"/>
      <c r="CMB8" s="87"/>
      <c r="CMC8" s="87"/>
      <c r="CMD8" s="87"/>
      <c r="CME8" s="87"/>
      <c r="CMF8" s="87"/>
      <c r="CMG8" s="87"/>
      <c r="CMH8" s="87"/>
      <c r="CMI8" s="87"/>
      <c r="CMJ8" s="87"/>
      <c r="CMK8" s="87"/>
      <c r="CML8" s="87"/>
      <c r="CMM8" s="87"/>
      <c r="CMN8" s="87"/>
      <c r="CMO8" s="87"/>
      <c r="CMP8" s="87"/>
      <c r="CMQ8" s="87"/>
      <c r="CMR8" s="87"/>
      <c r="CMS8" s="87"/>
      <c r="CMT8" s="87"/>
      <c r="CMU8" s="87"/>
      <c r="CMV8" s="87"/>
      <c r="CMW8" s="87"/>
      <c r="CMX8" s="87"/>
      <c r="CMY8" s="87"/>
      <c r="CMZ8" s="87"/>
      <c r="CNA8" s="87"/>
      <c r="CNB8" s="87"/>
      <c r="CNC8" s="87"/>
      <c r="CND8" s="87"/>
      <c r="CNE8" s="87"/>
      <c r="CNF8" s="87"/>
      <c r="CNG8" s="87"/>
      <c r="CNH8" s="87"/>
      <c r="CNI8" s="87"/>
      <c r="CNJ8" s="87"/>
      <c r="CNK8" s="87"/>
      <c r="CNL8" s="87"/>
      <c r="CNM8" s="87"/>
      <c r="CNN8" s="87"/>
      <c r="CNO8" s="87"/>
      <c r="CNP8" s="87"/>
      <c r="CNQ8" s="87"/>
      <c r="CNR8" s="87"/>
      <c r="CNS8" s="87"/>
      <c r="CNT8" s="87"/>
      <c r="CNU8" s="87"/>
      <c r="CNV8" s="87"/>
      <c r="CNW8" s="87"/>
      <c r="CNX8" s="87"/>
      <c r="CNY8" s="87"/>
      <c r="CNZ8" s="87"/>
      <c r="COA8" s="87"/>
      <c r="COB8" s="87"/>
      <c r="COC8" s="87"/>
      <c r="COD8" s="87"/>
      <c r="COE8" s="87"/>
      <c r="COF8" s="87"/>
      <c r="COG8" s="87"/>
      <c r="COH8" s="87"/>
      <c r="COI8" s="87"/>
      <c r="COJ8" s="87"/>
      <c r="COK8" s="87"/>
      <c r="COL8" s="87"/>
      <c r="COM8" s="87"/>
      <c r="CON8" s="87"/>
      <c r="COO8" s="87"/>
      <c r="COP8" s="87"/>
      <c r="COQ8" s="87"/>
      <c r="COR8" s="87"/>
      <c r="COS8" s="87"/>
      <c r="COT8" s="87"/>
      <c r="COU8" s="87"/>
      <c r="COV8" s="87"/>
      <c r="COW8" s="87"/>
      <c r="COX8" s="87"/>
      <c r="COY8" s="87"/>
      <c r="COZ8" s="87"/>
      <c r="CPA8" s="87"/>
      <c r="CPB8" s="87"/>
      <c r="CPC8" s="87"/>
      <c r="CPD8" s="87"/>
      <c r="CPE8" s="87"/>
      <c r="CPF8" s="87"/>
      <c r="CPG8" s="87"/>
      <c r="CPH8" s="87"/>
      <c r="CPI8" s="87"/>
      <c r="CPJ8" s="87"/>
      <c r="CPK8" s="87"/>
      <c r="CPL8" s="87"/>
      <c r="CPM8" s="87"/>
      <c r="CPN8" s="87"/>
      <c r="CPO8" s="87"/>
      <c r="CPP8" s="87"/>
      <c r="CPQ8" s="87"/>
      <c r="CPR8" s="87"/>
      <c r="CPS8" s="87"/>
      <c r="CPT8" s="87"/>
      <c r="CPU8" s="87"/>
      <c r="CPV8" s="87"/>
      <c r="CPW8" s="87"/>
      <c r="CPX8" s="87"/>
      <c r="CPY8" s="87"/>
      <c r="CPZ8" s="87"/>
      <c r="CQA8" s="87"/>
      <c r="CQB8" s="87"/>
      <c r="CQC8" s="87"/>
      <c r="CQD8" s="87"/>
      <c r="CQE8" s="87"/>
      <c r="CQF8" s="87"/>
      <c r="CQG8" s="87"/>
      <c r="CQH8" s="87"/>
      <c r="CQI8" s="87"/>
      <c r="CQJ8" s="87"/>
      <c r="CQK8" s="87"/>
      <c r="CQL8" s="87"/>
      <c r="CQM8" s="87"/>
      <c r="CQN8" s="87"/>
      <c r="CQO8" s="87"/>
      <c r="CQP8" s="87"/>
      <c r="CQQ8" s="87"/>
      <c r="CQR8" s="87"/>
      <c r="CQS8" s="87"/>
      <c r="CQT8" s="87"/>
      <c r="CQU8" s="87"/>
      <c r="CQV8" s="87"/>
      <c r="CQW8" s="87"/>
      <c r="CQX8" s="87"/>
      <c r="CQY8" s="87"/>
      <c r="CQZ8" s="87"/>
      <c r="CRA8" s="87"/>
      <c r="CRB8" s="87"/>
      <c r="CRC8" s="87"/>
      <c r="CRD8" s="87"/>
      <c r="CRE8" s="87"/>
      <c r="CRF8" s="87"/>
      <c r="CRG8" s="87"/>
      <c r="CRH8" s="87"/>
      <c r="CRI8" s="87"/>
      <c r="CRJ8" s="87"/>
      <c r="CRK8" s="87"/>
      <c r="CRL8" s="87"/>
      <c r="CRM8" s="87"/>
      <c r="CRN8" s="87"/>
      <c r="CRO8" s="87"/>
      <c r="CRP8" s="87"/>
      <c r="CRQ8" s="87"/>
      <c r="CRR8" s="87"/>
      <c r="CRS8" s="87"/>
      <c r="CRT8" s="87"/>
      <c r="CRU8" s="87"/>
      <c r="CRV8" s="87"/>
      <c r="CRW8" s="87"/>
      <c r="CRX8" s="87"/>
      <c r="CRY8" s="87"/>
      <c r="CRZ8" s="87"/>
      <c r="CSA8" s="87"/>
      <c r="CSB8" s="87"/>
      <c r="CSC8" s="87"/>
      <c r="CSD8" s="87"/>
      <c r="CSE8" s="87"/>
      <c r="CSF8" s="87"/>
      <c r="CSG8" s="87"/>
      <c r="CSH8" s="87"/>
      <c r="CSI8" s="87"/>
      <c r="CSJ8" s="87"/>
      <c r="CSK8" s="87"/>
      <c r="CSL8" s="87"/>
      <c r="CSM8" s="87"/>
      <c r="CSN8" s="87"/>
      <c r="CSO8" s="87"/>
      <c r="CSP8" s="87"/>
      <c r="CSQ8" s="87"/>
      <c r="CSR8" s="87"/>
      <c r="CSS8" s="87"/>
      <c r="CST8" s="87"/>
      <c r="CSU8" s="87"/>
      <c r="CSV8" s="87"/>
      <c r="CSW8" s="87"/>
      <c r="CSX8" s="87"/>
      <c r="CSY8" s="87"/>
      <c r="CSZ8" s="87"/>
      <c r="CTA8" s="87"/>
      <c r="CTB8" s="87"/>
      <c r="CTC8" s="87"/>
      <c r="CTD8" s="87"/>
      <c r="CTE8" s="87"/>
      <c r="CTF8" s="87"/>
      <c r="CTG8" s="87"/>
      <c r="CTH8" s="87"/>
      <c r="CTI8" s="87"/>
      <c r="CTJ8" s="87"/>
      <c r="CTK8" s="87"/>
      <c r="CTL8" s="87"/>
      <c r="CTM8" s="87"/>
      <c r="CTN8" s="87"/>
      <c r="CTO8" s="87"/>
      <c r="CTP8" s="87"/>
      <c r="CTQ8" s="87"/>
      <c r="CTR8" s="87"/>
      <c r="CTS8" s="87"/>
      <c r="CTT8" s="87"/>
      <c r="CTU8" s="87"/>
      <c r="CTV8" s="87"/>
      <c r="CTW8" s="87"/>
      <c r="CTX8" s="87"/>
      <c r="CTY8" s="87"/>
      <c r="CTZ8" s="87"/>
      <c r="CUA8" s="87"/>
      <c r="CUB8" s="87"/>
      <c r="CUC8" s="87"/>
      <c r="CUD8" s="87"/>
      <c r="CUE8" s="87"/>
      <c r="CUF8" s="87"/>
      <c r="CUG8" s="87"/>
      <c r="CUH8" s="87"/>
      <c r="CUI8" s="87"/>
      <c r="CUJ8" s="87"/>
      <c r="CUK8" s="87"/>
      <c r="CUL8" s="87"/>
      <c r="CUM8" s="87"/>
      <c r="CUN8" s="87"/>
      <c r="CUO8" s="87"/>
      <c r="CUP8" s="87"/>
      <c r="CUQ8" s="87"/>
      <c r="CUR8" s="87"/>
      <c r="CUS8" s="87"/>
      <c r="CUT8" s="87"/>
      <c r="CUU8" s="87"/>
      <c r="CUV8" s="87"/>
      <c r="CUW8" s="87"/>
      <c r="CUX8" s="87"/>
      <c r="CUY8" s="87"/>
      <c r="CUZ8" s="87"/>
      <c r="CVA8" s="87"/>
      <c r="CVB8" s="87"/>
      <c r="CVC8" s="87"/>
      <c r="CVD8" s="87"/>
      <c r="CVE8" s="87"/>
      <c r="CVF8" s="87"/>
      <c r="CVG8" s="87"/>
      <c r="CVH8" s="87"/>
      <c r="CVI8" s="87"/>
      <c r="CVJ8" s="87"/>
      <c r="CVK8" s="87"/>
      <c r="CVL8" s="87"/>
      <c r="CVM8" s="87"/>
      <c r="CVN8" s="87"/>
      <c r="CVO8" s="87"/>
      <c r="CVP8" s="87"/>
      <c r="CVQ8" s="87"/>
      <c r="CVR8" s="87"/>
      <c r="CVS8" s="87"/>
      <c r="CVT8" s="87"/>
      <c r="CVU8" s="87"/>
      <c r="CVV8" s="87"/>
      <c r="CVW8" s="87"/>
      <c r="CVX8" s="87"/>
      <c r="CVY8" s="87"/>
      <c r="CVZ8" s="87"/>
      <c r="CWA8" s="87"/>
      <c r="CWB8" s="87"/>
      <c r="CWC8" s="87"/>
      <c r="CWD8" s="87"/>
      <c r="CWE8" s="87"/>
      <c r="CWF8" s="87"/>
      <c r="CWG8" s="87"/>
      <c r="CWH8" s="87"/>
      <c r="CWI8" s="87"/>
      <c r="CWJ8" s="87"/>
      <c r="CWK8" s="87"/>
      <c r="CWL8" s="87"/>
      <c r="CWM8" s="87"/>
      <c r="CWN8" s="87"/>
      <c r="CWO8" s="87"/>
      <c r="CWP8" s="87"/>
      <c r="CWQ8" s="87"/>
      <c r="CWR8" s="87"/>
      <c r="CWS8" s="87"/>
      <c r="CWT8" s="87"/>
      <c r="CWU8" s="87"/>
      <c r="CWV8" s="87"/>
      <c r="CWW8" s="87"/>
      <c r="CWX8" s="87"/>
      <c r="CWY8" s="87"/>
      <c r="CWZ8" s="87"/>
      <c r="CXA8" s="87"/>
      <c r="CXB8" s="87"/>
      <c r="CXC8" s="87"/>
      <c r="CXD8" s="87"/>
      <c r="CXE8" s="87"/>
      <c r="CXF8" s="87"/>
      <c r="CXG8" s="87"/>
      <c r="CXH8" s="87"/>
      <c r="CXI8" s="87"/>
      <c r="CXJ8" s="87"/>
      <c r="CXK8" s="87"/>
      <c r="CXL8" s="87"/>
      <c r="CXM8" s="87"/>
      <c r="CXN8" s="87"/>
      <c r="CXO8" s="87"/>
      <c r="CXP8" s="87"/>
      <c r="CXQ8" s="87"/>
      <c r="CXR8" s="87"/>
      <c r="CXS8" s="87"/>
      <c r="CXT8" s="87"/>
      <c r="CXU8" s="87"/>
      <c r="CXV8" s="87"/>
      <c r="CXW8" s="87"/>
      <c r="CXX8" s="87"/>
      <c r="CXY8" s="87"/>
      <c r="CXZ8" s="87"/>
      <c r="CYA8" s="87"/>
      <c r="CYB8" s="87"/>
      <c r="CYC8" s="87"/>
      <c r="CYD8" s="87"/>
      <c r="CYE8" s="87"/>
      <c r="CYF8" s="87"/>
      <c r="CYG8" s="87"/>
      <c r="CYH8" s="87"/>
      <c r="CYI8" s="87"/>
      <c r="CYJ8" s="87"/>
      <c r="CYK8" s="87"/>
      <c r="CYL8" s="87"/>
      <c r="CYM8" s="87"/>
      <c r="CYN8" s="87"/>
      <c r="CYO8" s="87"/>
      <c r="CYP8" s="87"/>
      <c r="CYQ8" s="87"/>
      <c r="CYR8" s="87"/>
      <c r="CYS8" s="87"/>
      <c r="CYT8" s="87"/>
      <c r="CYU8" s="87"/>
      <c r="CYV8" s="87"/>
      <c r="CYW8" s="87"/>
      <c r="CYX8" s="87"/>
      <c r="CYY8" s="87"/>
      <c r="CYZ8" s="87"/>
      <c r="CZA8" s="87"/>
      <c r="CZB8" s="87"/>
      <c r="CZC8" s="87"/>
      <c r="CZD8" s="87"/>
      <c r="CZE8" s="87"/>
      <c r="CZF8" s="87"/>
      <c r="CZG8" s="87"/>
      <c r="CZH8" s="87"/>
      <c r="CZI8" s="87"/>
      <c r="CZJ8" s="87"/>
      <c r="CZK8" s="87"/>
      <c r="CZL8" s="87"/>
      <c r="CZM8" s="87"/>
      <c r="CZN8" s="87"/>
      <c r="CZO8" s="87"/>
      <c r="CZP8" s="87"/>
      <c r="CZQ8" s="87"/>
      <c r="CZR8" s="87"/>
      <c r="CZS8" s="87"/>
      <c r="CZT8" s="87"/>
      <c r="CZU8" s="87"/>
      <c r="CZV8" s="87"/>
      <c r="CZW8" s="87"/>
      <c r="CZX8" s="87"/>
      <c r="CZY8" s="87"/>
      <c r="CZZ8" s="87"/>
      <c r="DAA8" s="87"/>
      <c r="DAB8" s="87"/>
      <c r="DAC8" s="87"/>
      <c r="DAD8" s="87"/>
      <c r="DAE8" s="87"/>
      <c r="DAF8" s="87"/>
      <c r="DAG8" s="87"/>
      <c r="DAH8" s="87"/>
      <c r="DAI8" s="87"/>
      <c r="DAJ8" s="87"/>
      <c r="DAK8" s="87"/>
      <c r="DAL8" s="87"/>
      <c r="DAM8" s="87"/>
      <c r="DAN8" s="87"/>
      <c r="DAO8" s="87"/>
      <c r="DAP8" s="87"/>
      <c r="DAQ8" s="87"/>
      <c r="DAR8" s="87"/>
      <c r="DAS8" s="87"/>
      <c r="DAT8" s="87"/>
      <c r="DAU8" s="87"/>
      <c r="DAV8" s="87"/>
      <c r="DAW8" s="87"/>
      <c r="DAX8" s="87"/>
      <c r="DAY8" s="87"/>
      <c r="DAZ8" s="87"/>
      <c r="DBA8" s="87"/>
      <c r="DBB8" s="87"/>
      <c r="DBC8" s="87"/>
      <c r="DBD8" s="87"/>
      <c r="DBE8" s="87"/>
      <c r="DBF8" s="87"/>
      <c r="DBG8" s="87"/>
      <c r="DBH8" s="87"/>
      <c r="DBI8" s="87"/>
      <c r="DBJ8" s="87"/>
      <c r="DBK8" s="87"/>
      <c r="DBL8" s="87"/>
      <c r="DBM8" s="87"/>
      <c r="DBN8" s="87"/>
      <c r="DBO8" s="87"/>
      <c r="DBP8" s="87"/>
      <c r="DBQ8" s="87"/>
      <c r="DBR8" s="87"/>
      <c r="DBS8" s="87"/>
      <c r="DBT8" s="87"/>
      <c r="DBU8" s="87"/>
      <c r="DBV8" s="87"/>
      <c r="DBW8" s="87"/>
      <c r="DBX8" s="87"/>
      <c r="DBY8" s="87"/>
      <c r="DBZ8" s="87"/>
      <c r="DCA8" s="87"/>
      <c r="DCB8" s="87"/>
      <c r="DCC8" s="87"/>
      <c r="DCD8" s="87"/>
      <c r="DCE8" s="87"/>
      <c r="DCF8" s="87"/>
      <c r="DCG8" s="87"/>
      <c r="DCH8" s="87"/>
      <c r="DCI8" s="87"/>
      <c r="DCJ8" s="87"/>
      <c r="DCK8" s="87"/>
      <c r="DCL8" s="87"/>
      <c r="DCM8" s="87"/>
      <c r="DCN8" s="87"/>
      <c r="DCO8" s="87"/>
      <c r="DCP8" s="87"/>
      <c r="DCQ8" s="87"/>
      <c r="DCR8" s="87"/>
      <c r="DCS8" s="87"/>
      <c r="DCT8" s="87"/>
      <c r="DCU8" s="87"/>
      <c r="DCV8" s="87"/>
      <c r="DCW8" s="87"/>
      <c r="DCX8" s="87"/>
      <c r="DCY8" s="87"/>
      <c r="DCZ8" s="87"/>
      <c r="DDA8" s="87"/>
      <c r="DDB8" s="87"/>
      <c r="DDC8" s="87"/>
      <c r="DDD8" s="87"/>
      <c r="DDE8" s="87"/>
      <c r="DDF8" s="87"/>
      <c r="DDG8" s="87"/>
      <c r="DDH8" s="87"/>
      <c r="DDI8" s="87"/>
      <c r="DDJ8" s="87"/>
      <c r="DDK8" s="87"/>
      <c r="DDL8" s="87"/>
      <c r="DDM8" s="87"/>
      <c r="DDN8" s="87"/>
      <c r="DDO8" s="87"/>
      <c r="DDP8" s="87"/>
      <c r="DDQ8" s="87"/>
      <c r="DDR8" s="87"/>
      <c r="DDS8" s="87"/>
      <c r="DDT8" s="87"/>
      <c r="DDU8" s="87"/>
      <c r="DDV8" s="87"/>
      <c r="DDW8" s="87"/>
      <c r="DDX8" s="87"/>
      <c r="DDY8" s="87"/>
      <c r="DDZ8" s="87"/>
      <c r="DEA8" s="87"/>
      <c r="DEB8" s="87"/>
      <c r="DEC8" s="87"/>
      <c r="DED8" s="87"/>
      <c r="DEE8" s="87"/>
      <c r="DEF8" s="87"/>
      <c r="DEG8" s="87"/>
      <c r="DEH8" s="87"/>
      <c r="DEI8" s="87"/>
      <c r="DEJ8" s="87"/>
      <c r="DEK8" s="87"/>
      <c r="DEL8" s="87"/>
      <c r="DEM8" s="87"/>
      <c r="DEN8" s="87"/>
      <c r="DEO8" s="87"/>
      <c r="DEP8" s="87"/>
      <c r="DEQ8" s="87"/>
      <c r="DER8" s="87"/>
      <c r="DES8" s="87"/>
      <c r="DET8" s="87"/>
      <c r="DEU8" s="87"/>
      <c r="DEV8" s="87"/>
      <c r="DEW8" s="87"/>
      <c r="DEX8" s="87"/>
      <c r="DEY8" s="87"/>
      <c r="DEZ8" s="87"/>
      <c r="DFA8" s="87"/>
      <c r="DFB8" s="87"/>
      <c r="DFC8" s="87"/>
      <c r="DFD8" s="87"/>
      <c r="DFE8" s="87"/>
      <c r="DFF8" s="87"/>
      <c r="DFG8" s="87"/>
      <c r="DFH8" s="87"/>
      <c r="DFI8" s="87"/>
      <c r="DFJ8" s="87"/>
      <c r="DFK8" s="87"/>
      <c r="DFL8" s="87"/>
      <c r="DFM8" s="87"/>
      <c r="DFN8" s="87"/>
      <c r="DFO8" s="87"/>
      <c r="DFP8" s="87"/>
      <c r="DFQ8" s="87"/>
      <c r="DFR8" s="87"/>
      <c r="DFS8" s="87"/>
      <c r="DFT8" s="87"/>
      <c r="DFU8" s="87"/>
      <c r="DFV8" s="87"/>
      <c r="DFW8" s="87"/>
      <c r="DFX8" s="87"/>
      <c r="DFY8" s="87"/>
      <c r="DFZ8" s="87"/>
      <c r="DGA8" s="87"/>
      <c r="DGB8" s="87"/>
      <c r="DGC8" s="87"/>
      <c r="DGD8" s="87"/>
      <c r="DGE8" s="87"/>
      <c r="DGF8" s="87"/>
      <c r="DGG8" s="87"/>
      <c r="DGH8" s="87"/>
      <c r="DGI8" s="87"/>
      <c r="DGJ8" s="87"/>
      <c r="DGK8" s="87"/>
      <c r="DGL8" s="87"/>
      <c r="DGM8" s="87"/>
      <c r="DGN8" s="87"/>
      <c r="DGO8" s="87"/>
      <c r="DGP8" s="87"/>
      <c r="DGQ8" s="87"/>
      <c r="DGR8" s="87"/>
      <c r="DGS8" s="87"/>
      <c r="DGT8" s="87"/>
      <c r="DGU8" s="87"/>
      <c r="DGV8" s="87"/>
      <c r="DGW8" s="87"/>
      <c r="DGX8" s="87"/>
      <c r="DGY8" s="87"/>
      <c r="DGZ8" s="87"/>
      <c r="DHA8" s="87"/>
      <c r="DHB8" s="87"/>
      <c r="DHC8" s="87"/>
      <c r="DHD8" s="87"/>
      <c r="DHE8" s="87"/>
      <c r="DHF8" s="87"/>
      <c r="DHG8" s="87"/>
      <c r="DHH8" s="87"/>
      <c r="DHI8" s="87"/>
      <c r="DHJ8" s="87"/>
      <c r="DHK8" s="87"/>
      <c r="DHL8" s="87"/>
      <c r="DHM8" s="87"/>
      <c r="DHN8" s="87"/>
      <c r="DHO8" s="87"/>
      <c r="DHP8" s="87"/>
      <c r="DHQ8" s="87"/>
      <c r="DHR8" s="87"/>
      <c r="DHS8" s="87"/>
      <c r="DHT8" s="87"/>
      <c r="DHU8" s="87"/>
      <c r="DHV8" s="87"/>
      <c r="DHW8" s="87"/>
      <c r="DHX8" s="87"/>
      <c r="DHY8" s="87"/>
      <c r="DHZ8" s="87"/>
      <c r="DIA8" s="87"/>
      <c r="DIB8" s="87"/>
      <c r="DIC8" s="87"/>
      <c r="DID8" s="87"/>
      <c r="DIE8" s="87"/>
      <c r="DIF8" s="87"/>
      <c r="DIG8" s="87"/>
      <c r="DIH8" s="87"/>
      <c r="DII8" s="87"/>
      <c r="DIJ8" s="87"/>
      <c r="DIK8" s="87"/>
      <c r="DIL8" s="87"/>
      <c r="DIM8" s="87"/>
      <c r="DIN8" s="87"/>
      <c r="DIO8" s="87"/>
      <c r="DIP8" s="87"/>
      <c r="DIQ8" s="87"/>
      <c r="DIR8" s="87"/>
      <c r="DIS8" s="87"/>
      <c r="DIT8" s="87"/>
      <c r="DIU8" s="87"/>
      <c r="DIV8" s="87"/>
      <c r="DIW8" s="87"/>
      <c r="DIX8" s="87"/>
      <c r="DIY8" s="87"/>
      <c r="DIZ8" s="87"/>
      <c r="DJA8" s="87"/>
      <c r="DJB8" s="87"/>
      <c r="DJC8" s="87"/>
      <c r="DJD8" s="87"/>
      <c r="DJE8" s="87"/>
      <c r="DJF8" s="87"/>
      <c r="DJG8" s="87"/>
      <c r="DJH8" s="87"/>
      <c r="DJI8" s="87"/>
      <c r="DJJ8" s="87"/>
      <c r="DJK8" s="87"/>
      <c r="DJL8" s="87"/>
      <c r="DJM8" s="87"/>
      <c r="DJN8" s="87"/>
      <c r="DJO8" s="87"/>
      <c r="DJP8" s="87"/>
      <c r="DJQ8" s="87"/>
      <c r="DJR8" s="87"/>
      <c r="DJS8" s="87"/>
      <c r="DJT8" s="87"/>
      <c r="DJU8" s="87"/>
      <c r="DJV8" s="87"/>
      <c r="DJW8" s="87"/>
      <c r="DJX8" s="87"/>
      <c r="DJY8" s="87"/>
      <c r="DJZ8" s="87"/>
      <c r="DKA8" s="87"/>
      <c r="DKB8" s="87"/>
      <c r="DKC8" s="87"/>
      <c r="DKD8" s="87"/>
      <c r="DKE8" s="87"/>
      <c r="DKF8" s="87"/>
      <c r="DKG8" s="87"/>
      <c r="DKH8" s="87"/>
      <c r="DKI8" s="87"/>
      <c r="DKJ8" s="87"/>
      <c r="DKK8" s="87"/>
      <c r="DKL8" s="87"/>
      <c r="DKM8" s="87"/>
      <c r="DKN8" s="87"/>
      <c r="DKO8" s="87"/>
      <c r="DKP8" s="87"/>
      <c r="DKQ8" s="87"/>
      <c r="DKR8" s="87"/>
      <c r="DKS8" s="87"/>
      <c r="DKT8" s="87"/>
      <c r="DKU8" s="87"/>
      <c r="DKV8" s="87"/>
      <c r="DKW8" s="87"/>
      <c r="DKX8" s="87"/>
      <c r="DKY8" s="87"/>
      <c r="DKZ8" s="87"/>
      <c r="DLA8" s="87"/>
      <c r="DLB8" s="87"/>
      <c r="DLC8" s="87"/>
      <c r="DLD8" s="87"/>
      <c r="DLE8" s="87"/>
      <c r="DLF8" s="87"/>
      <c r="DLG8" s="87"/>
      <c r="DLH8" s="87"/>
      <c r="DLI8" s="87"/>
      <c r="DLJ8" s="87"/>
      <c r="DLK8" s="87"/>
      <c r="DLL8" s="87"/>
      <c r="DLM8" s="87"/>
      <c r="DLN8" s="87"/>
      <c r="DLO8" s="87"/>
      <c r="DLP8" s="87"/>
      <c r="DLQ8" s="87"/>
      <c r="DLR8" s="87"/>
      <c r="DLS8" s="87"/>
      <c r="DLT8" s="87"/>
      <c r="DLU8" s="87"/>
      <c r="DLV8" s="87"/>
      <c r="DLW8" s="87"/>
      <c r="DLX8" s="87"/>
      <c r="DLY8" s="87"/>
      <c r="DLZ8" s="87"/>
      <c r="DMA8" s="87"/>
      <c r="DMB8" s="87"/>
      <c r="DMC8" s="87"/>
      <c r="DMD8" s="87"/>
      <c r="DME8" s="87"/>
      <c r="DMF8" s="87"/>
      <c r="DMG8" s="87"/>
      <c r="DMH8" s="87"/>
      <c r="DMI8" s="87"/>
      <c r="DMJ8" s="87"/>
      <c r="DMK8" s="87"/>
      <c r="DML8" s="87"/>
      <c r="DMM8" s="87"/>
      <c r="DMN8" s="87"/>
      <c r="DMO8" s="87"/>
      <c r="DMP8" s="87"/>
      <c r="DMQ8" s="87"/>
      <c r="DMR8" s="87"/>
      <c r="DMS8" s="87"/>
      <c r="DMT8" s="87"/>
      <c r="DMU8" s="87"/>
      <c r="DMV8" s="87"/>
      <c r="DMW8" s="87"/>
      <c r="DMX8" s="87"/>
      <c r="DMY8" s="87"/>
      <c r="DMZ8" s="87"/>
      <c r="DNA8" s="87"/>
      <c r="DNB8" s="87"/>
      <c r="DNC8" s="87"/>
      <c r="DND8" s="87"/>
      <c r="DNE8" s="87"/>
      <c r="DNF8" s="87"/>
      <c r="DNG8" s="87"/>
      <c r="DNH8" s="87"/>
      <c r="DNI8" s="87"/>
      <c r="DNJ8" s="87"/>
      <c r="DNK8" s="87"/>
      <c r="DNL8" s="87"/>
      <c r="DNM8" s="87"/>
      <c r="DNN8" s="87"/>
      <c r="DNO8" s="87"/>
      <c r="DNP8" s="87"/>
      <c r="DNQ8" s="87"/>
      <c r="DNR8" s="87"/>
      <c r="DNS8" s="87"/>
      <c r="DNT8" s="87"/>
      <c r="DNU8" s="87"/>
      <c r="DNV8" s="87"/>
      <c r="DNW8" s="87"/>
      <c r="DNX8" s="87"/>
      <c r="DNY8" s="87"/>
      <c r="DNZ8" s="87"/>
      <c r="DOA8" s="87"/>
      <c r="DOB8" s="87"/>
      <c r="DOC8" s="87"/>
      <c r="DOD8" s="87"/>
      <c r="DOE8" s="87"/>
      <c r="DOF8" s="87"/>
      <c r="DOG8" s="87"/>
      <c r="DOH8" s="87"/>
      <c r="DOI8" s="87"/>
      <c r="DOJ8" s="87"/>
      <c r="DOK8" s="87"/>
      <c r="DOL8" s="87"/>
      <c r="DOM8" s="87"/>
      <c r="DON8" s="87"/>
      <c r="DOO8" s="87"/>
      <c r="DOP8" s="87"/>
      <c r="DOQ8" s="87"/>
      <c r="DOR8" s="87"/>
      <c r="DOS8" s="87"/>
      <c r="DOT8" s="87"/>
      <c r="DOU8" s="87"/>
      <c r="DOV8" s="87"/>
      <c r="DOW8" s="87"/>
      <c r="DOX8" s="87"/>
      <c r="DOY8" s="87"/>
      <c r="DOZ8" s="87"/>
      <c r="DPA8" s="87"/>
      <c r="DPB8" s="87"/>
      <c r="DPC8" s="87"/>
      <c r="DPD8" s="87"/>
      <c r="DPE8" s="87"/>
      <c r="DPF8" s="87"/>
      <c r="DPG8" s="87"/>
      <c r="DPH8" s="87"/>
      <c r="DPI8" s="87"/>
      <c r="DPJ8" s="87"/>
      <c r="DPK8" s="87"/>
      <c r="DPL8" s="87"/>
      <c r="DPM8" s="87"/>
      <c r="DPN8" s="87"/>
      <c r="DPO8" s="87"/>
      <c r="DPP8" s="87"/>
      <c r="DPQ8" s="87"/>
      <c r="DPR8" s="87"/>
      <c r="DPS8" s="87"/>
      <c r="DPT8" s="87"/>
      <c r="DPU8" s="87"/>
      <c r="DPV8" s="87"/>
      <c r="DPW8" s="87"/>
      <c r="DPX8" s="87"/>
      <c r="DPY8" s="87"/>
      <c r="DPZ8" s="87"/>
      <c r="DQA8" s="87"/>
      <c r="DQB8" s="87"/>
      <c r="DQC8" s="87"/>
      <c r="DQD8" s="87"/>
      <c r="DQE8" s="87"/>
      <c r="DQF8" s="87"/>
      <c r="DQG8" s="87"/>
      <c r="DQH8" s="87"/>
      <c r="DQI8" s="87"/>
      <c r="DQJ8" s="87"/>
      <c r="DQK8" s="87"/>
      <c r="DQL8" s="87"/>
      <c r="DQM8" s="87"/>
      <c r="DQN8" s="87"/>
      <c r="DQO8" s="87"/>
      <c r="DQP8" s="87"/>
      <c r="DQQ8" s="87"/>
      <c r="DQR8" s="87"/>
      <c r="DQS8" s="87"/>
      <c r="DQT8" s="87"/>
      <c r="DQU8" s="87"/>
      <c r="DQV8" s="87"/>
      <c r="DQW8" s="87"/>
      <c r="DQX8" s="87"/>
      <c r="DQY8" s="87"/>
      <c r="DQZ8" s="87"/>
      <c r="DRA8" s="87"/>
      <c r="DRB8" s="87"/>
      <c r="DRC8" s="87"/>
      <c r="DRD8" s="87"/>
      <c r="DRE8" s="87"/>
      <c r="DRF8" s="87"/>
      <c r="DRG8" s="87"/>
      <c r="DRH8" s="87"/>
      <c r="DRI8" s="87"/>
      <c r="DRJ8" s="87"/>
      <c r="DRK8" s="87"/>
      <c r="DRL8" s="87"/>
      <c r="DRM8" s="87"/>
      <c r="DRN8" s="87"/>
      <c r="DRO8" s="87"/>
      <c r="DRP8" s="87"/>
      <c r="DRQ8" s="87"/>
      <c r="DRR8" s="87"/>
      <c r="DRS8" s="87"/>
      <c r="DRT8" s="87"/>
      <c r="DRU8" s="87"/>
      <c r="DRV8" s="87"/>
      <c r="DRW8" s="87"/>
      <c r="DRX8" s="87"/>
      <c r="DRY8" s="87"/>
      <c r="DRZ8" s="87"/>
      <c r="DSA8" s="87"/>
      <c r="DSB8" s="87"/>
      <c r="DSC8" s="87"/>
      <c r="DSD8" s="87"/>
      <c r="DSE8" s="87"/>
      <c r="DSF8" s="87"/>
      <c r="DSG8" s="87"/>
      <c r="DSH8" s="87"/>
      <c r="DSI8" s="87"/>
      <c r="DSJ8" s="87"/>
      <c r="DSK8" s="87"/>
      <c r="DSL8" s="87"/>
      <c r="DSM8" s="87"/>
      <c r="DSN8" s="87"/>
      <c r="DSO8" s="87"/>
      <c r="DSP8" s="87"/>
      <c r="DSQ8" s="87"/>
      <c r="DSR8" s="87"/>
      <c r="DSS8" s="87"/>
      <c r="DST8" s="87"/>
      <c r="DSU8" s="87"/>
      <c r="DSV8" s="87"/>
      <c r="DSW8" s="87"/>
      <c r="DSX8" s="87"/>
      <c r="DSY8" s="87"/>
      <c r="DSZ8" s="87"/>
      <c r="DTA8" s="87"/>
      <c r="DTB8" s="87"/>
      <c r="DTC8" s="87"/>
      <c r="DTD8" s="87"/>
      <c r="DTE8" s="87"/>
      <c r="DTF8" s="87"/>
      <c r="DTG8" s="87"/>
      <c r="DTH8" s="87"/>
      <c r="DTI8" s="87"/>
      <c r="DTJ8" s="87"/>
      <c r="DTK8" s="87"/>
      <c r="DTL8" s="87"/>
      <c r="DTM8" s="87"/>
      <c r="DTN8" s="87"/>
      <c r="DTO8" s="87"/>
      <c r="DTP8" s="87"/>
      <c r="DTQ8" s="87"/>
      <c r="DTR8" s="87"/>
      <c r="DTS8" s="87"/>
      <c r="DTT8" s="87"/>
      <c r="DTU8" s="87"/>
      <c r="DTV8" s="87"/>
      <c r="DTW8" s="87"/>
      <c r="DTX8" s="87"/>
      <c r="DTY8" s="87"/>
      <c r="DTZ8" s="87"/>
      <c r="DUA8" s="87"/>
      <c r="DUB8" s="87"/>
      <c r="DUC8" s="87"/>
      <c r="DUD8" s="87"/>
      <c r="DUE8" s="87"/>
      <c r="DUF8" s="87"/>
      <c r="DUG8" s="87"/>
      <c r="DUH8" s="87"/>
      <c r="DUI8" s="87"/>
      <c r="DUJ8" s="87"/>
      <c r="DUK8" s="87"/>
      <c r="DUL8" s="87"/>
      <c r="DUM8" s="87"/>
      <c r="DUN8" s="87"/>
      <c r="DUO8" s="87"/>
      <c r="DUP8" s="87"/>
      <c r="DUQ8" s="87"/>
      <c r="DUR8" s="87"/>
      <c r="DUS8" s="87"/>
      <c r="DUT8" s="87"/>
      <c r="DUU8" s="87"/>
      <c r="DUV8" s="87"/>
      <c r="DUW8" s="87"/>
      <c r="DUX8" s="87"/>
      <c r="DUY8" s="87"/>
      <c r="DUZ8" s="87"/>
      <c r="DVA8" s="87"/>
      <c r="DVB8" s="87"/>
      <c r="DVC8" s="87"/>
      <c r="DVD8" s="87"/>
      <c r="DVE8" s="87"/>
      <c r="DVF8" s="87"/>
      <c r="DVG8" s="87"/>
      <c r="DVH8" s="87"/>
      <c r="DVI8" s="87"/>
      <c r="DVJ8" s="87"/>
      <c r="DVK8" s="87"/>
      <c r="DVL8" s="87"/>
      <c r="DVM8" s="87"/>
      <c r="DVN8" s="87"/>
      <c r="DVO8" s="87"/>
      <c r="DVP8" s="87"/>
      <c r="DVQ8" s="87"/>
      <c r="DVR8" s="87"/>
      <c r="DVS8" s="87"/>
      <c r="DVT8" s="87"/>
      <c r="DVU8" s="87"/>
      <c r="DVV8" s="87"/>
      <c r="DVW8" s="87"/>
      <c r="DVX8" s="87"/>
      <c r="DVY8" s="87"/>
      <c r="DVZ8" s="87"/>
      <c r="DWA8" s="87"/>
      <c r="DWB8" s="87"/>
      <c r="DWC8" s="87"/>
      <c r="DWD8" s="87"/>
      <c r="DWE8" s="87"/>
      <c r="DWF8" s="87"/>
      <c r="DWG8" s="87"/>
      <c r="DWH8" s="87"/>
      <c r="DWI8" s="87"/>
      <c r="DWJ8" s="87"/>
      <c r="DWK8" s="87"/>
      <c r="DWL8" s="87"/>
      <c r="DWM8" s="87"/>
      <c r="DWN8" s="87"/>
      <c r="DWO8" s="87"/>
      <c r="DWP8" s="87"/>
      <c r="DWQ8" s="87"/>
      <c r="DWR8" s="87"/>
      <c r="DWS8" s="87"/>
      <c r="DWT8" s="87"/>
      <c r="DWU8" s="87"/>
      <c r="DWV8" s="87"/>
      <c r="DWW8" s="87"/>
      <c r="DWX8" s="87"/>
      <c r="DWY8" s="87"/>
      <c r="DWZ8" s="87"/>
      <c r="DXA8" s="87"/>
      <c r="DXB8" s="87"/>
      <c r="DXC8" s="87"/>
      <c r="DXD8" s="87"/>
      <c r="DXE8" s="87"/>
      <c r="DXF8" s="87"/>
      <c r="DXG8" s="87"/>
      <c r="DXH8" s="87"/>
      <c r="DXI8" s="87"/>
      <c r="DXJ8" s="87"/>
      <c r="DXK8" s="87"/>
      <c r="DXL8" s="87"/>
      <c r="DXM8" s="87"/>
      <c r="DXN8" s="87"/>
      <c r="DXO8" s="87"/>
      <c r="DXP8" s="87"/>
      <c r="DXQ8" s="87"/>
      <c r="DXR8" s="87"/>
      <c r="DXS8" s="87"/>
      <c r="DXT8" s="87"/>
      <c r="DXU8" s="87"/>
      <c r="DXV8" s="87"/>
      <c r="DXW8" s="87"/>
      <c r="DXX8" s="87"/>
      <c r="DXY8" s="87"/>
      <c r="DXZ8" s="87"/>
      <c r="DYA8" s="87"/>
      <c r="DYB8" s="87"/>
      <c r="DYC8" s="87"/>
      <c r="DYD8" s="87"/>
      <c r="DYE8" s="87"/>
      <c r="DYF8" s="87"/>
      <c r="DYG8" s="87"/>
      <c r="DYH8" s="87"/>
      <c r="DYI8" s="87"/>
      <c r="DYJ8" s="87"/>
      <c r="DYK8" s="87"/>
      <c r="DYL8" s="87"/>
      <c r="DYM8" s="87"/>
      <c r="DYN8" s="87"/>
      <c r="DYO8" s="87"/>
      <c r="DYP8" s="87"/>
      <c r="DYQ8" s="87"/>
      <c r="DYR8" s="87"/>
      <c r="DYS8" s="87"/>
      <c r="DYT8" s="87"/>
      <c r="DYU8" s="87"/>
      <c r="DYV8" s="87"/>
      <c r="DYW8" s="87"/>
      <c r="DYX8" s="87"/>
      <c r="DYY8" s="87"/>
      <c r="DYZ8" s="87"/>
      <c r="DZA8" s="87"/>
      <c r="DZB8" s="87"/>
      <c r="DZC8" s="87"/>
      <c r="DZD8" s="87"/>
      <c r="DZE8" s="87"/>
      <c r="DZF8" s="87"/>
      <c r="DZG8" s="87"/>
      <c r="DZH8" s="87"/>
      <c r="DZI8" s="87"/>
      <c r="DZJ8" s="87"/>
      <c r="DZK8" s="87"/>
      <c r="DZL8" s="87"/>
      <c r="DZM8" s="87"/>
      <c r="DZN8" s="87"/>
      <c r="DZO8" s="87"/>
      <c r="DZP8" s="87"/>
      <c r="DZQ8" s="87"/>
      <c r="DZR8" s="87"/>
      <c r="DZS8" s="87"/>
      <c r="DZT8" s="87"/>
      <c r="DZU8" s="87"/>
      <c r="DZV8" s="87"/>
      <c r="DZW8" s="87"/>
      <c r="DZX8" s="87"/>
      <c r="DZY8" s="87"/>
      <c r="DZZ8" s="87"/>
      <c r="EAA8" s="87"/>
      <c r="EAB8" s="87"/>
      <c r="EAC8" s="87"/>
      <c r="EAD8" s="87"/>
      <c r="EAE8" s="87"/>
      <c r="EAF8" s="87"/>
      <c r="EAG8" s="87"/>
      <c r="EAH8" s="87"/>
      <c r="EAI8" s="87"/>
      <c r="EAJ8" s="87"/>
      <c r="EAK8" s="87"/>
      <c r="EAL8" s="87"/>
      <c r="EAM8" s="87"/>
      <c r="EAN8" s="87"/>
      <c r="EAO8" s="87"/>
      <c r="EAP8" s="87"/>
      <c r="EAQ8" s="87"/>
      <c r="EAR8" s="87"/>
      <c r="EAS8" s="87"/>
      <c r="EAT8" s="87"/>
      <c r="EAU8" s="87"/>
      <c r="EAV8" s="87"/>
      <c r="EAW8" s="87"/>
      <c r="EAX8" s="87"/>
      <c r="EAY8" s="87"/>
      <c r="EAZ8" s="87"/>
      <c r="EBA8" s="87"/>
      <c r="EBB8" s="87"/>
      <c r="EBC8" s="87"/>
      <c r="EBD8" s="87"/>
      <c r="EBE8" s="87"/>
      <c r="EBF8" s="87"/>
      <c r="EBG8" s="87"/>
      <c r="EBH8" s="87"/>
      <c r="EBI8" s="87"/>
      <c r="EBJ8" s="87"/>
      <c r="EBK8" s="87"/>
      <c r="EBL8" s="87"/>
      <c r="EBM8" s="87"/>
      <c r="EBN8" s="87"/>
      <c r="EBO8" s="87"/>
      <c r="EBP8" s="87"/>
      <c r="EBQ8" s="87"/>
      <c r="EBR8" s="87"/>
      <c r="EBS8" s="87"/>
      <c r="EBT8" s="87"/>
      <c r="EBU8" s="87"/>
      <c r="EBV8" s="87"/>
      <c r="EBW8" s="87"/>
      <c r="EBX8" s="87"/>
      <c r="EBY8" s="87"/>
      <c r="EBZ8" s="87"/>
      <c r="ECA8" s="87"/>
      <c r="ECB8" s="87"/>
      <c r="ECC8" s="87"/>
      <c r="ECD8" s="87"/>
      <c r="ECE8" s="87"/>
      <c r="ECF8" s="87"/>
      <c r="ECG8" s="87"/>
      <c r="ECH8" s="87"/>
      <c r="ECI8" s="87"/>
      <c r="ECJ8" s="87"/>
      <c r="ECK8" s="87"/>
      <c r="ECL8" s="87"/>
      <c r="ECM8" s="87"/>
      <c r="ECN8" s="87"/>
      <c r="ECO8" s="87"/>
      <c r="ECP8" s="87"/>
      <c r="ECQ8" s="87"/>
      <c r="ECR8" s="87"/>
      <c r="ECS8" s="87"/>
      <c r="ECT8" s="87"/>
      <c r="ECU8" s="87"/>
      <c r="ECV8" s="87"/>
      <c r="ECW8" s="87"/>
      <c r="ECX8" s="87"/>
      <c r="ECY8" s="87"/>
      <c r="ECZ8" s="87"/>
      <c r="EDA8" s="87"/>
      <c r="EDB8" s="87"/>
      <c r="EDC8" s="87"/>
      <c r="EDD8" s="87"/>
      <c r="EDE8" s="87"/>
      <c r="EDF8" s="87"/>
      <c r="EDG8" s="87"/>
      <c r="EDH8" s="87"/>
      <c r="EDI8" s="87"/>
      <c r="EDJ8" s="87"/>
      <c r="EDK8" s="87"/>
      <c r="EDL8" s="87"/>
      <c r="EDM8" s="87"/>
      <c r="EDN8" s="87"/>
      <c r="EDO8" s="87"/>
      <c r="EDP8" s="87"/>
      <c r="EDQ8" s="87"/>
      <c r="EDR8" s="87"/>
      <c r="EDS8" s="87"/>
      <c r="EDT8" s="87"/>
      <c r="EDU8" s="87"/>
      <c r="EDV8" s="87"/>
      <c r="EDW8" s="87"/>
      <c r="EDX8" s="87"/>
      <c r="EDY8" s="87"/>
      <c r="EDZ8" s="87"/>
      <c r="EEA8" s="87"/>
      <c r="EEB8" s="87"/>
      <c r="EEC8" s="87"/>
      <c r="EED8" s="87"/>
      <c r="EEE8" s="87"/>
      <c r="EEF8" s="87"/>
      <c r="EEG8" s="87"/>
      <c r="EEH8" s="87"/>
      <c r="EEI8" s="87"/>
      <c r="EEJ8" s="87"/>
      <c r="EEK8" s="87"/>
      <c r="EEL8" s="87"/>
      <c r="EEM8" s="87"/>
      <c r="EEN8" s="87"/>
      <c r="EEO8" s="87"/>
      <c r="EEP8" s="87"/>
      <c r="EEQ8" s="87"/>
      <c r="EER8" s="87"/>
      <c r="EES8" s="87"/>
      <c r="EET8" s="87"/>
      <c r="EEU8" s="87"/>
      <c r="EEV8" s="87"/>
      <c r="EEW8" s="87"/>
      <c r="EEX8" s="87"/>
      <c r="EEY8" s="87"/>
      <c r="EEZ8" s="87"/>
      <c r="EFA8" s="87"/>
      <c r="EFB8" s="87"/>
      <c r="EFC8" s="87"/>
      <c r="EFD8" s="87"/>
      <c r="EFE8" s="87"/>
      <c r="EFF8" s="87"/>
      <c r="EFG8" s="87"/>
      <c r="EFH8" s="87"/>
      <c r="EFI8" s="87"/>
      <c r="EFJ8" s="87"/>
      <c r="EFK8" s="87"/>
      <c r="EFL8" s="87"/>
      <c r="EFM8" s="87"/>
      <c r="EFN8" s="87"/>
      <c r="EFO8" s="87"/>
      <c r="EFP8" s="87"/>
      <c r="EFQ8" s="87"/>
      <c r="EFR8" s="87"/>
      <c r="EFS8" s="87"/>
      <c r="EFT8" s="87"/>
      <c r="EFU8" s="87"/>
      <c r="EFV8" s="87"/>
      <c r="EFW8" s="87"/>
      <c r="EFX8" s="87"/>
      <c r="EFY8" s="87"/>
      <c r="EFZ8" s="87"/>
      <c r="EGA8" s="87"/>
      <c r="EGB8" s="87"/>
      <c r="EGC8" s="87"/>
      <c r="EGD8" s="87"/>
      <c r="EGE8" s="87"/>
      <c r="EGF8" s="87"/>
      <c r="EGG8" s="87"/>
      <c r="EGH8" s="87"/>
      <c r="EGI8" s="87"/>
      <c r="EGJ8" s="87"/>
      <c r="EGK8" s="87"/>
      <c r="EGL8" s="87"/>
      <c r="EGM8" s="87"/>
      <c r="EGN8" s="87"/>
      <c r="EGO8" s="87"/>
      <c r="EGP8" s="87"/>
      <c r="EGQ8" s="87"/>
      <c r="EGR8" s="87"/>
      <c r="EGS8" s="87"/>
      <c r="EGT8" s="87"/>
      <c r="EGU8" s="87"/>
      <c r="EGV8" s="87"/>
      <c r="EGW8" s="87"/>
      <c r="EGX8" s="87"/>
      <c r="EGY8" s="87"/>
      <c r="EGZ8" s="87"/>
      <c r="EHA8" s="87"/>
      <c r="EHB8" s="87"/>
      <c r="EHC8" s="87"/>
      <c r="EHD8" s="87"/>
      <c r="EHE8" s="87"/>
      <c r="EHF8" s="87"/>
      <c r="EHG8" s="87"/>
      <c r="EHH8" s="87"/>
      <c r="EHI8" s="87"/>
      <c r="EHJ8" s="87"/>
      <c r="EHK8" s="87"/>
      <c r="EHL8" s="87"/>
      <c r="EHM8" s="87"/>
      <c r="EHN8" s="87"/>
      <c r="EHO8" s="87"/>
      <c r="EHP8" s="87"/>
      <c r="EHQ8" s="87"/>
      <c r="EHR8" s="87"/>
      <c r="EHS8" s="87"/>
      <c r="EHT8" s="87"/>
      <c r="EHU8" s="87"/>
      <c r="EHV8" s="87"/>
      <c r="EHW8" s="87"/>
      <c r="EHX8" s="87"/>
      <c r="EHY8" s="87"/>
      <c r="EHZ8" s="87"/>
      <c r="EIA8" s="87"/>
      <c r="EIB8" s="87"/>
      <c r="EIC8" s="87"/>
      <c r="EID8" s="87"/>
      <c r="EIE8" s="87"/>
      <c r="EIF8" s="87"/>
      <c r="EIG8" s="87"/>
      <c r="EIH8" s="87"/>
      <c r="EII8" s="87"/>
      <c r="EIJ8" s="87"/>
      <c r="EIK8" s="87"/>
      <c r="EIL8" s="87"/>
      <c r="EIM8" s="87"/>
      <c r="EIN8" s="87"/>
      <c r="EIO8" s="87"/>
      <c r="EIP8" s="87"/>
      <c r="EIQ8" s="87"/>
      <c r="EIR8" s="87"/>
      <c r="EIS8" s="87"/>
      <c r="EIT8" s="87"/>
      <c r="EIU8" s="87"/>
      <c r="EIV8" s="87"/>
      <c r="EIW8" s="87"/>
      <c r="EIX8" s="87"/>
      <c r="EIY8" s="87"/>
      <c r="EIZ8" s="87"/>
      <c r="EJA8" s="87"/>
      <c r="EJB8" s="87"/>
      <c r="EJC8" s="87"/>
      <c r="EJD8" s="87"/>
      <c r="EJE8" s="87"/>
      <c r="EJF8" s="87"/>
      <c r="EJG8" s="87"/>
      <c r="EJH8" s="87"/>
      <c r="EJI8" s="87"/>
      <c r="EJJ8" s="87"/>
      <c r="EJK8" s="87"/>
      <c r="EJL8" s="87"/>
      <c r="EJM8" s="87"/>
      <c r="EJN8" s="87"/>
      <c r="EJO8" s="87"/>
      <c r="EJP8" s="87"/>
      <c r="EJQ8" s="87"/>
      <c r="EJR8" s="87"/>
      <c r="EJS8" s="87"/>
      <c r="EJT8" s="87"/>
      <c r="EJU8" s="87"/>
      <c r="EJV8" s="87"/>
      <c r="EJW8" s="87"/>
      <c r="EJX8" s="87"/>
      <c r="EJY8" s="87"/>
      <c r="EJZ8" s="87"/>
      <c r="EKA8" s="87"/>
      <c r="EKB8" s="87"/>
      <c r="EKC8" s="87"/>
      <c r="EKD8" s="87"/>
      <c r="EKE8" s="87"/>
      <c r="EKF8" s="87"/>
      <c r="EKG8" s="87"/>
      <c r="EKH8" s="87"/>
      <c r="EKI8" s="87"/>
      <c r="EKJ8" s="87"/>
      <c r="EKK8" s="87"/>
      <c r="EKL8" s="87"/>
      <c r="EKM8" s="87"/>
      <c r="EKN8" s="87"/>
      <c r="EKO8" s="87"/>
      <c r="EKP8" s="87"/>
      <c r="EKQ8" s="87"/>
      <c r="EKR8" s="87"/>
      <c r="EKS8" s="87"/>
      <c r="EKT8" s="87"/>
      <c r="EKU8" s="87"/>
      <c r="EKV8" s="87"/>
      <c r="EKW8" s="87"/>
      <c r="EKX8" s="87"/>
      <c r="EKY8" s="87"/>
      <c r="EKZ8" s="87"/>
      <c r="ELA8" s="87"/>
      <c r="ELB8" s="87"/>
      <c r="ELC8" s="87"/>
      <c r="ELD8" s="87"/>
      <c r="ELE8" s="87"/>
      <c r="ELF8" s="87"/>
      <c r="ELG8" s="87"/>
      <c r="ELH8" s="87"/>
      <c r="ELI8" s="87"/>
      <c r="ELJ8" s="87"/>
      <c r="ELK8" s="87"/>
      <c r="ELL8" s="87"/>
      <c r="ELM8" s="87"/>
      <c r="ELN8" s="87"/>
      <c r="ELO8" s="87"/>
      <c r="ELP8" s="87"/>
      <c r="ELQ8" s="87"/>
      <c r="ELR8" s="87"/>
      <c r="ELS8" s="87"/>
      <c r="ELT8" s="87"/>
      <c r="ELU8" s="87"/>
      <c r="ELV8" s="87"/>
      <c r="ELW8" s="87"/>
      <c r="ELX8" s="87"/>
      <c r="ELY8" s="87"/>
      <c r="ELZ8" s="87"/>
      <c r="EMA8" s="87"/>
      <c r="EMB8" s="87"/>
      <c r="EMC8" s="87"/>
      <c r="EMD8" s="87"/>
      <c r="EME8" s="87"/>
      <c r="EMF8" s="87"/>
      <c r="EMG8" s="87"/>
      <c r="EMH8" s="87"/>
      <c r="EMI8" s="87"/>
      <c r="EMJ8" s="87"/>
      <c r="EMK8" s="87"/>
      <c r="EML8" s="87"/>
      <c r="EMM8" s="87"/>
      <c r="EMN8" s="87"/>
      <c r="EMO8" s="87"/>
      <c r="EMP8" s="87"/>
      <c r="EMQ8" s="87"/>
      <c r="EMR8" s="87"/>
      <c r="EMS8" s="87"/>
      <c r="EMT8" s="87"/>
      <c r="EMU8" s="87"/>
      <c r="EMV8" s="87"/>
      <c r="EMW8" s="87"/>
      <c r="EMX8" s="87"/>
      <c r="EMY8" s="87"/>
      <c r="EMZ8" s="87"/>
      <c r="ENA8" s="87"/>
      <c r="ENB8" s="87"/>
      <c r="ENC8" s="87"/>
      <c r="END8" s="87"/>
      <c r="ENE8" s="87"/>
      <c r="ENF8" s="87"/>
      <c r="ENG8" s="87"/>
      <c r="ENH8" s="87"/>
      <c r="ENI8" s="87"/>
      <c r="ENJ8" s="87"/>
      <c r="ENK8" s="87"/>
      <c r="ENL8" s="87"/>
      <c r="ENM8" s="87"/>
      <c r="ENN8" s="87"/>
      <c r="ENO8" s="87"/>
      <c r="ENP8" s="87"/>
      <c r="ENQ8" s="87"/>
      <c r="ENR8" s="87"/>
      <c r="ENS8" s="87"/>
      <c r="ENT8" s="87"/>
      <c r="ENU8" s="87"/>
      <c r="ENV8" s="87"/>
      <c r="ENW8" s="87"/>
      <c r="ENX8" s="87"/>
      <c r="ENY8" s="87"/>
      <c r="ENZ8" s="87"/>
      <c r="EOA8" s="87"/>
      <c r="EOB8" s="87"/>
      <c r="EOC8" s="87"/>
      <c r="EOD8" s="87"/>
      <c r="EOE8" s="87"/>
      <c r="EOF8" s="87"/>
      <c r="EOG8" s="87"/>
      <c r="EOH8" s="87"/>
      <c r="EOI8" s="87"/>
      <c r="EOJ8" s="87"/>
      <c r="EOK8" s="87"/>
      <c r="EOL8" s="87"/>
      <c r="EOM8" s="87"/>
      <c r="EON8" s="87"/>
      <c r="EOO8" s="87"/>
      <c r="EOP8" s="87"/>
      <c r="EOQ8" s="87"/>
      <c r="EOR8" s="87"/>
      <c r="EOS8" s="87"/>
      <c r="EOT8" s="87"/>
      <c r="EOU8" s="87"/>
      <c r="EOV8" s="87"/>
      <c r="EOW8" s="87"/>
      <c r="EOX8" s="87"/>
      <c r="EOY8" s="87"/>
      <c r="EOZ8" s="87"/>
      <c r="EPA8" s="87"/>
      <c r="EPB8" s="87"/>
      <c r="EPC8" s="87"/>
      <c r="EPD8" s="87"/>
      <c r="EPE8" s="87"/>
      <c r="EPF8" s="87"/>
      <c r="EPG8" s="87"/>
      <c r="EPH8" s="87"/>
      <c r="EPI8" s="87"/>
      <c r="EPJ8" s="87"/>
      <c r="EPK8" s="87"/>
      <c r="EPL8" s="87"/>
      <c r="EPM8" s="87"/>
      <c r="EPN8" s="87"/>
      <c r="EPO8" s="87"/>
      <c r="EPP8" s="87"/>
      <c r="EPQ8" s="87"/>
      <c r="EPR8" s="87"/>
      <c r="EPS8" s="87"/>
      <c r="EPT8" s="87"/>
      <c r="EPU8" s="87"/>
      <c r="EPV8" s="87"/>
      <c r="EPW8" s="87"/>
      <c r="EPX8" s="87"/>
      <c r="EPY8" s="87"/>
      <c r="EPZ8" s="87"/>
      <c r="EQA8" s="87"/>
      <c r="EQB8" s="87"/>
      <c r="EQC8" s="87"/>
      <c r="EQD8" s="87"/>
      <c r="EQE8" s="87"/>
      <c r="EQF8" s="87"/>
      <c r="EQG8" s="87"/>
      <c r="EQH8" s="87"/>
      <c r="EQI8" s="87"/>
      <c r="EQJ8" s="87"/>
      <c r="EQK8" s="87"/>
      <c r="EQL8" s="87"/>
      <c r="EQM8" s="87"/>
      <c r="EQN8" s="87"/>
      <c r="EQO8" s="87"/>
      <c r="EQP8" s="87"/>
      <c r="EQQ8" s="87"/>
      <c r="EQR8" s="87"/>
      <c r="EQS8" s="87"/>
      <c r="EQT8" s="87"/>
      <c r="EQU8" s="87"/>
      <c r="EQV8" s="87"/>
      <c r="EQW8" s="87"/>
      <c r="EQX8" s="87"/>
      <c r="EQY8" s="87"/>
      <c r="EQZ8" s="87"/>
      <c r="ERA8" s="87"/>
      <c r="ERB8" s="87"/>
      <c r="ERC8" s="87"/>
      <c r="ERD8" s="87"/>
      <c r="ERE8" s="87"/>
      <c r="ERF8" s="87"/>
      <c r="ERG8" s="87"/>
      <c r="ERH8" s="87"/>
      <c r="ERI8" s="87"/>
      <c r="ERJ8" s="87"/>
      <c r="ERK8" s="87"/>
      <c r="ERL8" s="87"/>
      <c r="ERM8" s="87"/>
      <c r="ERN8" s="87"/>
      <c r="ERO8" s="87"/>
      <c r="ERP8" s="87"/>
      <c r="ERQ8" s="87"/>
      <c r="ERR8" s="87"/>
      <c r="ERS8" s="87"/>
      <c r="ERT8" s="87"/>
      <c r="ERU8" s="87"/>
      <c r="ERV8" s="87"/>
      <c r="ERW8" s="87"/>
      <c r="ERX8" s="87"/>
      <c r="ERY8" s="87"/>
      <c r="ERZ8" s="87"/>
      <c r="ESA8" s="87"/>
      <c r="ESB8" s="87"/>
      <c r="ESC8" s="87"/>
      <c r="ESD8" s="87"/>
      <c r="ESE8" s="87"/>
      <c r="ESF8" s="87"/>
      <c r="ESG8" s="87"/>
      <c r="ESH8" s="87"/>
      <c r="ESI8" s="87"/>
      <c r="ESJ8" s="87"/>
      <c r="ESK8" s="87"/>
      <c r="ESL8" s="87"/>
      <c r="ESM8" s="87"/>
      <c r="ESN8" s="87"/>
      <c r="ESO8" s="87"/>
      <c r="ESP8" s="87"/>
      <c r="ESQ8" s="87"/>
      <c r="ESR8" s="87"/>
      <c r="ESS8" s="87"/>
      <c r="EST8" s="87"/>
      <c r="ESU8" s="87"/>
      <c r="ESV8" s="87"/>
      <c r="ESW8" s="87"/>
      <c r="ESX8" s="87"/>
      <c r="ESY8" s="87"/>
      <c r="ESZ8" s="87"/>
      <c r="ETA8" s="87"/>
      <c r="ETB8" s="87"/>
      <c r="ETC8" s="87"/>
      <c r="ETD8" s="87"/>
      <c r="ETE8" s="87"/>
      <c r="ETF8" s="87"/>
      <c r="ETG8" s="87"/>
      <c r="ETH8" s="87"/>
      <c r="ETI8" s="87"/>
      <c r="ETJ8" s="87"/>
      <c r="ETK8" s="87"/>
      <c r="ETL8" s="87"/>
      <c r="ETM8" s="87"/>
      <c r="ETN8" s="87"/>
      <c r="ETO8" s="87"/>
      <c r="ETP8" s="87"/>
      <c r="ETQ8" s="87"/>
      <c r="ETR8" s="87"/>
      <c r="ETS8" s="87"/>
      <c r="ETT8" s="87"/>
      <c r="ETU8" s="87"/>
      <c r="ETV8" s="87"/>
      <c r="ETW8" s="87"/>
      <c r="ETX8" s="87"/>
      <c r="ETY8" s="87"/>
      <c r="ETZ8" s="87"/>
      <c r="EUA8" s="87"/>
      <c r="EUB8" s="87"/>
      <c r="EUC8" s="87"/>
      <c r="EUD8" s="87"/>
      <c r="EUE8" s="87"/>
      <c r="EUF8" s="87"/>
      <c r="EUG8" s="87"/>
      <c r="EUH8" s="87"/>
      <c r="EUI8" s="87"/>
      <c r="EUJ8" s="87"/>
      <c r="EUK8" s="87"/>
      <c r="EUL8" s="87"/>
      <c r="EUM8" s="87"/>
      <c r="EUN8" s="87"/>
      <c r="EUO8" s="87"/>
      <c r="EUP8" s="87"/>
      <c r="EUQ8" s="87"/>
      <c r="EUR8" s="87"/>
      <c r="EUS8" s="87"/>
      <c r="EUT8" s="87"/>
      <c r="EUU8" s="87"/>
      <c r="EUV8" s="87"/>
      <c r="EUW8" s="87"/>
      <c r="EUX8" s="87"/>
      <c r="EUY8" s="87"/>
      <c r="EUZ8" s="87"/>
      <c r="EVA8" s="87"/>
      <c r="EVB8" s="87"/>
      <c r="EVC8" s="87"/>
      <c r="EVD8" s="87"/>
      <c r="EVE8" s="87"/>
      <c r="EVF8" s="87"/>
      <c r="EVG8" s="87"/>
      <c r="EVH8" s="87"/>
      <c r="EVI8" s="87"/>
      <c r="EVJ8" s="87"/>
      <c r="EVK8" s="87"/>
      <c r="EVL8" s="87"/>
      <c r="EVM8" s="87"/>
      <c r="EVN8" s="87"/>
      <c r="EVO8" s="87"/>
      <c r="EVP8" s="87"/>
      <c r="EVQ8" s="87"/>
      <c r="EVR8" s="87"/>
      <c r="EVS8" s="87"/>
      <c r="EVT8" s="87"/>
      <c r="EVU8" s="87"/>
      <c r="EVV8" s="87"/>
      <c r="EVW8" s="87"/>
      <c r="EVX8" s="87"/>
      <c r="EVY8" s="87"/>
      <c r="EVZ8" s="87"/>
      <c r="EWA8" s="87"/>
      <c r="EWB8" s="87"/>
      <c r="EWC8" s="87"/>
      <c r="EWD8" s="87"/>
      <c r="EWE8" s="87"/>
      <c r="EWF8" s="87"/>
      <c r="EWG8" s="87"/>
      <c r="EWH8" s="87"/>
      <c r="EWI8" s="87"/>
      <c r="EWJ8" s="87"/>
      <c r="EWK8" s="87"/>
      <c r="EWL8" s="87"/>
      <c r="EWM8" s="87"/>
      <c r="EWN8" s="87"/>
      <c r="EWO8" s="87"/>
      <c r="EWP8" s="87"/>
      <c r="EWQ8" s="87"/>
      <c r="EWR8" s="87"/>
      <c r="EWS8" s="87"/>
      <c r="EWT8" s="87"/>
      <c r="EWU8" s="87"/>
      <c r="EWV8" s="87"/>
      <c r="EWW8" s="87"/>
      <c r="EWX8" s="87"/>
      <c r="EWY8" s="87"/>
      <c r="EWZ8" s="87"/>
      <c r="EXA8" s="87"/>
      <c r="EXB8" s="87"/>
      <c r="EXC8" s="87"/>
      <c r="EXD8" s="87"/>
      <c r="EXE8" s="87"/>
      <c r="EXF8" s="87"/>
      <c r="EXG8" s="87"/>
      <c r="EXH8" s="87"/>
      <c r="EXI8" s="87"/>
      <c r="EXJ8" s="87"/>
      <c r="EXK8" s="87"/>
      <c r="EXL8" s="87"/>
      <c r="EXM8" s="87"/>
      <c r="EXN8" s="87"/>
      <c r="EXO8" s="87"/>
      <c r="EXP8" s="87"/>
      <c r="EXQ8" s="87"/>
      <c r="EXR8" s="87"/>
      <c r="EXS8" s="87"/>
      <c r="EXT8" s="87"/>
      <c r="EXU8" s="87"/>
      <c r="EXV8" s="87"/>
      <c r="EXW8" s="87"/>
      <c r="EXX8" s="87"/>
      <c r="EXY8" s="87"/>
      <c r="EXZ8" s="87"/>
      <c r="EYA8" s="87"/>
      <c r="EYB8" s="87"/>
      <c r="EYC8" s="87"/>
      <c r="EYD8" s="87"/>
      <c r="EYE8" s="87"/>
      <c r="EYF8" s="87"/>
      <c r="EYG8" s="87"/>
      <c r="EYH8" s="87"/>
      <c r="EYI8" s="87"/>
      <c r="EYJ8" s="87"/>
      <c r="EYK8" s="87"/>
      <c r="EYL8" s="87"/>
      <c r="EYM8" s="87"/>
      <c r="EYN8" s="87"/>
      <c r="EYO8" s="87"/>
      <c r="EYP8" s="87"/>
      <c r="EYQ8" s="87"/>
      <c r="EYR8" s="87"/>
      <c r="EYS8" s="87"/>
      <c r="EYT8" s="87"/>
      <c r="EYU8" s="87"/>
      <c r="EYV8" s="87"/>
      <c r="EYW8" s="87"/>
      <c r="EYX8" s="87"/>
      <c r="EYY8" s="87"/>
      <c r="EYZ8" s="87"/>
      <c r="EZA8" s="87"/>
      <c r="EZB8" s="87"/>
      <c r="EZC8" s="87"/>
      <c r="EZD8" s="87"/>
      <c r="EZE8" s="87"/>
      <c r="EZF8" s="87"/>
      <c r="EZG8" s="87"/>
      <c r="EZH8" s="87"/>
      <c r="EZI8" s="87"/>
      <c r="EZJ8" s="87"/>
      <c r="EZK8" s="87"/>
      <c r="EZL8" s="87"/>
      <c r="EZM8" s="87"/>
      <c r="EZN8" s="87"/>
      <c r="EZO8" s="87"/>
      <c r="EZP8" s="87"/>
      <c r="EZQ8" s="87"/>
      <c r="EZR8" s="87"/>
      <c r="EZS8" s="87"/>
      <c r="EZT8" s="87"/>
      <c r="EZU8" s="87"/>
      <c r="EZV8" s="87"/>
      <c r="EZW8" s="87"/>
      <c r="EZX8" s="87"/>
      <c r="EZY8" s="87"/>
      <c r="EZZ8" s="87"/>
      <c r="FAA8" s="87"/>
      <c r="FAB8" s="87"/>
      <c r="FAC8" s="87"/>
      <c r="FAD8" s="87"/>
      <c r="FAE8" s="87"/>
      <c r="FAF8" s="87"/>
      <c r="FAG8" s="87"/>
      <c r="FAH8" s="87"/>
      <c r="FAI8" s="87"/>
      <c r="FAJ8" s="87"/>
      <c r="FAK8" s="87"/>
      <c r="FAL8" s="87"/>
      <c r="FAM8" s="87"/>
      <c r="FAN8" s="87"/>
      <c r="FAO8" s="87"/>
      <c r="FAP8" s="87"/>
      <c r="FAQ8" s="87"/>
      <c r="FAR8" s="87"/>
      <c r="FAS8" s="87"/>
      <c r="FAT8" s="87"/>
      <c r="FAU8" s="87"/>
      <c r="FAV8" s="87"/>
      <c r="FAW8" s="87"/>
      <c r="FAX8" s="87"/>
      <c r="FAY8" s="87"/>
      <c r="FAZ8" s="87"/>
      <c r="FBA8" s="87"/>
      <c r="FBB8" s="87"/>
      <c r="FBC8" s="87"/>
      <c r="FBD8" s="87"/>
      <c r="FBE8" s="87"/>
      <c r="FBF8" s="87"/>
      <c r="FBG8" s="87"/>
      <c r="FBH8" s="87"/>
      <c r="FBI8" s="87"/>
      <c r="FBJ8" s="87"/>
      <c r="FBK8" s="87"/>
      <c r="FBL8" s="87"/>
      <c r="FBM8" s="87"/>
      <c r="FBN8" s="87"/>
      <c r="FBO8" s="87"/>
      <c r="FBP8" s="87"/>
      <c r="FBQ8" s="87"/>
      <c r="FBR8" s="87"/>
      <c r="FBS8" s="87"/>
      <c r="FBT8" s="87"/>
      <c r="FBU8" s="87"/>
      <c r="FBV8" s="87"/>
      <c r="FBW8" s="87"/>
      <c r="FBX8" s="87"/>
      <c r="FBY8" s="87"/>
      <c r="FBZ8" s="87"/>
      <c r="FCA8" s="87"/>
      <c r="FCB8" s="87"/>
      <c r="FCC8" s="87"/>
      <c r="FCD8" s="87"/>
      <c r="FCE8" s="87"/>
      <c r="FCF8" s="87"/>
      <c r="FCG8" s="87"/>
      <c r="FCH8" s="87"/>
      <c r="FCI8" s="87"/>
      <c r="FCJ8" s="87"/>
      <c r="FCK8" s="87"/>
      <c r="FCL8" s="87"/>
      <c r="FCM8" s="87"/>
      <c r="FCN8" s="87"/>
      <c r="FCO8" s="87"/>
      <c r="FCP8" s="87"/>
      <c r="FCQ8" s="87"/>
      <c r="FCR8" s="87"/>
      <c r="FCS8" s="87"/>
      <c r="FCT8" s="87"/>
      <c r="FCU8" s="87"/>
      <c r="FCV8" s="87"/>
      <c r="FCW8" s="87"/>
      <c r="FCX8" s="87"/>
      <c r="FCY8" s="87"/>
      <c r="FCZ8" s="87"/>
      <c r="FDA8" s="87"/>
      <c r="FDB8" s="87"/>
      <c r="FDC8" s="87"/>
      <c r="FDD8" s="87"/>
      <c r="FDE8" s="87"/>
      <c r="FDF8" s="87"/>
      <c r="FDG8" s="87"/>
      <c r="FDH8" s="87"/>
      <c r="FDI8" s="87"/>
      <c r="FDJ8" s="87"/>
      <c r="FDK8" s="87"/>
      <c r="FDL8" s="87"/>
      <c r="FDM8" s="87"/>
      <c r="FDN8" s="87"/>
      <c r="FDO8" s="87"/>
      <c r="FDP8" s="87"/>
      <c r="FDQ8" s="87"/>
      <c r="FDR8" s="87"/>
      <c r="FDS8" s="87"/>
      <c r="FDT8" s="87"/>
      <c r="FDU8" s="87"/>
      <c r="FDV8" s="87"/>
      <c r="FDW8" s="87"/>
      <c r="FDX8" s="87"/>
      <c r="FDY8" s="87"/>
      <c r="FDZ8" s="87"/>
      <c r="FEA8" s="87"/>
      <c r="FEB8" s="87"/>
      <c r="FEC8" s="87"/>
      <c r="FED8" s="87"/>
      <c r="FEE8" s="87"/>
      <c r="FEF8" s="87"/>
      <c r="FEG8" s="87"/>
      <c r="FEH8" s="87"/>
      <c r="FEI8" s="87"/>
      <c r="FEJ8" s="87"/>
      <c r="FEK8" s="87"/>
      <c r="FEL8" s="87"/>
      <c r="FEM8" s="87"/>
      <c r="FEN8" s="87"/>
      <c r="FEO8" s="87"/>
      <c r="FEP8" s="87"/>
      <c r="FEQ8" s="87"/>
      <c r="FER8" s="87"/>
      <c r="FES8" s="87"/>
      <c r="FET8" s="87"/>
      <c r="FEU8" s="87"/>
      <c r="FEV8" s="87"/>
      <c r="FEW8" s="87"/>
      <c r="FEX8" s="87"/>
      <c r="FEY8" s="87"/>
      <c r="FEZ8" s="87"/>
      <c r="FFA8" s="87"/>
      <c r="FFB8" s="87"/>
      <c r="FFC8" s="87"/>
      <c r="FFD8" s="87"/>
      <c r="FFE8" s="87"/>
      <c r="FFF8" s="87"/>
      <c r="FFG8" s="87"/>
      <c r="FFH8" s="87"/>
      <c r="FFI8" s="87"/>
      <c r="FFJ8" s="87"/>
      <c r="FFK8" s="87"/>
      <c r="FFL8" s="87"/>
      <c r="FFM8" s="87"/>
      <c r="FFN8" s="87"/>
      <c r="FFO8" s="87"/>
      <c r="FFP8" s="87"/>
      <c r="FFQ8" s="87"/>
      <c r="FFR8" s="87"/>
      <c r="FFS8" s="87"/>
      <c r="FFT8" s="87"/>
      <c r="FFU8" s="87"/>
      <c r="FFV8" s="87"/>
      <c r="FFW8" s="87"/>
      <c r="FFX8" s="87"/>
      <c r="FFY8" s="87"/>
      <c r="FFZ8" s="87"/>
      <c r="FGA8" s="87"/>
      <c r="FGB8" s="87"/>
      <c r="FGC8" s="87"/>
      <c r="FGD8" s="87"/>
      <c r="FGE8" s="87"/>
      <c r="FGF8" s="87"/>
      <c r="FGG8" s="87"/>
      <c r="FGH8" s="87"/>
      <c r="FGI8" s="87"/>
      <c r="FGJ8" s="87"/>
      <c r="FGK8" s="87"/>
      <c r="FGL8" s="87"/>
      <c r="FGM8" s="87"/>
      <c r="FGN8" s="87"/>
      <c r="FGO8" s="87"/>
      <c r="FGP8" s="87"/>
      <c r="FGQ8" s="87"/>
      <c r="FGR8" s="87"/>
      <c r="FGS8" s="87"/>
      <c r="FGT8" s="87"/>
      <c r="FGU8" s="87"/>
      <c r="FGV8" s="87"/>
      <c r="FGW8" s="87"/>
      <c r="FGX8" s="87"/>
      <c r="FGY8" s="87"/>
      <c r="FGZ8" s="87"/>
      <c r="FHA8" s="87"/>
      <c r="FHB8" s="87"/>
      <c r="FHC8" s="87"/>
      <c r="FHD8" s="87"/>
      <c r="FHE8" s="87"/>
      <c r="FHF8" s="87"/>
      <c r="FHG8" s="87"/>
      <c r="FHH8" s="87"/>
      <c r="FHI8" s="87"/>
      <c r="FHJ8" s="87"/>
      <c r="FHK8" s="87"/>
      <c r="FHL8" s="87"/>
      <c r="FHM8" s="87"/>
      <c r="FHN8" s="87"/>
      <c r="FHO8" s="87"/>
      <c r="FHP8" s="87"/>
      <c r="FHQ8" s="87"/>
      <c r="FHR8" s="87"/>
      <c r="FHS8" s="87"/>
      <c r="FHT8" s="87"/>
      <c r="FHU8" s="87"/>
      <c r="FHV8" s="87"/>
      <c r="FHW8" s="87"/>
      <c r="FHX8" s="87"/>
      <c r="FHY8" s="87"/>
      <c r="FHZ8" s="87"/>
      <c r="FIA8" s="87"/>
      <c r="FIB8" s="87"/>
      <c r="FIC8" s="87"/>
      <c r="FID8" s="87"/>
      <c r="FIE8" s="87"/>
      <c r="FIF8" s="87"/>
      <c r="FIG8" s="87"/>
      <c r="FIH8" s="87"/>
      <c r="FII8" s="87"/>
      <c r="FIJ8" s="87"/>
      <c r="FIK8" s="87"/>
      <c r="FIL8" s="87"/>
      <c r="FIM8" s="87"/>
      <c r="FIN8" s="87"/>
      <c r="FIO8" s="87"/>
      <c r="FIP8" s="87"/>
      <c r="FIQ8" s="87"/>
      <c r="FIR8" s="87"/>
      <c r="FIS8" s="87"/>
      <c r="FIT8" s="87"/>
      <c r="FIU8" s="87"/>
      <c r="FIV8" s="87"/>
      <c r="FIW8" s="87"/>
      <c r="FIX8" s="87"/>
      <c r="FIY8" s="87"/>
      <c r="FIZ8" s="87"/>
      <c r="FJA8" s="87"/>
      <c r="FJB8" s="87"/>
      <c r="FJC8" s="87"/>
      <c r="FJD8" s="87"/>
      <c r="FJE8" s="87"/>
      <c r="FJF8" s="87"/>
      <c r="FJG8" s="87"/>
      <c r="FJH8" s="87"/>
      <c r="FJI8" s="87"/>
      <c r="FJJ8" s="87"/>
      <c r="FJK8" s="87"/>
      <c r="FJL8" s="87"/>
      <c r="FJM8" s="87"/>
      <c r="FJN8" s="87"/>
      <c r="FJO8" s="87"/>
      <c r="FJP8" s="87"/>
      <c r="FJQ8" s="87"/>
      <c r="FJR8" s="87"/>
      <c r="FJS8" s="87"/>
      <c r="FJT8" s="87"/>
      <c r="FJU8" s="87"/>
      <c r="FJV8" s="87"/>
      <c r="FJW8" s="87"/>
      <c r="FJX8" s="87"/>
      <c r="FJY8" s="87"/>
      <c r="FJZ8" s="87"/>
      <c r="FKA8" s="87"/>
      <c r="FKB8" s="87"/>
      <c r="FKC8" s="87"/>
      <c r="FKD8" s="87"/>
      <c r="FKE8" s="87"/>
      <c r="FKF8" s="87"/>
      <c r="FKG8" s="87"/>
      <c r="FKH8" s="87"/>
      <c r="FKI8" s="87"/>
      <c r="FKJ8" s="87"/>
      <c r="FKK8" s="87"/>
      <c r="FKL8" s="87"/>
      <c r="FKM8" s="87"/>
      <c r="FKN8" s="87"/>
      <c r="FKO8" s="87"/>
      <c r="FKP8" s="87"/>
      <c r="FKQ8" s="87"/>
      <c r="FKR8" s="87"/>
      <c r="FKS8" s="87"/>
      <c r="FKT8" s="87"/>
      <c r="FKU8" s="87"/>
      <c r="FKV8" s="87"/>
      <c r="FKW8" s="87"/>
      <c r="FKX8" s="87"/>
      <c r="FKY8" s="87"/>
      <c r="FKZ8" s="87"/>
      <c r="FLA8" s="87"/>
      <c r="FLB8" s="87"/>
      <c r="FLC8" s="87"/>
      <c r="FLD8" s="87"/>
      <c r="FLE8" s="87"/>
      <c r="FLF8" s="87"/>
      <c r="FLG8" s="87"/>
      <c r="FLH8" s="87"/>
      <c r="FLI8" s="87"/>
      <c r="FLJ8" s="87"/>
      <c r="FLK8" s="87"/>
      <c r="FLL8" s="87"/>
      <c r="FLM8" s="87"/>
      <c r="FLN8" s="87"/>
      <c r="FLO8" s="87"/>
      <c r="FLP8" s="87"/>
      <c r="FLQ8" s="87"/>
      <c r="FLR8" s="87"/>
      <c r="FLS8" s="87"/>
      <c r="FLT8" s="87"/>
      <c r="FLU8" s="87"/>
      <c r="FLV8" s="87"/>
      <c r="FLW8" s="87"/>
      <c r="FLX8" s="87"/>
      <c r="FLY8" s="87"/>
      <c r="FLZ8" s="87"/>
      <c r="FMA8" s="87"/>
      <c r="FMB8" s="87"/>
      <c r="FMC8" s="87"/>
      <c r="FMD8" s="87"/>
      <c r="FME8" s="87"/>
      <c r="FMF8" s="87"/>
      <c r="FMG8" s="87"/>
      <c r="FMH8" s="87"/>
      <c r="FMI8" s="87"/>
      <c r="FMJ8" s="87"/>
      <c r="FMK8" s="87"/>
      <c r="FML8" s="87"/>
      <c r="FMM8" s="87"/>
      <c r="FMN8" s="87"/>
      <c r="FMO8" s="87"/>
      <c r="FMP8" s="87"/>
      <c r="FMQ8" s="87"/>
      <c r="FMR8" s="87"/>
      <c r="FMS8" s="87"/>
      <c r="FMT8" s="87"/>
      <c r="FMU8" s="87"/>
      <c r="FMV8" s="87"/>
      <c r="FMW8" s="87"/>
      <c r="FMX8" s="87"/>
      <c r="FMY8" s="87"/>
      <c r="FMZ8" s="87"/>
      <c r="FNA8" s="87"/>
      <c r="FNB8" s="87"/>
      <c r="FNC8" s="87"/>
      <c r="FND8" s="87"/>
      <c r="FNE8" s="87"/>
      <c r="FNF8" s="87"/>
      <c r="FNG8" s="87"/>
      <c r="FNH8" s="87"/>
      <c r="FNI8" s="87"/>
      <c r="FNJ8" s="87"/>
      <c r="FNK8" s="87"/>
      <c r="FNL8" s="87"/>
      <c r="FNM8" s="87"/>
      <c r="FNN8" s="87"/>
      <c r="FNO8" s="87"/>
      <c r="FNP8" s="87"/>
      <c r="FNQ8" s="87"/>
      <c r="FNR8" s="87"/>
      <c r="FNS8" s="87"/>
      <c r="FNT8" s="87"/>
      <c r="FNU8" s="87"/>
      <c r="FNV8" s="87"/>
      <c r="FNW8" s="87"/>
      <c r="FNX8" s="87"/>
      <c r="FNY8" s="87"/>
      <c r="FNZ8" s="87"/>
      <c r="FOA8" s="87"/>
      <c r="FOB8" s="87"/>
      <c r="FOC8" s="87"/>
      <c r="FOD8" s="87"/>
      <c r="FOE8" s="87"/>
      <c r="FOF8" s="87"/>
      <c r="FOG8" s="87"/>
      <c r="FOH8" s="87"/>
      <c r="FOI8" s="87"/>
      <c r="FOJ8" s="87"/>
      <c r="FOK8" s="87"/>
      <c r="FOL8" s="87"/>
      <c r="FOM8" s="87"/>
      <c r="FON8" s="87"/>
      <c r="FOO8" s="87"/>
      <c r="FOP8" s="87"/>
      <c r="FOQ8" s="87"/>
      <c r="FOR8" s="87"/>
      <c r="FOS8" s="87"/>
      <c r="FOT8" s="87"/>
      <c r="FOU8" s="87"/>
      <c r="FOV8" s="87"/>
      <c r="FOW8" s="87"/>
      <c r="FOX8" s="87"/>
      <c r="FOY8" s="87"/>
      <c r="FOZ8" s="87"/>
      <c r="FPA8" s="87"/>
      <c r="FPB8" s="87"/>
      <c r="FPC8" s="87"/>
      <c r="FPD8" s="87"/>
      <c r="FPE8" s="87"/>
      <c r="FPF8" s="87"/>
      <c r="FPG8" s="87"/>
      <c r="FPH8" s="87"/>
      <c r="FPI8" s="87"/>
      <c r="FPJ8" s="87"/>
      <c r="FPK8" s="87"/>
      <c r="FPL8" s="87"/>
      <c r="FPM8" s="87"/>
      <c r="FPN8" s="87"/>
      <c r="FPO8" s="87"/>
      <c r="FPP8" s="87"/>
      <c r="FPQ8" s="87"/>
      <c r="FPR8" s="87"/>
      <c r="FPS8" s="87"/>
      <c r="FPT8" s="87"/>
      <c r="FPU8" s="87"/>
      <c r="FPV8" s="87"/>
      <c r="FPW8" s="87"/>
      <c r="FPX8" s="87"/>
      <c r="FPY8" s="87"/>
      <c r="FPZ8" s="87"/>
      <c r="FQA8" s="87"/>
      <c r="FQB8" s="87"/>
      <c r="FQC8" s="87"/>
      <c r="FQD8" s="87"/>
      <c r="FQE8" s="87"/>
      <c r="FQF8" s="87"/>
      <c r="FQG8" s="87"/>
      <c r="FQH8" s="87"/>
      <c r="FQI8" s="87"/>
      <c r="FQJ8" s="87"/>
      <c r="FQK8" s="87"/>
      <c r="FQL8" s="87"/>
      <c r="FQM8" s="87"/>
      <c r="FQN8" s="87"/>
      <c r="FQO8" s="87"/>
      <c r="FQP8" s="87"/>
      <c r="FQQ8" s="87"/>
      <c r="FQR8" s="87"/>
      <c r="FQS8" s="87"/>
      <c r="FQT8" s="87"/>
      <c r="FQU8" s="87"/>
      <c r="FQV8" s="87"/>
      <c r="FQW8" s="87"/>
      <c r="FQX8" s="87"/>
      <c r="FQY8" s="87"/>
      <c r="FQZ8" s="87"/>
      <c r="FRA8" s="87"/>
      <c r="FRB8" s="87"/>
      <c r="FRC8" s="87"/>
      <c r="FRD8" s="87"/>
      <c r="FRE8" s="87"/>
      <c r="FRF8" s="87"/>
      <c r="FRG8" s="87"/>
      <c r="FRH8" s="87"/>
      <c r="FRI8" s="87"/>
      <c r="FRJ8" s="87"/>
      <c r="FRK8" s="87"/>
      <c r="FRL8" s="87"/>
      <c r="FRM8" s="87"/>
      <c r="FRN8" s="87"/>
      <c r="FRO8" s="87"/>
      <c r="FRP8" s="87"/>
      <c r="FRQ8" s="87"/>
      <c r="FRR8" s="87"/>
      <c r="FRS8" s="87"/>
      <c r="FRT8" s="87"/>
      <c r="FRU8" s="87"/>
      <c r="FRV8" s="87"/>
      <c r="FRW8" s="87"/>
      <c r="FRX8" s="87"/>
      <c r="FRY8" s="87"/>
      <c r="FRZ8" s="87"/>
      <c r="FSA8" s="87"/>
      <c r="FSB8" s="87"/>
      <c r="FSC8" s="87"/>
      <c r="FSD8" s="87"/>
      <c r="FSE8" s="87"/>
      <c r="FSF8" s="87"/>
      <c r="FSG8" s="87"/>
      <c r="FSH8" s="87"/>
      <c r="FSI8" s="87"/>
      <c r="FSJ8" s="87"/>
      <c r="FSK8" s="87"/>
      <c r="FSL8" s="87"/>
      <c r="FSM8" s="87"/>
      <c r="FSN8" s="87"/>
      <c r="FSO8" s="87"/>
      <c r="FSP8" s="87"/>
      <c r="FSQ8" s="87"/>
      <c r="FSR8" s="87"/>
      <c r="FSS8" s="87"/>
      <c r="FST8" s="87"/>
      <c r="FSU8" s="87"/>
      <c r="FSV8" s="87"/>
      <c r="FSW8" s="87"/>
      <c r="FSX8" s="87"/>
      <c r="FSY8" s="87"/>
      <c r="FSZ8" s="87"/>
      <c r="FTA8" s="87"/>
      <c r="FTB8" s="87"/>
      <c r="FTC8" s="87"/>
      <c r="FTD8" s="87"/>
      <c r="FTE8" s="87"/>
      <c r="FTF8" s="87"/>
      <c r="FTG8" s="87"/>
      <c r="FTH8" s="87"/>
      <c r="FTI8" s="87"/>
      <c r="FTJ8" s="87"/>
      <c r="FTK8" s="87"/>
      <c r="FTL8" s="87"/>
      <c r="FTM8" s="87"/>
      <c r="FTN8" s="87"/>
      <c r="FTO8" s="87"/>
      <c r="FTP8" s="87"/>
      <c r="FTQ8" s="87"/>
      <c r="FTR8" s="87"/>
      <c r="FTS8" s="87"/>
      <c r="FTT8" s="87"/>
      <c r="FTU8" s="87"/>
      <c r="FTV8" s="87"/>
      <c r="FTW8" s="87"/>
      <c r="FTX8" s="87"/>
      <c r="FTY8" s="87"/>
      <c r="FTZ8" s="87"/>
      <c r="FUA8" s="87"/>
      <c r="FUB8" s="87"/>
      <c r="FUC8" s="87"/>
      <c r="FUD8" s="87"/>
      <c r="FUE8" s="87"/>
      <c r="FUF8" s="87"/>
      <c r="FUG8" s="87"/>
      <c r="FUH8" s="87"/>
      <c r="FUI8" s="87"/>
      <c r="FUJ8" s="87"/>
      <c r="FUK8" s="87"/>
      <c r="FUL8" s="87"/>
      <c r="FUM8" s="87"/>
      <c r="FUN8" s="87"/>
      <c r="FUO8" s="87"/>
      <c r="FUP8" s="87"/>
      <c r="FUQ8" s="87"/>
      <c r="FUR8" s="87"/>
      <c r="FUS8" s="87"/>
      <c r="FUT8" s="87"/>
      <c r="FUU8" s="87"/>
      <c r="FUV8" s="87"/>
      <c r="FUW8" s="87"/>
      <c r="FUX8" s="87"/>
      <c r="FUY8" s="87"/>
      <c r="FUZ8" s="87"/>
      <c r="FVA8" s="87"/>
      <c r="FVB8" s="87"/>
      <c r="FVC8" s="87"/>
      <c r="FVD8" s="87"/>
      <c r="FVE8" s="87"/>
      <c r="FVF8" s="87"/>
      <c r="FVG8" s="87"/>
      <c r="FVH8" s="87"/>
      <c r="FVI8" s="87"/>
      <c r="FVJ8" s="87"/>
      <c r="FVK8" s="87"/>
      <c r="FVL8" s="87"/>
      <c r="FVM8" s="87"/>
      <c r="FVN8" s="87"/>
      <c r="FVO8" s="87"/>
      <c r="FVP8" s="87"/>
      <c r="FVQ8" s="87"/>
      <c r="FVR8" s="87"/>
      <c r="FVS8" s="87"/>
      <c r="FVT8" s="87"/>
      <c r="FVU8" s="87"/>
      <c r="FVV8" s="87"/>
      <c r="FVW8" s="87"/>
      <c r="FVX8" s="87"/>
      <c r="FVY8" s="87"/>
      <c r="FVZ8" s="87"/>
      <c r="FWA8" s="87"/>
      <c r="FWB8" s="87"/>
      <c r="FWC8" s="87"/>
      <c r="FWD8" s="87"/>
      <c r="FWE8" s="87"/>
      <c r="FWF8" s="87"/>
      <c r="FWG8" s="87"/>
      <c r="FWH8" s="87"/>
      <c r="FWI8" s="87"/>
      <c r="FWJ8" s="87"/>
      <c r="FWK8" s="87"/>
      <c r="FWL8" s="87"/>
      <c r="FWM8" s="87"/>
      <c r="FWN8" s="87"/>
      <c r="FWO8" s="87"/>
      <c r="FWP8" s="87"/>
      <c r="FWQ8" s="87"/>
      <c r="FWR8" s="87"/>
      <c r="FWS8" s="87"/>
      <c r="FWT8" s="87"/>
      <c r="FWU8" s="87"/>
      <c r="FWV8" s="87"/>
      <c r="FWW8" s="87"/>
      <c r="FWX8" s="87"/>
      <c r="FWY8" s="87"/>
      <c r="FWZ8" s="87"/>
      <c r="FXA8" s="87"/>
      <c r="FXB8" s="87"/>
      <c r="FXC8" s="87"/>
      <c r="FXD8" s="87"/>
      <c r="FXE8" s="87"/>
      <c r="FXF8" s="87"/>
      <c r="FXG8" s="87"/>
      <c r="FXH8" s="87"/>
      <c r="FXI8" s="87"/>
      <c r="FXJ8" s="87"/>
      <c r="FXK8" s="87"/>
      <c r="FXL8" s="87"/>
      <c r="FXM8" s="87"/>
      <c r="FXN8" s="87"/>
      <c r="FXO8" s="87"/>
      <c r="FXP8" s="87"/>
      <c r="FXQ8" s="87"/>
      <c r="FXR8" s="87"/>
      <c r="FXS8" s="87"/>
      <c r="FXT8" s="87"/>
      <c r="FXU8" s="87"/>
      <c r="FXV8" s="87"/>
      <c r="FXW8" s="87"/>
      <c r="FXX8" s="87"/>
      <c r="FXY8" s="87"/>
      <c r="FXZ8" s="87"/>
      <c r="FYA8" s="87"/>
      <c r="FYB8" s="87"/>
      <c r="FYC8" s="87"/>
      <c r="FYD8" s="87"/>
      <c r="FYE8" s="87"/>
      <c r="FYF8" s="87"/>
      <c r="FYG8" s="87"/>
      <c r="FYH8" s="87"/>
      <c r="FYI8" s="87"/>
      <c r="FYJ8" s="87"/>
      <c r="FYK8" s="87"/>
      <c r="FYL8" s="87"/>
      <c r="FYM8" s="87"/>
      <c r="FYN8" s="87"/>
      <c r="FYO8" s="87"/>
      <c r="FYP8" s="87"/>
      <c r="FYQ8" s="87"/>
      <c r="FYR8" s="87"/>
      <c r="FYS8" s="87"/>
      <c r="FYT8" s="87"/>
      <c r="FYU8" s="87"/>
      <c r="FYV8" s="87"/>
      <c r="FYW8" s="87"/>
      <c r="FYX8" s="87"/>
      <c r="FYY8" s="87"/>
      <c r="FYZ8" s="87"/>
      <c r="FZA8" s="87"/>
      <c r="FZB8" s="87"/>
      <c r="FZC8" s="87"/>
      <c r="FZD8" s="87"/>
      <c r="FZE8" s="87"/>
      <c r="FZF8" s="87"/>
      <c r="FZG8" s="87"/>
      <c r="FZH8" s="87"/>
      <c r="FZI8" s="87"/>
      <c r="FZJ8" s="87"/>
      <c r="FZK8" s="87"/>
      <c r="FZL8" s="87"/>
      <c r="FZM8" s="87"/>
      <c r="FZN8" s="87"/>
      <c r="FZO8" s="87"/>
      <c r="FZP8" s="87"/>
      <c r="FZQ8" s="87"/>
      <c r="FZR8" s="87"/>
      <c r="FZS8" s="87"/>
      <c r="FZT8" s="87"/>
      <c r="FZU8" s="87"/>
      <c r="FZV8" s="87"/>
      <c r="FZW8" s="87"/>
      <c r="FZX8" s="87"/>
      <c r="FZY8" s="87"/>
      <c r="FZZ8" s="87"/>
      <c r="GAA8" s="87"/>
      <c r="GAB8" s="87"/>
      <c r="GAC8" s="87"/>
      <c r="GAD8" s="87"/>
      <c r="GAE8" s="87"/>
      <c r="GAF8" s="87"/>
      <c r="GAG8" s="87"/>
      <c r="GAH8" s="87"/>
      <c r="GAI8" s="87"/>
      <c r="GAJ8" s="87"/>
      <c r="GAK8" s="87"/>
      <c r="GAL8" s="87"/>
      <c r="GAM8" s="87"/>
      <c r="GAN8" s="87"/>
      <c r="GAO8" s="87"/>
      <c r="GAP8" s="87"/>
      <c r="GAQ8" s="87"/>
      <c r="GAR8" s="87"/>
      <c r="GAS8" s="87"/>
      <c r="GAT8" s="87"/>
      <c r="GAU8" s="87"/>
      <c r="GAV8" s="87"/>
      <c r="GAW8" s="87"/>
      <c r="GAX8" s="87"/>
      <c r="GAY8" s="87"/>
      <c r="GAZ8" s="87"/>
      <c r="GBA8" s="87"/>
      <c r="GBB8" s="87"/>
      <c r="GBC8" s="87"/>
      <c r="GBD8" s="87"/>
      <c r="GBE8" s="87"/>
      <c r="GBF8" s="87"/>
      <c r="GBG8" s="87"/>
      <c r="GBH8" s="87"/>
      <c r="GBI8" s="87"/>
      <c r="GBJ8" s="87"/>
      <c r="GBK8" s="87"/>
      <c r="GBL8" s="87"/>
      <c r="GBM8" s="87"/>
      <c r="GBN8" s="87"/>
      <c r="GBO8" s="87"/>
      <c r="GBP8" s="87"/>
      <c r="GBQ8" s="87"/>
      <c r="GBR8" s="87"/>
      <c r="GBS8" s="87"/>
      <c r="GBT8" s="87"/>
      <c r="GBU8" s="87"/>
      <c r="GBV8" s="87"/>
      <c r="GBW8" s="87"/>
      <c r="GBX8" s="87"/>
      <c r="GBY8" s="87"/>
      <c r="GBZ8" s="87"/>
      <c r="GCA8" s="87"/>
      <c r="GCB8" s="87"/>
      <c r="GCC8" s="87"/>
      <c r="GCD8" s="87"/>
      <c r="GCE8" s="87"/>
      <c r="GCF8" s="87"/>
      <c r="GCG8" s="87"/>
      <c r="GCH8" s="87"/>
      <c r="GCI8" s="87"/>
      <c r="GCJ8" s="87"/>
      <c r="GCK8" s="87"/>
      <c r="GCL8" s="87"/>
      <c r="GCM8" s="87"/>
      <c r="GCN8" s="87"/>
      <c r="GCO8" s="87"/>
      <c r="GCP8" s="87"/>
      <c r="GCQ8" s="87"/>
      <c r="GCR8" s="87"/>
      <c r="GCS8" s="87"/>
      <c r="GCT8" s="87"/>
      <c r="GCU8" s="87"/>
      <c r="GCV8" s="87"/>
      <c r="GCW8" s="87"/>
      <c r="GCX8" s="87"/>
      <c r="GCY8" s="87"/>
      <c r="GCZ8" s="87"/>
      <c r="GDA8" s="87"/>
      <c r="GDB8" s="87"/>
      <c r="GDC8" s="87"/>
      <c r="GDD8" s="87"/>
      <c r="GDE8" s="87"/>
      <c r="GDF8" s="87"/>
      <c r="GDG8" s="87"/>
      <c r="GDH8" s="87"/>
      <c r="GDI8" s="87"/>
      <c r="GDJ8" s="87"/>
      <c r="GDK8" s="87"/>
      <c r="GDL8" s="87"/>
      <c r="GDM8" s="87"/>
      <c r="GDN8" s="87"/>
      <c r="GDO8" s="87"/>
      <c r="GDP8" s="87"/>
      <c r="GDQ8" s="87"/>
      <c r="GDR8" s="87"/>
      <c r="GDS8" s="87"/>
      <c r="GDT8" s="87"/>
      <c r="GDU8" s="87"/>
      <c r="GDV8" s="87"/>
      <c r="GDW8" s="87"/>
      <c r="GDX8" s="87"/>
      <c r="GDY8" s="87"/>
      <c r="GDZ8" s="87"/>
      <c r="GEA8" s="87"/>
      <c r="GEB8" s="87"/>
      <c r="GEC8" s="87"/>
      <c r="GED8" s="87"/>
      <c r="GEE8" s="87"/>
      <c r="GEF8" s="87"/>
      <c r="GEG8" s="87"/>
      <c r="GEH8" s="87"/>
      <c r="GEI8" s="87"/>
      <c r="GEJ8" s="87"/>
      <c r="GEK8" s="87"/>
      <c r="GEL8" s="87"/>
      <c r="GEM8" s="87"/>
      <c r="GEN8" s="87"/>
      <c r="GEO8" s="87"/>
      <c r="GEP8" s="87"/>
      <c r="GEQ8" s="87"/>
      <c r="GER8" s="87"/>
      <c r="GES8" s="87"/>
      <c r="GET8" s="87"/>
      <c r="GEU8" s="87"/>
      <c r="GEV8" s="87"/>
      <c r="GEW8" s="87"/>
      <c r="GEX8" s="87"/>
      <c r="GEY8" s="87"/>
      <c r="GEZ8" s="87"/>
      <c r="GFA8" s="87"/>
      <c r="GFB8" s="87"/>
      <c r="GFC8" s="87"/>
      <c r="GFD8" s="87"/>
      <c r="GFE8" s="87"/>
      <c r="GFF8" s="87"/>
      <c r="GFG8" s="87"/>
      <c r="GFH8" s="87"/>
      <c r="GFI8" s="87"/>
      <c r="GFJ8" s="87"/>
      <c r="GFK8" s="87"/>
      <c r="GFL8" s="87"/>
      <c r="GFM8" s="87"/>
      <c r="GFN8" s="87"/>
      <c r="GFO8" s="87"/>
      <c r="GFP8" s="87"/>
      <c r="GFQ8" s="87"/>
      <c r="GFR8" s="87"/>
      <c r="GFS8" s="87"/>
      <c r="GFT8" s="87"/>
      <c r="GFU8" s="87"/>
      <c r="GFV8" s="87"/>
      <c r="GFW8" s="87"/>
      <c r="GFX8" s="87"/>
      <c r="GFY8" s="87"/>
      <c r="GFZ8" s="87"/>
      <c r="GGA8" s="87"/>
      <c r="GGB8" s="87"/>
      <c r="GGC8" s="87"/>
      <c r="GGD8" s="87"/>
      <c r="GGE8" s="87"/>
      <c r="GGF8" s="87"/>
      <c r="GGG8" s="87"/>
      <c r="GGH8" s="87"/>
      <c r="GGI8" s="87"/>
      <c r="GGJ8" s="87"/>
      <c r="GGK8" s="87"/>
      <c r="GGL8" s="87"/>
      <c r="GGM8" s="87"/>
      <c r="GGN8" s="87"/>
      <c r="GGO8" s="87"/>
      <c r="GGP8" s="87"/>
      <c r="GGQ8" s="87"/>
      <c r="GGR8" s="87"/>
      <c r="GGS8" s="87"/>
      <c r="GGT8" s="87"/>
      <c r="GGU8" s="87"/>
      <c r="GGV8" s="87"/>
      <c r="GGW8" s="87"/>
      <c r="GGX8" s="87"/>
      <c r="GGY8" s="87"/>
      <c r="GGZ8" s="87"/>
      <c r="GHA8" s="87"/>
      <c r="GHB8" s="87"/>
      <c r="GHC8" s="87"/>
      <c r="GHD8" s="87"/>
      <c r="GHE8" s="87"/>
      <c r="GHF8" s="87"/>
      <c r="GHG8" s="87"/>
      <c r="GHH8" s="87"/>
      <c r="GHI8" s="87"/>
      <c r="GHJ8" s="87"/>
      <c r="GHK8" s="87"/>
      <c r="GHL8" s="87"/>
      <c r="GHM8" s="87"/>
      <c r="GHN8" s="87"/>
      <c r="GHO8" s="87"/>
      <c r="GHP8" s="87"/>
      <c r="GHQ8" s="87"/>
      <c r="GHR8" s="87"/>
      <c r="GHS8" s="87"/>
      <c r="GHT8" s="87"/>
      <c r="GHU8" s="87"/>
      <c r="GHV8" s="87"/>
      <c r="GHW8" s="87"/>
      <c r="GHX8" s="87"/>
      <c r="GHY8" s="87"/>
      <c r="GHZ8" s="87"/>
      <c r="GIA8" s="87"/>
      <c r="GIB8" s="87"/>
      <c r="GIC8" s="87"/>
      <c r="GID8" s="87"/>
      <c r="GIE8" s="87"/>
      <c r="GIF8" s="87"/>
      <c r="GIG8" s="87"/>
      <c r="GIH8" s="87"/>
      <c r="GII8" s="87"/>
      <c r="GIJ8" s="87"/>
      <c r="GIK8" s="87"/>
      <c r="GIL8" s="87"/>
      <c r="GIM8" s="87"/>
      <c r="GIN8" s="87"/>
      <c r="GIO8" s="87"/>
      <c r="GIP8" s="87"/>
      <c r="GIQ8" s="87"/>
      <c r="GIR8" s="87"/>
      <c r="GIS8" s="87"/>
      <c r="GIT8" s="87"/>
      <c r="GIU8" s="87"/>
      <c r="GIV8" s="87"/>
      <c r="GIW8" s="87"/>
      <c r="GIX8" s="87"/>
      <c r="GIY8" s="87"/>
      <c r="GIZ8" s="87"/>
      <c r="GJA8" s="87"/>
      <c r="GJB8" s="87"/>
      <c r="GJC8" s="87"/>
      <c r="GJD8" s="87"/>
      <c r="GJE8" s="87"/>
      <c r="GJF8" s="87"/>
      <c r="GJG8" s="87"/>
      <c r="GJH8" s="87"/>
      <c r="GJI8" s="87"/>
      <c r="GJJ8" s="87"/>
      <c r="GJK8" s="87"/>
      <c r="GJL8" s="87"/>
      <c r="GJM8" s="87"/>
      <c r="GJN8" s="87"/>
      <c r="GJO8" s="87"/>
      <c r="GJP8" s="87"/>
      <c r="GJQ8" s="87"/>
      <c r="GJR8" s="87"/>
      <c r="GJS8" s="87"/>
      <c r="GJT8" s="87"/>
      <c r="GJU8" s="87"/>
      <c r="GJV8" s="87"/>
      <c r="GJW8" s="87"/>
      <c r="GJX8" s="87"/>
      <c r="GJY8" s="87"/>
      <c r="GJZ8" s="87"/>
      <c r="GKA8" s="87"/>
      <c r="GKB8" s="87"/>
      <c r="GKC8" s="87"/>
      <c r="GKD8" s="87"/>
      <c r="GKE8" s="87"/>
      <c r="GKF8" s="87"/>
      <c r="GKG8" s="87"/>
      <c r="GKH8" s="87"/>
      <c r="GKI8" s="87"/>
      <c r="GKJ8" s="87"/>
      <c r="GKK8" s="87"/>
      <c r="GKL8" s="87"/>
      <c r="GKM8" s="87"/>
      <c r="GKN8" s="87"/>
      <c r="GKO8" s="87"/>
      <c r="GKP8" s="87"/>
      <c r="GKQ8" s="87"/>
      <c r="GKR8" s="87"/>
      <c r="GKS8" s="87"/>
      <c r="GKT8" s="87"/>
      <c r="GKU8" s="87"/>
      <c r="GKV8" s="87"/>
      <c r="GKW8" s="87"/>
      <c r="GKX8" s="87"/>
      <c r="GKY8" s="87"/>
      <c r="GKZ8" s="87"/>
      <c r="GLA8" s="87"/>
      <c r="GLB8" s="87"/>
      <c r="GLC8" s="87"/>
      <c r="GLD8" s="87"/>
      <c r="GLE8" s="87"/>
      <c r="GLF8" s="87"/>
      <c r="GLG8" s="87"/>
      <c r="GLH8" s="87"/>
      <c r="GLI8" s="87"/>
      <c r="GLJ8" s="87"/>
      <c r="GLK8" s="87"/>
      <c r="GLL8" s="87"/>
      <c r="GLM8" s="87"/>
      <c r="GLN8" s="87"/>
      <c r="GLO8" s="87"/>
      <c r="GLP8" s="87"/>
      <c r="GLQ8" s="87"/>
      <c r="GLR8" s="87"/>
      <c r="GLS8" s="87"/>
      <c r="GLT8" s="87"/>
      <c r="GLU8" s="87"/>
      <c r="GLV8" s="87"/>
      <c r="GLW8" s="87"/>
      <c r="GLX8" s="87"/>
      <c r="GLY8" s="87"/>
      <c r="GLZ8" s="87"/>
      <c r="GMA8" s="87"/>
      <c r="GMB8" s="87"/>
      <c r="GMC8" s="87"/>
      <c r="GMD8" s="87"/>
      <c r="GME8" s="87"/>
      <c r="GMF8" s="87"/>
      <c r="GMG8" s="87"/>
      <c r="GMH8" s="87"/>
      <c r="GMI8" s="87"/>
      <c r="GMJ8" s="87"/>
      <c r="GMK8" s="87"/>
      <c r="GML8" s="87"/>
      <c r="GMM8" s="87"/>
      <c r="GMN8" s="87"/>
      <c r="GMO8" s="87"/>
      <c r="GMP8" s="87"/>
      <c r="GMQ8" s="87"/>
      <c r="GMR8" s="87"/>
      <c r="GMS8" s="87"/>
      <c r="GMT8" s="87"/>
      <c r="GMU8" s="87"/>
      <c r="GMV8" s="87"/>
      <c r="GMW8" s="87"/>
      <c r="GMX8" s="87"/>
      <c r="GMY8" s="87"/>
      <c r="GMZ8" s="87"/>
      <c r="GNA8" s="87"/>
      <c r="GNB8" s="87"/>
      <c r="GNC8" s="87"/>
      <c r="GND8" s="87"/>
      <c r="GNE8" s="87"/>
      <c r="GNF8" s="87"/>
      <c r="GNG8" s="87"/>
      <c r="GNH8" s="87"/>
      <c r="GNI8" s="87"/>
      <c r="GNJ8" s="87"/>
      <c r="GNK8" s="87"/>
      <c r="GNL8" s="87"/>
      <c r="GNM8" s="87"/>
      <c r="GNN8" s="87"/>
      <c r="GNO8" s="87"/>
      <c r="GNP8" s="87"/>
      <c r="GNQ8" s="87"/>
      <c r="GNR8" s="87"/>
      <c r="GNS8" s="87"/>
      <c r="GNT8" s="87"/>
      <c r="GNU8" s="87"/>
      <c r="GNV8" s="87"/>
      <c r="GNW8" s="87"/>
      <c r="GNX8" s="87"/>
      <c r="GNY8" s="87"/>
      <c r="GNZ8" s="87"/>
      <c r="GOA8" s="87"/>
      <c r="GOB8" s="87"/>
      <c r="GOC8" s="87"/>
      <c r="GOD8" s="87"/>
      <c r="GOE8" s="87"/>
      <c r="GOF8" s="87"/>
      <c r="GOG8" s="87"/>
      <c r="GOH8" s="87"/>
      <c r="GOI8" s="87"/>
      <c r="GOJ8" s="87"/>
      <c r="GOK8" s="87"/>
      <c r="GOL8" s="87"/>
      <c r="GOM8" s="87"/>
      <c r="GON8" s="87"/>
      <c r="GOO8" s="87"/>
      <c r="GOP8" s="87"/>
      <c r="GOQ8" s="87"/>
      <c r="GOR8" s="87"/>
      <c r="GOS8" s="87"/>
      <c r="GOT8" s="87"/>
      <c r="GOU8" s="87"/>
      <c r="GOV8" s="87"/>
      <c r="GOW8" s="87"/>
      <c r="GOX8" s="87"/>
      <c r="GOY8" s="87"/>
      <c r="GOZ8" s="87"/>
      <c r="GPA8" s="87"/>
      <c r="GPB8" s="87"/>
      <c r="GPC8" s="87"/>
      <c r="GPD8" s="87"/>
      <c r="GPE8" s="87"/>
      <c r="GPF8" s="87"/>
      <c r="GPG8" s="87"/>
      <c r="GPH8" s="87"/>
      <c r="GPI8" s="87"/>
      <c r="GPJ8" s="87"/>
      <c r="GPK8" s="87"/>
      <c r="GPL8" s="87"/>
      <c r="GPM8" s="87"/>
      <c r="GPN8" s="87"/>
      <c r="GPO8" s="87"/>
      <c r="GPP8" s="87"/>
      <c r="GPQ8" s="87"/>
      <c r="GPR8" s="87"/>
      <c r="GPS8" s="87"/>
      <c r="GPT8" s="87"/>
      <c r="GPU8" s="87"/>
      <c r="GPV8" s="87"/>
      <c r="GPW8" s="87"/>
      <c r="GPX8" s="87"/>
      <c r="GPY8" s="87"/>
      <c r="GPZ8" s="87"/>
      <c r="GQA8" s="87"/>
      <c r="GQB8" s="87"/>
      <c r="GQC8" s="87"/>
      <c r="GQD8" s="87"/>
      <c r="GQE8" s="87"/>
      <c r="GQF8" s="87"/>
      <c r="GQG8" s="87"/>
      <c r="GQH8" s="87"/>
      <c r="GQI8" s="87"/>
      <c r="GQJ8" s="87"/>
      <c r="GQK8" s="87"/>
      <c r="GQL8" s="87"/>
      <c r="GQM8" s="87"/>
      <c r="GQN8" s="87"/>
      <c r="GQO8" s="87"/>
      <c r="GQP8" s="87"/>
      <c r="GQQ8" s="87"/>
      <c r="GQR8" s="87"/>
      <c r="GQS8" s="87"/>
      <c r="GQT8" s="87"/>
      <c r="GQU8" s="87"/>
      <c r="GQV8" s="87"/>
      <c r="GQW8" s="87"/>
      <c r="GQX8" s="87"/>
      <c r="GQY8" s="87"/>
      <c r="GQZ8" s="87"/>
      <c r="GRA8" s="87"/>
      <c r="GRB8" s="87"/>
      <c r="GRC8" s="87"/>
      <c r="GRD8" s="87"/>
      <c r="GRE8" s="87"/>
      <c r="GRF8" s="87"/>
      <c r="GRG8" s="87"/>
      <c r="GRH8" s="87"/>
      <c r="GRI8" s="87"/>
      <c r="GRJ8" s="87"/>
      <c r="GRK8" s="87"/>
      <c r="GRL8" s="87"/>
      <c r="GRM8" s="87"/>
      <c r="GRN8" s="87"/>
      <c r="GRO8" s="87"/>
      <c r="GRP8" s="87"/>
      <c r="GRQ8" s="87"/>
      <c r="GRR8" s="87"/>
      <c r="GRS8" s="87"/>
      <c r="GRT8" s="87"/>
      <c r="GRU8" s="87"/>
      <c r="GRV8" s="87"/>
      <c r="GRW8" s="87"/>
      <c r="GRX8" s="87"/>
      <c r="GRY8" s="87"/>
      <c r="GRZ8" s="87"/>
      <c r="GSA8" s="87"/>
      <c r="GSB8" s="87"/>
      <c r="GSC8" s="87"/>
      <c r="GSD8" s="87"/>
      <c r="GSE8" s="87"/>
      <c r="GSF8" s="87"/>
      <c r="GSG8" s="87"/>
      <c r="GSH8" s="87"/>
      <c r="GSI8" s="87"/>
      <c r="GSJ8" s="87"/>
      <c r="GSK8" s="87"/>
      <c r="GSL8" s="87"/>
      <c r="GSM8" s="87"/>
      <c r="GSN8" s="87"/>
      <c r="GSO8" s="87"/>
      <c r="GSP8" s="87"/>
      <c r="GSQ8" s="87"/>
      <c r="GSR8" s="87"/>
      <c r="GSS8" s="87"/>
      <c r="GST8" s="87"/>
      <c r="GSU8" s="87"/>
      <c r="GSV8" s="87"/>
      <c r="GSW8" s="87"/>
      <c r="GSX8" s="87"/>
      <c r="GSY8" s="87"/>
      <c r="GSZ8" s="87"/>
      <c r="GTA8" s="87"/>
      <c r="GTB8" s="87"/>
      <c r="GTC8" s="87"/>
      <c r="GTD8" s="87"/>
      <c r="GTE8" s="87"/>
      <c r="GTF8" s="87"/>
      <c r="GTG8" s="87"/>
      <c r="GTH8" s="87"/>
      <c r="GTI8" s="87"/>
      <c r="GTJ8" s="87"/>
      <c r="GTK8" s="87"/>
      <c r="GTL8" s="87"/>
      <c r="GTM8" s="87"/>
      <c r="GTN8" s="87"/>
      <c r="GTO8" s="87"/>
      <c r="GTP8" s="87"/>
      <c r="GTQ8" s="87"/>
      <c r="GTR8" s="87"/>
      <c r="GTS8" s="87"/>
      <c r="GTT8" s="87"/>
      <c r="GTU8" s="87"/>
      <c r="GTV8" s="87"/>
      <c r="GTW8" s="87"/>
      <c r="GTX8" s="87"/>
      <c r="GTY8" s="87"/>
      <c r="GTZ8" s="87"/>
      <c r="GUA8" s="87"/>
      <c r="GUB8" s="87"/>
      <c r="GUC8" s="87"/>
      <c r="GUD8" s="87"/>
      <c r="GUE8" s="87"/>
      <c r="GUF8" s="87"/>
      <c r="GUG8" s="87"/>
      <c r="GUH8" s="87"/>
      <c r="GUI8" s="87"/>
      <c r="GUJ8" s="87"/>
      <c r="GUK8" s="87"/>
      <c r="GUL8" s="87"/>
      <c r="GUM8" s="87"/>
      <c r="GUN8" s="87"/>
      <c r="GUO8" s="87"/>
      <c r="GUP8" s="87"/>
      <c r="GUQ8" s="87"/>
      <c r="GUR8" s="87"/>
      <c r="GUS8" s="87"/>
      <c r="GUT8" s="87"/>
      <c r="GUU8" s="87"/>
      <c r="GUV8" s="87"/>
      <c r="GUW8" s="87"/>
      <c r="GUX8" s="87"/>
      <c r="GUY8" s="87"/>
      <c r="GUZ8" s="87"/>
      <c r="GVA8" s="87"/>
      <c r="GVB8" s="87"/>
      <c r="GVC8" s="87"/>
      <c r="GVD8" s="87"/>
      <c r="GVE8" s="87"/>
      <c r="GVF8" s="87"/>
      <c r="GVG8" s="87"/>
      <c r="GVH8" s="87"/>
      <c r="GVI8" s="87"/>
      <c r="GVJ8" s="87"/>
      <c r="GVK8" s="87"/>
      <c r="GVL8" s="87"/>
      <c r="GVM8" s="87"/>
      <c r="GVN8" s="87"/>
      <c r="GVO8" s="87"/>
      <c r="GVP8" s="87"/>
      <c r="GVQ8" s="87"/>
      <c r="GVR8" s="87"/>
      <c r="GVS8" s="87"/>
      <c r="GVT8" s="87"/>
      <c r="GVU8" s="87"/>
      <c r="GVV8" s="87"/>
      <c r="GVW8" s="87"/>
      <c r="GVX8" s="87"/>
      <c r="GVY8" s="87"/>
      <c r="GVZ8" s="87"/>
      <c r="GWA8" s="87"/>
      <c r="GWB8" s="87"/>
      <c r="GWC8" s="87"/>
      <c r="GWD8" s="87"/>
      <c r="GWE8" s="87"/>
      <c r="GWF8" s="87"/>
      <c r="GWG8" s="87"/>
      <c r="GWH8" s="87"/>
      <c r="GWI8" s="87"/>
      <c r="GWJ8" s="87"/>
      <c r="GWK8" s="87"/>
      <c r="GWL8" s="87"/>
      <c r="GWM8" s="87"/>
      <c r="GWN8" s="87"/>
      <c r="GWO8" s="87"/>
      <c r="GWP8" s="87"/>
      <c r="GWQ8" s="87"/>
      <c r="GWR8" s="87"/>
      <c r="GWS8" s="87"/>
      <c r="GWT8" s="87"/>
      <c r="GWU8" s="87"/>
      <c r="GWV8" s="87"/>
      <c r="GWW8" s="87"/>
      <c r="GWX8" s="87"/>
      <c r="GWY8" s="87"/>
      <c r="GWZ8" s="87"/>
      <c r="GXA8" s="87"/>
      <c r="GXB8" s="87"/>
      <c r="GXC8" s="87"/>
      <c r="GXD8" s="87"/>
      <c r="GXE8" s="87"/>
      <c r="GXF8" s="87"/>
      <c r="GXG8" s="87"/>
      <c r="GXH8" s="87"/>
      <c r="GXI8" s="87"/>
      <c r="GXJ8" s="87"/>
      <c r="GXK8" s="87"/>
      <c r="GXL8" s="87"/>
      <c r="GXM8" s="87"/>
      <c r="GXN8" s="87"/>
      <c r="GXO8" s="87"/>
      <c r="GXP8" s="87"/>
      <c r="GXQ8" s="87"/>
      <c r="GXR8" s="87"/>
      <c r="GXS8" s="87"/>
      <c r="GXT8" s="87"/>
      <c r="GXU8" s="87"/>
      <c r="GXV8" s="87"/>
      <c r="GXW8" s="87"/>
      <c r="GXX8" s="87"/>
      <c r="GXY8" s="87"/>
      <c r="GXZ8" s="87"/>
      <c r="GYA8" s="87"/>
      <c r="GYB8" s="87"/>
      <c r="GYC8" s="87"/>
      <c r="GYD8" s="87"/>
      <c r="GYE8" s="87"/>
      <c r="GYF8" s="87"/>
      <c r="GYG8" s="87"/>
      <c r="GYH8" s="87"/>
      <c r="GYI8" s="87"/>
      <c r="GYJ8" s="87"/>
      <c r="GYK8" s="87"/>
      <c r="GYL8" s="87"/>
      <c r="GYM8" s="87"/>
      <c r="GYN8" s="87"/>
      <c r="GYO8" s="87"/>
      <c r="GYP8" s="87"/>
      <c r="GYQ8" s="87"/>
      <c r="GYR8" s="87"/>
      <c r="GYS8" s="87"/>
      <c r="GYT8" s="87"/>
      <c r="GYU8" s="87"/>
      <c r="GYV8" s="87"/>
      <c r="GYW8" s="87"/>
      <c r="GYX8" s="87"/>
      <c r="GYY8" s="87"/>
      <c r="GYZ8" s="87"/>
      <c r="GZA8" s="87"/>
      <c r="GZB8" s="87"/>
      <c r="GZC8" s="87"/>
      <c r="GZD8" s="87"/>
      <c r="GZE8" s="87"/>
      <c r="GZF8" s="87"/>
      <c r="GZG8" s="87"/>
      <c r="GZH8" s="87"/>
      <c r="GZI8" s="87"/>
      <c r="GZJ8" s="87"/>
      <c r="GZK8" s="87"/>
      <c r="GZL8" s="87"/>
      <c r="GZM8" s="87"/>
      <c r="GZN8" s="87"/>
      <c r="GZO8" s="87"/>
      <c r="GZP8" s="87"/>
      <c r="GZQ8" s="87"/>
      <c r="GZR8" s="87"/>
      <c r="GZS8" s="87"/>
      <c r="GZT8" s="87"/>
      <c r="GZU8" s="87"/>
      <c r="GZV8" s="87"/>
      <c r="GZW8" s="87"/>
      <c r="GZX8" s="87"/>
      <c r="GZY8" s="87"/>
      <c r="GZZ8" s="87"/>
      <c r="HAA8" s="87"/>
      <c r="HAB8" s="87"/>
      <c r="HAC8" s="87"/>
      <c r="HAD8" s="87"/>
      <c r="HAE8" s="87"/>
      <c r="HAF8" s="87"/>
      <c r="HAG8" s="87"/>
      <c r="HAH8" s="87"/>
      <c r="HAI8" s="87"/>
      <c r="HAJ8" s="87"/>
      <c r="HAK8" s="87"/>
      <c r="HAL8" s="87"/>
      <c r="HAM8" s="87"/>
      <c r="HAN8" s="87"/>
      <c r="HAO8" s="87"/>
      <c r="HAP8" s="87"/>
      <c r="HAQ8" s="87"/>
      <c r="HAR8" s="87"/>
      <c r="HAS8" s="87"/>
      <c r="HAT8" s="87"/>
      <c r="HAU8" s="87"/>
      <c r="HAV8" s="87"/>
      <c r="HAW8" s="87"/>
      <c r="HAX8" s="87"/>
      <c r="HAY8" s="87"/>
      <c r="HAZ8" s="87"/>
      <c r="HBA8" s="87"/>
      <c r="HBB8" s="87"/>
      <c r="HBC8" s="87"/>
      <c r="HBD8" s="87"/>
      <c r="HBE8" s="87"/>
      <c r="HBF8" s="87"/>
      <c r="HBG8" s="87"/>
      <c r="HBH8" s="87"/>
      <c r="HBI8" s="87"/>
      <c r="HBJ8" s="87"/>
      <c r="HBK8" s="87"/>
      <c r="HBL8" s="87"/>
      <c r="HBM8" s="87"/>
      <c r="HBN8" s="87"/>
      <c r="HBO8" s="87"/>
      <c r="HBP8" s="87"/>
      <c r="HBQ8" s="87"/>
      <c r="HBR8" s="87"/>
      <c r="HBS8" s="87"/>
      <c r="HBT8" s="87"/>
      <c r="HBU8" s="87"/>
      <c r="HBV8" s="87"/>
      <c r="HBW8" s="87"/>
      <c r="HBX8" s="87"/>
      <c r="HBY8" s="87"/>
      <c r="HBZ8" s="87"/>
      <c r="HCA8" s="87"/>
      <c r="HCB8" s="87"/>
      <c r="HCC8" s="87"/>
      <c r="HCD8" s="87"/>
      <c r="HCE8" s="87"/>
      <c r="HCF8" s="87"/>
      <c r="HCG8" s="87"/>
      <c r="HCH8" s="87"/>
      <c r="HCI8" s="87"/>
      <c r="HCJ8" s="87"/>
      <c r="HCK8" s="87"/>
      <c r="HCL8" s="87"/>
      <c r="HCM8" s="87"/>
      <c r="HCN8" s="87"/>
      <c r="HCO8" s="87"/>
      <c r="HCP8" s="87"/>
      <c r="HCQ8" s="87"/>
      <c r="HCR8" s="87"/>
      <c r="HCS8" s="87"/>
      <c r="HCT8" s="87"/>
      <c r="HCU8" s="87"/>
      <c r="HCV8" s="87"/>
      <c r="HCW8" s="87"/>
      <c r="HCX8" s="87"/>
      <c r="HCY8" s="87"/>
      <c r="HCZ8" s="87"/>
      <c r="HDA8" s="87"/>
      <c r="HDB8" s="87"/>
      <c r="HDC8" s="87"/>
      <c r="HDD8" s="87"/>
      <c r="HDE8" s="87"/>
      <c r="HDF8" s="87"/>
      <c r="HDG8" s="87"/>
      <c r="HDH8" s="87"/>
      <c r="HDI8" s="87"/>
      <c r="HDJ8" s="87"/>
      <c r="HDK8" s="87"/>
      <c r="HDL8" s="87"/>
      <c r="HDM8" s="87"/>
      <c r="HDN8" s="87"/>
      <c r="HDO8" s="87"/>
      <c r="HDP8" s="87"/>
      <c r="HDQ8" s="87"/>
      <c r="HDR8" s="87"/>
      <c r="HDS8" s="87"/>
      <c r="HDT8" s="87"/>
      <c r="HDU8" s="87"/>
      <c r="HDV8" s="87"/>
      <c r="HDW8" s="87"/>
      <c r="HDX8" s="87"/>
      <c r="HDY8" s="87"/>
      <c r="HDZ8" s="87"/>
      <c r="HEA8" s="87"/>
      <c r="HEB8" s="87"/>
      <c r="HEC8" s="87"/>
      <c r="HED8" s="87"/>
      <c r="HEE8" s="87"/>
      <c r="HEF8" s="87"/>
      <c r="HEG8" s="87"/>
      <c r="HEH8" s="87"/>
      <c r="HEI8" s="87"/>
      <c r="HEJ8" s="87"/>
      <c r="HEK8" s="87"/>
      <c r="HEL8" s="87"/>
      <c r="HEM8" s="87"/>
      <c r="HEN8" s="87"/>
      <c r="HEO8" s="87"/>
      <c r="HEP8" s="87"/>
      <c r="HEQ8" s="87"/>
      <c r="HER8" s="87"/>
      <c r="HES8" s="87"/>
      <c r="HET8" s="87"/>
      <c r="HEU8" s="87"/>
      <c r="HEV8" s="87"/>
      <c r="HEW8" s="87"/>
      <c r="HEX8" s="87"/>
      <c r="HEY8" s="87"/>
      <c r="HEZ8" s="87"/>
      <c r="HFA8" s="87"/>
      <c r="HFB8" s="87"/>
      <c r="HFC8" s="87"/>
      <c r="HFD8" s="87"/>
      <c r="HFE8" s="87"/>
      <c r="HFF8" s="87"/>
      <c r="HFG8" s="87"/>
      <c r="HFH8" s="87"/>
      <c r="HFI8" s="87"/>
      <c r="HFJ8" s="87"/>
      <c r="HFK8" s="87"/>
      <c r="HFL8" s="87"/>
      <c r="HFM8" s="87"/>
      <c r="HFN8" s="87"/>
      <c r="HFO8" s="87"/>
      <c r="HFP8" s="87"/>
      <c r="HFQ8" s="87"/>
      <c r="HFR8" s="87"/>
      <c r="HFS8" s="87"/>
      <c r="HFT8" s="87"/>
      <c r="HFU8" s="87"/>
      <c r="HFV8" s="87"/>
      <c r="HFW8" s="87"/>
      <c r="HFX8" s="87"/>
      <c r="HFY8" s="87"/>
      <c r="HFZ8" s="87"/>
      <c r="HGA8" s="87"/>
      <c r="HGB8" s="87"/>
      <c r="HGC8" s="87"/>
      <c r="HGD8" s="87"/>
      <c r="HGE8" s="87"/>
      <c r="HGF8" s="87"/>
      <c r="HGG8" s="87"/>
      <c r="HGH8" s="87"/>
      <c r="HGI8" s="87"/>
      <c r="HGJ8" s="87"/>
      <c r="HGK8" s="87"/>
      <c r="HGL8" s="87"/>
      <c r="HGM8" s="87"/>
      <c r="HGN8" s="87"/>
      <c r="HGO8" s="87"/>
      <c r="HGP8" s="87"/>
      <c r="HGQ8" s="87"/>
      <c r="HGR8" s="87"/>
      <c r="HGS8" s="87"/>
      <c r="HGT8" s="87"/>
      <c r="HGU8" s="87"/>
      <c r="HGV8" s="87"/>
      <c r="HGW8" s="87"/>
      <c r="HGX8" s="87"/>
      <c r="HGY8" s="87"/>
      <c r="HGZ8" s="87"/>
      <c r="HHA8" s="87"/>
      <c r="HHB8" s="87"/>
      <c r="HHC8" s="87"/>
      <c r="HHD8" s="87"/>
      <c r="HHE8" s="87"/>
      <c r="HHF8" s="87"/>
      <c r="HHG8" s="87"/>
      <c r="HHH8" s="87"/>
      <c r="HHI8" s="87"/>
      <c r="HHJ8" s="87"/>
      <c r="HHK8" s="87"/>
      <c r="HHL8" s="87"/>
      <c r="HHM8" s="87"/>
      <c r="HHN8" s="87"/>
      <c r="HHO8" s="87"/>
      <c r="HHP8" s="87"/>
      <c r="HHQ8" s="87"/>
      <c r="HHR8" s="87"/>
      <c r="HHS8" s="87"/>
      <c r="HHT8" s="87"/>
      <c r="HHU8" s="87"/>
      <c r="HHV8" s="87"/>
      <c r="HHW8" s="87"/>
      <c r="HHX8" s="87"/>
      <c r="HHY8" s="87"/>
      <c r="HHZ8" s="87"/>
      <c r="HIA8" s="87"/>
      <c r="HIB8" s="87"/>
      <c r="HIC8" s="87"/>
      <c r="HID8" s="87"/>
      <c r="HIE8" s="87"/>
      <c r="HIF8" s="87"/>
      <c r="HIG8" s="87"/>
      <c r="HIH8" s="87"/>
      <c r="HII8" s="87"/>
      <c r="HIJ8" s="87"/>
      <c r="HIK8" s="87"/>
      <c r="HIL8" s="87"/>
      <c r="HIM8" s="87"/>
      <c r="HIN8" s="87"/>
      <c r="HIO8" s="87"/>
      <c r="HIP8" s="87"/>
      <c r="HIQ8" s="87"/>
      <c r="HIR8" s="87"/>
      <c r="HIS8" s="87"/>
      <c r="HIT8" s="87"/>
      <c r="HIU8" s="87"/>
      <c r="HIV8" s="87"/>
      <c r="HIW8" s="87"/>
      <c r="HIX8" s="87"/>
      <c r="HIY8" s="87"/>
      <c r="HIZ8" s="87"/>
      <c r="HJA8" s="87"/>
      <c r="HJB8" s="87"/>
      <c r="HJC8" s="87"/>
      <c r="HJD8" s="87"/>
      <c r="HJE8" s="87"/>
      <c r="HJF8" s="87"/>
      <c r="HJG8" s="87"/>
      <c r="HJH8" s="87"/>
      <c r="HJI8" s="87"/>
      <c r="HJJ8" s="87"/>
      <c r="HJK8" s="87"/>
      <c r="HJL8" s="87"/>
      <c r="HJM8" s="87"/>
      <c r="HJN8" s="87"/>
      <c r="HJO8" s="87"/>
      <c r="HJP8" s="87"/>
      <c r="HJQ8" s="87"/>
      <c r="HJR8" s="87"/>
      <c r="HJS8" s="87"/>
      <c r="HJT8" s="87"/>
      <c r="HJU8" s="87"/>
      <c r="HJV8" s="87"/>
      <c r="HJW8" s="87"/>
      <c r="HJX8" s="87"/>
      <c r="HJY8" s="87"/>
      <c r="HJZ8" s="87"/>
      <c r="HKA8" s="87"/>
      <c r="HKB8" s="87"/>
      <c r="HKC8" s="87"/>
      <c r="HKD8" s="87"/>
      <c r="HKE8" s="87"/>
      <c r="HKF8" s="87"/>
      <c r="HKG8" s="87"/>
      <c r="HKH8" s="87"/>
      <c r="HKI8" s="87"/>
      <c r="HKJ8" s="87"/>
      <c r="HKK8" s="87"/>
      <c r="HKL8" s="87"/>
      <c r="HKM8" s="87"/>
      <c r="HKN8" s="87"/>
      <c r="HKO8" s="87"/>
      <c r="HKP8" s="87"/>
      <c r="HKQ8" s="87"/>
      <c r="HKR8" s="87"/>
      <c r="HKS8" s="87"/>
      <c r="HKT8" s="87"/>
      <c r="HKU8" s="87"/>
      <c r="HKV8" s="87"/>
      <c r="HKW8" s="87"/>
      <c r="HKX8" s="87"/>
      <c r="HKY8" s="87"/>
      <c r="HKZ8" s="87"/>
      <c r="HLA8" s="87"/>
      <c r="HLB8" s="87"/>
      <c r="HLC8" s="87"/>
      <c r="HLD8" s="87"/>
      <c r="HLE8" s="87"/>
      <c r="HLF8" s="87"/>
      <c r="HLG8" s="87"/>
      <c r="HLH8" s="87"/>
      <c r="HLI8" s="87"/>
      <c r="HLJ8" s="87"/>
      <c r="HLK8" s="87"/>
      <c r="HLL8" s="87"/>
      <c r="HLM8" s="87"/>
      <c r="HLN8" s="87"/>
      <c r="HLO8" s="87"/>
      <c r="HLP8" s="87"/>
      <c r="HLQ8" s="87"/>
      <c r="HLR8" s="87"/>
      <c r="HLS8" s="87"/>
      <c r="HLT8" s="87"/>
      <c r="HLU8" s="87"/>
      <c r="HLV8" s="87"/>
      <c r="HLW8" s="87"/>
      <c r="HLX8" s="87"/>
      <c r="HLY8" s="87"/>
      <c r="HLZ8" s="87"/>
      <c r="HMA8" s="87"/>
      <c r="HMB8" s="87"/>
      <c r="HMC8" s="87"/>
      <c r="HMD8" s="87"/>
      <c r="HME8" s="87"/>
      <c r="HMF8" s="87"/>
      <c r="HMG8" s="87"/>
      <c r="HMH8" s="87"/>
      <c r="HMI8" s="87"/>
      <c r="HMJ8" s="87"/>
      <c r="HMK8" s="87"/>
      <c r="HML8" s="87"/>
      <c r="HMM8" s="87"/>
      <c r="HMN8" s="87"/>
      <c r="HMO8" s="87"/>
      <c r="HMP8" s="87"/>
      <c r="HMQ8" s="87"/>
      <c r="HMR8" s="87"/>
      <c r="HMS8" s="87"/>
      <c r="HMT8" s="87"/>
      <c r="HMU8" s="87"/>
      <c r="HMV8" s="87"/>
      <c r="HMW8" s="87"/>
      <c r="HMX8" s="87"/>
      <c r="HMY8" s="87"/>
      <c r="HMZ8" s="87"/>
      <c r="HNA8" s="87"/>
      <c r="HNB8" s="87"/>
      <c r="HNC8" s="87"/>
      <c r="HND8" s="87"/>
      <c r="HNE8" s="87"/>
      <c r="HNF8" s="87"/>
      <c r="HNG8" s="87"/>
      <c r="HNH8" s="87"/>
      <c r="HNI8" s="87"/>
      <c r="HNJ8" s="87"/>
      <c r="HNK8" s="87"/>
      <c r="HNL8" s="87"/>
      <c r="HNM8" s="87"/>
      <c r="HNN8" s="87"/>
      <c r="HNO8" s="87"/>
      <c r="HNP8" s="87"/>
      <c r="HNQ8" s="87"/>
      <c r="HNR8" s="87"/>
      <c r="HNS8" s="87"/>
      <c r="HNT8" s="87"/>
      <c r="HNU8" s="87"/>
      <c r="HNV8" s="87"/>
      <c r="HNW8" s="87"/>
      <c r="HNX8" s="87"/>
      <c r="HNY8" s="87"/>
      <c r="HNZ8" s="87"/>
      <c r="HOA8" s="87"/>
      <c r="HOB8" s="87"/>
      <c r="HOC8" s="87"/>
      <c r="HOD8" s="87"/>
      <c r="HOE8" s="87"/>
      <c r="HOF8" s="87"/>
      <c r="HOG8" s="87"/>
      <c r="HOH8" s="87"/>
      <c r="HOI8" s="87"/>
      <c r="HOJ8" s="87"/>
      <c r="HOK8" s="87"/>
      <c r="HOL8" s="87"/>
      <c r="HOM8" s="87"/>
      <c r="HON8" s="87"/>
      <c r="HOO8" s="87"/>
      <c r="HOP8" s="87"/>
      <c r="HOQ8" s="87"/>
      <c r="HOR8" s="87"/>
      <c r="HOS8" s="87"/>
      <c r="HOT8" s="87"/>
      <c r="HOU8" s="87"/>
      <c r="HOV8" s="87"/>
      <c r="HOW8" s="87"/>
      <c r="HOX8" s="87"/>
      <c r="HOY8" s="87"/>
      <c r="HOZ8" s="87"/>
      <c r="HPA8" s="87"/>
      <c r="HPB8" s="87"/>
      <c r="HPC8" s="87"/>
      <c r="HPD8" s="87"/>
      <c r="HPE8" s="87"/>
      <c r="HPF8" s="87"/>
      <c r="HPG8" s="87"/>
      <c r="HPH8" s="87"/>
      <c r="HPI8" s="87"/>
      <c r="HPJ8" s="87"/>
      <c r="HPK8" s="87"/>
      <c r="HPL8" s="87"/>
      <c r="HPM8" s="87"/>
      <c r="HPN8" s="87"/>
      <c r="HPO8" s="87"/>
      <c r="HPP8" s="87"/>
      <c r="HPQ8" s="87"/>
      <c r="HPR8" s="87"/>
      <c r="HPS8" s="87"/>
      <c r="HPT8" s="87"/>
      <c r="HPU8" s="87"/>
      <c r="HPV8" s="87"/>
      <c r="HPW8" s="87"/>
      <c r="HPX8" s="87"/>
      <c r="HPY8" s="87"/>
      <c r="HPZ8" s="87"/>
      <c r="HQA8" s="87"/>
      <c r="HQB8" s="87"/>
      <c r="HQC8" s="87"/>
      <c r="HQD8" s="87"/>
      <c r="HQE8" s="87"/>
      <c r="HQF8" s="87"/>
      <c r="HQG8" s="87"/>
      <c r="HQH8" s="87"/>
      <c r="HQI8" s="87"/>
      <c r="HQJ8" s="87"/>
      <c r="HQK8" s="87"/>
      <c r="HQL8" s="87"/>
      <c r="HQM8" s="87"/>
      <c r="HQN8" s="87"/>
      <c r="HQO8" s="87"/>
      <c r="HQP8" s="87"/>
      <c r="HQQ8" s="87"/>
      <c r="HQR8" s="87"/>
      <c r="HQS8" s="87"/>
      <c r="HQT8" s="87"/>
      <c r="HQU8" s="87"/>
      <c r="HQV8" s="87"/>
      <c r="HQW8" s="87"/>
      <c r="HQX8" s="87"/>
      <c r="HQY8" s="87"/>
      <c r="HQZ8" s="87"/>
      <c r="HRA8" s="87"/>
      <c r="HRB8" s="87"/>
      <c r="HRC8" s="87"/>
      <c r="HRD8" s="87"/>
      <c r="HRE8" s="87"/>
      <c r="HRF8" s="87"/>
      <c r="HRG8" s="87"/>
      <c r="HRH8" s="87"/>
      <c r="HRI8" s="87"/>
      <c r="HRJ8" s="87"/>
      <c r="HRK8" s="87"/>
      <c r="HRL8" s="87"/>
      <c r="HRM8" s="87"/>
      <c r="HRN8" s="87"/>
      <c r="HRO8" s="87"/>
      <c r="HRP8" s="87"/>
      <c r="HRQ8" s="87"/>
      <c r="HRR8" s="87"/>
      <c r="HRS8" s="87"/>
      <c r="HRT8" s="87"/>
      <c r="HRU8" s="87"/>
      <c r="HRV8" s="87"/>
      <c r="HRW8" s="87"/>
      <c r="HRX8" s="87"/>
      <c r="HRY8" s="87"/>
      <c r="HRZ8" s="87"/>
      <c r="HSA8" s="87"/>
      <c r="HSB8" s="87"/>
      <c r="HSC8" s="87"/>
      <c r="HSD8" s="87"/>
      <c r="HSE8" s="87"/>
      <c r="HSF8" s="87"/>
      <c r="HSG8" s="87"/>
      <c r="HSH8" s="87"/>
      <c r="HSI8" s="87"/>
      <c r="HSJ8" s="87"/>
      <c r="HSK8" s="87"/>
      <c r="HSL8" s="87"/>
      <c r="HSM8" s="87"/>
      <c r="HSN8" s="87"/>
      <c r="HSO8" s="87"/>
      <c r="HSP8" s="87"/>
      <c r="HSQ8" s="87"/>
      <c r="HSR8" s="87"/>
      <c r="HSS8" s="87"/>
      <c r="HST8" s="87"/>
      <c r="HSU8" s="87"/>
      <c r="HSV8" s="87"/>
      <c r="HSW8" s="87"/>
      <c r="HSX8" s="87"/>
      <c r="HSY8" s="87"/>
      <c r="HSZ8" s="87"/>
      <c r="HTA8" s="87"/>
      <c r="HTB8" s="87"/>
      <c r="HTC8" s="87"/>
      <c r="HTD8" s="87"/>
      <c r="HTE8" s="87"/>
      <c r="HTF8" s="87"/>
      <c r="HTG8" s="87"/>
      <c r="HTH8" s="87"/>
      <c r="HTI8" s="87"/>
      <c r="HTJ8" s="87"/>
      <c r="HTK8" s="87"/>
      <c r="HTL8" s="87"/>
      <c r="HTM8" s="87"/>
      <c r="HTN8" s="87"/>
      <c r="HTO8" s="87"/>
      <c r="HTP8" s="87"/>
      <c r="HTQ8" s="87"/>
      <c r="HTR8" s="87"/>
      <c r="HTS8" s="87"/>
      <c r="HTT8" s="87"/>
      <c r="HTU8" s="87"/>
      <c r="HTV8" s="87"/>
      <c r="HTW8" s="87"/>
      <c r="HTX8" s="87"/>
      <c r="HTY8" s="87"/>
      <c r="HTZ8" s="87"/>
      <c r="HUA8" s="87"/>
      <c r="HUB8" s="87"/>
      <c r="HUC8" s="87"/>
      <c r="HUD8" s="87"/>
      <c r="HUE8" s="87"/>
      <c r="HUF8" s="87"/>
      <c r="HUG8" s="87"/>
      <c r="HUH8" s="87"/>
      <c r="HUI8" s="87"/>
      <c r="HUJ8" s="87"/>
      <c r="HUK8" s="87"/>
      <c r="HUL8" s="87"/>
      <c r="HUM8" s="87"/>
      <c r="HUN8" s="87"/>
      <c r="HUO8" s="87"/>
      <c r="HUP8" s="87"/>
      <c r="HUQ8" s="87"/>
      <c r="HUR8" s="87"/>
      <c r="HUS8" s="87"/>
      <c r="HUT8" s="87"/>
      <c r="HUU8" s="87"/>
      <c r="HUV8" s="87"/>
      <c r="HUW8" s="87"/>
      <c r="HUX8" s="87"/>
      <c r="HUY8" s="87"/>
      <c r="HUZ8" s="87"/>
      <c r="HVA8" s="87"/>
      <c r="HVB8" s="87"/>
      <c r="HVC8" s="87"/>
      <c r="HVD8" s="87"/>
      <c r="HVE8" s="87"/>
      <c r="HVF8" s="87"/>
      <c r="HVG8" s="87"/>
      <c r="HVH8" s="87"/>
      <c r="HVI8" s="87"/>
      <c r="HVJ8" s="87"/>
      <c r="HVK8" s="87"/>
      <c r="HVL8" s="87"/>
      <c r="HVM8" s="87"/>
      <c r="HVN8" s="87"/>
      <c r="HVO8" s="87"/>
      <c r="HVP8" s="87"/>
      <c r="HVQ8" s="87"/>
      <c r="HVR8" s="87"/>
      <c r="HVS8" s="87"/>
      <c r="HVT8" s="87"/>
      <c r="HVU8" s="87"/>
      <c r="HVV8" s="87"/>
      <c r="HVW8" s="87"/>
      <c r="HVX8" s="87"/>
      <c r="HVY8" s="87"/>
      <c r="HVZ8" s="87"/>
      <c r="HWA8" s="87"/>
      <c r="HWB8" s="87"/>
      <c r="HWC8" s="87"/>
      <c r="HWD8" s="87"/>
      <c r="HWE8" s="87"/>
      <c r="HWF8" s="87"/>
      <c r="HWG8" s="87"/>
      <c r="HWH8" s="87"/>
      <c r="HWI8" s="87"/>
      <c r="HWJ8" s="87"/>
      <c r="HWK8" s="87"/>
      <c r="HWL8" s="87"/>
      <c r="HWM8" s="87"/>
      <c r="HWN8" s="87"/>
      <c r="HWO8" s="87"/>
      <c r="HWP8" s="87"/>
      <c r="HWQ8" s="87"/>
      <c r="HWR8" s="87"/>
      <c r="HWS8" s="87"/>
      <c r="HWT8" s="87"/>
      <c r="HWU8" s="87"/>
      <c r="HWV8" s="87"/>
      <c r="HWW8" s="87"/>
      <c r="HWX8" s="87"/>
      <c r="HWY8" s="87"/>
      <c r="HWZ8" s="87"/>
      <c r="HXA8" s="87"/>
      <c r="HXB8" s="87"/>
      <c r="HXC8" s="87"/>
      <c r="HXD8" s="87"/>
      <c r="HXE8" s="87"/>
      <c r="HXF8" s="87"/>
      <c r="HXG8" s="87"/>
      <c r="HXH8" s="87"/>
      <c r="HXI8" s="87"/>
      <c r="HXJ8" s="87"/>
      <c r="HXK8" s="87"/>
      <c r="HXL8" s="87"/>
      <c r="HXM8" s="87"/>
      <c r="HXN8" s="87"/>
      <c r="HXO8" s="87"/>
      <c r="HXP8" s="87"/>
      <c r="HXQ8" s="87"/>
      <c r="HXR8" s="87"/>
      <c r="HXS8" s="87"/>
      <c r="HXT8" s="87"/>
      <c r="HXU8" s="87"/>
      <c r="HXV8" s="87"/>
      <c r="HXW8" s="87"/>
      <c r="HXX8" s="87"/>
      <c r="HXY8" s="87"/>
      <c r="HXZ8" s="87"/>
      <c r="HYA8" s="87"/>
      <c r="HYB8" s="87"/>
      <c r="HYC8" s="87"/>
      <c r="HYD8" s="87"/>
      <c r="HYE8" s="87"/>
      <c r="HYF8" s="87"/>
      <c r="HYG8" s="87"/>
      <c r="HYH8" s="87"/>
      <c r="HYI8" s="87"/>
      <c r="HYJ8" s="87"/>
      <c r="HYK8" s="87"/>
      <c r="HYL8" s="87"/>
      <c r="HYM8" s="87"/>
      <c r="HYN8" s="87"/>
      <c r="HYO8" s="87"/>
      <c r="HYP8" s="87"/>
      <c r="HYQ8" s="87"/>
      <c r="HYR8" s="87"/>
      <c r="HYS8" s="87"/>
      <c r="HYT8" s="87"/>
      <c r="HYU8" s="87"/>
      <c r="HYV8" s="87"/>
      <c r="HYW8" s="87"/>
      <c r="HYX8" s="87"/>
      <c r="HYY8" s="87"/>
      <c r="HYZ8" s="87"/>
      <c r="HZA8" s="87"/>
      <c r="HZB8" s="87"/>
      <c r="HZC8" s="87"/>
      <c r="HZD8" s="87"/>
      <c r="HZE8" s="87"/>
      <c r="HZF8" s="87"/>
      <c r="HZG8" s="87"/>
      <c r="HZH8" s="87"/>
      <c r="HZI8" s="87"/>
      <c r="HZJ8" s="87"/>
      <c r="HZK8" s="87"/>
      <c r="HZL8" s="87"/>
      <c r="HZM8" s="87"/>
      <c r="HZN8" s="87"/>
      <c r="HZO8" s="87"/>
      <c r="HZP8" s="87"/>
      <c r="HZQ8" s="87"/>
      <c r="HZR8" s="87"/>
      <c r="HZS8" s="87"/>
      <c r="HZT8" s="87"/>
      <c r="HZU8" s="87"/>
      <c r="HZV8" s="87"/>
      <c r="HZW8" s="87"/>
      <c r="HZX8" s="87"/>
      <c r="HZY8" s="87"/>
      <c r="HZZ8" s="87"/>
      <c r="IAA8" s="87"/>
      <c r="IAB8" s="87"/>
      <c r="IAC8" s="87"/>
      <c r="IAD8" s="87"/>
      <c r="IAE8" s="87"/>
      <c r="IAF8" s="87"/>
      <c r="IAG8" s="87"/>
      <c r="IAH8" s="87"/>
      <c r="IAI8" s="87"/>
      <c r="IAJ8" s="87"/>
      <c r="IAK8" s="87"/>
      <c r="IAL8" s="87"/>
      <c r="IAM8" s="87"/>
      <c r="IAN8" s="87"/>
      <c r="IAO8" s="87"/>
      <c r="IAP8" s="87"/>
      <c r="IAQ8" s="87"/>
      <c r="IAR8" s="87"/>
      <c r="IAS8" s="87"/>
      <c r="IAT8" s="87"/>
      <c r="IAU8" s="87"/>
      <c r="IAV8" s="87"/>
      <c r="IAW8" s="87"/>
      <c r="IAX8" s="87"/>
      <c r="IAY8" s="87"/>
      <c r="IAZ8" s="87"/>
      <c r="IBA8" s="87"/>
      <c r="IBB8" s="87"/>
      <c r="IBC8" s="87"/>
      <c r="IBD8" s="87"/>
      <c r="IBE8" s="87"/>
      <c r="IBF8" s="87"/>
      <c r="IBG8" s="87"/>
      <c r="IBH8" s="87"/>
      <c r="IBI8" s="87"/>
      <c r="IBJ8" s="87"/>
      <c r="IBK8" s="87"/>
      <c r="IBL8" s="87"/>
      <c r="IBM8" s="87"/>
      <c r="IBN8" s="87"/>
      <c r="IBO8" s="87"/>
      <c r="IBP8" s="87"/>
      <c r="IBQ8" s="87"/>
      <c r="IBR8" s="87"/>
      <c r="IBS8" s="87"/>
      <c r="IBT8" s="87"/>
      <c r="IBU8" s="87"/>
      <c r="IBV8" s="87"/>
      <c r="IBW8" s="87"/>
      <c r="IBX8" s="87"/>
      <c r="IBY8" s="87"/>
      <c r="IBZ8" s="87"/>
      <c r="ICA8" s="87"/>
      <c r="ICB8" s="87"/>
      <c r="ICC8" s="87"/>
      <c r="ICD8" s="87"/>
      <c r="ICE8" s="87"/>
      <c r="ICF8" s="87"/>
      <c r="ICG8" s="87"/>
      <c r="ICH8" s="87"/>
      <c r="ICI8" s="87"/>
      <c r="ICJ8" s="87"/>
      <c r="ICK8" s="87"/>
      <c r="ICL8" s="87"/>
      <c r="ICM8" s="87"/>
      <c r="ICN8" s="87"/>
      <c r="ICO8" s="87"/>
      <c r="ICP8" s="87"/>
      <c r="ICQ8" s="87"/>
      <c r="ICR8" s="87"/>
      <c r="ICS8" s="87"/>
      <c r="ICT8" s="87"/>
      <c r="ICU8" s="87"/>
      <c r="ICV8" s="87"/>
      <c r="ICW8" s="87"/>
      <c r="ICX8" s="87"/>
      <c r="ICY8" s="87"/>
      <c r="ICZ8" s="87"/>
      <c r="IDA8" s="87"/>
      <c r="IDB8" s="87"/>
      <c r="IDC8" s="87"/>
      <c r="IDD8" s="87"/>
      <c r="IDE8" s="87"/>
      <c r="IDF8" s="87"/>
      <c r="IDG8" s="87"/>
      <c r="IDH8" s="87"/>
      <c r="IDI8" s="87"/>
      <c r="IDJ8" s="87"/>
      <c r="IDK8" s="87"/>
      <c r="IDL8" s="87"/>
      <c r="IDM8" s="87"/>
      <c r="IDN8" s="87"/>
      <c r="IDO8" s="87"/>
      <c r="IDP8" s="87"/>
      <c r="IDQ8" s="87"/>
      <c r="IDR8" s="87"/>
      <c r="IDS8" s="87"/>
      <c r="IDT8" s="87"/>
      <c r="IDU8" s="87"/>
      <c r="IDV8" s="87"/>
      <c r="IDW8" s="87"/>
      <c r="IDX8" s="87"/>
      <c r="IDY8" s="87"/>
      <c r="IDZ8" s="87"/>
      <c r="IEA8" s="87"/>
      <c r="IEB8" s="87"/>
      <c r="IEC8" s="87"/>
      <c r="IED8" s="87"/>
      <c r="IEE8" s="87"/>
      <c r="IEF8" s="87"/>
      <c r="IEG8" s="87"/>
      <c r="IEH8" s="87"/>
      <c r="IEI8" s="87"/>
      <c r="IEJ8" s="87"/>
      <c r="IEK8" s="87"/>
      <c r="IEL8" s="87"/>
      <c r="IEM8" s="87"/>
      <c r="IEN8" s="87"/>
      <c r="IEO8" s="87"/>
      <c r="IEP8" s="87"/>
      <c r="IEQ8" s="87"/>
      <c r="IER8" s="87"/>
      <c r="IES8" s="87"/>
      <c r="IET8" s="87"/>
      <c r="IEU8" s="87"/>
      <c r="IEV8" s="87"/>
      <c r="IEW8" s="87"/>
      <c r="IEX8" s="87"/>
      <c r="IEY8" s="87"/>
      <c r="IEZ8" s="87"/>
      <c r="IFA8" s="87"/>
      <c r="IFB8" s="87"/>
      <c r="IFC8" s="87"/>
      <c r="IFD8" s="87"/>
      <c r="IFE8" s="87"/>
      <c r="IFF8" s="87"/>
      <c r="IFG8" s="87"/>
      <c r="IFH8" s="87"/>
      <c r="IFI8" s="87"/>
      <c r="IFJ8" s="87"/>
      <c r="IFK8" s="87"/>
      <c r="IFL8" s="87"/>
      <c r="IFM8" s="87"/>
      <c r="IFN8" s="87"/>
      <c r="IFO8" s="87"/>
      <c r="IFP8" s="87"/>
      <c r="IFQ8" s="87"/>
      <c r="IFR8" s="87"/>
      <c r="IFS8" s="87"/>
      <c r="IFT8" s="87"/>
      <c r="IFU8" s="87"/>
      <c r="IFV8" s="87"/>
      <c r="IFW8" s="87"/>
      <c r="IFX8" s="87"/>
      <c r="IFY8" s="87"/>
      <c r="IFZ8" s="87"/>
      <c r="IGA8" s="87"/>
      <c r="IGB8" s="87"/>
      <c r="IGC8" s="87"/>
      <c r="IGD8" s="87"/>
      <c r="IGE8" s="87"/>
      <c r="IGF8" s="87"/>
      <c r="IGG8" s="87"/>
      <c r="IGH8" s="87"/>
      <c r="IGI8" s="87"/>
      <c r="IGJ8" s="87"/>
      <c r="IGK8" s="87"/>
      <c r="IGL8" s="87"/>
      <c r="IGM8" s="87"/>
      <c r="IGN8" s="87"/>
      <c r="IGO8" s="87"/>
      <c r="IGP8" s="87"/>
      <c r="IGQ8" s="87"/>
      <c r="IGR8" s="87"/>
      <c r="IGS8" s="87"/>
      <c r="IGT8" s="87"/>
      <c r="IGU8" s="87"/>
      <c r="IGV8" s="87"/>
      <c r="IGW8" s="87"/>
      <c r="IGX8" s="87"/>
      <c r="IGY8" s="87"/>
      <c r="IGZ8" s="87"/>
      <c r="IHA8" s="87"/>
      <c r="IHB8" s="87"/>
      <c r="IHC8" s="87"/>
      <c r="IHD8" s="87"/>
      <c r="IHE8" s="87"/>
      <c r="IHF8" s="87"/>
      <c r="IHG8" s="87"/>
      <c r="IHH8" s="87"/>
      <c r="IHI8" s="87"/>
      <c r="IHJ8" s="87"/>
      <c r="IHK8" s="87"/>
      <c r="IHL8" s="87"/>
      <c r="IHM8" s="87"/>
      <c r="IHN8" s="87"/>
      <c r="IHO8" s="87"/>
      <c r="IHP8" s="87"/>
      <c r="IHQ8" s="87"/>
      <c r="IHR8" s="87"/>
      <c r="IHS8" s="87"/>
      <c r="IHT8" s="87"/>
      <c r="IHU8" s="87"/>
      <c r="IHV8" s="87"/>
      <c r="IHW8" s="87"/>
      <c r="IHX8" s="87"/>
      <c r="IHY8" s="87"/>
      <c r="IHZ8" s="87"/>
      <c r="IIA8" s="87"/>
      <c r="IIB8" s="87"/>
      <c r="IIC8" s="87"/>
      <c r="IID8" s="87"/>
      <c r="IIE8" s="87"/>
      <c r="IIF8" s="87"/>
      <c r="IIG8" s="87"/>
      <c r="IIH8" s="87"/>
      <c r="III8" s="87"/>
      <c r="IIJ8" s="87"/>
      <c r="IIK8" s="87"/>
      <c r="IIL8" s="87"/>
      <c r="IIM8" s="87"/>
      <c r="IIN8" s="87"/>
      <c r="IIO8" s="87"/>
      <c r="IIP8" s="87"/>
      <c r="IIQ8" s="87"/>
      <c r="IIR8" s="87"/>
      <c r="IIS8" s="87"/>
      <c r="IIT8" s="87"/>
      <c r="IIU8" s="87"/>
      <c r="IIV8" s="87"/>
      <c r="IIW8" s="87"/>
      <c r="IIX8" s="87"/>
      <c r="IIY8" s="87"/>
      <c r="IIZ8" s="87"/>
      <c r="IJA8" s="87"/>
      <c r="IJB8" s="87"/>
      <c r="IJC8" s="87"/>
      <c r="IJD8" s="87"/>
      <c r="IJE8" s="87"/>
      <c r="IJF8" s="87"/>
      <c r="IJG8" s="87"/>
      <c r="IJH8" s="87"/>
      <c r="IJI8" s="87"/>
      <c r="IJJ8" s="87"/>
      <c r="IJK8" s="87"/>
      <c r="IJL8" s="87"/>
      <c r="IJM8" s="87"/>
      <c r="IJN8" s="87"/>
      <c r="IJO8" s="87"/>
      <c r="IJP8" s="87"/>
      <c r="IJQ8" s="87"/>
      <c r="IJR8" s="87"/>
      <c r="IJS8" s="87"/>
      <c r="IJT8" s="87"/>
      <c r="IJU8" s="87"/>
      <c r="IJV8" s="87"/>
      <c r="IJW8" s="87"/>
      <c r="IJX8" s="87"/>
      <c r="IJY8" s="87"/>
      <c r="IJZ8" s="87"/>
      <c r="IKA8" s="87"/>
      <c r="IKB8" s="87"/>
      <c r="IKC8" s="87"/>
      <c r="IKD8" s="87"/>
      <c r="IKE8" s="87"/>
      <c r="IKF8" s="87"/>
      <c r="IKG8" s="87"/>
      <c r="IKH8" s="87"/>
      <c r="IKI8" s="87"/>
      <c r="IKJ8" s="87"/>
      <c r="IKK8" s="87"/>
      <c r="IKL8" s="87"/>
      <c r="IKM8" s="87"/>
      <c r="IKN8" s="87"/>
      <c r="IKO8" s="87"/>
      <c r="IKP8" s="87"/>
      <c r="IKQ8" s="87"/>
      <c r="IKR8" s="87"/>
      <c r="IKS8" s="87"/>
      <c r="IKT8" s="87"/>
      <c r="IKU8" s="87"/>
      <c r="IKV8" s="87"/>
      <c r="IKW8" s="87"/>
      <c r="IKX8" s="87"/>
      <c r="IKY8" s="87"/>
      <c r="IKZ8" s="87"/>
      <c r="ILA8" s="87"/>
      <c r="ILB8" s="87"/>
      <c r="ILC8" s="87"/>
      <c r="ILD8" s="87"/>
      <c r="ILE8" s="87"/>
      <c r="ILF8" s="87"/>
      <c r="ILG8" s="87"/>
      <c r="ILH8" s="87"/>
      <c r="ILI8" s="87"/>
      <c r="ILJ8" s="87"/>
      <c r="ILK8" s="87"/>
      <c r="ILL8" s="87"/>
      <c r="ILM8" s="87"/>
      <c r="ILN8" s="87"/>
      <c r="ILO8" s="87"/>
      <c r="ILP8" s="87"/>
      <c r="ILQ8" s="87"/>
      <c r="ILR8" s="87"/>
      <c r="ILS8" s="87"/>
      <c r="ILT8" s="87"/>
      <c r="ILU8" s="87"/>
      <c r="ILV8" s="87"/>
      <c r="ILW8" s="87"/>
      <c r="ILX8" s="87"/>
      <c r="ILY8" s="87"/>
      <c r="ILZ8" s="87"/>
      <c r="IMA8" s="87"/>
      <c r="IMB8" s="87"/>
      <c r="IMC8" s="87"/>
      <c r="IMD8" s="87"/>
      <c r="IME8" s="87"/>
      <c r="IMF8" s="87"/>
      <c r="IMG8" s="87"/>
      <c r="IMH8" s="87"/>
      <c r="IMI8" s="87"/>
      <c r="IMJ8" s="87"/>
      <c r="IMK8" s="87"/>
      <c r="IML8" s="87"/>
      <c r="IMM8" s="87"/>
      <c r="IMN8" s="87"/>
      <c r="IMO8" s="87"/>
      <c r="IMP8" s="87"/>
      <c r="IMQ8" s="87"/>
      <c r="IMR8" s="87"/>
      <c r="IMS8" s="87"/>
      <c r="IMT8" s="87"/>
      <c r="IMU8" s="87"/>
      <c r="IMV8" s="87"/>
      <c r="IMW8" s="87"/>
      <c r="IMX8" s="87"/>
      <c r="IMY8" s="87"/>
      <c r="IMZ8" s="87"/>
      <c r="INA8" s="87"/>
      <c r="INB8" s="87"/>
      <c r="INC8" s="87"/>
      <c r="IND8" s="87"/>
      <c r="INE8" s="87"/>
      <c r="INF8" s="87"/>
      <c r="ING8" s="87"/>
      <c r="INH8" s="87"/>
      <c r="INI8" s="87"/>
      <c r="INJ8" s="87"/>
      <c r="INK8" s="87"/>
      <c r="INL8" s="87"/>
      <c r="INM8" s="87"/>
      <c r="INN8" s="87"/>
      <c r="INO8" s="87"/>
      <c r="INP8" s="87"/>
      <c r="INQ8" s="87"/>
      <c r="INR8" s="87"/>
      <c r="INS8" s="87"/>
      <c r="INT8" s="87"/>
      <c r="INU8" s="87"/>
      <c r="INV8" s="87"/>
      <c r="INW8" s="87"/>
      <c r="INX8" s="87"/>
      <c r="INY8" s="87"/>
      <c r="INZ8" s="87"/>
      <c r="IOA8" s="87"/>
      <c r="IOB8" s="87"/>
      <c r="IOC8" s="87"/>
      <c r="IOD8" s="87"/>
      <c r="IOE8" s="87"/>
      <c r="IOF8" s="87"/>
      <c r="IOG8" s="87"/>
      <c r="IOH8" s="87"/>
      <c r="IOI8" s="87"/>
      <c r="IOJ8" s="87"/>
      <c r="IOK8" s="87"/>
      <c r="IOL8" s="87"/>
      <c r="IOM8" s="87"/>
      <c r="ION8" s="87"/>
      <c r="IOO8" s="87"/>
      <c r="IOP8" s="87"/>
      <c r="IOQ8" s="87"/>
      <c r="IOR8" s="87"/>
      <c r="IOS8" s="87"/>
      <c r="IOT8" s="87"/>
      <c r="IOU8" s="87"/>
      <c r="IOV8" s="87"/>
      <c r="IOW8" s="87"/>
      <c r="IOX8" s="87"/>
      <c r="IOY8" s="87"/>
      <c r="IOZ8" s="87"/>
      <c r="IPA8" s="87"/>
      <c r="IPB8" s="87"/>
      <c r="IPC8" s="87"/>
      <c r="IPD8" s="87"/>
      <c r="IPE8" s="87"/>
      <c r="IPF8" s="87"/>
      <c r="IPG8" s="87"/>
      <c r="IPH8" s="87"/>
      <c r="IPI8" s="87"/>
      <c r="IPJ8" s="87"/>
      <c r="IPK8" s="87"/>
      <c r="IPL8" s="87"/>
      <c r="IPM8" s="87"/>
      <c r="IPN8" s="87"/>
      <c r="IPO8" s="87"/>
      <c r="IPP8" s="87"/>
      <c r="IPQ8" s="87"/>
      <c r="IPR8" s="87"/>
      <c r="IPS8" s="87"/>
      <c r="IPT8" s="87"/>
      <c r="IPU8" s="87"/>
      <c r="IPV8" s="87"/>
      <c r="IPW8" s="87"/>
      <c r="IPX8" s="87"/>
      <c r="IPY8" s="87"/>
      <c r="IPZ8" s="87"/>
      <c r="IQA8" s="87"/>
      <c r="IQB8" s="87"/>
      <c r="IQC8" s="87"/>
      <c r="IQD8" s="87"/>
      <c r="IQE8" s="87"/>
      <c r="IQF8" s="87"/>
      <c r="IQG8" s="87"/>
      <c r="IQH8" s="87"/>
      <c r="IQI8" s="87"/>
      <c r="IQJ8" s="87"/>
      <c r="IQK8" s="87"/>
      <c r="IQL8" s="87"/>
      <c r="IQM8" s="87"/>
      <c r="IQN8" s="87"/>
      <c r="IQO8" s="87"/>
      <c r="IQP8" s="87"/>
      <c r="IQQ8" s="87"/>
      <c r="IQR8" s="87"/>
      <c r="IQS8" s="87"/>
      <c r="IQT8" s="87"/>
      <c r="IQU8" s="87"/>
      <c r="IQV8" s="87"/>
      <c r="IQW8" s="87"/>
      <c r="IQX8" s="87"/>
      <c r="IQY8" s="87"/>
      <c r="IQZ8" s="87"/>
      <c r="IRA8" s="87"/>
      <c r="IRB8" s="87"/>
      <c r="IRC8" s="87"/>
      <c r="IRD8" s="87"/>
      <c r="IRE8" s="87"/>
      <c r="IRF8" s="87"/>
      <c r="IRG8" s="87"/>
      <c r="IRH8" s="87"/>
      <c r="IRI8" s="87"/>
      <c r="IRJ8" s="87"/>
      <c r="IRK8" s="87"/>
      <c r="IRL8" s="87"/>
      <c r="IRM8" s="87"/>
      <c r="IRN8" s="87"/>
      <c r="IRO8" s="87"/>
      <c r="IRP8" s="87"/>
      <c r="IRQ8" s="87"/>
      <c r="IRR8" s="87"/>
      <c r="IRS8" s="87"/>
      <c r="IRT8" s="87"/>
      <c r="IRU8" s="87"/>
      <c r="IRV8" s="87"/>
      <c r="IRW8" s="87"/>
      <c r="IRX8" s="87"/>
      <c r="IRY8" s="87"/>
      <c r="IRZ8" s="87"/>
      <c r="ISA8" s="87"/>
      <c r="ISB8" s="87"/>
      <c r="ISC8" s="87"/>
      <c r="ISD8" s="87"/>
      <c r="ISE8" s="87"/>
      <c r="ISF8" s="87"/>
      <c r="ISG8" s="87"/>
      <c r="ISH8" s="87"/>
      <c r="ISI8" s="87"/>
      <c r="ISJ8" s="87"/>
      <c r="ISK8" s="87"/>
      <c r="ISL8" s="87"/>
      <c r="ISM8" s="87"/>
      <c r="ISN8" s="87"/>
      <c r="ISO8" s="87"/>
      <c r="ISP8" s="87"/>
      <c r="ISQ8" s="87"/>
      <c r="ISR8" s="87"/>
      <c r="ISS8" s="87"/>
      <c r="IST8" s="87"/>
      <c r="ISU8" s="87"/>
      <c r="ISV8" s="87"/>
      <c r="ISW8" s="87"/>
      <c r="ISX8" s="87"/>
      <c r="ISY8" s="87"/>
      <c r="ISZ8" s="87"/>
      <c r="ITA8" s="87"/>
      <c r="ITB8" s="87"/>
      <c r="ITC8" s="87"/>
      <c r="ITD8" s="87"/>
      <c r="ITE8" s="87"/>
      <c r="ITF8" s="87"/>
      <c r="ITG8" s="87"/>
      <c r="ITH8" s="87"/>
      <c r="ITI8" s="87"/>
      <c r="ITJ8" s="87"/>
      <c r="ITK8" s="87"/>
      <c r="ITL8" s="87"/>
      <c r="ITM8" s="87"/>
      <c r="ITN8" s="87"/>
      <c r="ITO8" s="87"/>
      <c r="ITP8" s="87"/>
      <c r="ITQ8" s="87"/>
      <c r="ITR8" s="87"/>
      <c r="ITS8" s="87"/>
      <c r="ITT8" s="87"/>
      <c r="ITU8" s="87"/>
      <c r="ITV8" s="87"/>
      <c r="ITW8" s="87"/>
      <c r="ITX8" s="87"/>
      <c r="ITY8" s="87"/>
      <c r="ITZ8" s="87"/>
      <c r="IUA8" s="87"/>
      <c r="IUB8" s="87"/>
      <c r="IUC8" s="87"/>
      <c r="IUD8" s="87"/>
      <c r="IUE8" s="87"/>
      <c r="IUF8" s="87"/>
      <c r="IUG8" s="87"/>
      <c r="IUH8" s="87"/>
      <c r="IUI8" s="87"/>
      <c r="IUJ8" s="87"/>
      <c r="IUK8" s="87"/>
      <c r="IUL8" s="87"/>
      <c r="IUM8" s="87"/>
      <c r="IUN8" s="87"/>
      <c r="IUO8" s="87"/>
      <c r="IUP8" s="87"/>
      <c r="IUQ8" s="87"/>
      <c r="IUR8" s="87"/>
      <c r="IUS8" s="87"/>
      <c r="IUT8" s="87"/>
      <c r="IUU8" s="87"/>
      <c r="IUV8" s="87"/>
      <c r="IUW8" s="87"/>
      <c r="IUX8" s="87"/>
      <c r="IUY8" s="87"/>
      <c r="IUZ8" s="87"/>
      <c r="IVA8" s="87"/>
      <c r="IVB8" s="87"/>
      <c r="IVC8" s="87"/>
      <c r="IVD8" s="87"/>
      <c r="IVE8" s="87"/>
      <c r="IVF8" s="87"/>
      <c r="IVG8" s="87"/>
      <c r="IVH8" s="87"/>
      <c r="IVI8" s="87"/>
      <c r="IVJ8" s="87"/>
      <c r="IVK8" s="87"/>
      <c r="IVL8" s="87"/>
      <c r="IVM8" s="87"/>
      <c r="IVN8" s="87"/>
      <c r="IVO8" s="87"/>
      <c r="IVP8" s="87"/>
      <c r="IVQ8" s="87"/>
      <c r="IVR8" s="87"/>
      <c r="IVS8" s="87"/>
      <c r="IVT8" s="87"/>
      <c r="IVU8" s="87"/>
      <c r="IVV8" s="87"/>
      <c r="IVW8" s="87"/>
      <c r="IVX8" s="87"/>
      <c r="IVY8" s="87"/>
      <c r="IVZ8" s="87"/>
      <c r="IWA8" s="87"/>
      <c r="IWB8" s="87"/>
      <c r="IWC8" s="87"/>
      <c r="IWD8" s="87"/>
      <c r="IWE8" s="87"/>
      <c r="IWF8" s="87"/>
      <c r="IWG8" s="87"/>
      <c r="IWH8" s="87"/>
      <c r="IWI8" s="87"/>
      <c r="IWJ8" s="87"/>
      <c r="IWK8" s="87"/>
      <c r="IWL8" s="87"/>
      <c r="IWM8" s="87"/>
      <c r="IWN8" s="87"/>
      <c r="IWO8" s="87"/>
      <c r="IWP8" s="87"/>
      <c r="IWQ8" s="87"/>
      <c r="IWR8" s="87"/>
      <c r="IWS8" s="87"/>
      <c r="IWT8" s="87"/>
      <c r="IWU8" s="87"/>
      <c r="IWV8" s="87"/>
      <c r="IWW8" s="87"/>
      <c r="IWX8" s="87"/>
      <c r="IWY8" s="87"/>
      <c r="IWZ8" s="87"/>
      <c r="IXA8" s="87"/>
      <c r="IXB8" s="87"/>
      <c r="IXC8" s="87"/>
      <c r="IXD8" s="87"/>
      <c r="IXE8" s="87"/>
      <c r="IXF8" s="87"/>
      <c r="IXG8" s="87"/>
      <c r="IXH8" s="87"/>
      <c r="IXI8" s="87"/>
      <c r="IXJ8" s="87"/>
      <c r="IXK8" s="87"/>
      <c r="IXL8" s="87"/>
      <c r="IXM8" s="87"/>
      <c r="IXN8" s="87"/>
      <c r="IXO8" s="87"/>
      <c r="IXP8" s="87"/>
      <c r="IXQ8" s="87"/>
      <c r="IXR8" s="87"/>
      <c r="IXS8" s="87"/>
      <c r="IXT8" s="87"/>
      <c r="IXU8" s="87"/>
      <c r="IXV8" s="87"/>
      <c r="IXW8" s="87"/>
      <c r="IXX8" s="87"/>
      <c r="IXY8" s="87"/>
      <c r="IXZ8" s="87"/>
      <c r="IYA8" s="87"/>
      <c r="IYB8" s="87"/>
      <c r="IYC8" s="87"/>
      <c r="IYD8" s="87"/>
      <c r="IYE8" s="87"/>
      <c r="IYF8" s="87"/>
      <c r="IYG8" s="87"/>
      <c r="IYH8" s="87"/>
      <c r="IYI8" s="87"/>
      <c r="IYJ8" s="87"/>
      <c r="IYK8" s="87"/>
      <c r="IYL8" s="87"/>
      <c r="IYM8" s="87"/>
      <c r="IYN8" s="87"/>
      <c r="IYO8" s="87"/>
      <c r="IYP8" s="87"/>
      <c r="IYQ8" s="87"/>
      <c r="IYR8" s="87"/>
      <c r="IYS8" s="87"/>
      <c r="IYT8" s="87"/>
      <c r="IYU8" s="87"/>
      <c r="IYV8" s="87"/>
      <c r="IYW8" s="87"/>
      <c r="IYX8" s="87"/>
      <c r="IYY8" s="87"/>
      <c r="IYZ8" s="87"/>
      <c r="IZA8" s="87"/>
      <c r="IZB8" s="87"/>
      <c r="IZC8" s="87"/>
      <c r="IZD8" s="87"/>
      <c r="IZE8" s="87"/>
      <c r="IZF8" s="87"/>
      <c r="IZG8" s="87"/>
      <c r="IZH8" s="87"/>
      <c r="IZI8" s="87"/>
      <c r="IZJ8" s="87"/>
      <c r="IZK8" s="87"/>
      <c r="IZL8" s="87"/>
      <c r="IZM8" s="87"/>
      <c r="IZN8" s="87"/>
      <c r="IZO8" s="87"/>
      <c r="IZP8" s="87"/>
      <c r="IZQ8" s="87"/>
      <c r="IZR8" s="87"/>
      <c r="IZS8" s="87"/>
      <c r="IZT8" s="87"/>
      <c r="IZU8" s="87"/>
      <c r="IZV8" s="87"/>
      <c r="IZW8" s="87"/>
      <c r="IZX8" s="87"/>
      <c r="IZY8" s="87"/>
      <c r="IZZ8" s="87"/>
      <c r="JAA8" s="87"/>
      <c r="JAB8" s="87"/>
      <c r="JAC8" s="87"/>
      <c r="JAD8" s="87"/>
      <c r="JAE8" s="87"/>
      <c r="JAF8" s="87"/>
      <c r="JAG8" s="87"/>
      <c r="JAH8" s="87"/>
      <c r="JAI8" s="87"/>
      <c r="JAJ8" s="87"/>
      <c r="JAK8" s="87"/>
      <c r="JAL8" s="87"/>
      <c r="JAM8" s="87"/>
      <c r="JAN8" s="87"/>
      <c r="JAO8" s="87"/>
      <c r="JAP8" s="87"/>
      <c r="JAQ8" s="87"/>
      <c r="JAR8" s="87"/>
      <c r="JAS8" s="87"/>
      <c r="JAT8" s="87"/>
      <c r="JAU8" s="87"/>
      <c r="JAV8" s="87"/>
      <c r="JAW8" s="87"/>
      <c r="JAX8" s="87"/>
      <c r="JAY8" s="87"/>
      <c r="JAZ8" s="87"/>
      <c r="JBA8" s="87"/>
      <c r="JBB8" s="87"/>
      <c r="JBC8" s="87"/>
      <c r="JBD8" s="87"/>
      <c r="JBE8" s="87"/>
      <c r="JBF8" s="87"/>
      <c r="JBG8" s="87"/>
      <c r="JBH8" s="87"/>
      <c r="JBI8" s="87"/>
      <c r="JBJ8" s="87"/>
      <c r="JBK8" s="87"/>
      <c r="JBL8" s="87"/>
      <c r="JBM8" s="87"/>
      <c r="JBN8" s="87"/>
      <c r="JBO8" s="87"/>
      <c r="JBP8" s="87"/>
      <c r="JBQ8" s="87"/>
      <c r="JBR8" s="87"/>
      <c r="JBS8" s="87"/>
      <c r="JBT8" s="87"/>
      <c r="JBU8" s="87"/>
      <c r="JBV8" s="87"/>
      <c r="JBW8" s="87"/>
      <c r="JBX8" s="87"/>
      <c r="JBY8" s="87"/>
      <c r="JBZ8" s="87"/>
      <c r="JCA8" s="87"/>
      <c r="JCB8" s="87"/>
      <c r="JCC8" s="87"/>
      <c r="JCD8" s="87"/>
      <c r="JCE8" s="87"/>
      <c r="JCF8" s="87"/>
      <c r="JCG8" s="87"/>
      <c r="JCH8" s="87"/>
      <c r="JCI8" s="87"/>
      <c r="JCJ8" s="87"/>
      <c r="JCK8" s="87"/>
      <c r="JCL8" s="87"/>
      <c r="JCM8" s="87"/>
      <c r="JCN8" s="87"/>
      <c r="JCO8" s="87"/>
      <c r="JCP8" s="87"/>
      <c r="JCQ8" s="87"/>
      <c r="JCR8" s="87"/>
      <c r="JCS8" s="87"/>
      <c r="JCT8" s="87"/>
      <c r="JCU8" s="87"/>
      <c r="JCV8" s="87"/>
      <c r="JCW8" s="87"/>
      <c r="JCX8" s="87"/>
      <c r="JCY8" s="87"/>
      <c r="JCZ8" s="87"/>
      <c r="JDA8" s="87"/>
      <c r="JDB8" s="87"/>
      <c r="JDC8" s="87"/>
      <c r="JDD8" s="87"/>
      <c r="JDE8" s="87"/>
      <c r="JDF8" s="87"/>
      <c r="JDG8" s="87"/>
      <c r="JDH8" s="87"/>
      <c r="JDI8" s="87"/>
      <c r="JDJ8" s="87"/>
      <c r="JDK8" s="87"/>
      <c r="JDL8" s="87"/>
      <c r="JDM8" s="87"/>
      <c r="JDN8" s="87"/>
      <c r="JDO8" s="87"/>
      <c r="JDP8" s="87"/>
      <c r="JDQ8" s="87"/>
      <c r="JDR8" s="87"/>
      <c r="JDS8" s="87"/>
      <c r="JDT8" s="87"/>
      <c r="JDU8" s="87"/>
      <c r="JDV8" s="87"/>
      <c r="JDW8" s="87"/>
      <c r="JDX8" s="87"/>
      <c r="JDY8" s="87"/>
      <c r="JDZ8" s="87"/>
      <c r="JEA8" s="87"/>
      <c r="JEB8" s="87"/>
      <c r="JEC8" s="87"/>
      <c r="JED8" s="87"/>
      <c r="JEE8" s="87"/>
      <c r="JEF8" s="87"/>
      <c r="JEG8" s="87"/>
      <c r="JEH8" s="87"/>
      <c r="JEI8" s="87"/>
      <c r="JEJ8" s="87"/>
      <c r="JEK8" s="87"/>
      <c r="JEL8" s="87"/>
      <c r="JEM8" s="87"/>
      <c r="JEN8" s="87"/>
      <c r="JEO8" s="87"/>
      <c r="JEP8" s="87"/>
      <c r="JEQ8" s="87"/>
      <c r="JER8" s="87"/>
      <c r="JES8" s="87"/>
      <c r="JET8" s="87"/>
      <c r="JEU8" s="87"/>
      <c r="JEV8" s="87"/>
      <c r="JEW8" s="87"/>
      <c r="JEX8" s="87"/>
      <c r="JEY8" s="87"/>
      <c r="JEZ8" s="87"/>
      <c r="JFA8" s="87"/>
      <c r="JFB8" s="87"/>
      <c r="JFC8" s="87"/>
      <c r="JFD8" s="87"/>
      <c r="JFE8" s="87"/>
      <c r="JFF8" s="87"/>
      <c r="JFG8" s="87"/>
      <c r="JFH8" s="87"/>
      <c r="JFI8" s="87"/>
      <c r="JFJ8" s="87"/>
      <c r="JFK8" s="87"/>
      <c r="JFL8" s="87"/>
      <c r="JFM8" s="87"/>
      <c r="JFN8" s="87"/>
      <c r="JFO8" s="87"/>
      <c r="JFP8" s="87"/>
      <c r="JFQ8" s="87"/>
      <c r="JFR8" s="87"/>
      <c r="JFS8" s="87"/>
      <c r="JFT8" s="87"/>
      <c r="JFU8" s="87"/>
      <c r="JFV8" s="87"/>
      <c r="JFW8" s="87"/>
      <c r="JFX8" s="87"/>
      <c r="JFY8" s="87"/>
      <c r="JFZ8" s="87"/>
      <c r="JGA8" s="87"/>
      <c r="JGB8" s="87"/>
      <c r="JGC8" s="87"/>
      <c r="JGD8" s="87"/>
      <c r="JGE8" s="87"/>
      <c r="JGF8" s="87"/>
      <c r="JGG8" s="87"/>
      <c r="JGH8" s="87"/>
      <c r="JGI8" s="87"/>
      <c r="JGJ8" s="87"/>
      <c r="JGK8" s="87"/>
      <c r="JGL8" s="87"/>
      <c r="JGM8" s="87"/>
      <c r="JGN8" s="87"/>
      <c r="JGO8" s="87"/>
      <c r="JGP8" s="87"/>
      <c r="JGQ8" s="87"/>
      <c r="JGR8" s="87"/>
      <c r="JGS8" s="87"/>
      <c r="JGT8" s="87"/>
      <c r="JGU8" s="87"/>
      <c r="JGV8" s="87"/>
      <c r="JGW8" s="87"/>
      <c r="JGX8" s="87"/>
      <c r="JGY8" s="87"/>
      <c r="JGZ8" s="87"/>
      <c r="JHA8" s="87"/>
      <c r="JHB8" s="87"/>
      <c r="JHC8" s="87"/>
      <c r="JHD8" s="87"/>
      <c r="JHE8" s="87"/>
      <c r="JHF8" s="87"/>
      <c r="JHG8" s="87"/>
      <c r="JHH8" s="87"/>
      <c r="JHI8" s="87"/>
      <c r="JHJ8" s="87"/>
      <c r="JHK8" s="87"/>
      <c r="JHL8" s="87"/>
      <c r="JHM8" s="87"/>
      <c r="JHN8" s="87"/>
      <c r="JHO8" s="87"/>
      <c r="JHP8" s="87"/>
      <c r="JHQ8" s="87"/>
      <c r="JHR8" s="87"/>
      <c r="JHS8" s="87"/>
      <c r="JHT8" s="87"/>
      <c r="JHU8" s="87"/>
      <c r="JHV8" s="87"/>
      <c r="JHW8" s="87"/>
      <c r="JHX8" s="87"/>
      <c r="JHY8" s="87"/>
      <c r="JHZ8" s="87"/>
      <c r="JIA8" s="87"/>
      <c r="JIB8" s="87"/>
      <c r="JIC8" s="87"/>
      <c r="JID8" s="87"/>
      <c r="JIE8" s="87"/>
      <c r="JIF8" s="87"/>
      <c r="JIG8" s="87"/>
      <c r="JIH8" s="87"/>
      <c r="JII8" s="87"/>
      <c r="JIJ8" s="87"/>
      <c r="JIK8" s="87"/>
      <c r="JIL8" s="87"/>
      <c r="JIM8" s="87"/>
      <c r="JIN8" s="87"/>
      <c r="JIO8" s="87"/>
      <c r="JIP8" s="87"/>
      <c r="JIQ8" s="87"/>
      <c r="JIR8" s="87"/>
      <c r="JIS8" s="87"/>
      <c r="JIT8" s="87"/>
      <c r="JIU8" s="87"/>
      <c r="JIV8" s="87"/>
      <c r="JIW8" s="87"/>
      <c r="JIX8" s="87"/>
      <c r="JIY8" s="87"/>
      <c r="JIZ8" s="87"/>
      <c r="JJA8" s="87"/>
      <c r="JJB8" s="87"/>
      <c r="JJC8" s="87"/>
      <c r="JJD8" s="87"/>
      <c r="JJE8" s="87"/>
      <c r="JJF8" s="87"/>
      <c r="JJG8" s="87"/>
      <c r="JJH8" s="87"/>
      <c r="JJI8" s="87"/>
      <c r="JJJ8" s="87"/>
      <c r="JJK8" s="87"/>
      <c r="JJL8" s="87"/>
      <c r="JJM8" s="87"/>
      <c r="JJN8" s="87"/>
      <c r="JJO8" s="87"/>
      <c r="JJP8" s="87"/>
      <c r="JJQ8" s="87"/>
      <c r="JJR8" s="87"/>
      <c r="JJS8" s="87"/>
      <c r="JJT8" s="87"/>
      <c r="JJU8" s="87"/>
      <c r="JJV8" s="87"/>
      <c r="JJW8" s="87"/>
      <c r="JJX8" s="87"/>
      <c r="JJY8" s="87"/>
      <c r="JJZ8" s="87"/>
      <c r="JKA8" s="87"/>
      <c r="JKB8" s="87"/>
      <c r="JKC8" s="87"/>
      <c r="JKD8" s="87"/>
      <c r="JKE8" s="87"/>
      <c r="JKF8" s="87"/>
      <c r="JKG8" s="87"/>
      <c r="JKH8" s="87"/>
      <c r="JKI8" s="87"/>
      <c r="JKJ8" s="87"/>
      <c r="JKK8" s="87"/>
      <c r="JKL8" s="87"/>
      <c r="JKM8" s="87"/>
      <c r="JKN8" s="87"/>
      <c r="JKO8" s="87"/>
      <c r="JKP8" s="87"/>
      <c r="JKQ8" s="87"/>
      <c r="JKR8" s="87"/>
      <c r="JKS8" s="87"/>
      <c r="JKT8" s="87"/>
      <c r="JKU8" s="87"/>
      <c r="JKV8" s="87"/>
      <c r="JKW8" s="87"/>
      <c r="JKX8" s="87"/>
      <c r="JKY8" s="87"/>
      <c r="JKZ8" s="87"/>
      <c r="JLA8" s="87"/>
      <c r="JLB8" s="87"/>
      <c r="JLC8" s="87"/>
      <c r="JLD8" s="87"/>
      <c r="JLE8" s="87"/>
      <c r="JLF8" s="87"/>
      <c r="JLG8" s="87"/>
      <c r="JLH8" s="87"/>
      <c r="JLI8" s="87"/>
      <c r="JLJ8" s="87"/>
      <c r="JLK8" s="87"/>
      <c r="JLL8" s="87"/>
      <c r="JLM8" s="87"/>
      <c r="JLN8" s="87"/>
      <c r="JLO8" s="87"/>
      <c r="JLP8" s="87"/>
      <c r="JLQ8" s="87"/>
      <c r="JLR8" s="87"/>
      <c r="JLS8" s="87"/>
      <c r="JLT8" s="87"/>
      <c r="JLU8" s="87"/>
      <c r="JLV8" s="87"/>
      <c r="JLW8" s="87"/>
      <c r="JLX8" s="87"/>
      <c r="JLY8" s="87"/>
      <c r="JLZ8" s="87"/>
      <c r="JMA8" s="87"/>
      <c r="JMB8" s="87"/>
      <c r="JMC8" s="87"/>
      <c r="JMD8" s="87"/>
      <c r="JME8" s="87"/>
      <c r="JMF8" s="87"/>
      <c r="JMG8" s="87"/>
      <c r="JMH8" s="87"/>
      <c r="JMI8" s="87"/>
      <c r="JMJ8" s="87"/>
      <c r="JMK8" s="87"/>
      <c r="JML8" s="87"/>
      <c r="JMM8" s="87"/>
      <c r="JMN8" s="87"/>
      <c r="JMO8" s="87"/>
      <c r="JMP8" s="87"/>
      <c r="JMQ8" s="87"/>
      <c r="JMR8" s="87"/>
      <c r="JMS8" s="87"/>
      <c r="JMT8" s="87"/>
      <c r="JMU8" s="87"/>
      <c r="JMV8" s="87"/>
      <c r="JMW8" s="87"/>
      <c r="JMX8" s="87"/>
      <c r="JMY8" s="87"/>
      <c r="JMZ8" s="87"/>
      <c r="JNA8" s="87"/>
      <c r="JNB8" s="87"/>
      <c r="JNC8" s="87"/>
      <c r="JND8" s="87"/>
      <c r="JNE8" s="87"/>
      <c r="JNF8" s="87"/>
      <c r="JNG8" s="87"/>
      <c r="JNH8" s="87"/>
      <c r="JNI8" s="87"/>
      <c r="JNJ8" s="87"/>
      <c r="JNK8" s="87"/>
      <c r="JNL8" s="87"/>
      <c r="JNM8" s="87"/>
      <c r="JNN8" s="87"/>
      <c r="JNO8" s="87"/>
      <c r="JNP8" s="87"/>
      <c r="JNQ8" s="87"/>
      <c r="JNR8" s="87"/>
      <c r="JNS8" s="87"/>
      <c r="JNT8" s="87"/>
      <c r="JNU8" s="87"/>
      <c r="JNV8" s="87"/>
      <c r="JNW8" s="87"/>
      <c r="JNX8" s="87"/>
      <c r="JNY8" s="87"/>
      <c r="JNZ8" s="87"/>
      <c r="JOA8" s="87"/>
      <c r="JOB8" s="87"/>
      <c r="JOC8" s="87"/>
      <c r="JOD8" s="87"/>
      <c r="JOE8" s="87"/>
      <c r="JOF8" s="87"/>
      <c r="JOG8" s="87"/>
      <c r="JOH8" s="87"/>
      <c r="JOI8" s="87"/>
      <c r="JOJ8" s="87"/>
      <c r="JOK8" s="87"/>
      <c r="JOL8" s="87"/>
      <c r="JOM8" s="87"/>
      <c r="JON8" s="87"/>
      <c r="JOO8" s="87"/>
      <c r="JOP8" s="87"/>
      <c r="JOQ8" s="87"/>
      <c r="JOR8" s="87"/>
      <c r="JOS8" s="87"/>
      <c r="JOT8" s="87"/>
      <c r="JOU8" s="87"/>
      <c r="JOV8" s="87"/>
      <c r="JOW8" s="87"/>
      <c r="JOX8" s="87"/>
      <c r="JOY8" s="87"/>
      <c r="JOZ8" s="87"/>
      <c r="JPA8" s="87"/>
      <c r="JPB8" s="87"/>
      <c r="JPC8" s="87"/>
      <c r="JPD8" s="87"/>
      <c r="JPE8" s="87"/>
      <c r="JPF8" s="87"/>
      <c r="JPG8" s="87"/>
      <c r="JPH8" s="87"/>
      <c r="JPI8" s="87"/>
      <c r="JPJ8" s="87"/>
      <c r="JPK8" s="87"/>
      <c r="JPL8" s="87"/>
      <c r="JPM8" s="87"/>
      <c r="JPN8" s="87"/>
      <c r="JPO8" s="87"/>
      <c r="JPP8" s="87"/>
      <c r="JPQ8" s="87"/>
      <c r="JPR8" s="87"/>
      <c r="JPS8" s="87"/>
      <c r="JPT8" s="87"/>
      <c r="JPU8" s="87"/>
      <c r="JPV8" s="87"/>
      <c r="JPW8" s="87"/>
      <c r="JPX8" s="87"/>
      <c r="JPY8" s="87"/>
      <c r="JPZ8" s="87"/>
      <c r="JQA8" s="87"/>
      <c r="JQB8" s="87"/>
      <c r="JQC8" s="87"/>
      <c r="JQD8" s="87"/>
      <c r="JQE8" s="87"/>
      <c r="JQF8" s="87"/>
      <c r="JQG8" s="87"/>
      <c r="JQH8" s="87"/>
      <c r="JQI8" s="87"/>
      <c r="JQJ8" s="87"/>
      <c r="JQK8" s="87"/>
      <c r="JQL8" s="87"/>
      <c r="JQM8" s="87"/>
      <c r="JQN8" s="87"/>
      <c r="JQO8" s="87"/>
      <c r="JQP8" s="87"/>
      <c r="JQQ8" s="87"/>
      <c r="JQR8" s="87"/>
      <c r="JQS8" s="87"/>
      <c r="JQT8" s="87"/>
      <c r="JQU8" s="87"/>
      <c r="JQV8" s="87"/>
      <c r="JQW8" s="87"/>
      <c r="JQX8" s="87"/>
      <c r="JQY8" s="87"/>
      <c r="JQZ8" s="87"/>
      <c r="JRA8" s="87"/>
      <c r="JRB8" s="87"/>
      <c r="JRC8" s="87"/>
      <c r="JRD8" s="87"/>
      <c r="JRE8" s="87"/>
      <c r="JRF8" s="87"/>
      <c r="JRG8" s="87"/>
      <c r="JRH8" s="87"/>
      <c r="JRI8" s="87"/>
      <c r="JRJ8" s="87"/>
      <c r="JRK8" s="87"/>
      <c r="JRL8" s="87"/>
      <c r="JRM8" s="87"/>
      <c r="JRN8" s="87"/>
      <c r="JRO8" s="87"/>
      <c r="JRP8" s="87"/>
      <c r="JRQ8" s="87"/>
      <c r="JRR8" s="87"/>
      <c r="JRS8" s="87"/>
      <c r="JRT8" s="87"/>
      <c r="JRU8" s="87"/>
      <c r="JRV8" s="87"/>
      <c r="JRW8" s="87"/>
      <c r="JRX8" s="87"/>
      <c r="JRY8" s="87"/>
      <c r="JRZ8" s="87"/>
      <c r="JSA8" s="87"/>
      <c r="JSB8" s="87"/>
      <c r="JSC8" s="87"/>
      <c r="JSD8" s="87"/>
      <c r="JSE8" s="87"/>
      <c r="JSF8" s="87"/>
      <c r="JSG8" s="87"/>
      <c r="JSH8" s="87"/>
      <c r="JSI8" s="87"/>
      <c r="JSJ8" s="87"/>
      <c r="JSK8" s="87"/>
      <c r="JSL8" s="87"/>
      <c r="JSM8" s="87"/>
      <c r="JSN8" s="87"/>
      <c r="JSO8" s="87"/>
      <c r="JSP8" s="87"/>
      <c r="JSQ8" s="87"/>
      <c r="JSR8" s="87"/>
      <c r="JSS8" s="87"/>
      <c r="JST8" s="87"/>
      <c r="JSU8" s="87"/>
      <c r="JSV8" s="87"/>
      <c r="JSW8" s="87"/>
      <c r="JSX8" s="87"/>
      <c r="JSY8" s="87"/>
      <c r="JSZ8" s="87"/>
      <c r="JTA8" s="87"/>
      <c r="JTB8" s="87"/>
      <c r="JTC8" s="87"/>
      <c r="JTD8" s="87"/>
      <c r="JTE8" s="87"/>
      <c r="JTF8" s="87"/>
      <c r="JTG8" s="87"/>
      <c r="JTH8" s="87"/>
      <c r="JTI8" s="87"/>
      <c r="JTJ8" s="87"/>
      <c r="JTK8" s="87"/>
      <c r="JTL8" s="87"/>
      <c r="JTM8" s="87"/>
      <c r="JTN8" s="87"/>
      <c r="JTO8" s="87"/>
      <c r="JTP8" s="87"/>
      <c r="JTQ8" s="87"/>
      <c r="JTR8" s="87"/>
      <c r="JTS8" s="87"/>
      <c r="JTT8" s="87"/>
      <c r="JTU8" s="87"/>
      <c r="JTV8" s="87"/>
      <c r="JTW8" s="87"/>
      <c r="JTX8" s="87"/>
      <c r="JTY8" s="87"/>
      <c r="JTZ8" s="87"/>
      <c r="JUA8" s="87"/>
      <c r="JUB8" s="87"/>
      <c r="JUC8" s="87"/>
      <c r="JUD8" s="87"/>
      <c r="JUE8" s="87"/>
      <c r="JUF8" s="87"/>
      <c r="JUG8" s="87"/>
      <c r="JUH8" s="87"/>
      <c r="JUI8" s="87"/>
      <c r="JUJ8" s="87"/>
      <c r="JUK8" s="87"/>
      <c r="JUL8" s="87"/>
      <c r="JUM8" s="87"/>
      <c r="JUN8" s="87"/>
      <c r="JUO8" s="87"/>
      <c r="JUP8" s="87"/>
      <c r="JUQ8" s="87"/>
      <c r="JUR8" s="87"/>
      <c r="JUS8" s="87"/>
      <c r="JUT8" s="87"/>
      <c r="JUU8" s="87"/>
      <c r="JUV8" s="87"/>
      <c r="JUW8" s="87"/>
      <c r="JUX8" s="87"/>
      <c r="JUY8" s="87"/>
      <c r="JUZ8" s="87"/>
      <c r="JVA8" s="87"/>
      <c r="JVB8" s="87"/>
      <c r="JVC8" s="87"/>
      <c r="JVD8" s="87"/>
      <c r="JVE8" s="87"/>
      <c r="JVF8" s="87"/>
      <c r="JVG8" s="87"/>
      <c r="JVH8" s="87"/>
      <c r="JVI8" s="87"/>
      <c r="JVJ8" s="87"/>
      <c r="JVK8" s="87"/>
      <c r="JVL8" s="87"/>
      <c r="JVM8" s="87"/>
      <c r="JVN8" s="87"/>
      <c r="JVO8" s="87"/>
      <c r="JVP8" s="87"/>
      <c r="JVQ8" s="87"/>
      <c r="JVR8" s="87"/>
      <c r="JVS8" s="87"/>
      <c r="JVT8" s="87"/>
      <c r="JVU8" s="87"/>
      <c r="JVV8" s="87"/>
      <c r="JVW8" s="87"/>
      <c r="JVX8" s="87"/>
      <c r="JVY8" s="87"/>
      <c r="JVZ8" s="87"/>
      <c r="JWA8" s="87"/>
      <c r="JWB8" s="87"/>
      <c r="JWC8" s="87"/>
      <c r="JWD8" s="87"/>
      <c r="JWE8" s="87"/>
      <c r="JWF8" s="87"/>
      <c r="JWG8" s="87"/>
      <c r="JWH8" s="87"/>
      <c r="JWI8" s="87"/>
      <c r="JWJ8" s="87"/>
      <c r="JWK8" s="87"/>
      <c r="JWL8" s="87"/>
      <c r="JWM8" s="87"/>
      <c r="JWN8" s="87"/>
      <c r="JWO8" s="87"/>
      <c r="JWP8" s="87"/>
      <c r="JWQ8" s="87"/>
      <c r="JWR8" s="87"/>
      <c r="JWS8" s="87"/>
      <c r="JWT8" s="87"/>
      <c r="JWU8" s="87"/>
      <c r="JWV8" s="87"/>
      <c r="JWW8" s="87"/>
      <c r="JWX8" s="87"/>
      <c r="JWY8" s="87"/>
      <c r="JWZ8" s="87"/>
      <c r="JXA8" s="87"/>
      <c r="JXB8" s="87"/>
      <c r="JXC8" s="87"/>
      <c r="JXD8" s="87"/>
      <c r="JXE8" s="87"/>
      <c r="JXF8" s="87"/>
      <c r="JXG8" s="87"/>
      <c r="JXH8" s="87"/>
      <c r="JXI8" s="87"/>
      <c r="JXJ8" s="87"/>
      <c r="JXK8" s="87"/>
      <c r="JXL8" s="87"/>
      <c r="JXM8" s="87"/>
      <c r="JXN8" s="87"/>
      <c r="JXO8" s="87"/>
      <c r="JXP8" s="87"/>
      <c r="JXQ8" s="87"/>
      <c r="JXR8" s="87"/>
      <c r="JXS8" s="87"/>
      <c r="JXT8" s="87"/>
      <c r="JXU8" s="87"/>
      <c r="JXV8" s="87"/>
      <c r="JXW8" s="87"/>
      <c r="JXX8" s="87"/>
      <c r="JXY8" s="87"/>
      <c r="JXZ8" s="87"/>
      <c r="JYA8" s="87"/>
      <c r="JYB8" s="87"/>
      <c r="JYC8" s="87"/>
      <c r="JYD8" s="87"/>
      <c r="JYE8" s="87"/>
      <c r="JYF8" s="87"/>
      <c r="JYG8" s="87"/>
      <c r="JYH8" s="87"/>
      <c r="JYI8" s="87"/>
      <c r="JYJ8" s="87"/>
      <c r="JYK8" s="87"/>
      <c r="JYL8" s="87"/>
      <c r="JYM8" s="87"/>
      <c r="JYN8" s="87"/>
      <c r="JYO8" s="87"/>
      <c r="JYP8" s="87"/>
      <c r="JYQ8" s="87"/>
      <c r="JYR8" s="87"/>
      <c r="JYS8" s="87"/>
      <c r="JYT8" s="87"/>
      <c r="JYU8" s="87"/>
      <c r="JYV8" s="87"/>
      <c r="JYW8" s="87"/>
      <c r="JYX8" s="87"/>
      <c r="JYY8" s="87"/>
      <c r="JYZ8" s="87"/>
      <c r="JZA8" s="87"/>
      <c r="JZB8" s="87"/>
      <c r="JZC8" s="87"/>
      <c r="JZD8" s="87"/>
      <c r="JZE8" s="87"/>
      <c r="JZF8" s="87"/>
      <c r="JZG8" s="87"/>
      <c r="JZH8" s="87"/>
      <c r="JZI8" s="87"/>
      <c r="JZJ8" s="87"/>
      <c r="JZK8" s="87"/>
      <c r="JZL8" s="87"/>
      <c r="JZM8" s="87"/>
      <c r="JZN8" s="87"/>
      <c r="JZO8" s="87"/>
      <c r="JZP8" s="87"/>
      <c r="JZQ8" s="87"/>
      <c r="JZR8" s="87"/>
      <c r="JZS8" s="87"/>
      <c r="JZT8" s="87"/>
      <c r="JZU8" s="87"/>
      <c r="JZV8" s="87"/>
      <c r="JZW8" s="87"/>
      <c r="JZX8" s="87"/>
      <c r="JZY8" s="87"/>
      <c r="JZZ8" s="87"/>
      <c r="KAA8" s="87"/>
      <c r="KAB8" s="87"/>
      <c r="KAC8" s="87"/>
      <c r="KAD8" s="87"/>
      <c r="KAE8" s="87"/>
      <c r="KAF8" s="87"/>
      <c r="KAG8" s="87"/>
      <c r="KAH8" s="87"/>
      <c r="KAI8" s="87"/>
      <c r="KAJ8" s="87"/>
      <c r="KAK8" s="87"/>
      <c r="KAL8" s="87"/>
      <c r="KAM8" s="87"/>
      <c r="KAN8" s="87"/>
      <c r="KAO8" s="87"/>
      <c r="KAP8" s="87"/>
      <c r="KAQ8" s="87"/>
      <c r="KAR8" s="87"/>
      <c r="KAS8" s="87"/>
      <c r="KAT8" s="87"/>
      <c r="KAU8" s="87"/>
      <c r="KAV8" s="87"/>
      <c r="KAW8" s="87"/>
      <c r="KAX8" s="87"/>
      <c r="KAY8" s="87"/>
      <c r="KAZ8" s="87"/>
      <c r="KBA8" s="87"/>
      <c r="KBB8" s="87"/>
      <c r="KBC8" s="87"/>
      <c r="KBD8" s="87"/>
      <c r="KBE8" s="87"/>
      <c r="KBF8" s="87"/>
      <c r="KBG8" s="87"/>
      <c r="KBH8" s="87"/>
      <c r="KBI8" s="87"/>
      <c r="KBJ8" s="87"/>
      <c r="KBK8" s="87"/>
      <c r="KBL8" s="87"/>
      <c r="KBM8" s="87"/>
      <c r="KBN8" s="87"/>
      <c r="KBO8" s="87"/>
      <c r="KBP8" s="87"/>
      <c r="KBQ8" s="87"/>
      <c r="KBR8" s="87"/>
      <c r="KBS8" s="87"/>
      <c r="KBT8" s="87"/>
      <c r="KBU8" s="87"/>
      <c r="KBV8" s="87"/>
      <c r="KBW8" s="87"/>
      <c r="KBX8" s="87"/>
      <c r="KBY8" s="87"/>
      <c r="KBZ8" s="87"/>
      <c r="KCA8" s="87"/>
      <c r="KCB8" s="87"/>
      <c r="KCC8" s="87"/>
      <c r="KCD8" s="87"/>
      <c r="KCE8" s="87"/>
      <c r="KCF8" s="87"/>
      <c r="KCG8" s="87"/>
      <c r="KCH8" s="87"/>
      <c r="KCI8" s="87"/>
      <c r="KCJ8" s="87"/>
      <c r="KCK8" s="87"/>
      <c r="KCL8" s="87"/>
      <c r="KCM8" s="87"/>
      <c r="KCN8" s="87"/>
      <c r="KCO8" s="87"/>
      <c r="KCP8" s="87"/>
      <c r="KCQ8" s="87"/>
      <c r="KCR8" s="87"/>
      <c r="KCS8" s="87"/>
      <c r="KCT8" s="87"/>
      <c r="KCU8" s="87"/>
      <c r="KCV8" s="87"/>
      <c r="KCW8" s="87"/>
      <c r="KCX8" s="87"/>
      <c r="KCY8" s="87"/>
      <c r="KCZ8" s="87"/>
      <c r="KDA8" s="87"/>
      <c r="KDB8" s="87"/>
      <c r="KDC8" s="87"/>
      <c r="KDD8" s="87"/>
      <c r="KDE8" s="87"/>
      <c r="KDF8" s="87"/>
      <c r="KDG8" s="87"/>
      <c r="KDH8" s="87"/>
      <c r="KDI8" s="87"/>
      <c r="KDJ8" s="87"/>
      <c r="KDK8" s="87"/>
      <c r="KDL8" s="87"/>
      <c r="KDM8" s="87"/>
      <c r="KDN8" s="87"/>
      <c r="KDO8" s="87"/>
      <c r="KDP8" s="87"/>
      <c r="KDQ8" s="87"/>
      <c r="KDR8" s="87"/>
      <c r="KDS8" s="87"/>
      <c r="KDT8" s="87"/>
      <c r="KDU8" s="87"/>
      <c r="KDV8" s="87"/>
      <c r="KDW8" s="87"/>
      <c r="KDX8" s="87"/>
      <c r="KDY8" s="87"/>
      <c r="KDZ8" s="87"/>
      <c r="KEA8" s="87"/>
      <c r="KEB8" s="87"/>
      <c r="KEC8" s="87"/>
      <c r="KED8" s="87"/>
      <c r="KEE8" s="87"/>
      <c r="KEF8" s="87"/>
      <c r="KEG8" s="87"/>
      <c r="KEH8" s="87"/>
      <c r="KEI8" s="87"/>
      <c r="KEJ8" s="87"/>
      <c r="KEK8" s="87"/>
      <c r="KEL8" s="87"/>
      <c r="KEM8" s="87"/>
      <c r="KEN8" s="87"/>
      <c r="KEO8" s="87"/>
      <c r="KEP8" s="87"/>
      <c r="KEQ8" s="87"/>
      <c r="KER8" s="87"/>
      <c r="KES8" s="87"/>
      <c r="KET8" s="87"/>
      <c r="KEU8" s="87"/>
      <c r="KEV8" s="87"/>
      <c r="KEW8" s="87"/>
      <c r="KEX8" s="87"/>
      <c r="KEY8" s="87"/>
      <c r="KEZ8" s="87"/>
      <c r="KFA8" s="87"/>
      <c r="KFB8" s="87"/>
      <c r="KFC8" s="87"/>
      <c r="KFD8" s="87"/>
      <c r="KFE8" s="87"/>
      <c r="KFF8" s="87"/>
      <c r="KFG8" s="87"/>
      <c r="KFH8" s="87"/>
      <c r="KFI8" s="87"/>
      <c r="KFJ8" s="87"/>
      <c r="KFK8" s="87"/>
      <c r="KFL8" s="87"/>
      <c r="KFM8" s="87"/>
      <c r="KFN8" s="87"/>
      <c r="KFO8" s="87"/>
      <c r="KFP8" s="87"/>
      <c r="KFQ8" s="87"/>
      <c r="KFR8" s="87"/>
      <c r="KFS8" s="87"/>
      <c r="KFT8" s="87"/>
      <c r="KFU8" s="87"/>
      <c r="KFV8" s="87"/>
      <c r="KFW8" s="87"/>
      <c r="KFX8" s="87"/>
      <c r="KFY8" s="87"/>
      <c r="KFZ8" s="87"/>
      <c r="KGA8" s="87"/>
      <c r="KGB8" s="87"/>
      <c r="KGC8" s="87"/>
      <c r="KGD8" s="87"/>
      <c r="KGE8" s="87"/>
      <c r="KGF8" s="87"/>
      <c r="KGG8" s="87"/>
      <c r="KGH8" s="87"/>
      <c r="KGI8" s="87"/>
      <c r="KGJ8" s="87"/>
      <c r="KGK8" s="87"/>
      <c r="KGL8" s="87"/>
      <c r="KGM8" s="87"/>
      <c r="KGN8" s="87"/>
      <c r="KGO8" s="87"/>
      <c r="KGP8" s="87"/>
      <c r="KGQ8" s="87"/>
      <c r="KGR8" s="87"/>
      <c r="KGS8" s="87"/>
      <c r="KGT8" s="87"/>
      <c r="KGU8" s="87"/>
      <c r="KGV8" s="87"/>
      <c r="KGW8" s="87"/>
      <c r="KGX8" s="87"/>
      <c r="KGY8" s="87"/>
      <c r="KGZ8" s="87"/>
      <c r="KHA8" s="87"/>
      <c r="KHB8" s="87"/>
      <c r="KHC8" s="87"/>
      <c r="KHD8" s="87"/>
      <c r="KHE8" s="87"/>
      <c r="KHF8" s="87"/>
      <c r="KHG8" s="87"/>
      <c r="KHH8" s="87"/>
      <c r="KHI8" s="87"/>
      <c r="KHJ8" s="87"/>
      <c r="KHK8" s="87"/>
      <c r="KHL8" s="87"/>
      <c r="KHM8" s="87"/>
      <c r="KHN8" s="87"/>
      <c r="KHO8" s="87"/>
      <c r="KHP8" s="87"/>
      <c r="KHQ8" s="87"/>
      <c r="KHR8" s="87"/>
      <c r="KHS8" s="87"/>
      <c r="KHT8" s="87"/>
      <c r="KHU8" s="87"/>
      <c r="KHV8" s="87"/>
      <c r="KHW8" s="87"/>
      <c r="KHX8" s="87"/>
      <c r="KHY8" s="87"/>
      <c r="KHZ8" s="87"/>
      <c r="KIA8" s="87"/>
      <c r="KIB8" s="87"/>
      <c r="KIC8" s="87"/>
      <c r="KID8" s="87"/>
      <c r="KIE8" s="87"/>
      <c r="KIF8" s="87"/>
      <c r="KIG8" s="87"/>
      <c r="KIH8" s="87"/>
      <c r="KII8" s="87"/>
      <c r="KIJ8" s="87"/>
      <c r="KIK8" s="87"/>
      <c r="KIL8" s="87"/>
      <c r="KIM8" s="87"/>
      <c r="KIN8" s="87"/>
      <c r="KIO8" s="87"/>
      <c r="KIP8" s="87"/>
      <c r="KIQ8" s="87"/>
      <c r="KIR8" s="87"/>
      <c r="KIS8" s="87"/>
      <c r="KIT8" s="87"/>
      <c r="KIU8" s="87"/>
      <c r="KIV8" s="87"/>
      <c r="KIW8" s="87"/>
      <c r="KIX8" s="87"/>
      <c r="KIY8" s="87"/>
      <c r="KIZ8" s="87"/>
      <c r="KJA8" s="87"/>
      <c r="KJB8" s="87"/>
      <c r="KJC8" s="87"/>
      <c r="KJD8" s="87"/>
      <c r="KJE8" s="87"/>
      <c r="KJF8" s="87"/>
      <c r="KJG8" s="87"/>
      <c r="KJH8" s="87"/>
      <c r="KJI8" s="87"/>
      <c r="KJJ8" s="87"/>
      <c r="KJK8" s="87"/>
      <c r="KJL8" s="87"/>
      <c r="KJM8" s="87"/>
      <c r="KJN8" s="87"/>
      <c r="KJO8" s="87"/>
      <c r="KJP8" s="87"/>
      <c r="KJQ8" s="87"/>
      <c r="KJR8" s="87"/>
      <c r="KJS8" s="87"/>
      <c r="KJT8" s="87"/>
      <c r="KJU8" s="87"/>
      <c r="KJV8" s="87"/>
      <c r="KJW8" s="87"/>
      <c r="KJX8" s="87"/>
      <c r="KJY8" s="87"/>
      <c r="KJZ8" s="87"/>
      <c r="KKA8" s="87"/>
      <c r="KKB8" s="87"/>
      <c r="KKC8" s="87"/>
      <c r="KKD8" s="87"/>
      <c r="KKE8" s="87"/>
      <c r="KKF8" s="87"/>
      <c r="KKG8" s="87"/>
      <c r="KKH8" s="87"/>
      <c r="KKI8" s="87"/>
      <c r="KKJ8" s="87"/>
      <c r="KKK8" s="87"/>
      <c r="KKL8" s="87"/>
      <c r="KKM8" s="87"/>
      <c r="KKN8" s="87"/>
      <c r="KKO8" s="87"/>
      <c r="KKP8" s="87"/>
      <c r="KKQ8" s="87"/>
      <c r="KKR8" s="87"/>
      <c r="KKS8" s="87"/>
      <c r="KKT8" s="87"/>
      <c r="KKU8" s="87"/>
      <c r="KKV8" s="87"/>
      <c r="KKW8" s="87"/>
      <c r="KKX8" s="87"/>
      <c r="KKY8" s="87"/>
      <c r="KKZ8" s="87"/>
      <c r="KLA8" s="87"/>
      <c r="KLB8" s="87"/>
      <c r="KLC8" s="87"/>
      <c r="KLD8" s="87"/>
      <c r="KLE8" s="87"/>
      <c r="KLF8" s="87"/>
      <c r="KLG8" s="87"/>
      <c r="KLH8" s="87"/>
      <c r="KLI8" s="87"/>
      <c r="KLJ8" s="87"/>
      <c r="KLK8" s="87"/>
      <c r="KLL8" s="87"/>
      <c r="KLM8" s="87"/>
      <c r="KLN8" s="87"/>
      <c r="KLO8" s="87"/>
      <c r="KLP8" s="87"/>
      <c r="KLQ8" s="87"/>
      <c r="KLR8" s="87"/>
      <c r="KLS8" s="87"/>
      <c r="KLT8" s="87"/>
      <c r="KLU8" s="87"/>
      <c r="KLV8" s="87"/>
      <c r="KLW8" s="87"/>
      <c r="KLX8" s="87"/>
      <c r="KLY8" s="87"/>
      <c r="KLZ8" s="87"/>
      <c r="KMA8" s="87"/>
      <c r="KMB8" s="87"/>
      <c r="KMC8" s="87"/>
      <c r="KMD8" s="87"/>
      <c r="KME8" s="87"/>
      <c r="KMF8" s="87"/>
      <c r="KMG8" s="87"/>
      <c r="KMH8" s="87"/>
      <c r="KMI8" s="87"/>
      <c r="KMJ8" s="87"/>
      <c r="KMK8" s="87"/>
      <c r="KML8" s="87"/>
      <c r="KMM8" s="87"/>
      <c r="KMN8" s="87"/>
      <c r="KMO8" s="87"/>
      <c r="KMP8" s="87"/>
      <c r="KMQ8" s="87"/>
      <c r="KMR8" s="87"/>
      <c r="KMS8" s="87"/>
      <c r="KMT8" s="87"/>
      <c r="KMU8" s="87"/>
      <c r="KMV8" s="87"/>
      <c r="KMW8" s="87"/>
      <c r="KMX8" s="87"/>
      <c r="KMY8" s="87"/>
      <c r="KMZ8" s="87"/>
      <c r="KNA8" s="87"/>
      <c r="KNB8" s="87"/>
      <c r="KNC8" s="87"/>
      <c r="KND8" s="87"/>
      <c r="KNE8" s="87"/>
      <c r="KNF8" s="87"/>
      <c r="KNG8" s="87"/>
      <c r="KNH8" s="87"/>
      <c r="KNI8" s="87"/>
      <c r="KNJ8" s="87"/>
      <c r="KNK8" s="87"/>
      <c r="KNL8" s="87"/>
      <c r="KNM8" s="87"/>
      <c r="KNN8" s="87"/>
      <c r="KNO8" s="87"/>
      <c r="KNP8" s="87"/>
      <c r="KNQ8" s="87"/>
      <c r="KNR8" s="87"/>
      <c r="KNS8" s="87"/>
      <c r="KNT8" s="87"/>
      <c r="KNU8" s="87"/>
      <c r="KNV8" s="87"/>
      <c r="KNW8" s="87"/>
      <c r="KNX8" s="87"/>
      <c r="KNY8" s="87"/>
      <c r="KNZ8" s="87"/>
      <c r="KOA8" s="87"/>
      <c r="KOB8" s="87"/>
      <c r="KOC8" s="87"/>
      <c r="KOD8" s="87"/>
      <c r="KOE8" s="87"/>
      <c r="KOF8" s="87"/>
      <c r="KOG8" s="87"/>
      <c r="KOH8" s="87"/>
      <c r="KOI8" s="87"/>
      <c r="KOJ8" s="87"/>
      <c r="KOK8" s="87"/>
      <c r="KOL8" s="87"/>
      <c r="KOM8" s="87"/>
      <c r="KON8" s="87"/>
      <c r="KOO8" s="87"/>
      <c r="KOP8" s="87"/>
      <c r="KOQ8" s="87"/>
      <c r="KOR8" s="87"/>
      <c r="KOS8" s="87"/>
      <c r="KOT8" s="87"/>
      <c r="KOU8" s="87"/>
      <c r="KOV8" s="87"/>
      <c r="KOW8" s="87"/>
      <c r="KOX8" s="87"/>
      <c r="KOY8" s="87"/>
      <c r="KOZ8" s="87"/>
      <c r="KPA8" s="87"/>
      <c r="KPB8" s="87"/>
      <c r="KPC8" s="87"/>
      <c r="KPD8" s="87"/>
      <c r="KPE8" s="87"/>
      <c r="KPF8" s="87"/>
      <c r="KPG8" s="87"/>
      <c r="KPH8" s="87"/>
      <c r="KPI8" s="87"/>
      <c r="KPJ8" s="87"/>
      <c r="KPK8" s="87"/>
      <c r="KPL8" s="87"/>
      <c r="KPM8" s="87"/>
      <c r="KPN8" s="87"/>
      <c r="KPO8" s="87"/>
      <c r="KPP8" s="87"/>
      <c r="KPQ8" s="87"/>
      <c r="KPR8" s="87"/>
      <c r="KPS8" s="87"/>
      <c r="KPT8" s="87"/>
      <c r="KPU8" s="87"/>
      <c r="KPV8" s="87"/>
      <c r="KPW8" s="87"/>
      <c r="KPX8" s="87"/>
      <c r="KPY8" s="87"/>
      <c r="KPZ8" s="87"/>
      <c r="KQA8" s="87"/>
      <c r="KQB8" s="87"/>
      <c r="KQC8" s="87"/>
      <c r="KQD8" s="87"/>
      <c r="KQE8" s="87"/>
      <c r="KQF8" s="87"/>
      <c r="KQG8" s="87"/>
      <c r="KQH8" s="87"/>
      <c r="KQI8" s="87"/>
      <c r="KQJ8" s="87"/>
      <c r="KQK8" s="87"/>
      <c r="KQL8" s="87"/>
      <c r="KQM8" s="87"/>
      <c r="KQN8" s="87"/>
      <c r="KQO8" s="87"/>
      <c r="KQP8" s="87"/>
      <c r="KQQ8" s="87"/>
      <c r="KQR8" s="87"/>
      <c r="KQS8" s="87"/>
      <c r="KQT8" s="87"/>
      <c r="KQU8" s="87"/>
      <c r="KQV8" s="87"/>
      <c r="KQW8" s="87"/>
      <c r="KQX8" s="87"/>
      <c r="KQY8" s="87"/>
      <c r="KQZ8" s="87"/>
      <c r="KRA8" s="87"/>
      <c r="KRB8" s="87"/>
      <c r="KRC8" s="87"/>
      <c r="KRD8" s="87"/>
      <c r="KRE8" s="87"/>
      <c r="KRF8" s="87"/>
      <c r="KRG8" s="87"/>
      <c r="KRH8" s="87"/>
      <c r="KRI8" s="87"/>
      <c r="KRJ8" s="87"/>
      <c r="KRK8" s="87"/>
      <c r="KRL8" s="87"/>
      <c r="KRM8" s="87"/>
      <c r="KRN8" s="87"/>
      <c r="KRO8" s="87"/>
      <c r="KRP8" s="87"/>
      <c r="KRQ8" s="87"/>
      <c r="KRR8" s="87"/>
      <c r="KRS8" s="87"/>
      <c r="KRT8" s="87"/>
      <c r="KRU8" s="87"/>
      <c r="KRV8" s="87"/>
      <c r="KRW8" s="87"/>
      <c r="KRX8" s="87"/>
      <c r="KRY8" s="87"/>
      <c r="KRZ8" s="87"/>
      <c r="KSA8" s="87"/>
      <c r="KSB8" s="87"/>
      <c r="KSC8" s="87"/>
      <c r="KSD8" s="87"/>
      <c r="KSE8" s="87"/>
      <c r="KSF8" s="87"/>
      <c r="KSG8" s="87"/>
      <c r="KSH8" s="87"/>
      <c r="KSI8" s="87"/>
      <c r="KSJ8" s="87"/>
      <c r="KSK8" s="87"/>
      <c r="KSL8" s="87"/>
      <c r="KSM8" s="87"/>
      <c r="KSN8" s="87"/>
      <c r="KSO8" s="87"/>
      <c r="KSP8" s="87"/>
      <c r="KSQ8" s="87"/>
      <c r="KSR8" s="87"/>
      <c r="KSS8" s="87"/>
      <c r="KST8" s="87"/>
      <c r="KSU8" s="87"/>
      <c r="KSV8" s="87"/>
      <c r="KSW8" s="87"/>
      <c r="KSX8" s="87"/>
      <c r="KSY8" s="87"/>
      <c r="KSZ8" s="87"/>
      <c r="KTA8" s="87"/>
      <c r="KTB8" s="87"/>
      <c r="KTC8" s="87"/>
      <c r="KTD8" s="87"/>
      <c r="KTE8" s="87"/>
      <c r="KTF8" s="87"/>
      <c r="KTG8" s="87"/>
      <c r="KTH8" s="87"/>
      <c r="KTI8" s="87"/>
      <c r="KTJ8" s="87"/>
      <c r="KTK8" s="87"/>
      <c r="KTL8" s="87"/>
      <c r="KTM8" s="87"/>
      <c r="KTN8" s="87"/>
      <c r="KTO8" s="87"/>
      <c r="KTP8" s="87"/>
      <c r="KTQ8" s="87"/>
      <c r="KTR8" s="87"/>
      <c r="KTS8" s="87"/>
      <c r="KTT8" s="87"/>
      <c r="KTU8" s="87"/>
      <c r="KTV8" s="87"/>
      <c r="KTW8" s="87"/>
      <c r="KTX8" s="87"/>
      <c r="KTY8" s="87"/>
      <c r="KTZ8" s="87"/>
      <c r="KUA8" s="87"/>
      <c r="KUB8" s="87"/>
      <c r="KUC8" s="87"/>
      <c r="KUD8" s="87"/>
      <c r="KUE8" s="87"/>
      <c r="KUF8" s="87"/>
      <c r="KUG8" s="87"/>
      <c r="KUH8" s="87"/>
      <c r="KUI8" s="87"/>
      <c r="KUJ8" s="87"/>
      <c r="KUK8" s="87"/>
      <c r="KUL8" s="87"/>
      <c r="KUM8" s="87"/>
      <c r="KUN8" s="87"/>
      <c r="KUO8" s="87"/>
      <c r="KUP8" s="87"/>
      <c r="KUQ8" s="87"/>
      <c r="KUR8" s="87"/>
      <c r="KUS8" s="87"/>
      <c r="KUT8" s="87"/>
      <c r="KUU8" s="87"/>
      <c r="KUV8" s="87"/>
      <c r="KUW8" s="87"/>
      <c r="KUX8" s="87"/>
      <c r="KUY8" s="87"/>
      <c r="KUZ8" s="87"/>
      <c r="KVA8" s="87"/>
      <c r="KVB8" s="87"/>
      <c r="KVC8" s="87"/>
      <c r="KVD8" s="87"/>
      <c r="KVE8" s="87"/>
      <c r="KVF8" s="87"/>
      <c r="KVG8" s="87"/>
      <c r="KVH8" s="87"/>
      <c r="KVI8" s="87"/>
      <c r="KVJ8" s="87"/>
      <c r="KVK8" s="87"/>
      <c r="KVL8" s="87"/>
      <c r="KVM8" s="87"/>
      <c r="KVN8" s="87"/>
      <c r="KVO8" s="87"/>
      <c r="KVP8" s="87"/>
      <c r="KVQ8" s="87"/>
      <c r="KVR8" s="87"/>
      <c r="KVS8" s="87"/>
      <c r="KVT8" s="87"/>
      <c r="KVU8" s="87"/>
      <c r="KVV8" s="87"/>
      <c r="KVW8" s="87"/>
      <c r="KVX8" s="87"/>
      <c r="KVY8" s="87"/>
      <c r="KVZ8" s="87"/>
      <c r="KWA8" s="87"/>
      <c r="KWB8" s="87"/>
      <c r="KWC8" s="87"/>
      <c r="KWD8" s="87"/>
      <c r="KWE8" s="87"/>
      <c r="KWF8" s="87"/>
      <c r="KWG8" s="87"/>
      <c r="KWH8" s="87"/>
      <c r="KWI8" s="87"/>
      <c r="KWJ8" s="87"/>
      <c r="KWK8" s="87"/>
      <c r="KWL8" s="87"/>
      <c r="KWM8" s="87"/>
      <c r="KWN8" s="87"/>
      <c r="KWO8" s="87"/>
      <c r="KWP8" s="87"/>
      <c r="KWQ8" s="87"/>
      <c r="KWR8" s="87"/>
      <c r="KWS8" s="87"/>
      <c r="KWT8" s="87"/>
      <c r="KWU8" s="87"/>
      <c r="KWV8" s="87"/>
      <c r="KWW8" s="87"/>
      <c r="KWX8" s="87"/>
      <c r="KWY8" s="87"/>
      <c r="KWZ8" s="87"/>
      <c r="KXA8" s="87"/>
      <c r="KXB8" s="87"/>
      <c r="KXC8" s="87"/>
      <c r="KXD8" s="87"/>
      <c r="KXE8" s="87"/>
      <c r="KXF8" s="87"/>
      <c r="KXG8" s="87"/>
      <c r="KXH8" s="87"/>
      <c r="KXI8" s="87"/>
      <c r="KXJ8" s="87"/>
      <c r="KXK8" s="87"/>
      <c r="KXL8" s="87"/>
      <c r="KXM8" s="87"/>
      <c r="KXN8" s="87"/>
      <c r="KXO8" s="87"/>
      <c r="KXP8" s="87"/>
      <c r="KXQ8" s="87"/>
      <c r="KXR8" s="87"/>
      <c r="KXS8" s="87"/>
      <c r="KXT8" s="87"/>
      <c r="KXU8" s="87"/>
      <c r="KXV8" s="87"/>
      <c r="KXW8" s="87"/>
      <c r="KXX8" s="87"/>
      <c r="KXY8" s="87"/>
      <c r="KXZ8" s="87"/>
      <c r="KYA8" s="87"/>
      <c r="KYB8" s="87"/>
      <c r="KYC8" s="87"/>
      <c r="KYD8" s="87"/>
      <c r="KYE8" s="87"/>
      <c r="KYF8" s="87"/>
      <c r="KYG8" s="87"/>
      <c r="KYH8" s="87"/>
      <c r="KYI8" s="87"/>
      <c r="KYJ8" s="87"/>
      <c r="KYK8" s="87"/>
      <c r="KYL8" s="87"/>
      <c r="KYM8" s="87"/>
      <c r="KYN8" s="87"/>
      <c r="KYO8" s="87"/>
      <c r="KYP8" s="87"/>
      <c r="KYQ8" s="87"/>
      <c r="KYR8" s="87"/>
      <c r="KYS8" s="87"/>
      <c r="KYT8" s="87"/>
      <c r="KYU8" s="87"/>
      <c r="KYV8" s="87"/>
      <c r="KYW8" s="87"/>
      <c r="KYX8" s="87"/>
      <c r="KYY8" s="87"/>
      <c r="KYZ8" s="87"/>
      <c r="KZA8" s="87"/>
      <c r="KZB8" s="87"/>
      <c r="KZC8" s="87"/>
      <c r="KZD8" s="87"/>
      <c r="KZE8" s="87"/>
      <c r="KZF8" s="87"/>
      <c r="KZG8" s="87"/>
      <c r="KZH8" s="87"/>
      <c r="KZI8" s="87"/>
      <c r="KZJ8" s="87"/>
      <c r="KZK8" s="87"/>
      <c r="KZL8" s="87"/>
      <c r="KZM8" s="87"/>
      <c r="KZN8" s="87"/>
      <c r="KZO8" s="87"/>
      <c r="KZP8" s="87"/>
      <c r="KZQ8" s="87"/>
      <c r="KZR8" s="87"/>
      <c r="KZS8" s="87"/>
      <c r="KZT8" s="87"/>
      <c r="KZU8" s="87"/>
      <c r="KZV8" s="87"/>
      <c r="KZW8" s="87"/>
      <c r="KZX8" s="87"/>
      <c r="KZY8" s="87"/>
      <c r="KZZ8" s="87"/>
      <c r="LAA8" s="87"/>
      <c r="LAB8" s="87"/>
      <c r="LAC8" s="87"/>
      <c r="LAD8" s="87"/>
      <c r="LAE8" s="87"/>
      <c r="LAF8" s="87"/>
      <c r="LAG8" s="87"/>
      <c r="LAH8" s="87"/>
      <c r="LAI8" s="87"/>
      <c r="LAJ8" s="87"/>
      <c r="LAK8" s="87"/>
      <c r="LAL8" s="87"/>
      <c r="LAM8" s="87"/>
      <c r="LAN8" s="87"/>
      <c r="LAO8" s="87"/>
      <c r="LAP8" s="87"/>
      <c r="LAQ8" s="87"/>
      <c r="LAR8" s="87"/>
      <c r="LAS8" s="87"/>
      <c r="LAT8" s="87"/>
      <c r="LAU8" s="87"/>
      <c r="LAV8" s="87"/>
      <c r="LAW8" s="87"/>
      <c r="LAX8" s="87"/>
      <c r="LAY8" s="87"/>
      <c r="LAZ8" s="87"/>
      <c r="LBA8" s="87"/>
      <c r="LBB8" s="87"/>
      <c r="LBC8" s="87"/>
      <c r="LBD8" s="87"/>
      <c r="LBE8" s="87"/>
      <c r="LBF8" s="87"/>
      <c r="LBG8" s="87"/>
      <c r="LBH8" s="87"/>
      <c r="LBI8" s="87"/>
      <c r="LBJ8" s="87"/>
      <c r="LBK8" s="87"/>
      <c r="LBL8" s="87"/>
      <c r="LBM8" s="87"/>
      <c r="LBN8" s="87"/>
      <c r="LBO8" s="87"/>
      <c r="LBP8" s="87"/>
      <c r="LBQ8" s="87"/>
      <c r="LBR8" s="87"/>
      <c r="LBS8" s="87"/>
      <c r="LBT8" s="87"/>
      <c r="LBU8" s="87"/>
      <c r="LBV8" s="87"/>
      <c r="LBW8" s="87"/>
      <c r="LBX8" s="87"/>
      <c r="LBY8" s="87"/>
      <c r="LBZ8" s="87"/>
      <c r="LCA8" s="87"/>
      <c r="LCB8" s="87"/>
      <c r="LCC8" s="87"/>
      <c r="LCD8" s="87"/>
      <c r="LCE8" s="87"/>
      <c r="LCF8" s="87"/>
      <c r="LCG8" s="87"/>
      <c r="LCH8" s="87"/>
      <c r="LCI8" s="87"/>
      <c r="LCJ8" s="87"/>
      <c r="LCK8" s="87"/>
      <c r="LCL8" s="87"/>
      <c r="LCM8" s="87"/>
      <c r="LCN8" s="87"/>
      <c r="LCO8" s="87"/>
      <c r="LCP8" s="87"/>
      <c r="LCQ8" s="87"/>
      <c r="LCR8" s="87"/>
      <c r="LCS8" s="87"/>
      <c r="LCT8" s="87"/>
      <c r="LCU8" s="87"/>
      <c r="LCV8" s="87"/>
      <c r="LCW8" s="87"/>
      <c r="LCX8" s="87"/>
      <c r="LCY8" s="87"/>
      <c r="LCZ8" s="87"/>
      <c r="LDA8" s="87"/>
      <c r="LDB8" s="87"/>
      <c r="LDC8" s="87"/>
      <c r="LDD8" s="87"/>
      <c r="LDE8" s="87"/>
      <c r="LDF8" s="87"/>
      <c r="LDG8" s="87"/>
      <c r="LDH8" s="87"/>
      <c r="LDI8" s="87"/>
      <c r="LDJ8" s="87"/>
      <c r="LDK8" s="87"/>
      <c r="LDL8" s="87"/>
      <c r="LDM8" s="87"/>
      <c r="LDN8" s="87"/>
      <c r="LDO8" s="87"/>
      <c r="LDP8" s="87"/>
      <c r="LDQ8" s="87"/>
      <c r="LDR8" s="87"/>
      <c r="LDS8" s="87"/>
      <c r="LDT8" s="87"/>
      <c r="LDU8" s="87"/>
      <c r="LDV8" s="87"/>
      <c r="LDW8" s="87"/>
      <c r="LDX8" s="87"/>
      <c r="LDY8" s="87"/>
      <c r="LDZ8" s="87"/>
      <c r="LEA8" s="87"/>
      <c r="LEB8" s="87"/>
      <c r="LEC8" s="87"/>
      <c r="LED8" s="87"/>
      <c r="LEE8" s="87"/>
      <c r="LEF8" s="87"/>
      <c r="LEG8" s="87"/>
      <c r="LEH8" s="87"/>
      <c r="LEI8" s="87"/>
      <c r="LEJ8" s="87"/>
      <c r="LEK8" s="87"/>
      <c r="LEL8" s="87"/>
      <c r="LEM8" s="87"/>
      <c r="LEN8" s="87"/>
      <c r="LEO8" s="87"/>
      <c r="LEP8" s="87"/>
      <c r="LEQ8" s="87"/>
      <c r="LER8" s="87"/>
      <c r="LES8" s="87"/>
      <c r="LET8" s="87"/>
      <c r="LEU8" s="87"/>
      <c r="LEV8" s="87"/>
      <c r="LEW8" s="87"/>
      <c r="LEX8" s="87"/>
      <c r="LEY8" s="87"/>
      <c r="LEZ8" s="87"/>
      <c r="LFA8" s="87"/>
      <c r="LFB8" s="87"/>
      <c r="LFC8" s="87"/>
      <c r="LFD8" s="87"/>
      <c r="LFE8" s="87"/>
      <c r="LFF8" s="87"/>
      <c r="LFG8" s="87"/>
      <c r="LFH8" s="87"/>
      <c r="LFI8" s="87"/>
      <c r="LFJ8" s="87"/>
      <c r="LFK8" s="87"/>
      <c r="LFL8" s="87"/>
      <c r="LFM8" s="87"/>
      <c r="LFN8" s="87"/>
      <c r="LFO8" s="87"/>
      <c r="LFP8" s="87"/>
      <c r="LFQ8" s="87"/>
      <c r="LFR8" s="87"/>
      <c r="LFS8" s="87"/>
      <c r="LFT8" s="87"/>
      <c r="LFU8" s="87"/>
      <c r="LFV8" s="87"/>
      <c r="LFW8" s="87"/>
      <c r="LFX8" s="87"/>
      <c r="LFY8" s="87"/>
      <c r="LFZ8" s="87"/>
      <c r="LGA8" s="87"/>
      <c r="LGB8" s="87"/>
      <c r="LGC8" s="87"/>
      <c r="LGD8" s="87"/>
      <c r="LGE8" s="87"/>
      <c r="LGF8" s="87"/>
      <c r="LGG8" s="87"/>
      <c r="LGH8" s="87"/>
      <c r="LGI8" s="87"/>
      <c r="LGJ8" s="87"/>
      <c r="LGK8" s="87"/>
      <c r="LGL8" s="87"/>
      <c r="LGM8" s="87"/>
      <c r="LGN8" s="87"/>
      <c r="LGO8" s="87"/>
      <c r="LGP8" s="87"/>
      <c r="LGQ8" s="87"/>
      <c r="LGR8" s="87"/>
      <c r="LGS8" s="87"/>
      <c r="LGT8" s="87"/>
      <c r="LGU8" s="87"/>
      <c r="LGV8" s="87"/>
      <c r="LGW8" s="87"/>
      <c r="LGX8" s="87"/>
      <c r="LGY8" s="87"/>
      <c r="LGZ8" s="87"/>
      <c r="LHA8" s="87"/>
      <c r="LHB8" s="87"/>
      <c r="LHC8" s="87"/>
      <c r="LHD8" s="87"/>
      <c r="LHE8" s="87"/>
      <c r="LHF8" s="87"/>
      <c r="LHG8" s="87"/>
      <c r="LHH8" s="87"/>
      <c r="LHI8" s="87"/>
      <c r="LHJ8" s="87"/>
      <c r="LHK8" s="87"/>
      <c r="LHL8" s="87"/>
      <c r="LHM8" s="87"/>
      <c r="LHN8" s="87"/>
      <c r="LHO8" s="87"/>
      <c r="LHP8" s="87"/>
      <c r="LHQ8" s="87"/>
      <c r="LHR8" s="87"/>
      <c r="LHS8" s="87"/>
      <c r="LHT8" s="87"/>
      <c r="LHU8" s="87"/>
      <c r="LHV8" s="87"/>
      <c r="LHW8" s="87"/>
      <c r="LHX8" s="87"/>
      <c r="LHY8" s="87"/>
      <c r="LHZ8" s="87"/>
      <c r="LIA8" s="87"/>
      <c r="LIB8" s="87"/>
      <c r="LIC8" s="87"/>
      <c r="LID8" s="87"/>
      <c r="LIE8" s="87"/>
      <c r="LIF8" s="87"/>
      <c r="LIG8" s="87"/>
      <c r="LIH8" s="87"/>
      <c r="LII8" s="87"/>
      <c r="LIJ8" s="87"/>
      <c r="LIK8" s="87"/>
      <c r="LIL8" s="87"/>
      <c r="LIM8" s="87"/>
      <c r="LIN8" s="87"/>
      <c r="LIO8" s="87"/>
      <c r="LIP8" s="87"/>
      <c r="LIQ8" s="87"/>
      <c r="LIR8" s="87"/>
      <c r="LIS8" s="87"/>
      <c r="LIT8" s="87"/>
      <c r="LIU8" s="87"/>
      <c r="LIV8" s="87"/>
      <c r="LIW8" s="87"/>
      <c r="LIX8" s="87"/>
      <c r="LIY8" s="87"/>
      <c r="LIZ8" s="87"/>
      <c r="LJA8" s="87"/>
      <c r="LJB8" s="87"/>
      <c r="LJC8" s="87"/>
      <c r="LJD8" s="87"/>
      <c r="LJE8" s="87"/>
      <c r="LJF8" s="87"/>
      <c r="LJG8" s="87"/>
      <c r="LJH8" s="87"/>
      <c r="LJI8" s="87"/>
      <c r="LJJ8" s="87"/>
      <c r="LJK8" s="87"/>
      <c r="LJL8" s="87"/>
      <c r="LJM8" s="87"/>
      <c r="LJN8" s="87"/>
      <c r="LJO8" s="87"/>
      <c r="LJP8" s="87"/>
      <c r="LJQ8" s="87"/>
      <c r="LJR8" s="87"/>
      <c r="LJS8" s="87"/>
      <c r="LJT8" s="87"/>
      <c r="LJU8" s="87"/>
      <c r="LJV8" s="87"/>
      <c r="LJW8" s="87"/>
      <c r="LJX8" s="87"/>
      <c r="LJY8" s="87"/>
      <c r="LJZ8" s="87"/>
      <c r="LKA8" s="87"/>
      <c r="LKB8" s="87"/>
      <c r="LKC8" s="87"/>
      <c r="LKD8" s="87"/>
      <c r="LKE8" s="87"/>
      <c r="LKF8" s="87"/>
      <c r="LKG8" s="87"/>
      <c r="LKH8" s="87"/>
      <c r="LKI8" s="87"/>
      <c r="LKJ8" s="87"/>
      <c r="LKK8" s="87"/>
      <c r="LKL8" s="87"/>
      <c r="LKM8" s="87"/>
      <c r="LKN8" s="87"/>
      <c r="LKO8" s="87"/>
      <c r="LKP8" s="87"/>
      <c r="LKQ8" s="87"/>
      <c r="LKR8" s="87"/>
      <c r="LKS8" s="87"/>
      <c r="LKT8" s="87"/>
      <c r="LKU8" s="87"/>
      <c r="LKV8" s="87"/>
      <c r="LKW8" s="87"/>
      <c r="LKX8" s="87"/>
      <c r="LKY8" s="87"/>
      <c r="LKZ8" s="87"/>
      <c r="LLA8" s="87"/>
      <c r="LLB8" s="87"/>
      <c r="LLC8" s="87"/>
      <c r="LLD8" s="87"/>
      <c r="LLE8" s="87"/>
      <c r="LLF8" s="87"/>
      <c r="LLG8" s="87"/>
      <c r="LLH8" s="87"/>
      <c r="LLI8" s="87"/>
      <c r="LLJ8" s="87"/>
      <c r="LLK8" s="87"/>
      <c r="LLL8" s="87"/>
      <c r="LLM8" s="87"/>
      <c r="LLN8" s="87"/>
      <c r="LLO8" s="87"/>
      <c r="LLP8" s="87"/>
      <c r="LLQ8" s="87"/>
      <c r="LLR8" s="87"/>
      <c r="LLS8" s="87"/>
      <c r="LLT8" s="87"/>
      <c r="LLU8" s="87"/>
      <c r="LLV8" s="87"/>
      <c r="LLW8" s="87"/>
      <c r="LLX8" s="87"/>
      <c r="LLY8" s="87"/>
      <c r="LLZ8" s="87"/>
      <c r="LMA8" s="87"/>
      <c r="LMB8" s="87"/>
      <c r="LMC8" s="87"/>
      <c r="LMD8" s="87"/>
      <c r="LME8" s="87"/>
      <c r="LMF8" s="87"/>
      <c r="LMG8" s="87"/>
      <c r="LMH8" s="87"/>
      <c r="LMI8" s="87"/>
      <c r="LMJ8" s="87"/>
      <c r="LMK8" s="87"/>
      <c r="LML8" s="87"/>
      <c r="LMM8" s="87"/>
      <c r="LMN8" s="87"/>
      <c r="LMO8" s="87"/>
      <c r="LMP8" s="87"/>
      <c r="LMQ8" s="87"/>
      <c r="LMR8" s="87"/>
      <c r="LMS8" s="87"/>
      <c r="LMT8" s="87"/>
      <c r="LMU8" s="87"/>
      <c r="LMV8" s="87"/>
      <c r="LMW8" s="87"/>
      <c r="LMX8" s="87"/>
      <c r="LMY8" s="87"/>
      <c r="LMZ8" s="87"/>
      <c r="LNA8" s="87"/>
      <c r="LNB8" s="87"/>
      <c r="LNC8" s="87"/>
      <c r="LND8" s="87"/>
      <c r="LNE8" s="87"/>
      <c r="LNF8" s="87"/>
      <c r="LNG8" s="87"/>
      <c r="LNH8" s="87"/>
      <c r="LNI8" s="87"/>
      <c r="LNJ8" s="87"/>
      <c r="LNK8" s="87"/>
      <c r="LNL8" s="87"/>
      <c r="LNM8" s="87"/>
      <c r="LNN8" s="87"/>
      <c r="LNO8" s="87"/>
      <c r="LNP8" s="87"/>
      <c r="LNQ8" s="87"/>
      <c r="LNR8" s="87"/>
      <c r="LNS8" s="87"/>
      <c r="LNT8" s="87"/>
      <c r="LNU8" s="87"/>
      <c r="LNV8" s="87"/>
      <c r="LNW8" s="87"/>
      <c r="LNX8" s="87"/>
      <c r="LNY8" s="87"/>
      <c r="LNZ8" s="87"/>
      <c r="LOA8" s="87"/>
      <c r="LOB8" s="87"/>
      <c r="LOC8" s="87"/>
      <c r="LOD8" s="87"/>
      <c r="LOE8" s="87"/>
      <c r="LOF8" s="87"/>
      <c r="LOG8" s="87"/>
      <c r="LOH8" s="87"/>
      <c r="LOI8" s="87"/>
      <c r="LOJ8" s="87"/>
      <c r="LOK8" s="87"/>
      <c r="LOL8" s="87"/>
      <c r="LOM8" s="87"/>
      <c r="LON8" s="87"/>
      <c r="LOO8" s="87"/>
      <c r="LOP8" s="87"/>
      <c r="LOQ8" s="87"/>
      <c r="LOR8" s="87"/>
      <c r="LOS8" s="87"/>
      <c r="LOT8" s="87"/>
      <c r="LOU8" s="87"/>
      <c r="LOV8" s="87"/>
      <c r="LOW8" s="87"/>
      <c r="LOX8" s="87"/>
      <c r="LOY8" s="87"/>
      <c r="LOZ8" s="87"/>
      <c r="LPA8" s="87"/>
      <c r="LPB8" s="87"/>
      <c r="LPC8" s="87"/>
      <c r="LPD8" s="87"/>
      <c r="LPE8" s="87"/>
      <c r="LPF8" s="87"/>
      <c r="LPG8" s="87"/>
      <c r="LPH8" s="87"/>
      <c r="LPI8" s="87"/>
      <c r="LPJ8" s="87"/>
      <c r="LPK8" s="87"/>
      <c r="LPL8" s="87"/>
      <c r="LPM8" s="87"/>
      <c r="LPN8" s="87"/>
      <c r="LPO8" s="87"/>
      <c r="LPP8" s="87"/>
      <c r="LPQ8" s="87"/>
      <c r="LPR8" s="87"/>
      <c r="LPS8" s="87"/>
      <c r="LPT8" s="87"/>
      <c r="LPU8" s="87"/>
      <c r="LPV8" s="87"/>
      <c r="LPW8" s="87"/>
      <c r="LPX8" s="87"/>
      <c r="LPY8" s="87"/>
      <c r="LPZ8" s="87"/>
      <c r="LQA8" s="87"/>
      <c r="LQB8" s="87"/>
      <c r="LQC8" s="87"/>
      <c r="LQD8" s="87"/>
      <c r="LQE8" s="87"/>
      <c r="LQF8" s="87"/>
      <c r="LQG8" s="87"/>
      <c r="LQH8" s="87"/>
      <c r="LQI8" s="87"/>
      <c r="LQJ8" s="87"/>
      <c r="LQK8" s="87"/>
      <c r="LQL8" s="87"/>
      <c r="LQM8" s="87"/>
      <c r="LQN8" s="87"/>
      <c r="LQO8" s="87"/>
      <c r="LQP8" s="87"/>
      <c r="LQQ8" s="87"/>
      <c r="LQR8" s="87"/>
      <c r="LQS8" s="87"/>
      <c r="LQT8" s="87"/>
      <c r="LQU8" s="87"/>
      <c r="LQV8" s="87"/>
      <c r="LQW8" s="87"/>
      <c r="LQX8" s="87"/>
      <c r="LQY8" s="87"/>
      <c r="LQZ8" s="87"/>
      <c r="LRA8" s="87"/>
      <c r="LRB8" s="87"/>
      <c r="LRC8" s="87"/>
      <c r="LRD8" s="87"/>
      <c r="LRE8" s="87"/>
      <c r="LRF8" s="87"/>
      <c r="LRG8" s="87"/>
      <c r="LRH8" s="87"/>
      <c r="LRI8" s="87"/>
      <c r="LRJ8" s="87"/>
      <c r="LRK8" s="87"/>
      <c r="LRL8" s="87"/>
      <c r="LRM8" s="87"/>
      <c r="LRN8" s="87"/>
      <c r="LRO8" s="87"/>
      <c r="LRP8" s="87"/>
      <c r="LRQ8" s="87"/>
      <c r="LRR8" s="87"/>
      <c r="LRS8" s="87"/>
      <c r="LRT8" s="87"/>
      <c r="LRU8" s="87"/>
      <c r="LRV8" s="87"/>
      <c r="LRW8" s="87"/>
      <c r="LRX8" s="87"/>
      <c r="LRY8" s="87"/>
      <c r="LRZ8" s="87"/>
      <c r="LSA8" s="87"/>
      <c r="LSB8" s="87"/>
      <c r="LSC8" s="87"/>
      <c r="LSD8" s="87"/>
      <c r="LSE8" s="87"/>
      <c r="LSF8" s="87"/>
      <c r="LSG8" s="87"/>
      <c r="LSH8" s="87"/>
      <c r="LSI8" s="87"/>
      <c r="LSJ8" s="87"/>
      <c r="LSK8" s="87"/>
      <c r="LSL8" s="87"/>
      <c r="LSM8" s="87"/>
      <c r="LSN8" s="87"/>
      <c r="LSO8" s="87"/>
      <c r="LSP8" s="87"/>
      <c r="LSQ8" s="87"/>
      <c r="LSR8" s="87"/>
      <c r="LSS8" s="87"/>
      <c r="LST8" s="87"/>
      <c r="LSU8" s="87"/>
      <c r="LSV8" s="87"/>
      <c r="LSW8" s="87"/>
      <c r="LSX8" s="87"/>
      <c r="LSY8" s="87"/>
      <c r="LSZ8" s="87"/>
      <c r="LTA8" s="87"/>
      <c r="LTB8" s="87"/>
      <c r="LTC8" s="87"/>
      <c r="LTD8" s="87"/>
      <c r="LTE8" s="87"/>
      <c r="LTF8" s="87"/>
      <c r="LTG8" s="87"/>
      <c r="LTH8" s="87"/>
      <c r="LTI8" s="87"/>
      <c r="LTJ8" s="87"/>
      <c r="LTK8" s="87"/>
      <c r="LTL8" s="87"/>
      <c r="LTM8" s="87"/>
      <c r="LTN8" s="87"/>
      <c r="LTO8" s="87"/>
      <c r="LTP8" s="87"/>
      <c r="LTQ8" s="87"/>
      <c r="LTR8" s="87"/>
      <c r="LTS8" s="87"/>
      <c r="LTT8" s="87"/>
      <c r="LTU8" s="87"/>
      <c r="LTV8" s="87"/>
      <c r="LTW8" s="87"/>
      <c r="LTX8" s="87"/>
      <c r="LTY8" s="87"/>
      <c r="LTZ8" s="87"/>
      <c r="LUA8" s="87"/>
      <c r="LUB8" s="87"/>
      <c r="LUC8" s="87"/>
      <c r="LUD8" s="87"/>
      <c r="LUE8" s="87"/>
      <c r="LUF8" s="87"/>
      <c r="LUG8" s="87"/>
      <c r="LUH8" s="87"/>
      <c r="LUI8" s="87"/>
      <c r="LUJ8" s="87"/>
      <c r="LUK8" s="87"/>
      <c r="LUL8" s="87"/>
      <c r="LUM8" s="87"/>
      <c r="LUN8" s="87"/>
      <c r="LUO8" s="87"/>
      <c r="LUP8" s="87"/>
      <c r="LUQ8" s="87"/>
      <c r="LUR8" s="87"/>
      <c r="LUS8" s="87"/>
      <c r="LUT8" s="87"/>
      <c r="LUU8" s="87"/>
      <c r="LUV8" s="87"/>
      <c r="LUW8" s="87"/>
      <c r="LUX8" s="87"/>
      <c r="LUY8" s="87"/>
      <c r="LUZ8" s="87"/>
      <c r="LVA8" s="87"/>
      <c r="LVB8" s="87"/>
      <c r="LVC8" s="87"/>
      <c r="LVD8" s="87"/>
      <c r="LVE8" s="87"/>
      <c r="LVF8" s="87"/>
      <c r="LVG8" s="87"/>
      <c r="LVH8" s="87"/>
      <c r="LVI8" s="87"/>
      <c r="LVJ8" s="87"/>
      <c r="LVK8" s="87"/>
      <c r="LVL8" s="87"/>
      <c r="LVM8" s="87"/>
      <c r="LVN8" s="87"/>
      <c r="LVO8" s="87"/>
      <c r="LVP8" s="87"/>
      <c r="LVQ8" s="87"/>
      <c r="LVR8" s="87"/>
      <c r="LVS8" s="87"/>
      <c r="LVT8" s="87"/>
      <c r="LVU8" s="87"/>
      <c r="LVV8" s="87"/>
      <c r="LVW8" s="87"/>
      <c r="LVX8" s="87"/>
      <c r="LVY8" s="87"/>
      <c r="LVZ8" s="87"/>
      <c r="LWA8" s="87"/>
      <c r="LWB8" s="87"/>
      <c r="LWC8" s="87"/>
      <c r="LWD8" s="87"/>
      <c r="LWE8" s="87"/>
      <c r="LWF8" s="87"/>
      <c r="LWG8" s="87"/>
      <c r="LWH8" s="87"/>
      <c r="LWI8" s="87"/>
      <c r="LWJ8" s="87"/>
      <c r="LWK8" s="87"/>
      <c r="LWL8" s="87"/>
      <c r="LWM8" s="87"/>
      <c r="LWN8" s="87"/>
      <c r="LWO8" s="87"/>
      <c r="LWP8" s="87"/>
      <c r="LWQ8" s="87"/>
      <c r="LWR8" s="87"/>
      <c r="LWS8" s="87"/>
      <c r="LWT8" s="87"/>
      <c r="LWU8" s="87"/>
      <c r="LWV8" s="87"/>
      <c r="LWW8" s="87"/>
      <c r="LWX8" s="87"/>
      <c r="LWY8" s="87"/>
      <c r="LWZ8" s="87"/>
      <c r="LXA8" s="87"/>
      <c r="LXB8" s="87"/>
      <c r="LXC8" s="87"/>
      <c r="LXD8" s="87"/>
      <c r="LXE8" s="87"/>
      <c r="LXF8" s="87"/>
      <c r="LXG8" s="87"/>
      <c r="LXH8" s="87"/>
      <c r="LXI8" s="87"/>
      <c r="LXJ8" s="87"/>
      <c r="LXK8" s="87"/>
      <c r="LXL8" s="87"/>
      <c r="LXM8" s="87"/>
      <c r="LXN8" s="87"/>
      <c r="LXO8" s="87"/>
      <c r="LXP8" s="87"/>
      <c r="LXQ8" s="87"/>
      <c r="LXR8" s="87"/>
      <c r="LXS8" s="87"/>
      <c r="LXT8" s="87"/>
      <c r="LXU8" s="87"/>
      <c r="LXV8" s="87"/>
      <c r="LXW8" s="87"/>
      <c r="LXX8" s="87"/>
      <c r="LXY8" s="87"/>
      <c r="LXZ8" s="87"/>
      <c r="LYA8" s="87"/>
      <c r="LYB8" s="87"/>
      <c r="LYC8" s="87"/>
      <c r="LYD8" s="87"/>
      <c r="LYE8" s="87"/>
      <c r="LYF8" s="87"/>
      <c r="LYG8" s="87"/>
      <c r="LYH8" s="87"/>
      <c r="LYI8" s="87"/>
      <c r="LYJ8" s="87"/>
      <c r="LYK8" s="87"/>
      <c r="LYL8" s="87"/>
      <c r="LYM8" s="87"/>
      <c r="LYN8" s="87"/>
      <c r="LYO8" s="87"/>
      <c r="LYP8" s="87"/>
      <c r="LYQ8" s="87"/>
      <c r="LYR8" s="87"/>
      <c r="LYS8" s="87"/>
      <c r="LYT8" s="87"/>
      <c r="LYU8" s="87"/>
      <c r="LYV8" s="87"/>
      <c r="LYW8" s="87"/>
      <c r="LYX8" s="87"/>
      <c r="LYY8" s="87"/>
      <c r="LYZ8" s="87"/>
      <c r="LZA8" s="87"/>
      <c r="LZB8" s="87"/>
      <c r="LZC8" s="87"/>
      <c r="LZD8" s="87"/>
      <c r="LZE8" s="87"/>
      <c r="LZF8" s="87"/>
      <c r="LZG8" s="87"/>
      <c r="LZH8" s="87"/>
      <c r="LZI8" s="87"/>
      <c r="LZJ8" s="87"/>
      <c r="LZK8" s="87"/>
      <c r="LZL8" s="87"/>
      <c r="LZM8" s="87"/>
      <c r="LZN8" s="87"/>
      <c r="LZO8" s="87"/>
      <c r="LZP8" s="87"/>
      <c r="LZQ8" s="87"/>
      <c r="LZR8" s="87"/>
      <c r="LZS8" s="87"/>
      <c r="LZT8" s="87"/>
      <c r="LZU8" s="87"/>
      <c r="LZV8" s="87"/>
      <c r="LZW8" s="87"/>
      <c r="LZX8" s="87"/>
      <c r="LZY8" s="87"/>
      <c r="LZZ8" s="87"/>
      <c r="MAA8" s="87"/>
      <c r="MAB8" s="87"/>
      <c r="MAC8" s="87"/>
      <c r="MAD8" s="87"/>
      <c r="MAE8" s="87"/>
      <c r="MAF8" s="87"/>
      <c r="MAG8" s="87"/>
      <c r="MAH8" s="87"/>
      <c r="MAI8" s="87"/>
      <c r="MAJ8" s="87"/>
      <c r="MAK8" s="87"/>
      <c r="MAL8" s="87"/>
      <c r="MAM8" s="87"/>
      <c r="MAN8" s="87"/>
      <c r="MAO8" s="87"/>
      <c r="MAP8" s="87"/>
      <c r="MAQ8" s="87"/>
      <c r="MAR8" s="87"/>
      <c r="MAS8" s="87"/>
      <c r="MAT8" s="87"/>
      <c r="MAU8" s="87"/>
      <c r="MAV8" s="87"/>
      <c r="MAW8" s="87"/>
      <c r="MAX8" s="87"/>
      <c r="MAY8" s="87"/>
      <c r="MAZ8" s="87"/>
      <c r="MBA8" s="87"/>
      <c r="MBB8" s="87"/>
      <c r="MBC8" s="87"/>
      <c r="MBD8" s="87"/>
      <c r="MBE8" s="87"/>
      <c r="MBF8" s="87"/>
      <c r="MBG8" s="87"/>
      <c r="MBH8" s="87"/>
      <c r="MBI8" s="87"/>
      <c r="MBJ8" s="87"/>
      <c r="MBK8" s="87"/>
      <c r="MBL8" s="87"/>
      <c r="MBM8" s="87"/>
      <c r="MBN8" s="87"/>
      <c r="MBO8" s="87"/>
      <c r="MBP8" s="87"/>
      <c r="MBQ8" s="87"/>
      <c r="MBR8" s="87"/>
      <c r="MBS8" s="87"/>
      <c r="MBT8" s="87"/>
      <c r="MBU8" s="87"/>
      <c r="MBV8" s="87"/>
      <c r="MBW8" s="87"/>
      <c r="MBX8" s="87"/>
      <c r="MBY8" s="87"/>
      <c r="MBZ8" s="87"/>
      <c r="MCA8" s="87"/>
      <c r="MCB8" s="87"/>
      <c r="MCC8" s="87"/>
      <c r="MCD8" s="87"/>
      <c r="MCE8" s="87"/>
      <c r="MCF8" s="87"/>
      <c r="MCG8" s="87"/>
      <c r="MCH8" s="87"/>
      <c r="MCI8" s="87"/>
      <c r="MCJ8" s="87"/>
      <c r="MCK8" s="87"/>
      <c r="MCL8" s="87"/>
      <c r="MCM8" s="87"/>
      <c r="MCN8" s="87"/>
      <c r="MCO8" s="87"/>
      <c r="MCP8" s="87"/>
      <c r="MCQ8" s="87"/>
      <c r="MCR8" s="87"/>
      <c r="MCS8" s="87"/>
      <c r="MCT8" s="87"/>
      <c r="MCU8" s="87"/>
      <c r="MCV8" s="87"/>
      <c r="MCW8" s="87"/>
      <c r="MCX8" s="87"/>
      <c r="MCY8" s="87"/>
      <c r="MCZ8" s="87"/>
      <c r="MDA8" s="87"/>
      <c r="MDB8" s="87"/>
      <c r="MDC8" s="87"/>
      <c r="MDD8" s="87"/>
      <c r="MDE8" s="87"/>
      <c r="MDF8" s="87"/>
      <c r="MDG8" s="87"/>
      <c r="MDH8" s="87"/>
      <c r="MDI8" s="87"/>
      <c r="MDJ8" s="87"/>
      <c r="MDK8" s="87"/>
      <c r="MDL8" s="87"/>
      <c r="MDM8" s="87"/>
      <c r="MDN8" s="87"/>
      <c r="MDO8" s="87"/>
      <c r="MDP8" s="87"/>
      <c r="MDQ8" s="87"/>
      <c r="MDR8" s="87"/>
      <c r="MDS8" s="87"/>
      <c r="MDT8" s="87"/>
      <c r="MDU8" s="87"/>
      <c r="MDV8" s="87"/>
      <c r="MDW8" s="87"/>
      <c r="MDX8" s="87"/>
      <c r="MDY8" s="87"/>
      <c r="MDZ8" s="87"/>
      <c r="MEA8" s="87"/>
      <c r="MEB8" s="87"/>
      <c r="MEC8" s="87"/>
      <c r="MED8" s="87"/>
      <c r="MEE8" s="87"/>
      <c r="MEF8" s="87"/>
      <c r="MEG8" s="87"/>
      <c r="MEH8" s="87"/>
      <c r="MEI8" s="87"/>
      <c r="MEJ8" s="87"/>
      <c r="MEK8" s="87"/>
      <c r="MEL8" s="87"/>
      <c r="MEM8" s="87"/>
      <c r="MEN8" s="87"/>
      <c r="MEO8" s="87"/>
      <c r="MEP8" s="87"/>
      <c r="MEQ8" s="87"/>
      <c r="MER8" s="87"/>
      <c r="MES8" s="87"/>
      <c r="MET8" s="87"/>
      <c r="MEU8" s="87"/>
      <c r="MEV8" s="87"/>
      <c r="MEW8" s="87"/>
      <c r="MEX8" s="87"/>
      <c r="MEY8" s="87"/>
      <c r="MEZ8" s="87"/>
      <c r="MFA8" s="87"/>
      <c r="MFB8" s="87"/>
      <c r="MFC8" s="87"/>
      <c r="MFD8" s="87"/>
      <c r="MFE8" s="87"/>
      <c r="MFF8" s="87"/>
      <c r="MFG8" s="87"/>
      <c r="MFH8" s="87"/>
      <c r="MFI8" s="87"/>
      <c r="MFJ8" s="87"/>
      <c r="MFK8" s="87"/>
      <c r="MFL8" s="87"/>
      <c r="MFM8" s="87"/>
      <c r="MFN8" s="87"/>
      <c r="MFO8" s="87"/>
      <c r="MFP8" s="87"/>
      <c r="MFQ8" s="87"/>
      <c r="MFR8" s="87"/>
      <c r="MFS8" s="87"/>
      <c r="MFT8" s="87"/>
      <c r="MFU8" s="87"/>
      <c r="MFV8" s="87"/>
      <c r="MFW8" s="87"/>
      <c r="MFX8" s="87"/>
      <c r="MFY8" s="87"/>
      <c r="MFZ8" s="87"/>
      <c r="MGA8" s="87"/>
      <c r="MGB8" s="87"/>
      <c r="MGC8" s="87"/>
      <c r="MGD8" s="87"/>
      <c r="MGE8" s="87"/>
      <c r="MGF8" s="87"/>
      <c r="MGG8" s="87"/>
      <c r="MGH8" s="87"/>
      <c r="MGI8" s="87"/>
      <c r="MGJ8" s="87"/>
      <c r="MGK8" s="87"/>
      <c r="MGL8" s="87"/>
      <c r="MGM8" s="87"/>
      <c r="MGN8" s="87"/>
      <c r="MGO8" s="87"/>
      <c r="MGP8" s="87"/>
      <c r="MGQ8" s="87"/>
      <c r="MGR8" s="87"/>
      <c r="MGS8" s="87"/>
      <c r="MGT8" s="87"/>
      <c r="MGU8" s="87"/>
      <c r="MGV8" s="87"/>
      <c r="MGW8" s="87"/>
      <c r="MGX8" s="87"/>
      <c r="MGY8" s="87"/>
      <c r="MGZ8" s="87"/>
      <c r="MHA8" s="87"/>
      <c r="MHB8" s="87"/>
      <c r="MHC8" s="87"/>
      <c r="MHD8" s="87"/>
      <c r="MHE8" s="87"/>
      <c r="MHF8" s="87"/>
      <c r="MHG8" s="87"/>
      <c r="MHH8" s="87"/>
      <c r="MHI8" s="87"/>
      <c r="MHJ8" s="87"/>
      <c r="MHK8" s="87"/>
      <c r="MHL8" s="87"/>
      <c r="MHM8" s="87"/>
      <c r="MHN8" s="87"/>
      <c r="MHO8" s="87"/>
      <c r="MHP8" s="87"/>
      <c r="MHQ8" s="87"/>
      <c r="MHR8" s="87"/>
      <c r="MHS8" s="87"/>
      <c r="MHT8" s="87"/>
      <c r="MHU8" s="87"/>
      <c r="MHV8" s="87"/>
      <c r="MHW8" s="87"/>
      <c r="MHX8" s="87"/>
      <c r="MHY8" s="87"/>
      <c r="MHZ8" s="87"/>
      <c r="MIA8" s="87"/>
      <c r="MIB8" s="87"/>
      <c r="MIC8" s="87"/>
      <c r="MID8" s="87"/>
      <c r="MIE8" s="87"/>
      <c r="MIF8" s="87"/>
      <c r="MIG8" s="87"/>
      <c r="MIH8" s="87"/>
      <c r="MII8" s="87"/>
      <c r="MIJ8" s="87"/>
      <c r="MIK8" s="87"/>
      <c r="MIL8" s="87"/>
      <c r="MIM8" s="87"/>
      <c r="MIN8" s="87"/>
      <c r="MIO8" s="87"/>
      <c r="MIP8" s="87"/>
      <c r="MIQ8" s="87"/>
      <c r="MIR8" s="87"/>
      <c r="MIS8" s="87"/>
      <c r="MIT8" s="87"/>
      <c r="MIU8" s="87"/>
      <c r="MIV8" s="87"/>
      <c r="MIW8" s="87"/>
      <c r="MIX8" s="87"/>
      <c r="MIY8" s="87"/>
      <c r="MIZ8" s="87"/>
      <c r="MJA8" s="87"/>
      <c r="MJB8" s="87"/>
      <c r="MJC8" s="87"/>
      <c r="MJD8" s="87"/>
      <c r="MJE8" s="87"/>
      <c r="MJF8" s="87"/>
      <c r="MJG8" s="87"/>
      <c r="MJH8" s="87"/>
      <c r="MJI8" s="87"/>
      <c r="MJJ8" s="87"/>
      <c r="MJK8" s="87"/>
      <c r="MJL8" s="87"/>
      <c r="MJM8" s="87"/>
      <c r="MJN8" s="87"/>
      <c r="MJO8" s="87"/>
      <c r="MJP8" s="87"/>
      <c r="MJQ8" s="87"/>
      <c r="MJR8" s="87"/>
      <c r="MJS8" s="87"/>
      <c r="MJT8" s="87"/>
      <c r="MJU8" s="87"/>
      <c r="MJV8" s="87"/>
      <c r="MJW8" s="87"/>
      <c r="MJX8" s="87"/>
      <c r="MJY8" s="87"/>
      <c r="MJZ8" s="87"/>
      <c r="MKA8" s="87"/>
      <c r="MKB8" s="87"/>
      <c r="MKC8" s="87"/>
      <c r="MKD8" s="87"/>
      <c r="MKE8" s="87"/>
      <c r="MKF8" s="87"/>
      <c r="MKG8" s="87"/>
      <c r="MKH8" s="87"/>
      <c r="MKI8" s="87"/>
      <c r="MKJ8" s="87"/>
      <c r="MKK8" s="87"/>
      <c r="MKL8" s="87"/>
      <c r="MKM8" s="87"/>
      <c r="MKN8" s="87"/>
      <c r="MKO8" s="87"/>
      <c r="MKP8" s="87"/>
      <c r="MKQ8" s="87"/>
      <c r="MKR8" s="87"/>
      <c r="MKS8" s="87"/>
      <c r="MKT8" s="87"/>
      <c r="MKU8" s="87"/>
      <c r="MKV8" s="87"/>
      <c r="MKW8" s="87"/>
      <c r="MKX8" s="87"/>
      <c r="MKY8" s="87"/>
      <c r="MKZ8" s="87"/>
      <c r="MLA8" s="87"/>
      <c r="MLB8" s="87"/>
      <c r="MLC8" s="87"/>
      <c r="MLD8" s="87"/>
      <c r="MLE8" s="87"/>
      <c r="MLF8" s="87"/>
      <c r="MLG8" s="87"/>
      <c r="MLH8" s="87"/>
      <c r="MLI8" s="87"/>
      <c r="MLJ8" s="87"/>
      <c r="MLK8" s="87"/>
      <c r="MLL8" s="87"/>
      <c r="MLM8" s="87"/>
      <c r="MLN8" s="87"/>
      <c r="MLO8" s="87"/>
      <c r="MLP8" s="87"/>
      <c r="MLQ8" s="87"/>
      <c r="MLR8" s="87"/>
      <c r="MLS8" s="87"/>
      <c r="MLT8" s="87"/>
      <c r="MLU8" s="87"/>
      <c r="MLV8" s="87"/>
      <c r="MLW8" s="87"/>
      <c r="MLX8" s="87"/>
      <c r="MLY8" s="87"/>
      <c r="MLZ8" s="87"/>
      <c r="MMA8" s="87"/>
      <c r="MMB8" s="87"/>
      <c r="MMC8" s="87"/>
      <c r="MMD8" s="87"/>
      <c r="MME8" s="87"/>
      <c r="MMF8" s="87"/>
      <c r="MMG8" s="87"/>
      <c r="MMH8" s="87"/>
      <c r="MMI8" s="87"/>
      <c r="MMJ8" s="87"/>
      <c r="MMK8" s="87"/>
      <c r="MML8" s="87"/>
      <c r="MMM8" s="87"/>
      <c r="MMN8" s="87"/>
      <c r="MMO8" s="87"/>
      <c r="MMP8" s="87"/>
      <c r="MMQ8" s="87"/>
      <c r="MMR8" s="87"/>
      <c r="MMS8" s="87"/>
      <c r="MMT8" s="87"/>
      <c r="MMU8" s="87"/>
      <c r="MMV8" s="87"/>
      <c r="MMW8" s="87"/>
      <c r="MMX8" s="87"/>
      <c r="MMY8" s="87"/>
      <c r="MMZ8" s="87"/>
      <c r="MNA8" s="87"/>
      <c r="MNB8" s="87"/>
      <c r="MNC8" s="87"/>
      <c r="MND8" s="87"/>
      <c r="MNE8" s="87"/>
      <c r="MNF8" s="87"/>
      <c r="MNG8" s="87"/>
      <c r="MNH8" s="87"/>
      <c r="MNI8" s="87"/>
      <c r="MNJ8" s="87"/>
      <c r="MNK8" s="87"/>
      <c r="MNL8" s="87"/>
      <c r="MNM8" s="87"/>
      <c r="MNN8" s="87"/>
      <c r="MNO8" s="87"/>
      <c r="MNP8" s="87"/>
      <c r="MNQ8" s="87"/>
      <c r="MNR8" s="87"/>
      <c r="MNS8" s="87"/>
      <c r="MNT8" s="87"/>
      <c r="MNU8" s="87"/>
      <c r="MNV8" s="87"/>
      <c r="MNW8" s="87"/>
      <c r="MNX8" s="87"/>
      <c r="MNY8" s="87"/>
      <c r="MNZ8" s="87"/>
      <c r="MOA8" s="87"/>
      <c r="MOB8" s="87"/>
      <c r="MOC8" s="87"/>
      <c r="MOD8" s="87"/>
      <c r="MOE8" s="87"/>
      <c r="MOF8" s="87"/>
      <c r="MOG8" s="87"/>
      <c r="MOH8" s="87"/>
      <c r="MOI8" s="87"/>
      <c r="MOJ8" s="87"/>
      <c r="MOK8" s="87"/>
      <c r="MOL8" s="87"/>
      <c r="MOM8" s="87"/>
      <c r="MON8" s="87"/>
      <c r="MOO8" s="87"/>
      <c r="MOP8" s="87"/>
      <c r="MOQ8" s="87"/>
      <c r="MOR8" s="87"/>
      <c r="MOS8" s="87"/>
      <c r="MOT8" s="87"/>
      <c r="MOU8" s="87"/>
      <c r="MOV8" s="87"/>
      <c r="MOW8" s="87"/>
      <c r="MOX8" s="87"/>
      <c r="MOY8" s="87"/>
      <c r="MOZ8" s="87"/>
      <c r="MPA8" s="87"/>
      <c r="MPB8" s="87"/>
      <c r="MPC8" s="87"/>
      <c r="MPD8" s="87"/>
      <c r="MPE8" s="87"/>
      <c r="MPF8" s="87"/>
      <c r="MPG8" s="87"/>
      <c r="MPH8" s="87"/>
      <c r="MPI8" s="87"/>
      <c r="MPJ8" s="87"/>
      <c r="MPK8" s="87"/>
      <c r="MPL8" s="87"/>
      <c r="MPM8" s="87"/>
      <c r="MPN8" s="87"/>
      <c r="MPO8" s="87"/>
      <c r="MPP8" s="87"/>
      <c r="MPQ8" s="87"/>
      <c r="MPR8" s="87"/>
      <c r="MPS8" s="87"/>
      <c r="MPT8" s="87"/>
      <c r="MPU8" s="87"/>
      <c r="MPV8" s="87"/>
      <c r="MPW8" s="87"/>
      <c r="MPX8" s="87"/>
      <c r="MPY8" s="87"/>
      <c r="MPZ8" s="87"/>
      <c r="MQA8" s="87"/>
      <c r="MQB8" s="87"/>
      <c r="MQC8" s="87"/>
      <c r="MQD8" s="87"/>
      <c r="MQE8" s="87"/>
      <c r="MQF8" s="87"/>
      <c r="MQG8" s="87"/>
      <c r="MQH8" s="87"/>
      <c r="MQI8" s="87"/>
      <c r="MQJ8" s="87"/>
      <c r="MQK8" s="87"/>
      <c r="MQL8" s="87"/>
      <c r="MQM8" s="87"/>
      <c r="MQN8" s="87"/>
      <c r="MQO8" s="87"/>
      <c r="MQP8" s="87"/>
      <c r="MQQ8" s="87"/>
      <c r="MQR8" s="87"/>
      <c r="MQS8" s="87"/>
      <c r="MQT8" s="87"/>
      <c r="MQU8" s="87"/>
      <c r="MQV8" s="87"/>
      <c r="MQW8" s="87"/>
      <c r="MQX8" s="87"/>
      <c r="MQY8" s="87"/>
      <c r="MQZ8" s="87"/>
      <c r="MRA8" s="87"/>
      <c r="MRB8" s="87"/>
      <c r="MRC8" s="87"/>
      <c r="MRD8" s="87"/>
      <c r="MRE8" s="87"/>
      <c r="MRF8" s="87"/>
      <c r="MRG8" s="87"/>
      <c r="MRH8" s="87"/>
      <c r="MRI8" s="87"/>
      <c r="MRJ8" s="87"/>
      <c r="MRK8" s="87"/>
      <c r="MRL8" s="87"/>
      <c r="MRM8" s="87"/>
      <c r="MRN8" s="87"/>
      <c r="MRO8" s="87"/>
      <c r="MRP8" s="87"/>
      <c r="MRQ8" s="87"/>
      <c r="MRR8" s="87"/>
      <c r="MRS8" s="87"/>
      <c r="MRT8" s="87"/>
      <c r="MRU8" s="87"/>
      <c r="MRV8" s="87"/>
      <c r="MRW8" s="87"/>
      <c r="MRX8" s="87"/>
      <c r="MRY8" s="87"/>
      <c r="MRZ8" s="87"/>
      <c r="MSA8" s="87"/>
      <c r="MSB8" s="87"/>
      <c r="MSC8" s="87"/>
      <c r="MSD8" s="87"/>
      <c r="MSE8" s="87"/>
      <c r="MSF8" s="87"/>
      <c r="MSG8" s="87"/>
      <c r="MSH8" s="87"/>
      <c r="MSI8" s="87"/>
      <c r="MSJ8" s="87"/>
      <c r="MSK8" s="87"/>
      <c r="MSL8" s="87"/>
      <c r="MSM8" s="87"/>
      <c r="MSN8" s="87"/>
      <c r="MSO8" s="87"/>
      <c r="MSP8" s="87"/>
      <c r="MSQ8" s="87"/>
      <c r="MSR8" s="87"/>
      <c r="MSS8" s="87"/>
      <c r="MST8" s="87"/>
      <c r="MSU8" s="87"/>
      <c r="MSV8" s="87"/>
      <c r="MSW8" s="87"/>
      <c r="MSX8" s="87"/>
      <c r="MSY8" s="87"/>
      <c r="MSZ8" s="87"/>
      <c r="MTA8" s="87"/>
      <c r="MTB8" s="87"/>
      <c r="MTC8" s="87"/>
      <c r="MTD8" s="87"/>
      <c r="MTE8" s="87"/>
      <c r="MTF8" s="87"/>
      <c r="MTG8" s="87"/>
      <c r="MTH8" s="87"/>
      <c r="MTI8" s="87"/>
      <c r="MTJ8" s="87"/>
      <c r="MTK8" s="87"/>
      <c r="MTL8" s="87"/>
      <c r="MTM8" s="87"/>
      <c r="MTN8" s="87"/>
      <c r="MTO8" s="87"/>
      <c r="MTP8" s="87"/>
      <c r="MTQ8" s="87"/>
      <c r="MTR8" s="87"/>
      <c r="MTS8" s="87"/>
      <c r="MTT8" s="87"/>
      <c r="MTU8" s="87"/>
      <c r="MTV8" s="87"/>
      <c r="MTW8" s="87"/>
      <c r="MTX8" s="87"/>
      <c r="MTY8" s="87"/>
      <c r="MTZ8" s="87"/>
      <c r="MUA8" s="87"/>
      <c r="MUB8" s="87"/>
      <c r="MUC8" s="87"/>
      <c r="MUD8" s="87"/>
      <c r="MUE8" s="87"/>
      <c r="MUF8" s="87"/>
      <c r="MUG8" s="87"/>
      <c r="MUH8" s="87"/>
      <c r="MUI8" s="87"/>
      <c r="MUJ8" s="87"/>
      <c r="MUK8" s="87"/>
      <c r="MUL8" s="87"/>
      <c r="MUM8" s="87"/>
      <c r="MUN8" s="87"/>
      <c r="MUO8" s="87"/>
      <c r="MUP8" s="87"/>
      <c r="MUQ8" s="87"/>
      <c r="MUR8" s="87"/>
      <c r="MUS8" s="87"/>
      <c r="MUT8" s="87"/>
      <c r="MUU8" s="87"/>
      <c r="MUV8" s="87"/>
      <c r="MUW8" s="87"/>
      <c r="MUX8" s="87"/>
      <c r="MUY8" s="87"/>
      <c r="MUZ8" s="87"/>
      <c r="MVA8" s="87"/>
      <c r="MVB8" s="87"/>
      <c r="MVC8" s="87"/>
      <c r="MVD8" s="87"/>
      <c r="MVE8" s="87"/>
      <c r="MVF8" s="87"/>
      <c r="MVG8" s="87"/>
      <c r="MVH8" s="87"/>
      <c r="MVI8" s="87"/>
      <c r="MVJ8" s="87"/>
      <c r="MVK8" s="87"/>
      <c r="MVL8" s="87"/>
      <c r="MVM8" s="87"/>
      <c r="MVN8" s="87"/>
      <c r="MVO8" s="87"/>
      <c r="MVP8" s="87"/>
      <c r="MVQ8" s="87"/>
      <c r="MVR8" s="87"/>
      <c r="MVS8" s="87"/>
      <c r="MVT8" s="87"/>
      <c r="MVU8" s="87"/>
      <c r="MVV8" s="87"/>
      <c r="MVW8" s="87"/>
      <c r="MVX8" s="87"/>
      <c r="MVY8" s="87"/>
      <c r="MVZ8" s="87"/>
      <c r="MWA8" s="87"/>
      <c r="MWB8" s="87"/>
      <c r="MWC8" s="87"/>
      <c r="MWD8" s="87"/>
      <c r="MWE8" s="87"/>
      <c r="MWF8" s="87"/>
      <c r="MWG8" s="87"/>
      <c r="MWH8" s="87"/>
      <c r="MWI8" s="87"/>
      <c r="MWJ8" s="87"/>
      <c r="MWK8" s="87"/>
      <c r="MWL8" s="87"/>
      <c r="MWM8" s="87"/>
      <c r="MWN8" s="87"/>
      <c r="MWO8" s="87"/>
      <c r="MWP8" s="87"/>
      <c r="MWQ8" s="87"/>
      <c r="MWR8" s="87"/>
      <c r="MWS8" s="87"/>
      <c r="MWT8" s="87"/>
      <c r="MWU8" s="87"/>
      <c r="MWV8" s="87"/>
      <c r="MWW8" s="87"/>
      <c r="MWX8" s="87"/>
      <c r="MWY8" s="87"/>
      <c r="MWZ8" s="87"/>
      <c r="MXA8" s="87"/>
      <c r="MXB8" s="87"/>
      <c r="MXC8" s="87"/>
      <c r="MXD8" s="87"/>
      <c r="MXE8" s="87"/>
      <c r="MXF8" s="87"/>
      <c r="MXG8" s="87"/>
      <c r="MXH8" s="87"/>
      <c r="MXI8" s="87"/>
      <c r="MXJ8" s="87"/>
      <c r="MXK8" s="87"/>
      <c r="MXL8" s="87"/>
      <c r="MXM8" s="87"/>
      <c r="MXN8" s="87"/>
      <c r="MXO8" s="87"/>
      <c r="MXP8" s="87"/>
      <c r="MXQ8" s="87"/>
      <c r="MXR8" s="87"/>
      <c r="MXS8" s="87"/>
      <c r="MXT8" s="87"/>
      <c r="MXU8" s="87"/>
      <c r="MXV8" s="87"/>
      <c r="MXW8" s="87"/>
      <c r="MXX8" s="87"/>
      <c r="MXY8" s="87"/>
      <c r="MXZ8" s="87"/>
      <c r="MYA8" s="87"/>
      <c r="MYB8" s="87"/>
      <c r="MYC8" s="87"/>
      <c r="MYD8" s="87"/>
      <c r="MYE8" s="87"/>
      <c r="MYF8" s="87"/>
      <c r="MYG8" s="87"/>
      <c r="MYH8" s="87"/>
      <c r="MYI8" s="87"/>
      <c r="MYJ8" s="87"/>
      <c r="MYK8" s="87"/>
      <c r="MYL8" s="87"/>
      <c r="MYM8" s="87"/>
      <c r="MYN8" s="87"/>
      <c r="MYO8" s="87"/>
      <c r="MYP8" s="87"/>
      <c r="MYQ8" s="87"/>
      <c r="MYR8" s="87"/>
      <c r="MYS8" s="87"/>
      <c r="MYT8" s="87"/>
      <c r="MYU8" s="87"/>
      <c r="MYV8" s="87"/>
      <c r="MYW8" s="87"/>
      <c r="MYX8" s="87"/>
      <c r="MYY8" s="87"/>
      <c r="MYZ8" s="87"/>
      <c r="MZA8" s="87"/>
      <c r="MZB8" s="87"/>
      <c r="MZC8" s="87"/>
      <c r="MZD8" s="87"/>
      <c r="MZE8" s="87"/>
      <c r="MZF8" s="87"/>
      <c r="MZG8" s="87"/>
      <c r="MZH8" s="87"/>
      <c r="MZI8" s="87"/>
      <c r="MZJ8" s="87"/>
      <c r="MZK8" s="87"/>
      <c r="MZL8" s="87"/>
      <c r="MZM8" s="87"/>
      <c r="MZN8" s="87"/>
      <c r="MZO8" s="87"/>
      <c r="MZP8" s="87"/>
      <c r="MZQ8" s="87"/>
      <c r="MZR8" s="87"/>
      <c r="MZS8" s="87"/>
      <c r="MZT8" s="87"/>
      <c r="MZU8" s="87"/>
      <c r="MZV8" s="87"/>
      <c r="MZW8" s="87"/>
      <c r="MZX8" s="87"/>
      <c r="MZY8" s="87"/>
      <c r="MZZ8" s="87"/>
      <c r="NAA8" s="87"/>
      <c r="NAB8" s="87"/>
      <c r="NAC8" s="87"/>
      <c r="NAD8" s="87"/>
      <c r="NAE8" s="87"/>
      <c r="NAF8" s="87"/>
      <c r="NAG8" s="87"/>
      <c r="NAH8" s="87"/>
      <c r="NAI8" s="87"/>
      <c r="NAJ8" s="87"/>
      <c r="NAK8" s="87"/>
      <c r="NAL8" s="87"/>
      <c r="NAM8" s="87"/>
      <c r="NAN8" s="87"/>
      <c r="NAO8" s="87"/>
      <c r="NAP8" s="87"/>
      <c r="NAQ8" s="87"/>
      <c r="NAR8" s="87"/>
      <c r="NAS8" s="87"/>
      <c r="NAT8" s="87"/>
      <c r="NAU8" s="87"/>
      <c r="NAV8" s="87"/>
      <c r="NAW8" s="87"/>
      <c r="NAX8" s="87"/>
      <c r="NAY8" s="87"/>
      <c r="NAZ8" s="87"/>
      <c r="NBA8" s="87"/>
      <c r="NBB8" s="87"/>
      <c r="NBC8" s="87"/>
      <c r="NBD8" s="87"/>
      <c r="NBE8" s="87"/>
      <c r="NBF8" s="87"/>
      <c r="NBG8" s="87"/>
      <c r="NBH8" s="87"/>
      <c r="NBI8" s="87"/>
      <c r="NBJ8" s="87"/>
      <c r="NBK8" s="87"/>
      <c r="NBL8" s="87"/>
      <c r="NBM8" s="87"/>
      <c r="NBN8" s="87"/>
      <c r="NBO8" s="87"/>
      <c r="NBP8" s="87"/>
      <c r="NBQ8" s="87"/>
      <c r="NBR8" s="87"/>
      <c r="NBS8" s="87"/>
      <c r="NBT8" s="87"/>
      <c r="NBU8" s="87"/>
      <c r="NBV8" s="87"/>
      <c r="NBW8" s="87"/>
      <c r="NBX8" s="87"/>
      <c r="NBY8" s="87"/>
      <c r="NBZ8" s="87"/>
      <c r="NCA8" s="87"/>
      <c r="NCB8" s="87"/>
      <c r="NCC8" s="87"/>
      <c r="NCD8" s="87"/>
      <c r="NCE8" s="87"/>
      <c r="NCF8" s="87"/>
      <c r="NCG8" s="87"/>
      <c r="NCH8" s="87"/>
      <c r="NCI8" s="87"/>
      <c r="NCJ8" s="87"/>
      <c r="NCK8" s="87"/>
      <c r="NCL8" s="87"/>
      <c r="NCM8" s="87"/>
      <c r="NCN8" s="87"/>
      <c r="NCO8" s="87"/>
      <c r="NCP8" s="87"/>
      <c r="NCQ8" s="87"/>
      <c r="NCR8" s="87"/>
      <c r="NCS8" s="87"/>
      <c r="NCT8" s="87"/>
      <c r="NCU8" s="87"/>
      <c r="NCV8" s="87"/>
      <c r="NCW8" s="87"/>
      <c r="NCX8" s="87"/>
      <c r="NCY8" s="87"/>
      <c r="NCZ8" s="87"/>
      <c r="NDA8" s="87"/>
      <c r="NDB8" s="87"/>
      <c r="NDC8" s="87"/>
      <c r="NDD8" s="87"/>
      <c r="NDE8" s="87"/>
      <c r="NDF8" s="87"/>
      <c r="NDG8" s="87"/>
      <c r="NDH8" s="87"/>
      <c r="NDI8" s="87"/>
      <c r="NDJ8" s="87"/>
      <c r="NDK8" s="87"/>
      <c r="NDL8" s="87"/>
      <c r="NDM8" s="87"/>
      <c r="NDN8" s="87"/>
      <c r="NDO8" s="87"/>
      <c r="NDP8" s="87"/>
      <c r="NDQ8" s="87"/>
      <c r="NDR8" s="87"/>
      <c r="NDS8" s="87"/>
      <c r="NDT8" s="87"/>
      <c r="NDU8" s="87"/>
      <c r="NDV8" s="87"/>
      <c r="NDW8" s="87"/>
      <c r="NDX8" s="87"/>
      <c r="NDY8" s="87"/>
      <c r="NDZ8" s="87"/>
      <c r="NEA8" s="87"/>
      <c r="NEB8" s="87"/>
      <c r="NEC8" s="87"/>
      <c r="NED8" s="87"/>
      <c r="NEE8" s="87"/>
      <c r="NEF8" s="87"/>
      <c r="NEG8" s="87"/>
      <c r="NEH8" s="87"/>
      <c r="NEI8" s="87"/>
      <c r="NEJ8" s="87"/>
      <c r="NEK8" s="87"/>
      <c r="NEL8" s="87"/>
      <c r="NEM8" s="87"/>
      <c r="NEN8" s="87"/>
      <c r="NEO8" s="87"/>
      <c r="NEP8" s="87"/>
      <c r="NEQ8" s="87"/>
      <c r="NER8" s="87"/>
      <c r="NES8" s="87"/>
      <c r="NET8" s="87"/>
      <c r="NEU8" s="87"/>
      <c r="NEV8" s="87"/>
      <c r="NEW8" s="87"/>
      <c r="NEX8" s="87"/>
      <c r="NEY8" s="87"/>
      <c r="NEZ8" s="87"/>
      <c r="NFA8" s="87"/>
      <c r="NFB8" s="87"/>
      <c r="NFC8" s="87"/>
      <c r="NFD8" s="87"/>
      <c r="NFE8" s="87"/>
      <c r="NFF8" s="87"/>
      <c r="NFG8" s="87"/>
      <c r="NFH8" s="87"/>
      <c r="NFI8" s="87"/>
      <c r="NFJ8" s="87"/>
      <c r="NFK8" s="87"/>
      <c r="NFL8" s="87"/>
      <c r="NFM8" s="87"/>
      <c r="NFN8" s="87"/>
      <c r="NFO8" s="87"/>
      <c r="NFP8" s="87"/>
      <c r="NFQ8" s="87"/>
      <c r="NFR8" s="87"/>
      <c r="NFS8" s="87"/>
      <c r="NFT8" s="87"/>
      <c r="NFU8" s="87"/>
      <c r="NFV8" s="87"/>
      <c r="NFW8" s="87"/>
      <c r="NFX8" s="87"/>
      <c r="NFY8" s="87"/>
      <c r="NFZ8" s="87"/>
      <c r="NGA8" s="87"/>
      <c r="NGB8" s="87"/>
      <c r="NGC8" s="87"/>
      <c r="NGD8" s="87"/>
      <c r="NGE8" s="87"/>
      <c r="NGF8" s="87"/>
      <c r="NGG8" s="87"/>
      <c r="NGH8" s="87"/>
      <c r="NGI8" s="87"/>
      <c r="NGJ8" s="87"/>
      <c r="NGK8" s="87"/>
      <c r="NGL8" s="87"/>
      <c r="NGM8" s="87"/>
      <c r="NGN8" s="87"/>
      <c r="NGO8" s="87"/>
      <c r="NGP8" s="87"/>
      <c r="NGQ8" s="87"/>
      <c r="NGR8" s="87"/>
      <c r="NGS8" s="87"/>
      <c r="NGT8" s="87"/>
      <c r="NGU8" s="87"/>
      <c r="NGV8" s="87"/>
      <c r="NGW8" s="87"/>
      <c r="NGX8" s="87"/>
      <c r="NGY8" s="87"/>
      <c r="NGZ8" s="87"/>
      <c r="NHA8" s="87"/>
      <c r="NHB8" s="87"/>
      <c r="NHC8" s="87"/>
      <c r="NHD8" s="87"/>
      <c r="NHE8" s="87"/>
      <c r="NHF8" s="87"/>
      <c r="NHG8" s="87"/>
      <c r="NHH8" s="87"/>
      <c r="NHI8" s="87"/>
      <c r="NHJ8" s="87"/>
      <c r="NHK8" s="87"/>
      <c r="NHL8" s="87"/>
      <c r="NHM8" s="87"/>
      <c r="NHN8" s="87"/>
      <c r="NHO8" s="87"/>
      <c r="NHP8" s="87"/>
      <c r="NHQ8" s="87"/>
      <c r="NHR8" s="87"/>
      <c r="NHS8" s="87"/>
      <c r="NHT8" s="87"/>
      <c r="NHU8" s="87"/>
      <c r="NHV8" s="87"/>
      <c r="NHW8" s="87"/>
      <c r="NHX8" s="87"/>
      <c r="NHY8" s="87"/>
      <c r="NHZ8" s="87"/>
      <c r="NIA8" s="87"/>
      <c r="NIB8" s="87"/>
      <c r="NIC8" s="87"/>
      <c r="NID8" s="87"/>
      <c r="NIE8" s="87"/>
      <c r="NIF8" s="87"/>
      <c r="NIG8" s="87"/>
      <c r="NIH8" s="87"/>
      <c r="NII8" s="87"/>
      <c r="NIJ8" s="87"/>
      <c r="NIK8" s="87"/>
      <c r="NIL8" s="87"/>
      <c r="NIM8" s="87"/>
      <c r="NIN8" s="87"/>
      <c r="NIO8" s="87"/>
      <c r="NIP8" s="87"/>
      <c r="NIQ8" s="87"/>
      <c r="NIR8" s="87"/>
      <c r="NIS8" s="87"/>
      <c r="NIT8" s="87"/>
      <c r="NIU8" s="87"/>
      <c r="NIV8" s="87"/>
      <c r="NIW8" s="87"/>
      <c r="NIX8" s="87"/>
      <c r="NIY8" s="87"/>
      <c r="NIZ8" s="87"/>
      <c r="NJA8" s="87"/>
      <c r="NJB8" s="87"/>
      <c r="NJC8" s="87"/>
      <c r="NJD8" s="87"/>
      <c r="NJE8" s="87"/>
      <c r="NJF8" s="87"/>
      <c r="NJG8" s="87"/>
      <c r="NJH8" s="87"/>
      <c r="NJI8" s="87"/>
      <c r="NJJ8" s="87"/>
      <c r="NJK8" s="87"/>
      <c r="NJL8" s="87"/>
      <c r="NJM8" s="87"/>
      <c r="NJN8" s="87"/>
      <c r="NJO8" s="87"/>
      <c r="NJP8" s="87"/>
      <c r="NJQ8" s="87"/>
      <c r="NJR8" s="87"/>
      <c r="NJS8" s="87"/>
      <c r="NJT8" s="87"/>
      <c r="NJU8" s="87"/>
      <c r="NJV8" s="87"/>
      <c r="NJW8" s="87"/>
      <c r="NJX8" s="87"/>
      <c r="NJY8" s="87"/>
      <c r="NJZ8" s="87"/>
      <c r="NKA8" s="87"/>
      <c r="NKB8" s="87"/>
      <c r="NKC8" s="87"/>
      <c r="NKD8" s="87"/>
      <c r="NKE8" s="87"/>
      <c r="NKF8" s="87"/>
      <c r="NKG8" s="87"/>
      <c r="NKH8" s="87"/>
      <c r="NKI8" s="87"/>
      <c r="NKJ8" s="87"/>
      <c r="NKK8" s="87"/>
      <c r="NKL8" s="87"/>
      <c r="NKM8" s="87"/>
      <c r="NKN8" s="87"/>
      <c r="NKO8" s="87"/>
      <c r="NKP8" s="87"/>
      <c r="NKQ8" s="87"/>
      <c r="NKR8" s="87"/>
      <c r="NKS8" s="87"/>
      <c r="NKT8" s="87"/>
      <c r="NKU8" s="87"/>
      <c r="NKV8" s="87"/>
      <c r="NKW8" s="87"/>
      <c r="NKX8" s="87"/>
      <c r="NKY8" s="87"/>
      <c r="NKZ8" s="87"/>
      <c r="NLA8" s="87"/>
      <c r="NLB8" s="87"/>
      <c r="NLC8" s="87"/>
      <c r="NLD8" s="87"/>
      <c r="NLE8" s="87"/>
      <c r="NLF8" s="87"/>
      <c r="NLG8" s="87"/>
      <c r="NLH8" s="87"/>
      <c r="NLI8" s="87"/>
      <c r="NLJ8" s="87"/>
      <c r="NLK8" s="87"/>
      <c r="NLL8" s="87"/>
      <c r="NLM8" s="87"/>
      <c r="NLN8" s="87"/>
      <c r="NLO8" s="87"/>
      <c r="NLP8" s="87"/>
      <c r="NLQ8" s="87"/>
      <c r="NLR8" s="87"/>
      <c r="NLS8" s="87"/>
      <c r="NLT8" s="87"/>
      <c r="NLU8" s="87"/>
      <c r="NLV8" s="87"/>
      <c r="NLW8" s="87"/>
      <c r="NLX8" s="87"/>
      <c r="NLY8" s="87"/>
      <c r="NLZ8" s="87"/>
      <c r="NMA8" s="87"/>
      <c r="NMB8" s="87"/>
      <c r="NMC8" s="87"/>
      <c r="NMD8" s="87"/>
      <c r="NME8" s="87"/>
      <c r="NMF8" s="87"/>
      <c r="NMG8" s="87"/>
      <c r="NMH8" s="87"/>
      <c r="NMI8" s="87"/>
      <c r="NMJ8" s="87"/>
      <c r="NMK8" s="87"/>
      <c r="NML8" s="87"/>
      <c r="NMM8" s="87"/>
      <c r="NMN8" s="87"/>
      <c r="NMO8" s="87"/>
      <c r="NMP8" s="87"/>
      <c r="NMQ8" s="87"/>
      <c r="NMR8" s="87"/>
      <c r="NMS8" s="87"/>
      <c r="NMT8" s="87"/>
      <c r="NMU8" s="87"/>
      <c r="NMV8" s="87"/>
      <c r="NMW8" s="87"/>
      <c r="NMX8" s="87"/>
      <c r="NMY8" s="87"/>
      <c r="NMZ8" s="87"/>
      <c r="NNA8" s="87"/>
      <c r="NNB8" s="87"/>
      <c r="NNC8" s="87"/>
      <c r="NND8" s="87"/>
      <c r="NNE8" s="87"/>
      <c r="NNF8" s="87"/>
      <c r="NNG8" s="87"/>
      <c r="NNH8" s="87"/>
      <c r="NNI8" s="87"/>
      <c r="NNJ8" s="87"/>
      <c r="NNK8" s="87"/>
      <c r="NNL8" s="87"/>
      <c r="NNM8" s="87"/>
      <c r="NNN8" s="87"/>
      <c r="NNO8" s="87"/>
      <c r="NNP8" s="87"/>
      <c r="NNQ8" s="87"/>
      <c r="NNR8" s="87"/>
      <c r="NNS8" s="87"/>
      <c r="NNT8" s="87"/>
      <c r="NNU8" s="87"/>
      <c r="NNV8" s="87"/>
      <c r="NNW8" s="87"/>
      <c r="NNX8" s="87"/>
      <c r="NNY8" s="87"/>
      <c r="NNZ8" s="87"/>
      <c r="NOA8" s="87"/>
      <c r="NOB8" s="87"/>
      <c r="NOC8" s="87"/>
      <c r="NOD8" s="87"/>
      <c r="NOE8" s="87"/>
      <c r="NOF8" s="87"/>
      <c r="NOG8" s="87"/>
      <c r="NOH8" s="87"/>
      <c r="NOI8" s="87"/>
      <c r="NOJ8" s="87"/>
      <c r="NOK8" s="87"/>
      <c r="NOL8" s="87"/>
      <c r="NOM8" s="87"/>
      <c r="NON8" s="87"/>
      <c r="NOO8" s="87"/>
      <c r="NOP8" s="87"/>
      <c r="NOQ8" s="87"/>
      <c r="NOR8" s="87"/>
      <c r="NOS8" s="87"/>
      <c r="NOT8" s="87"/>
      <c r="NOU8" s="87"/>
      <c r="NOV8" s="87"/>
      <c r="NOW8" s="87"/>
      <c r="NOX8" s="87"/>
      <c r="NOY8" s="87"/>
      <c r="NOZ8" s="87"/>
      <c r="NPA8" s="87"/>
      <c r="NPB8" s="87"/>
      <c r="NPC8" s="87"/>
      <c r="NPD8" s="87"/>
      <c r="NPE8" s="87"/>
      <c r="NPF8" s="87"/>
      <c r="NPG8" s="87"/>
      <c r="NPH8" s="87"/>
      <c r="NPI8" s="87"/>
      <c r="NPJ8" s="87"/>
      <c r="NPK8" s="87"/>
      <c r="NPL8" s="87"/>
      <c r="NPM8" s="87"/>
      <c r="NPN8" s="87"/>
      <c r="NPO8" s="87"/>
      <c r="NPP8" s="87"/>
      <c r="NPQ8" s="87"/>
      <c r="NPR8" s="87"/>
      <c r="NPS8" s="87"/>
      <c r="NPT8" s="87"/>
      <c r="NPU8" s="87"/>
      <c r="NPV8" s="87"/>
      <c r="NPW8" s="87"/>
      <c r="NPX8" s="87"/>
      <c r="NPY8" s="87"/>
      <c r="NPZ8" s="87"/>
      <c r="NQA8" s="87"/>
      <c r="NQB8" s="87"/>
      <c r="NQC8" s="87"/>
      <c r="NQD8" s="87"/>
      <c r="NQE8" s="87"/>
      <c r="NQF8" s="87"/>
      <c r="NQG8" s="87"/>
      <c r="NQH8" s="87"/>
      <c r="NQI8" s="87"/>
      <c r="NQJ8" s="87"/>
      <c r="NQK8" s="87"/>
      <c r="NQL8" s="87"/>
      <c r="NQM8" s="87"/>
      <c r="NQN8" s="87"/>
      <c r="NQO8" s="87"/>
      <c r="NQP8" s="87"/>
      <c r="NQQ8" s="87"/>
      <c r="NQR8" s="87"/>
      <c r="NQS8" s="87"/>
      <c r="NQT8" s="87"/>
      <c r="NQU8" s="87"/>
      <c r="NQV8" s="87"/>
      <c r="NQW8" s="87"/>
      <c r="NQX8" s="87"/>
      <c r="NQY8" s="87"/>
      <c r="NQZ8" s="87"/>
      <c r="NRA8" s="87"/>
      <c r="NRB8" s="87"/>
      <c r="NRC8" s="87"/>
      <c r="NRD8" s="87"/>
      <c r="NRE8" s="87"/>
      <c r="NRF8" s="87"/>
      <c r="NRG8" s="87"/>
      <c r="NRH8" s="87"/>
      <c r="NRI8" s="87"/>
      <c r="NRJ8" s="87"/>
      <c r="NRK8" s="87"/>
      <c r="NRL8" s="87"/>
      <c r="NRM8" s="87"/>
      <c r="NRN8" s="87"/>
      <c r="NRO8" s="87"/>
      <c r="NRP8" s="87"/>
      <c r="NRQ8" s="87"/>
      <c r="NRR8" s="87"/>
      <c r="NRS8" s="87"/>
      <c r="NRT8" s="87"/>
      <c r="NRU8" s="87"/>
      <c r="NRV8" s="87"/>
      <c r="NRW8" s="87"/>
      <c r="NRX8" s="87"/>
      <c r="NRY8" s="87"/>
      <c r="NRZ8" s="87"/>
      <c r="NSA8" s="87"/>
      <c r="NSB8" s="87"/>
      <c r="NSC8" s="87"/>
      <c r="NSD8" s="87"/>
      <c r="NSE8" s="87"/>
      <c r="NSF8" s="87"/>
      <c r="NSG8" s="87"/>
      <c r="NSH8" s="87"/>
      <c r="NSI8" s="87"/>
      <c r="NSJ8" s="87"/>
      <c r="NSK8" s="87"/>
      <c r="NSL8" s="87"/>
      <c r="NSM8" s="87"/>
      <c r="NSN8" s="87"/>
      <c r="NSO8" s="87"/>
      <c r="NSP8" s="87"/>
      <c r="NSQ8" s="87"/>
      <c r="NSR8" s="87"/>
      <c r="NSS8" s="87"/>
      <c r="NST8" s="87"/>
      <c r="NSU8" s="87"/>
      <c r="NSV8" s="87"/>
      <c r="NSW8" s="87"/>
      <c r="NSX8" s="87"/>
      <c r="NSY8" s="87"/>
      <c r="NSZ8" s="87"/>
      <c r="NTA8" s="87"/>
      <c r="NTB8" s="87"/>
      <c r="NTC8" s="87"/>
      <c r="NTD8" s="87"/>
      <c r="NTE8" s="87"/>
      <c r="NTF8" s="87"/>
      <c r="NTG8" s="87"/>
      <c r="NTH8" s="87"/>
      <c r="NTI8" s="87"/>
      <c r="NTJ8" s="87"/>
      <c r="NTK8" s="87"/>
      <c r="NTL8" s="87"/>
      <c r="NTM8" s="87"/>
      <c r="NTN8" s="87"/>
      <c r="NTO8" s="87"/>
      <c r="NTP8" s="87"/>
      <c r="NTQ8" s="87"/>
      <c r="NTR8" s="87"/>
      <c r="NTS8" s="87"/>
      <c r="NTT8" s="87"/>
      <c r="NTU8" s="87"/>
      <c r="NTV8" s="87"/>
      <c r="NTW8" s="87"/>
      <c r="NTX8" s="87"/>
      <c r="NTY8" s="87"/>
      <c r="NTZ8" s="87"/>
      <c r="NUA8" s="87"/>
      <c r="NUB8" s="87"/>
      <c r="NUC8" s="87"/>
      <c r="NUD8" s="87"/>
      <c r="NUE8" s="87"/>
      <c r="NUF8" s="87"/>
      <c r="NUG8" s="87"/>
      <c r="NUH8" s="87"/>
      <c r="NUI8" s="87"/>
      <c r="NUJ8" s="87"/>
      <c r="NUK8" s="87"/>
      <c r="NUL8" s="87"/>
      <c r="NUM8" s="87"/>
      <c r="NUN8" s="87"/>
      <c r="NUO8" s="87"/>
      <c r="NUP8" s="87"/>
      <c r="NUQ8" s="87"/>
      <c r="NUR8" s="87"/>
      <c r="NUS8" s="87"/>
      <c r="NUT8" s="87"/>
      <c r="NUU8" s="87"/>
      <c r="NUV8" s="87"/>
      <c r="NUW8" s="87"/>
      <c r="NUX8" s="87"/>
      <c r="NUY8" s="87"/>
      <c r="NUZ8" s="87"/>
      <c r="NVA8" s="87"/>
      <c r="NVB8" s="87"/>
      <c r="NVC8" s="87"/>
      <c r="NVD8" s="87"/>
      <c r="NVE8" s="87"/>
      <c r="NVF8" s="87"/>
      <c r="NVG8" s="87"/>
      <c r="NVH8" s="87"/>
      <c r="NVI8" s="87"/>
      <c r="NVJ8" s="87"/>
      <c r="NVK8" s="87"/>
      <c r="NVL8" s="87"/>
      <c r="NVM8" s="87"/>
      <c r="NVN8" s="87"/>
      <c r="NVO8" s="87"/>
      <c r="NVP8" s="87"/>
      <c r="NVQ8" s="87"/>
      <c r="NVR8" s="87"/>
      <c r="NVS8" s="87"/>
      <c r="NVT8" s="87"/>
      <c r="NVU8" s="87"/>
      <c r="NVV8" s="87"/>
      <c r="NVW8" s="87"/>
      <c r="NVX8" s="87"/>
      <c r="NVY8" s="87"/>
      <c r="NVZ8" s="87"/>
      <c r="NWA8" s="87"/>
      <c r="NWB8" s="87"/>
      <c r="NWC8" s="87"/>
      <c r="NWD8" s="87"/>
      <c r="NWE8" s="87"/>
      <c r="NWF8" s="87"/>
      <c r="NWG8" s="87"/>
      <c r="NWH8" s="87"/>
      <c r="NWI8" s="87"/>
      <c r="NWJ8" s="87"/>
      <c r="NWK8" s="87"/>
      <c r="NWL8" s="87"/>
      <c r="NWM8" s="87"/>
      <c r="NWN8" s="87"/>
      <c r="NWO8" s="87"/>
      <c r="NWP8" s="87"/>
      <c r="NWQ8" s="87"/>
      <c r="NWR8" s="87"/>
      <c r="NWS8" s="87"/>
      <c r="NWT8" s="87"/>
      <c r="NWU8" s="87"/>
      <c r="NWV8" s="87"/>
      <c r="NWW8" s="87"/>
      <c r="NWX8" s="87"/>
      <c r="NWY8" s="87"/>
      <c r="NWZ8" s="87"/>
      <c r="NXA8" s="87"/>
      <c r="NXB8" s="87"/>
      <c r="NXC8" s="87"/>
      <c r="NXD8" s="87"/>
      <c r="NXE8" s="87"/>
      <c r="NXF8" s="87"/>
      <c r="NXG8" s="87"/>
      <c r="NXH8" s="87"/>
      <c r="NXI8" s="87"/>
      <c r="NXJ8" s="87"/>
      <c r="NXK8" s="87"/>
      <c r="NXL8" s="87"/>
      <c r="NXM8" s="87"/>
      <c r="NXN8" s="87"/>
      <c r="NXO8" s="87"/>
      <c r="NXP8" s="87"/>
      <c r="NXQ8" s="87"/>
      <c r="NXR8" s="87"/>
      <c r="NXS8" s="87"/>
      <c r="NXT8" s="87"/>
      <c r="NXU8" s="87"/>
      <c r="NXV8" s="87"/>
      <c r="NXW8" s="87"/>
      <c r="NXX8" s="87"/>
      <c r="NXY8" s="87"/>
      <c r="NXZ8" s="87"/>
      <c r="NYA8" s="87"/>
      <c r="NYB8" s="87"/>
      <c r="NYC8" s="87"/>
      <c r="NYD8" s="87"/>
      <c r="NYE8" s="87"/>
      <c r="NYF8" s="87"/>
      <c r="NYG8" s="87"/>
      <c r="NYH8" s="87"/>
      <c r="NYI8" s="87"/>
      <c r="NYJ8" s="87"/>
      <c r="NYK8" s="87"/>
      <c r="NYL8" s="87"/>
      <c r="NYM8" s="87"/>
      <c r="NYN8" s="87"/>
      <c r="NYO8" s="87"/>
      <c r="NYP8" s="87"/>
      <c r="NYQ8" s="87"/>
      <c r="NYR8" s="87"/>
      <c r="NYS8" s="87"/>
      <c r="NYT8" s="87"/>
      <c r="NYU8" s="87"/>
      <c r="NYV8" s="87"/>
      <c r="NYW8" s="87"/>
      <c r="NYX8" s="87"/>
      <c r="NYY8" s="87"/>
      <c r="NYZ8" s="87"/>
      <c r="NZA8" s="87"/>
      <c r="NZB8" s="87"/>
      <c r="NZC8" s="87"/>
      <c r="NZD8" s="87"/>
      <c r="NZE8" s="87"/>
      <c r="NZF8" s="87"/>
      <c r="NZG8" s="87"/>
      <c r="NZH8" s="87"/>
      <c r="NZI8" s="87"/>
      <c r="NZJ8" s="87"/>
      <c r="NZK8" s="87"/>
      <c r="NZL8" s="87"/>
      <c r="NZM8" s="87"/>
      <c r="NZN8" s="87"/>
      <c r="NZO8" s="87"/>
      <c r="NZP8" s="87"/>
      <c r="NZQ8" s="87"/>
      <c r="NZR8" s="87"/>
      <c r="NZS8" s="87"/>
      <c r="NZT8" s="87"/>
      <c r="NZU8" s="87"/>
      <c r="NZV8" s="87"/>
      <c r="NZW8" s="87"/>
      <c r="NZX8" s="87"/>
      <c r="NZY8" s="87"/>
      <c r="NZZ8" s="87"/>
      <c r="OAA8" s="87"/>
      <c r="OAB8" s="87"/>
      <c r="OAC8" s="87"/>
      <c r="OAD8" s="87"/>
      <c r="OAE8" s="87"/>
      <c r="OAF8" s="87"/>
      <c r="OAG8" s="87"/>
      <c r="OAH8" s="87"/>
      <c r="OAI8" s="87"/>
      <c r="OAJ8" s="87"/>
      <c r="OAK8" s="87"/>
      <c r="OAL8" s="87"/>
      <c r="OAM8" s="87"/>
      <c r="OAN8" s="87"/>
      <c r="OAO8" s="87"/>
      <c r="OAP8" s="87"/>
      <c r="OAQ8" s="87"/>
      <c r="OAR8" s="87"/>
      <c r="OAS8" s="87"/>
      <c r="OAT8" s="87"/>
      <c r="OAU8" s="87"/>
      <c r="OAV8" s="87"/>
      <c r="OAW8" s="87"/>
      <c r="OAX8" s="87"/>
      <c r="OAY8" s="87"/>
      <c r="OAZ8" s="87"/>
      <c r="OBA8" s="87"/>
      <c r="OBB8" s="87"/>
      <c r="OBC8" s="87"/>
      <c r="OBD8" s="87"/>
      <c r="OBE8" s="87"/>
      <c r="OBF8" s="87"/>
      <c r="OBG8" s="87"/>
      <c r="OBH8" s="87"/>
      <c r="OBI8" s="87"/>
      <c r="OBJ8" s="87"/>
      <c r="OBK8" s="87"/>
      <c r="OBL8" s="87"/>
      <c r="OBM8" s="87"/>
      <c r="OBN8" s="87"/>
      <c r="OBO8" s="87"/>
      <c r="OBP8" s="87"/>
      <c r="OBQ8" s="87"/>
      <c r="OBR8" s="87"/>
      <c r="OBS8" s="87"/>
      <c r="OBT8" s="87"/>
      <c r="OBU8" s="87"/>
      <c r="OBV8" s="87"/>
      <c r="OBW8" s="87"/>
      <c r="OBX8" s="87"/>
      <c r="OBY8" s="87"/>
      <c r="OBZ8" s="87"/>
      <c r="OCA8" s="87"/>
      <c r="OCB8" s="87"/>
      <c r="OCC8" s="87"/>
      <c r="OCD8" s="87"/>
      <c r="OCE8" s="87"/>
      <c r="OCF8" s="87"/>
      <c r="OCG8" s="87"/>
      <c r="OCH8" s="87"/>
      <c r="OCI8" s="87"/>
      <c r="OCJ8" s="87"/>
      <c r="OCK8" s="87"/>
      <c r="OCL8" s="87"/>
      <c r="OCM8" s="87"/>
      <c r="OCN8" s="87"/>
      <c r="OCO8" s="87"/>
      <c r="OCP8" s="87"/>
      <c r="OCQ8" s="87"/>
      <c r="OCR8" s="87"/>
      <c r="OCS8" s="87"/>
      <c r="OCT8" s="87"/>
      <c r="OCU8" s="87"/>
      <c r="OCV8" s="87"/>
      <c r="OCW8" s="87"/>
      <c r="OCX8" s="87"/>
      <c r="OCY8" s="87"/>
      <c r="OCZ8" s="87"/>
      <c r="ODA8" s="87"/>
      <c r="ODB8" s="87"/>
      <c r="ODC8" s="87"/>
      <c r="ODD8" s="87"/>
      <c r="ODE8" s="87"/>
      <c r="ODF8" s="87"/>
      <c r="ODG8" s="87"/>
      <c r="ODH8" s="87"/>
      <c r="ODI8" s="87"/>
      <c r="ODJ8" s="87"/>
      <c r="ODK8" s="87"/>
      <c r="ODL8" s="87"/>
      <c r="ODM8" s="87"/>
      <c r="ODN8" s="87"/>
      <c r="ODO8" s="87"/>
      <c r="ODP8" s="87"/>
      <c r="ODQ8" s="87"/>
      <c r="ODR8" s="87"/>
      <c r="ODS8" s="87"/>
      <c r="ODT8" s="87"/>
      <c r="ODU8" s="87"/>
      <c r="ODV8" s="87"/>
      <c r="ODW8" s="87"/>
      <c r="ODX8" s="87"/>
      <c r="ODY8" s="87"/>
      <c r="ODZ8" s="87"/>
      <c r="OEA8" s="87"/>
      <c r="OEB8" s="87"/>
      <c r="OEC8" s="87"/>
      <c r="OED8" s="87"/>
      <c r="OEE8" s="87"/>
      <c r="OEF8" s="87"/>
      <c r="OEG8" s="87"/>
      <c r="OEH8" s="87"/>
      <c r="OEI8" s="87"/>
      <c r="OEJ8" s="87"/>
      <c r="OEK8" s="87"/>
      <c r="OEL8" s="87"/>
      <c r="OEM8" s="87"/>
      <c r="OEN8" s="87"/>
      <c r="OEO8" s="87"/>
      <c r="OEP8" s="87"/>
      <c r="OEQ8" s="87"/>
      <c r="OER8" s="87"/>
      <c r="OES8" s="87"/>
      <c r="OET8" s="87"/>
      <c r="OEU8" s="87"/>
      <c r="OEV8" s="87"/>
      <c r="OEW8" s="87"/>
      <c r="OEX8" s="87"/>
      <c r="OEY8" s="87"/>
      <c r="OEZ8" s="87"/>
      <c r="OFA8" s="87"/>
      <c r="OFB8" s="87"/>
      <c r="OFC8" s="87"/>
      <c r="OFD8" s="87"/>
      <c r="OFE8" s="87"/>
      <c r="OFF8" s="87"/>
      <c r="OFG8" s="87"/>
      <c r="OFH8" s="87"/>
      <c r="OFI8" s="87"/>
      <c r="OFJ8" s="87"/>
      <c r="OFK8" s="87"/>
      <c r="OFL8" s="87"/>
      <c r="OFM8" s="87"/>
      <c r="OFN8" s="87"/>
      <c r="OFO8" s="87"/>
      <c r="OFP8" s="87"/>
      <c r="OFQ8" s="87"/>
      <c r="OFR8" s="87"/>
      <c r="OFS8" s="87"/>
      <c r="OFT8" s="87"/>
      <c r="OFU8" s="87"/>
      <c r="OFV8" s="87"/>
      <c r="OFW8" s="87"/>
      <c r="OFX8" s="87"/>
      <c r="OFY8" s="87"/>
      <c r="OFZ8" s="87"/>
      <c r="OGA8" s="87"/>
      <c r="OGB8" s="87"/>
      <c r="OGC8" s="87"/>
      <c r="OGD8" s="87"/>
      <c r="OGE8" s="87"/>
      <c r="OGF8" s="87"/>
      <c r="OGG8" s="87"/>
      <c r="OGH8" s="87"/>
      <c r="OGI8" s="87"/>
      <c r="OGJ8" s="87"/>
      <c r="OGK8" s="87"/>
      <c r="OGL8" s="87"/>
      <c r="OGM8" s="87"/>
      <c r="OGN8" s="87"/>
      <c r="OGO8" s="87"/>
      <c r="OGP8" s="87"/>
      <c r="OGQ8" s="87"/>
      <c r="OGR8" s="87"/>
      <c r="OGS8" s="87"/>
      <c r="OGT8" s="87"/>
      <c r="OGU8" s="87"/>
      <c r="OGV8" s="87"/>
      <c r="OGW8" s="87"/>
      <c r="OGX8" s="87"/>
      <c r="OGY8" s="87"/>
      <c r="OGZ8" s="87"/>
      <c r="OHA8" s="87"/>
      <c r="OHB8" s="87"/>
      <c r="OHC8" s="87"/>
      <c r="OHD8" s="87"/>
      <c r="OHE8" s="87"/>
      <c r="OHF8" s="87"/>
      <c r="OHG8" s="87"/>
      <c r="OHH8" s="87"/>
      <c r="OHI8" s="87"/>
      <c r="OHJ8" s="87"/>
      <c r="OHK8" s="87"/>
      <c r="OHL8" s="87"/>
      <c r="OHM8" s="87"/>
      <c r="OHN8" s="87"/>
      <c r="OHO8" s="87"/>
      <c r="OHP8" s="87"/>
      <c r="OHQ8" s="87"/>
      <c r="OHR8" s="87"/>
      <c r="OHS8" s="87"/>
      <c r="OHT8" s="87"/>
      <c r="OHU8" s="87"/>
      <c r="OHV8" s="87"/>
      <c r="OHW8" s="87"/>
      <c r="OHX8" s="87"/>
      <c r="OHY8" s="87"/>
      <c r="OHZ8" s="87"/>
      <c r="OIA8" s="87"/>
      <c r="OIB8" s="87"/>
      <c r="OIC8" s="87"/>
      <c r="OID8" s="87"/>
      <c r="OIE8" s="87"/>
      <c r="OIF8" s="87"/>
      <c r="OIG8" s="87"/>
      <c r="OIH8" s="87"/>
      <c r="OII8" s="87"/>
      <c r="OIJ8" s="87"/>
      <c r="OIK8" s="87"/>
      <c r="OIL8" s="87"/>
      <c r="OIM8" s="87"/>
      <c r="OIN8" s="87"/>
      <c r="OIO8" s="87"/>
      <c r="OIP8" s="87"/>
      <c r="OIQ8" s="87"/>
      <c r="OIR8" s="87"/>
      <c r="OIS8" s="87"/>
      <c r="OIT8" s="87"/>
      <c r="OIU8" s="87"/>
      <c r="OIV8" s="87"/>
      <c r="OIW8" s="87"/>
      <c r="OIX8" s="87"/>
      <c r="OIY8" s="87"/>
      <c r="OIZ8" s="87"/>
      <c r="OJA8" s="87"/>
      <c r="OJB8" s="87"/>
      <c r="OJC8" s="87"/>
      <c r="OJD8" s="87"/>
      <c r="OJE8" s="87"/>
      <c r="OJF8" s="87"/>
      <c r="OJG8" s="87"/>
      <c r="OJH8" s="87"/>
      <c r="OJI8" s="87"/>
      <c r="OJJ8" s="87"/>
      <c r="OJK8" s="87"/>
      <c r="OJL8" s="87"/>
      <c r="OJM8" s="87"/>
      <c r="OJN8" s="87"/>
      <c r="OJO8" s="87"/>
      <c r="OJP8" s="87"/>
      <c r="OJQ8" s="87"/>
      <c r="OJR8" s="87"/>
      <c r="OJS8" s="87"/>
      <c r="OJT8" s="87"/>
      <c r="OJU8" s="87"/>
      <c r="OJV8" s="87"/>
      <c r="OJW8" s="87"/>
      <c r="OJX8" s="87"/>
      <c r="OJY8" s="87"/>
      <c r="OJZ8" s="87"/>
      <c r="OKA8" s="87"/>
      <c r="OKB8" s="87"/>
      <c r="OKC8" s="87"/>
      <c r="OKD8" s="87"/>
      <c r="OKE8" s="87"/>
      <c r="OKF8" s="87"/>
      <c r="OKG8" s="87"/>
      <c r="OKH8" s="87"/>
      <c r="OKI8" s="87"/>
      <c r="OKJ8" s="87"/>
      <c r="OKK8" s="87"/>
      <c r="OKL8" s="87"/>
      <c r="OKM8" s="87"/>
      <c r="OKN8" s="87"/>
      <c r="OKO8" s="87"/>
      <c r="OKP8" s="87"/>
      <c r="OKQ8" s="87"/>
      <c r="OKR8" s="87"/>
      <c r="OKS8" s="87"/>
      <c r="OKT8" s="87"/>
      <c r="OKU8" s="87"/>
      <c r="OKV8" s="87"/>
      <c r="OKW8" s="87"/>
      <c r="OKX8" s="87"/>
      <c r="OKY8" s="87"/>
      <c r="OKZ8" s="87"/>
      <c r="OLA8" s="87"/>
      <c r="OLB8" s="87"/>
      <c r="OLC8" s="87"/>
      <c r="OLD8" s="87"/>
      <c r="OLE8" s="87"/>
      <c r="OLF8" s="87"/>
      <c r="OLG8" s="87"/>
      <c r="OLH8" s="87"/>
      <c r="OLI8" s="87"/>
      <c r="OLJ8" s="87"/>
      <c r="OLK8" s="87"/>
      <c r="OLL8" s="87"/>
      <c r="OLM8" s="87"/>
      <c r="OLN8" s="87"/>
      <c r="OLO8" s="87"/>
      <c r="OLP8" s="87"/>
      <c r="OLQ8" s="87"/>
      <c r="OLR8" s="87"/>
      <c r="OLS8" s="87"/>
      <c r="OLT8" s="87"/>
      <c r="OLU8" s="87"/>
      <c r="OLV8" s="87"/>
      <c r="OLW8" s="87"/>
      <c r="OLX8" s="87"/>
      <c r="OLY8" s="87"/>
      <c r="OLZ8" s="87"/>
      <c r="OMA8" s="87"/>
      <c r="OMB8" s="87"/>
      <c r="OMC8" s="87"/>
      <c r="OMD8" s="87"/>
      <c r="OME8" s="87"/>
      <c r="OMF8" s="87"/>
      <c r="OMG8" s="87"/>
      <c r="OMH8" s="87"/>
      <c r="OMI8" s="87"/>
      <c r="OMJ8" s="87"/>
      <c r="OMK8" s="87"/>
      <c r="OML8" s="87"/>
      <c r="OMM8" s="87"/>
      <c r="OMN8" s="87"/>
      <c r="OMO8" s="87"/>
      <c r="OMP8" s="87"/>
      <c r="OMQ8" s="87"/>
      <c r="OMR8" s="87"/>
      <c r="OMS8" s="87"/>
      <c r="OMT8" s="87"/>
      <c r="OMU8" s="87"/>
      <c r="OMV8" s="87"/>
      <c r="OMW8" s="87"/>
      <c r="OMX8" s="87"/>
      <c r="OMY8" s="87"/>
      <c r="OMZ8" s="87"/>
      <c r="ONA8" s="87"/>
      <c r="ONB8" s="87"/>
      <c r="ONC8" s="87"/>
      <c r="OND8" s="87"/>
      <c r="ONE8" s="87"/>
      <c r="ONF8" s="87"/>
      <c r="ONG8" s="87"/>
      <c r="ONH8" s="87"/>
      <c r="ONI8" s="87"/>
      <c r="ONJ8" s="87"/>
      <c r="ONK8" s="87"/>
      <c r="ONL8" s="87"/>
      <c r="ONM8" s="87"/>
      <c r="ONN8" s="87"/>
      <c r="ONO8" s="87"/>
      <c r="ONP8" s="87"/>
      <c r="ONQ8" s="87"/>
      <c r="ONR8" s="87"/>
      <c r="ONS8" s="87"/>
      <c r="ONT8" s="87"/>
      <c r="ONU8" s="87"/>
      <c r="ONV8" s="87"/>
      <c r="ONW8" s="87"/>
      <c r="ONX8" s="87"/>
      <c r="ONY8" s="87"/>
      <c r="ONZ8" s="87"/>
      <c r="OOA8" s="87"/>
      <c r="OOB8" s="87"/>
      <c r="OOC8" s="87"/>
      <c r="OOD8" s="87"/>
      <c r="OOE8" s="87"/>
      <c r="OOF8" s="87"/>
      <c r="OOG8" s="87"/>
      <c r="OOH8" s="87"/>
      <c r="OOI8" s="87"/>
      <c r="OOJ8" s="87"/>
      <c r="OOK8" s="87"/>
      <c r="OOL8" s="87"/>
      <c r="OOM8" s="87"/>
      <c r="OON8" s="87"/>
      <c r="OOO8" s="87"/>
      <c r="OOP8" s="87"/>
      <c r="OOQ8" s="87"/>
      <c r="OOR8" s="87"/>
      <c r="OOS8" s="87"/>
      <c r="OOT8" s="87"/>
      <c r="OOU8" s="87"/>
      <c r="OOV8" s="87"/>
      <c r="OOW8" s="87"/>
      <c r="OOX8" s="87"/>
      <c r="OOY8" s="87"/>
      <c r="OOZ8" s="87"/>
      <c r="OPA8" s="87"/>
      <c r="OPB8" s="87"/>
      <c r="OPC8" s="87"/>
      <c r="OPD8" s="87"/>
      <c r="OPE8" s="87"/>
      <c r="OPF8" s="87"/>
      <c r="OPG8" s="87"/>
      <c r="OPH8" s="87"/>
      <c r="OPI8" s="87"/>
      <c r="OPJ8" s="87"/>
      <c r="OPK8" s="87"/>
      <c r="OPL8" s="87"/>
      <c r="OPM8" s="87"/>
      <c r="OPN8" s="87"/>
      <c r="OPO8" s="87"/>
      <c r="OPP8" s="87"/>
      <c r="OPQ8" s="87"/>
      <c r="OPR8" s="87"/>
      <c r="OPS8" s="87"/>
      <c r="OPT8" s="87"/>
      <c r="OPU8" s="87"/>
      <c r="OPV8" s="87"/>
      <c r="OPW8" s="87"/>
      <c r="OPX8" s="87"/>
      <c r="OPY8" s="87"/>
      <c r="OPZ8" s="87"/>
      <c r="OQA8" s="87"/>
      <c r="OQB8" s="87"/>
      <c r="OQC8" s="87"/>
      <c r="OQD8" s="87"/>
      <c r="OQE8" s="87"/>
      <c r="OQF8" s="87"/>
      <c r="OQG8" s="87"/>
      <c r="OQH8" s="87"/>
      <c r="OQI8" s="87"/>
      <c r="OQJ8" s="87"/>
      <c r="OQK8" s="87"/>
      <c r="OQL8" s="87"/>
      <c r="OQM8" s="87"/>
      <c r="OQN8" s="87"/>
      <c r="OQO8" s="87"/>
      <c r="OQP8" s="87"/>
      <c r="OQQ8" s="87"/>
      <c r="OQR8" s="87"/>
      <c r="OQS8" s="87"/>
      <c r="OQT8" s="87"/>
      <c r="OQU8" s="87"/>
      <c r="OQV8" s="87"/>
      <c r="OQW8" s="87"/>
      <c r="OQX8" s="87"/>
      <c r="OQY8" s="87"/>
      <c r="OQZ8" s="87"/>
      <c r="ORA8" s="87"/>
      <c r="ORB8" s="87"/>
      <c r="ORC8" s="87"/>
      <c r="ORD8" s="87"/>
      <c r="ORE8" s="87"/>
      <c r="ORF8" s="87"/>
      <c r="ORG8" s="87"/>
      <c r="ORH8" s="87"/>
      <c r="ORI8" s="87"/>
      <c r="ORJ8" s="87"/>
      <c r="ORK8" s="87"/>
      <c r="ORL8" s="87"/>
      <c r="ORM8" s="87"/>
      <c r="ORN8" s="87"/>
      <c r="ORO8" s="87"/>
      <c r="ORP8" s="87"/>
      <c r="ORQ8" s="87"/>
      <c r="ORR8" s="87"/>
      <c r="ORS8" s="87"/>
      <c r="ORT8" s="87"/>
      <c r="ORU8" s="87"/>
      <c r="ORV8" s="87"/>
      <c r="ORW8" s="87"/>
      <c r="ORX8" s="87"/>
      <c r="ORY8" s="87"/>
      <c r="ORZ8" s="87"/>
      <c r="OSA8" s="87"/>
      <c r="OSB8" s="87"/>
      <c r="OSC8" s="87"/>
      <c r="OSD8" s="87"/>
      <c r="OSE8" s="87"/>
      <c r="OSF8" s="87"/>
      <c r="OSG8" s="87"/>
      <c r="OSH8" s="87"/>
      <c r="OSI8" s="87"/>
      <c r="OSJ8" s="87"/>
      <c r="OSK8" s="87"/>
      <c r="OSL8" s="87"/>
      <c r="OSM8" s="87"/>
      <c r="OSN8" s="87"/>
      <c r="OSO8" s="87"/>
      <c r="OSP8" s="87"/>
      <c r="OSQ8" s="87"/>
      <c r="OSR8" s="87"/>
      <c r="OSS8" s="87"/>
      <c r="OST8" s="87"/>
      <c r="OSU8" s="87"/>
      <c r="OSV8" s="87"/>
      <c r="OSW8" s="87"/>
      <c r="OSX8" s="87"/>
      <c r="OSY8" s="87"/>
      <c r="OSZ8" s="87"/>
      <c r="OTA8" s="87"/>
      <c r="OTB8" s="87"/>
      <c r="OTC8" s="87"/>
      <c r="OTD8" s="87"/>
      <c r="OTE8" s="87"/>
      <c r="OTF8" s="87"/>
      <c r="OTG8" s="87"/>
      <c r="OTH8" s="87"/>
      <c r="OTI8" s="87"/>
      <c r="OTJ8" s="87"/>
      <c r="OTK8" s="87"/>
      <c r="OTL8" s="87"/>
      <c r="OTM8" s="87"/>
      <c r="OTN8" s="87"/>
      <c r="OTO8" s="87"/>
      <c r="OTP8" s="87"/>
      <c r="OTQ8" s="87"/>
      <c r="OTR8" s="87"/>
      <c r="OTS8" s="87"/>
      <c r="OTT8" s="87"/>
      <c r="OTU8" s="87"/>
      <c r="OTV8" s="87"/>
      <c r="OTW8" s="87"/>
      <c r="OTX8" s="87"/>
      <c r="OTY8" s="87"/>
      <c r="OTZ8" s="87"/>
      <c r="OUA8" s="87"/>
      <c r="OUB8" s="87"/>
      <c r="OUC8" s="87"/>
      <c r="OUD8" s="87"/>
      <c r="OUE8" s="87"/>
      <c r="OUF8" s="87"/>
      <c r="OUG8" s="87"/>
      <c r="OUH8" s="87"/>
      <c r="OUI8" s="87"/>
      <c r="OUJ8" s="87"/>
      <c r="OUK8" s="87"/>
      <c r="OUL8" s="87"/>
      <c r="OUM8" s="87"/>
      <c r="OUN8" s="87"/>
      <c r="OUO8" s="87"/>
      <c r="OUP8" s="87"/>
      <c r="OUQ8" s="87"/>
      <c r="OUR8" s="87"/>
      <c r="OUS8" s="87"/>
      <c r="OUT8" s="87"/>
      <c r="OUU8" s="87"/>
      <c r="OUV8" s="87"/>
      <c r="OUW8" s="87"/>
      <c r="OUX8" s="87"/>
      <c r="OUY8" s="87"/>
      <c r="OUZ8" s="87"/>
      <c r="OVA8" s="87"/>
      <c r="OVB8" s="87"/>
      <c r="OVC8" s="87"/>
      <c r="OVD8" s="87"/>
      <c r="OVE8" s="87"/>
      <c r="OVF8" s="87"/>
      <c r="OVG8" s="87"/>
      <c r="OVH8" s="87"/>
      <c r="OVI8" s="87"/>
      <c r="OVJ8" s="87"/>
      <c r="OVK8" s="87"/>
      <c r="OVL8" s="87"/>
      <c r="OVM8" s="87"/>
      <c r="OVN8" s="87"/>
      <c r="OVO8" s="87"/>
      <c r="OVP8" s="87"/>
      <c r="OVQ8" s="87"/>
      <c r="OVR8" s="87"/>
      <c r="OVS8" s="87"/>
      <c r="OVT8" s="87"/>
      <c r="OVU8" s="87"/>
      <c r="OVV8" s="87"/>
      <c r="OVW8" s="87"/>
      <c r="OVX8" s="87"/>
      <c r="OVY8" s="87"/>
      <c r="OVZ8" s="87"/>
      <c r="OWA8" s="87"/>
      <c r="OWB8" s="87"/>
      <c r="OWC8" s="87"/>
      <c r="OWD8" s="87"/>
      <c r="OWE8" s="87"/>
      <c r="OWF8" s="87"/>
      <c r="OWG8" s="87"/>
      <c r="OWH8" s="87"/>
      <c r="OWI8" s="87"/>
      <c r="OWJ8" s="87"/>
      <c r="OWK8" s="87"/>
      <c r="OWL8" s="87"/>
      <c r="OWM8" s="87"/>
      <c r="OWN8" s="87"/>
      <c r="OWO8" s="87"/>
      <c r="OWP8" s="87"/>
      <c r="OWQ8" s="87"/>
      <c r="OWR8" s="87"/>
      <c r="OWS8" s="87"/>
      <c r="OWT8" s="87"/>
      <c r="OWU8" s="87"/>
      <c r="OWV8" s="87"/>
      <c r="OWW8" s="87"/>
      <c r="OWX8" s="87"/>
      <c r="OWY8" s="87"/>
      <c r="OWZ8" s="87"/>
      <c r="OXA8" s="87"/>
      <c r="OXB8" s="87"/>
      <c r="OXC8" s="87"/>
      <c r="OXD8" s="87"/>
      <c r="OXE8" s="87"/>
      <c r="OXF8" s="87"/>
      <c r="OXG8" s="87"/>
      <c r="OXH8" s="87"/>
      <c r="OXI8" s="87"/>
      <c r="OXJ8" s="87"/>
      <c r="OXK8" s="87"/>
      <c r="OXL8" s="87"/>
      <c r="OXM8" s="87"/>
      <c r="OXN8" s="87"/>
      <c r="OXO8" s="87"/>
      <c r="OXP8" s="87"/>
      <c r="OXQ8" s="87"/>
      <c r="OXR8" s="87"/>
      <c r="OXS8" s="87"/>
      <c r="OXT8" s="87"/>
      <c r="OXU8" s="87"/>
      <c r="OXV8" s="87"/>
      <c r="OXW8" s="87"/>
      <c r="OXX8" s="87"/>
      <c r="OXY8" s="87"/>
      <c r="OXZ8" s="87"/>
      <c r="OYA8" s="87"/>
      <c r="OYB8" s="87"/>
      <c r="OYC8" s="87"/>
      <c r="OYD8" s="87"/>
      <c r="OYE8" s="87"/>
      <c r="OYF8" s="87"/>
      <c r="OYG8" s="87"/>
      <c r="OYH8" s="87"/>
      <c r="OYI8" s="87"/>
      <c r="OYJ8" s="87"/>
      <c r="OYK8" s="87"/>
      <c r="OYL8" s="87"/>
      <c r="OYM8" s="87"/>
      <c r="OYN8" s="87"/>
      <c r="OYO8" s="87"/>
      <c r="OYP8" s="87"/>
      <c r="OYQ8" s="87"/>
      <c r="OYR8" s="87"/>
      <c r="OYS8" s="87"/>
      <c r="OYT8" s="87"/>
      <c r="OYU8" s="87"/>
      <c r="OYV8" s="87"/>
      <c r="OYW8" s="87"/>
      <c r="OYX8" s="87"/>
      <c r="OYY8" s="87"/>
      <c r="OYZ8" s="87"/>
      <c r="OZA8" s="87"/>
      <c r="OZB8" s="87"/>
      <c r="OZC8" s="87"/>
      <c r="OZD8" s="87"/>
      <c r="OZE8" s="87"/>
      <c r="OZF8" s="87"/>
      <c r="OZG8" s="87"/>
      <c r="OZH8" s="87"/>
      <c r="OZI8" s="87"/>
      <c r="OZJ8" s="87"/>
      <c r="OZK8" s="87"/>
      <c r="OZL8" s="87"/>
      <c r="OZM8" s="87"/>
      <c r="OZN8" s="87"/>
      <c r="OZO8" s="87"/>
      <c r="OZP8" s="87"/>
      <c r="OZQ8" s="87"/>
      <c r="OZR8" s="87"/>
      <c r="OZS8" s="87"/>
      <c r="OZT8" s="87"/>
      <c r="OZU8" s="87"/>
      <c r="OZV8" s="87"/>
      <c r="OZW8" s="87"/>
      <c r="OZX8" s="87"/>
      <c r="OZY8" s="87"/>
      <c r="OZZ8" s="87"/>
      <c r="PAA8" s="87"/>
      <c r="PAB8" s="87"/>
      <c r="PAC8" s="87"/>
      <c r="PAD8" s="87"/>
      <c r="PAE8" s="87"/>
      <c r="PAF8" s="87"/>
      <c r="PAG8" s="87"/>
      <c r="PAH8" s="87"/>
      <c r="PAI8" s="87"/>
      <c r="PAJ8" s="87"/>
      <c r="PAK8" s="87"/>
      <c r="PAL8" s="87"/>
      <c r="PAM8" s="87"/>
      <c r="PAN8" s="87"/>
      <c r="PAO8" s="87"/>
      <c r="PAP8" s="87"/>
      <c r="PAQ8" s="87"/>
      <c r="PAR8" s="87"/>
      <c r="PAS8" s="87"/>
      <c r="PAT8" s="87"/>
      <c r="PAU8" s="87"/>
      <c r="PAV8" s="87"/>
      <c r="PAW8" s="87"/>
      <c r="PAX8" s="87"/>
      <c r="PAY8" s="87"/>
      <c r="PAZ8" s="87"/>
      <c r="PBA8" s="87"/>
      <c r="PBB8" s="87"/>
      <c r="PBC8" s="87"/>
      <c r="PBD8" s="87"/>
      <c r="PBE8" s="87"/>
      <c r="PBF8" s="87"/>
      <c r="PBG8" s="87"/>
      <c r="PBH8" s="87"/>
      <c r="PBI8" s="87"/>
      <c r="PBJ8" s="87"/>
      <c r="PBK8" s="87"/>
      <c r="PBL8" s="87"/>
      <c r="PBM8" s="87"/>
      <c r="PBN8" s="87"/>
      <c r="PBO8" s="87"/>
      <c r="PBP8" s="87"/>
      <c r="PBQ8" s="87"/>
      <c r="PBR8" s="87"/>
      <c r="PBS8" s="87"/>
      <c r="PBT8" s="87"/>
      <c r="PBU8" s="87"/>
      <c r="PBV8" s="87"/>
      <c r="PBW8" s="87"/>
      <c r="PBX8" s="87"/>
      <c r="PBY8" s="87"/>
      <c r="PBZ8" s="87"/>
      <c r="PCA8" s="87"/>
      <c r="PCB8" s="87"/>
      <c r="PCC8" s="87"/>
      <c r="PCD8" s="87"/>
      <c r="PCE8" s="87"/>
      <c r="PCF8" s="87"/>
      <c r="PCG8" s="87"/>
      <c r="PCH8" s="87"/>
      <c r="PCI8" s="87"/>
      <c r="PCJ8" s="87"/>
      <c r="PCK8" s="87"/>
      <c r="PCL8" s="87"/>
      <c r="PCM8" s="87"/>
      <c r="PCN8" s="87"/>
      <c r="PCO8" s="87"/>
      <c r="PCP8" s="87"/>
      <c r="PCQ8" s="87"/>
      <c r="PCR8" s="87"/>
      <c r="PCS8" s="87"/>
      <c r="PCT8" s="87"/>
      <c r="PCU8" s="87"/>
      <c r="PCV8" s="87"/>
      <c r="PCW8" s="87"/>
      <c r="PCX8" s="87"/>
      <c r="PCY8" s="87"/>
      <c r="PCZ8" s="87"/>
      <c r="PDA8" s="87"/>
      <c r="PDB8" s="87"/>
      <c r="PDC8" s="87"/>
      <c r="PDD8" s="87"/>
      <c r="PDE8" s="87"/>
      <c r="PDF8" s="87"/>
      <c r="PDG8" s="87"/>
      <c r="PDH8" s="87"/>
      <c r="PDI8" s="87"/>
      <c r="PDJ8" s="87"/>
      <c r="PDK8" s="87"/>
      <c r="PDL8" s="87"/>
      <c r="PDM8" s="87"/>
      <c r="PDN8" s="87"/>
      <c r="PDO8" s="87"/>
      <c r="PDP8" s="87"/>
      <c r="PDQ8" s="87"/>
      <c r="PDR8" s="87"/>
      <c r="PDS8" s="87"/>
      <c r="PDT8" s="87"/>
      <c r="PDU8" s="87"/>
      <c r="PDV8" s="87"/>
      <c r="PDW8" s="87"/>
      <c r="PDX8" s="87"/>
      <c r="PDY8" s="87"/>
      <c r="PDZ8" s="87"/>
      <c r="PEA8" s="87"/>
      <c r="PEB8" s="87"/>
      <c r="PEC8" s="87"/>
      <c r="PED8" s="87"/>
      <c r="PEE8" s="87"/>
      <c r="PEF8" s="87"/>
      <c r="PEG8" s="87"/>
      <c r="PEH8" s="87"/>
      <c r="PEI8" s="87"/>
      <c r="PEJ8" s="87"/>
      <c r="PEK8" s="87"/>
      <c r="PEL8" s="87"/>
      <c r="PEM8" s="87"/>
      <c r="PEN8" s="87"/>
      <c r="PEO8" s="87"/>
      <c r="PEP8" s="87"/>
      <c r="PEQ8" s="87"/>
      <c r="PER8" s="87"/>
      <c r="PES8" s="87"/>
      <c r="PET8" s="87"/>
      <c r="PEU8" s="87"/>
      <c r="PEV8" s="87"/>
      <c r="PEW8" s="87"/>
      <c r="PEX8" s="87"/>
      <c r="PEY8" s="87"/>
      <c r="PEZ8" s="87"/>
      <c r="PFA8" s="87"/>
      <c r="PFB8" s="87"/>
      <c r="PFC8" s="87"/>
      <c r="PFD8" s="87"/>
      <c r="PFE8" s="87"/>
      <c r="PFF8" s="87"/>
      <c r="PFG8" s="87"/>
      <c r="PFH8" s="87"/>
      <c r="PFI8" s="87"/>
      <c r="PFJ8" s="87"/>
      <c r="PFK8" s="87"/>
      <c r="PFL8" s="87"/>
      <c r="PFM8" s="87"/>
      <c r="PFN8" s="87"/>
      <c r="PFO8" s="87"/>
      <c r="PFP8" s="87"/>
      <c r="PFQ8" s="87"/>
      <c r="PFR8" s="87"/>
      <c r="PFS8" s="87"/>
      <c r="PFT8" s="87"/>
      <c r="PFU8" s="87"/>
      <c r="PFV8" s="87"/>
      <c r="PFW8" s="87"/>
      <c r="PFX8" s="87"/>
      <c r="PFY8" s="87"/>
      <c r="PFZ8" s="87"/>
      <c r="PGA8" s="87"/>
      <c r="PGB8" s="87"/>
      <c r="PGC8" s="87"/>
      <c r="PGD8" s="87"/>
      <c r="PGE8" s="87"/>
      <c r="PGF8" s="87"/>
      <c r="PGG8" s="87"/>
      <c r="PGH8" s="87"/>
      <c r="PGI8" s="87"/>
      <c r="PGJ8" s="87"/>
      <c r="PGK8" s="87"/>
      <c r="PGL8" s="87"/>
      <c r="PGM8" s="87"/>
      <c r="PGN8" s="87"/>
      <c r="PGO8" s="87"/>
      <c r="PGP8" s="87"/>
      <c r="PGQ8" s="87"/>
      <c r="PGR8" s="87"/>
      <c r="PGS8" s="87"/>
      <c r="PGT8" s="87"/>
      <c r="PGU8" s="87"/>
      <c r="PGV8" s="87"/>
      <c r="PGW8" s="87"/>
      <c r="PGX8" s="87"/>
      <c r="PGY8" s="87"/>
      <c r="PGZ8" s="87"/>
      <c r="PHA8" s="87"/>
      <c r="PHB8" s="87"/>
      <c r="PHC8" s="87"/>
      <c r="PHD8" s="87"/>
      <c r="PHE8" s="87"/>
      <c r="PHF8" s="87"/>
      <c r="PHG8" s="87"/>
      <c r="PHH8" s="87"/>
      <c r="PHI8" s="87"/>
      <c r="PHJ8" s="87"/>
      <c r="PHK8" s="87"/>
      <c r="PHL8" s="87"/>
      <c r="PHM8" s="87"/>
      <c r="PHN8" s="87"/>
      <c r="PHO8" s="87"/>
      <c r="PHP8" s="87"/>
      <c r="PHQ8" s="87"/>
      <c r="PHR8" s="87"/>
      <c r="PHS8" s="87"/>
      <c r="PHT8" s="87"/>
      <c r="PHU8" s="87"/>
      <c r="PHV8" s="87"/>
      <c r="PHW8" s="87"/>
      <c r="PHX8" s="87"/>
      <c r="PHY8" s="87"/>
      <c r="PHZ8" s="87"/>
      <c r="PIA8" s="87"/>
      <c r="PIB8" s="87"/>
      <c r="PIC8" s="87"/>
      <c r="PID8" s="87"/>
      <c r="PIE8" s="87"/>
      <c r="PIF8" s="87"/>
      <c r="PIG8" s="87"/>
      <c r="PIH8" s="87"/>
      <c r="PII8" s="87"/>
      <c r="PIJ8" s="87"/>
      <c r="PIK8" s="87"/>
      <c r="PIL8" s="87"/>
      <c r="PIM8" s="87"/>
      <c r="PIN8" s="87"/>
      <c r="PIO8" s="87"/>
      <c r="PIP8" s="87"/>
      <c r="PIQ8" s="87"/>
      <c r="PIR8" s="87"/>
      <c r="PIS8" s="87"/>
      <c r="PIT8" s="87"/>
      <c r="PIU8" s="87"/>
      <c r="PIV8" s="87"/>
      <c r="PIW8" s="87"/>
      <c r="PIX8" s="87"/>
      <c r="PIY8" s="87"/>
      <c r="PIZ8" s="87"/>
      <c r="PJA8" s="87"/>
      <c r="PJB8" s="87"/>
      <c r="PJC8" s="87"/>
      <c r="PJD8" s="87"/>
      <c r="PJE8" s="87"/>
      <c r="PJF8" s="87"/>
      <c r="PJG8" s="87"/>
      <c r="PJH8" s="87"/>
      <c r="PJI8" s="87"/>
      <c r="PJJ8" s="87"/>
      <c r="PJK8" s="87"/>
      <c r="PJL8" s="87"/>
      <c r="PJM8" s="87"/>
      <c r="PJN8" s="87"/>
      <c r="PJO8" s="87"/>
      <c r="PJP8" s="87"/>
      <c r="PJQ8" s="87"/>
      <c r="PJR8" s="87"/>
      <c r="PJS8" s="87"/>
      <c r="PJT8" s="87"/>
      <c r="PJU8" s="87"/>
      <c r="PJV8" s="87"/>
      <c r="PJW8" s="87"/>
      <c r="PJX8" s="87"/>
      <c r="PJY8" s="87"/>
      <c r="PJZ8" s="87"/>
      <c r="PKA8" s="87"/>
      <c r="PKB8" s="87"/>
      <c r="PKC8" s="87"/>
      <c r="PKD8" s="87"/>
      <c r="PKE8" s="87"/>
      <c r="PKF8" s="87"/>
      <c r="PKG8" s="87"/>
      <c r="PKH8" s="87"/>
      <c r="PKI8" s="87"/>
      <c r="PKJ8" s="87"/>
      <c r="PKK8" s="87"/>
      <c r="PKL8" s="87"/>
      <c r="PKM8" s="87"/>
      <c r="PKN8" s="87"/>
      <c r="PKO8" s="87"/>
      <c r="PKP8" s="87"/>
      <c r="PKQ8" s="87"/>
      <c r="PKR8" s="87"/>
      <c r="PKS8" s="87"/>
      <c r="PKT8" s="87"/>
      <c r="PKU8" s="87"/>
      <c r="PKV8" s="87"/>
      <c r="PKW8" s="87"/>
      <c r="PKX8" s="87"/>
      <c r="PKY8" s="87"/>
      <c r="PKZ8" s="87"/>
      <c r="PLA8" s="87"/>
      <c r="PLB8" s="87"/>
      <c r="PLC8" s="87"/>
      <c r="PLD8" s="87"/>
      <c r="PLE8" s="87"/>
      <c r="PLF8" s="87"/>
      <c r="PLG8" s="87"/>
      <c r="PLH8" s="87"/>
      <c r="PLI8" s="87"/>
      <c r="PLJ8" s="87"/>
      <c r="PLK8" s="87"/>
      <c r="PLL8" s="87"/>
      <c r="PLM8" s="87"/>
      <c r="PLN8" s="87"/>
      <c r="PLO8" s="87"/>
      <c r="PLP8" s="87"/>
      <c r="PLQ8" s="87"/>
      <c r="PLR8" s="87"/>
      <c r="PLS8" s="87"/>
      <c r="PLT8" s="87"/>
      <c r="PLU8" s="87"/>
      <c r="PLV8" s="87"/>
      <c r="PLW8" s="87"/>
      <c r="PLX8" s="87"/>
      <c r="PLY8" s="87"/>
      <c r="PLZ8" s="87"/>
      <c r="PMA8" s="87"/>
      <c r="PMB8" s="87"/>
      <c r="PMC8" s="87"/>
      <c r="PMD8" s="87"/>
      <c r="PME8" s="87"/>
      <c r="PMF8" s="87"/>
      <c r="PMG8" s="87"/>
      <c r="PMH8" s="87"/>
      <c r="PMI8" s="87"/>
      <c r="PMJ8" s="87"/>
      <c r="PMK8" s="87"/>
      <c r="PML8" s="87"/>
      <c r="PMM8" s="87"/>
      <c r="PMN8" s="87"/>
      <c r="PMO8" s="87"/>
      <c r="PMP8" s="87"/>
      <c r="PMQ8" s="87"/>
      <c r="PMR8" s="87"/>
      <c r="PMS8" s="87"/>
      <c r="PMT8" s="87"/>
      <c r="PMU8" s="87"/>
      <c r="PMV8" s="87"/>
      <c r="PMW8" s="87"/>
      <c r="PMX8" s="87"/>
      <c r="PMY8" s="87"/>
      <c r="PMZ8" s="87"/>
      <c r="PNA8" s="87"/>
      <c r="PNB8" s="87"/>
      <c r="PNC8" s="87"/>
      <c r="PND8" s="87"/>
      <c r="PNE8" s="87"/>
      <c r="PNF8" s="87"/>
      <c r="PNG8" s="87"/>
      <c r="PNH8" s="87"/>
      <c r="PNI8" s="87"/>
      <c r="PNJ8" s="87"/>
      <c r="PNK8" s="87"/>
      <c r="PNL8" s="87"/>
      <c r="PNM8" s="87"/>
      <c r="PNN8" s="87"/>
      <c r="PNO8" s="87"/>
      <c r="PNP8" s="87"/>
      <c r="PNQ8" s="87"/>
      <c r="PNR8" s="87"/>
      <c r="PNS8" s="87"/>
      <c r="PNT8" s="87"/>
      <c r="PNU8" s="87"/>
      <c r="PNV8" s="87"/>
      <c r="PNW8" s="87"/>
      <c r="PNX8" s="87"/>
      <c r="PNY8" s="87"/>
      <c r="PNZ8" s="87"/>
      <c r="POA8" s="87"/>
      <c r="POB8" s="87"/>
      <c r="POC8" s="87"/>
      <c r="POD8" s="87"/>
      <c r="POE8" s="87"/>
      <c r="POF8" s="87"/>
      <c r="POG8" s="87"/>
      <c r="POH8" s="87"/>
      <c r="POI8" s="87"/>
      <c r="POJ8" s="87"/>
      <c r="POK8" s="87"/>
      <c r="POL8" s="87"/>
      <c r="POM8" s="87"/>
      <c r="PON8" s="87"/>
      <c r="POO8" s="87"/>
      <c r="POP8" s="87"/>
      <c r="POQ8" s="87"/>
      <c r="POR8" s="87"/>
      <c r="POS8" s="87"/>
      <c r="POT8" s="87"/>
      <c r="POU8" s="87"/>
      <c r="POV8" s="87"/>
      <c r="POW8" s="87"/>
      <c r="POX8" s="87"/>
      <c r="POY8" s="87"/>
      <c r="POZ8" s="87"/>
      <c r="PPA8" s="87"/>
      <c r="PPB8" s="87"/>
      <c r="PPC8" s="87"/>
      <c r="PPD8" s="87"/>
      <c r="PPE8" s="87"/>
      <c r="PPF8" s="87"/>
      <c r="PPG8" s="87"/>
      <c r="PPH8" s="87"/>
      <c r="PPI8" s="87"/>
      <c r="PPJ8" s="87"/>
      <c r="PPK8" s="87"/>
      <c r="PPL8" s="87"/>
      <c r="PPM8" s="87"/>
      <c r="PPN8" s="87"/>
      <c r="PPO8" s="87"/>
      <c r="PPP8" s="87"/>
      <c r="PPQ8" s="87"/>
      <c r="PPR8" s="87"/>
      <c r="PPS8" s="87"/>
      <c r="PPT8" s="87"/>
      <c r="PPU8" s="87"/>
      <c r="PPV8" s="87"/>
      <c r="PPW8" s="87"/>
      <c r="PPX8" s="87"/>
      <c r="PPY8" s="87"/>
      <c r="PPZ8" s="87"/>
      <c r="PQA8" s="87"/>
      <c r="PQB8" s="87"/>
      <c r="PQC8" s="87"/>
      <c r="PQD8" s="87"/>
      <c r="PQE8" s="87"/>
      <c r="PQF8" s="87"/>
      <c r="PQG8" s="87"/>
      <c r="PQH8" s="87"/>
      <c r="PQI8" s="87"/>
      <c r="PQJ8" s="87"/>
      <c r="PQK8" s="87"/>
      <c r="PQL8" s="87"/>
      <c r="PQM8" s="87"/>
      <c r="PQN8" s="87"/>
      <c r="PQO8" s="87"/>
      <c r="PQP8" s="87"/>
      <c r="PQQ8" s="87"/>
      <c r="PQR8" s="87"/>
      <c r="PQS8" s="87"/>
      <c r="PQT8" s="87"/>
      <c r="PQU8" s="87"/>
      <c r="PQV8" s="87"/>
      <c r="PQW8" s="87"/>
      <c r="PQX8" s="87"/>
      <c r="PQY8" s="87"/>
      <c r="PQZ8" s="87"/>
      <c r="PRA8" s="87"/>
      <c r="PRB8" s="87"/>
      <c r="PRC8" s="87"/>
      <c r="PRD8" s="87"/>
      <c r="PRE8" s="87"/>
      <c r="PRF8" s="87"/>
      <c r="PRG8" s="87"/>
      <c r="PRH8" s="87"/>
      <c r="PRI8" s="87"/>
      <c r="PRJ8" s="87"/>
      <c r="PRK8" s="87"/>
      <c r="PRL8" s="87"/>
      <c r="PRM8" s="87"/>
      <c r="PRN8" s="87"/>
      <c r="PRO8" s="87"/>
      <c r="PRP8" s="87"/>
      <c r="PRQ8" s="87"/>
      <c r="PRR8" s="87"/>
      <c r="PRS8" s="87"/>
      <c r="PRT8" s="87"/>
      <c r="PRU8" s="87"/>
      <c r="PRV8" s="87"/>
      <c r="PRW8" s="87"/>
      <c r="PRX8" s="87"/>
      <c r="PRY8" s="87"/>
      <c r="PRZ8" s="87"/>
      <c r="PSA8" s="87"/>
      <c r="PSB8" s="87"/>
      <c r="PSC8" s="87"/>
      <c r="PSD8" s="87"/>
      <c r="PSE8" s="87"/>
      <c r="PSF8" s="87"/>
      <c r="PSG8" s="87"/>
      <c r="PSH8" s="87"/>
      <c r="PSI8" s="87"/>
      <c r="PSJ8" s="87"/>
      <c r="PSK8" s="87"/>
      <c r="PSL8" s="87"/>
      <c r="PSM8" s="87"/>
      <c r="PSN8" s="87"/>
      <c r="PSO8" s="87"/>
      <c r="PSP8" s="87"/>
      <c r="PSQ8" s="87"/>
      <c r="PSR8" s="87"/>
      <c r="PSS8" s="87"/>
      <c r="PST8" s="87"/>
      <c r="PSU8" s="87"/>
      <c r="PSV8" s="87"/>
      <c r="PSW8" s="87"/>
      <c r="PSX8" s="87"/>
      <c r="PSY8" s="87"/>
      <c r="PSZ8" s="87"/>
      <c r="PTA8" s="87"/>
      <c r="PTB8" s="87"/>
      <c r="PTC8" s="87"/>
      <c r="PTD8" s="87"/>
      <c r="PTE8" s="87"/>
      <c r="PTF8" s="87"/>
      <c r="PTG8" s="87"/>
      <c r="PTH8" s="87"/>
      <c r="PTI8" s="87"/>
      <c r="PTJ8" s="87"/>
      <c r="PTK8" s="87"/>
      <c r="PTL8" s="87"/>
      <c r="PTM8" s="87"/>
      <c r="PTN8" s="87"/>
      <c r="PTO8" s="87"/>
      <c r="PTP8" s="87"/>
      <c r="PTQ8" s="87"/>
      <c r="PTR8" s="87"/>
      <c r="PTS8" s="87"/>
      <c r="PTT8" s="87"/>
      <c r="PTU8" s="87"/>
      <c r="PTV8" s="87"/>
      <c r="PTW8" s="87"/>
      <c r="PTX8" s="87"/>
      <c r="PTY8" s="87"/>
      <c r="PTZ8" s="87"/>
      <c r="PUA8" s="87"/>
      <c r="PUB8" s="87"/>
      <c r="PUC8" s="87"/>
      <c r="PUD8" s="87"/>
      <c r="PUE8" s="87"/>
      <c r="PUF8" s="87"/>
      <c r="PUG8" s="87"/>
      <c r="PUH8" s="87"/>
      <c r="PUI8" s="87"/>
      <c r="PUJ8" s="87"/>
      <c r="PUK8" s="87"/>
      <c r="PUL8" s="87"/>
      <c r="PUM8" s="87"/>
      <c r="PUN8" s="87"/>
      <c r="PUO8" s="87"/>
      <c r="PUP8" s="87"/>
      <c r="PUQ8" s="87"/>
      <c r="PUR8" s="87"/>
      <c r="PUS8" s="87"/>
      <c r="PUT8" s="87"/>
      <c r="PUU8" s="87"/>
      <c r="PUV8" s="87"/>
      <c r="PUW8" s="87"/>
      <c r="PUX8" s="87"/>
      <c r="PUY8" s="87"/>
      <c r="PUZ8" s="87"/>
      <c r="PVA8" s="87"/>
      <c r="PVB8" s="87"/>
      <c r="PVC8" s="87"/>
      <c r="PVD8" s="87"/>
      <c r="PVE8" s="87"/>
      <c r="PVF8" s="87"/>
      <c r="PVG8" s="87"/>
      <c r="PVH8" s="87"/>
      <c r="PVI8" s="87"/>
      <c r="PVJ8" s="87"/>
      <c r="PVK8" s="87"/>
      <c r="PVL8" s="87"/>
      <c r="PVM8" s="87"/>
      <c r="PVN8" s="87"/>
      <c r="PVO8" s="87"/>
      <c r="PVP8" s="87"/>
      <c r="PVQ8" s="87"/>
      <c r="PVR8" s="87"/>
      <c r="PVS8" s="87"/>
      <c r="PVT8" s="87"/>
      <c r="PVU8" s="87"/>
      <c r="PVV8" s="87"/>
      <c r="PVW8" s="87"/>
      <c r="PVX8" s="87"/>
      <c r="PVY8" s="87"/>
      <c r="PVZ8" s="87"/>
      <c r="PWA8" s="87"/>
      <c r="PWB8" s="87"/>
      <c r="PWC8" s="87"/>
      <c r="PWD8" s="87"/>
      <c r="PWE8" s="87"/>
      <c r="PWF8" s="87"/>
      <c r="PWG8" s="87"/>
      <c r="PWH8" s="87"/>
      <c r="PWI8" s="87"/>
      <c r="PWJ8" s="87"/>
      <c r="PWK8" s="87"/>
      <c r="PWL8" s="87"/>
      <c r="PWM8" s="87"/>
      <c r="PWN8" s="87"/>
      <c r="PWO8" s="87"/>
      <c r="PWP8" s="87"/>
      <c r="PWQ8" s="87"/>
      <c r="PWR8" s="87"/>
      <c r="PWS8" s="87"/>
      <c r="PWT8" s="87"/>
      <c r="PWU8" s="87"/>
      <c r="PWV8" s="87"/>
      <c r="PWW8" s="87"/>
      <c r="PWX8" s="87"/>
      <c r="PWY8" s="87"/>
      <c r="PWZ8" s="87"/>
      <c r="PXA8" s="87"/>
      <c r="PXB8" s="87"/>
      <c r="PXC8" s="87"/>
      <c r="PXD8" s="87"/>
      <c r="PXE8" s="87"/>
      <c r="PXF8" s="87"/>
      <c r="PXG8" s="87"/>
      <c r="PXH8" s="87"/>
      <c r="PXI8" s="87"/>
      <c r="PXJ8" s="87"/>
      <c r="PXK8" s="87"/>
      <c r="PXL8" s="87"/>
      <c r="PXM8" s="87"/>
      <c r="PXN8" s="87"/>
      <c r="PXO8" s="87"/>
      <c r="PXP8" s="87"/>
      <c r="PXQ8" s="87"/>
      <c r="PXR8" s="87"/>
      <c r="PXS8" s="87"/>
      <c r="PXT8" s="87"/>
      <c r="PXU8" s="87"/>
      <c r="PXV8" s="87"/>
      <c r="PXW8" s="87"/>
      <c r="PXX8" s="87"/>
      <c r="PXY8" s="87"/>
      <c r="PXZ8" s="87"/>
      <c r="PYA8" s="87"/>
      <c r="PYB8" s="87"/>
      <c r="PYC8" s="87"/>
      <c r="PYD8" s="87"/>
      <c r="PYE8" s="87"/>
      <c r="PYF8" s="87"/>
      <c r="PYG8" s="87"/>
      <c r="PYH8" s="87"/>
      <c r="PYI8" s="87"/>
      <c r="PYJ8" s="87"/>
      <c r="PYK8" s="87"/>
      <c r="PYL8" s="87"/>
      <c r="PYM8" s="87"/>
      <c r="PYN8" s="87"/>
      <c r="PYO8" s="87"/>
      <c r="PYP8" s="87"/>
      <c r="PYQ8" s="87"/>
      <c r="PYR8" s="87"/>
      <c r="PYS8" s="87"/>
      <c r="PYT8" s="87"/>
      <c r="PYU8" s="87"/>
      <c r="PYV8" s="87"/>
      <c r="PYW8" s="87"/>
      <c r="PYX8" s="87"/>
      <c r="PYY8" s="87"/>
      <c r="PYZ8" s="87"/>
      <c r="PZA8" s="87"/>
      <c r="PZB8" s="87"/>
      <c r="PZC8" s="87"/>
      <c r="PZD8" s="87"/>
      <c r="PZE8" s="87"/>
      <c r="PZF8" s="87"/>
      <c r="PZG8" s="87"/>
      <c r="PZH8" s="87"/>
      <c r="PZI8" s="87"/>
      <c r="PZJ8" s="87"/>
      <c r="PZK8" s="87"/>
      <c r="PZL8" s="87"/>
      <c r="PZM8" s="87"/>
      <c r="PZN8" s="87"/>
      <c r="PZO8" s="87"/>
      <c r="PZP8" s="87"/>
      <c r="PZQ8" s="87"/>
      <c r="PZR8" s="87"/>
      <c r="PZS8" s="87"/>
      <c r="PZT8" s="87"/>
      <c r="PZU8" s="87"/>
      <c r="PZV8" s="87"/>
      <c r="PZW8" s="87"/>
      <c r="PZX8" s="87"/>
      <c r="PZY8" s="87"/>
      <c r="PZZ8" s="87"/>
      <c r="QAA8" s="87"/>
      <c r="QAB8" s="87"/>
      <c r="QAC8" s="87"/>
      <c r="QAD8" s="87"/>
      <c r="QAE8" s="87"/>
      <c r="QAF8" s="87"/>
      <c r="QAG8" s="87"/>
      <c r="QAH8" s="87"/>
      <c r="QAI8" s="87"/>
      <c r="QAJ8" s="87"/>
      <c r="QAK8" s="87"/>
      <c r="QAL8" s="87"/>
      <c r="QAM8" s="87"/>
      <c r="QAN8" s="87"/>
      <c r="QAO8" s="87"/>
      <c r="QAP8" s="87"/>
      <c r="QAQ8" s="87"/>
      <c r="QAR8" s="87"/>
      <c r="QAS8" s="87"/>
      <c r="QAT8" s="87"/>
      <c r="QAU8" s="87"/>
      <c r="QAV8" s="87"/>
      <c r="QAW8" s="87"/>
      <c r="QAX8" s="87"/>
      <c r="QAY8" s="87"/>
      <c r="QAZ8" s="87"/>
      <c r="QBA8" s="87"/>
      <c r="QBB8" s="87"/>
      <c r="QBC8" s="87"/>
      <c r="QBD8" s="87"/>
      <c r="QBE8" s="87"/>
      <c r="QBF8" s="87"/>
      <c r="QBG8" s="87"/>
      <c r="QBH8" s="87"/>
      <c r="QBI8" s="87"/>
      <c r="QBJ8" s="87"/>
      <c r="QBK8" s="87"/>
      <c r="QBL8" s="87"/>
      <c r="QBM8" s="87"/>
      <c r="QBN8" s="87"/>
      <c r="QBO8" s="87"/>
      <c r="QBP8" s="87"/>
      <c r="QBQ8" s="87"/>
      <c r="QBR8" s="87"/>
      <c r="QBS8" s="87"/>
      <c r="QBT8" s="87"/>
      <c r="QBU8" s="87"/>
      <c r="QBV8" s="87"/>
      <c r="QBW8" s="87"/>
      <c r="QBX8" s="87"/>
      <c r="QBY8" s="87"/>
      <c r="QBZ8" s="87"/>
      <c r="QCA8" s="87"/>
      <c r="QCB8" s="87"/>
      <c r="QCC8" s="87"/>
      <c r="QCD8" s="87"/>
      <c r="QCE8" s="87"/>
      <c r="QCF8" s="87"/>
      <c r="QCG8" s="87"/>
      <c r="QCH8" s="87"/>
      <c r="QCI8" s="87"/>
      <c r="QCJ8" s="87"/>
      <c r="QCK8" s="87"/>
      <c r="QCL8" s="87"/>
      <c r="QCM8" s="87"/>
      <c r="QCN8" s="87"/>
      <c r="QCO8" s="87"/>
      <c r="QCP8" s="87"/>
      <c r="QCQ8" s="87"/>
      <c r="QCR8" s="87"/>
      <c r="QCS8" s="87"/>
      <c r="QCT8" s="87"/>
      <c r="QCU8" s="87"/>
      <c r="QCV8" s="87"/>
      <c r="QCW8" s="87"/>
      <c r="QCX8" s="87"/>
      <c r="QCY8" s="87"/>
      <c r="QCZ8" s="87"/>
      <c r="QDA8" s="87"/>
      <c r="QDB8" s="87"/>
      <c r="QDC8" s="87"/>
      <c r="QDD8" s="87"/>
      <c r="QDE8" s="87"/>
      <c r="QDF8" s="87"/>
      <c r="QDG8" s="87"/>
      <c r="QDH8" s="87"/>
      <c r="QDI8" s="87"/>
      <c r="QDJ8" s="87"/>
      <c r="QDK8" s="87"/>
      <c r="QDL8" s="87"/>
      <c r="QDM8" s="87"/>
      <c r="QDN8" s="87"/>
      <c r="QDO8" s="87"/>
      <c r="QDP8" s="87"/>
      <c r="QDQ8" s="87"/>
      <c r="QDR8" s="87"/>
      <c r="QDS8" s="87"/>
      <c r="QDT8" s="87"/>
      <c r="QDU8" s="87"/>
      <c r="QDV8" s="87"/>
      <c r="QDW8" s="87"/>
      <c r="QDX8" s="87"/>
      <c r="QDY8" s="87"/>
      <c r="QDZ8" s="87"/>
      <c r="QEA8" s="87"/>
      <c r="QEB8" s="87"/>
      <c r="QEC8" s="87"/>
      <c r="QED8" s="87"/>
      <c r="QEE8" s="87"/>
      <c r="QEF8" s="87"/>
      <c r="QEG8" s="87"/>
      <c r="QEH8" s="87"/>
      <c r="QEI8" s="87"/>
      <c r="QEJ8" s="87"/>
      <c r="QEK8" s="87"/>
      <c r="QEL8" s="87"/>
      <c r="QEM8" s="87"/>
      <c r="QEN8" s="87"/>
      <c r="QEO8" s="87"/>
      <c r="QEP8" s="87"/>
      <c r="QEQ8" s="87"/>
      <c r="QER8" s="87"/>
      <c r="QES8" s="87"/>
      <c r="QET8" s="87"/>
      <c r="QEU8" s="87"/>
      <c r="QEV8" s="87"/>
      <c r="QEW8" s="87"/>
      <c r="QEX8" s="87"/>
      <c r="QEY8" s="87"/>
      <c r="QEZ8" s="87"/>
      <c r="QFA8" s="87"/>
      <c r="QFB8" s="87"/>
      <c r="QFC8" s="87"/>
      <c r="QFD8" s="87"/>
      <c r="QFE8" s="87"/>
      <c r="QFF8" s="87"/>
      <c r="QFG8" s="87"/>
      <c r="QFH8" s="87"/>
      <c r="QFI8" s="87"/>
      <c r="QFJ8" s="87"/>
      <c r="QFK8" s="87"/>
      <c r="QFL8" s="87"/>
      <c r="QFM8" s="87"/>
      <c r="QFN8" s="87"/>
      <c r="QFO8" s="87"/>
      <c r="QFP8" s="87"/>
      <c r="QFQ8" s="87"/>
      <c r="QFR8" s="87"/>
      <c r="QFS8" s="87"/>
      <c r="QFT8" s="87"/>
      <c r="QFU8" s="87"/>
      <c r="QFV8" s="87"/>
      <c r="QFW8" s="87"/>
      <c r="QFX8" s="87"/>
      <c r="QFY8" s="87"/>
      <c r="QFZ8" s="87"/>
      <c r="QGA8" s="87"/>
      <c r="QGB8" s="87"/>
      <c r="QGC8" s="87"/>
      <c r="QGD8" s="87"/>
      <c r="QGE8" s="87"/>
      <c r="QGF8" s="87"/>
      <c r="QGG8" s="87"/>
      <c r="QGH8" s="87"/>
      <c r="QGI8" s="87"/>
      <c r="QGJ8" s="87"/>
      <c r="QGK8" s="87"/>
      <c r="QGL8" s="87"/>
      <c r="QGM8" s="87"/>
      <c r="QGN8" s="87"/>
      <c r="QGO8" s="87"/>
      <c r="QGP8" s="87"/>
      <c r="QGQ8" s="87"/>
      <c r="QGR8" s="87"/>
      <c r="QGS8" s="87"/>
      <c r="QGT8" s="87"/>
      <c r="QGU8" s="87"/>
      <c r="QGV8" s="87"/>
      <c r="QGW8" s="87"/>
      <c r="QGX8" s="87"/>
      <c r="QGY8" s="87"/>
      <c r="QGZ8" s="87"/>
      <c r="QHA8" s="87"/>
      <c r="QHB8" s="87"/>
      <c r="QHC8" s="87"/>
      <c r="QHD8" s="87"/>
      <c r="QHE8" s="87"/>
      <c r="QHF8" s="87"/>
      <c r="QHG8" s="87"/>
      <c r="QHH8" s="87"/>
      <c r="QHI8" s="87"/>
      <c r="QHJ8" s="87"/>
      <c r="QHK8" s="87"/>
      <c r="QHL8" s="87"/>
      <c r="QHM8" s="87"/>
      <c r="QHN8" s="87"/>
      <c r="QHO8" s="87"/>
      <c r="QHP8" s="87"/>
      <c r="QHQ8" s="87"/>
      <c r="QHR8" s="87"/>
      <c r="QHS8" s="87"/>
      <c r="QHT8" s="87"/>
      <c r="QHU8" s="87"/>
      <c r="QHV8" s="87"/>
      <c r="QHW8" s="87"/>
      <c r="QHX8" s="87"/>
      <c r="QHY8" s="87"/>
      <c r="QHZ8" s="87"/>
      <c r="QIA8" s="87"/>
      <c r="QIB8" s="87"/>
      <c r="QIC8" s="87"/>
      <c r="QID8" s="87"/>
      <c r="QIE8" s="87"/>
      <c r="QIF8" s="87"/>
      <c r="QIG8" s="87"/>
      <c r="QIH8" s="87"/>
      <c r="QII8" s="87"/>
      <c r="QIJ8" s="87"/>
      <c r="QIK8" s="87"/>
      <c r="QIL8" s="87"/>
      <c r="QIM8" s="87"/>
      <c r="QIN8" s="87"/>
      <c r="QIO8" s="87"/>
      <c r="QIP8" s="87"/>
      <c r="QIQ8" s="87"/>
      <c r="QIR8" s="87"/>
      <c r="QIS8" s="87"/>
      <c r="QIT8" s="87"/>
      <c r="QIU8" s="87"/>
      <c r="QIV8" s="87"/>
      <c r="QIW8" s="87"/>
      <c r="QIX8" s="87"/>
      <c r="QIY8" s="87"/>
      <c r="QIZ8" s="87"/>
      <c r="QJA8" s="87"/>
      <c r="QJB8" s="87"/>
      <c r="QJC8" s="87"/>
      <c r="QJD8" s="87"/>
      <c r="QJE8" s="87"/>
      <c r="QJF8" s="87"/>
      <c r="QJG8" s="87"/>
      <c r="QJH8" s="87"/>
      <c r="QJI8" s="87"/>
      <c r="QJJ8" s="87"/>
      <c r="QJK8" s="87"/>
      <c r="QJL8" s="87"/>
      <c r="QJM8" s="87"/>
      <c r="QJN8" s="87"/>
      <c r="QJO8" s="87"/>
      <c r="QJP8" s="87"/>
      <c r="QJQ8" s="87"/>
      <c r="QJR8" s="87"/>
      <c r="QJS8" s="87"/>
      <c r="QJT8" s="87"/>
      <c r="QJU8" s="87"/>
      <c r="QJV8" s="87"/>
      <c r="QJW8" s="87"/>
      <c r="QJX8" s="87"/>
      <c r="QJY8" s="87"/>
      <c r="QJZ8" s="87"/>
      <c r="QKA8" s="87"/>
      <c r="QKB8" s="87"/>
      <c r="QKC8" s="87"/>
      <c r="QKD8" s="87"/>
      <c r="QKE8" s="87"/>
      <c r="QKF8" s="87"/>
      <c r="QKG8" s="87"/>
      <c r="QKH8" s="87"/>
      <c r="QKI8" s="87"/>
      <c r="QKJ8" s="87"/>
      <c r="QKK8" s="87"/>
      <c r="QKL8" s="87"/>
      <c r="QKM8" s="87"/>
      <c r="QKN8" s="87"/>
      <c r="QKO8" s="87"/>
      <c r="QKP8" s="87"/>
      <c r="QKQ8" s="87"/>
      <c r="QKR8" s="87"/>
      <c r="QKS8" s="87"/>
      <c r="QKT8" s="87"/>
      <c r="QKU8" s="87"/>
      <c r="QKV8" s="87"/>
      <c r="QKW8" s="87"/>
      <c r="QKX8" s="87"/>
      <c r="QKY8" s="87"/>
      <c r="QKZ8" s="87"/>
      <c r="QLA8" s="87"/>
      <c r="QLB8" s="87"/>
      <c r="QLC8" s="87"/>
      <c r="QLD8" s="87"/>
      <c r="QLE8" s="87"/>
      <c r="QLF8" s="87"/>
      <c r="QLG8" s="87"/>
      <c r="QLH8" s="87"/>
      <c r="QLI8" s="87"/>
      <c r="QLJ8" s="87"/>
      <c r="QLK8" s="87"/>
      <c r="QLL8" s="87"/>
      <c r="QLM8" s="87"/>
      <c r="QLN8" s="87"/>
      <c r="QLO8" s="87"/>
      <c r="QLP8" s="87"/>
      <c r="QLQ8" s="87"/>
      <c r="QLR8" s="87"/>
      <c r="QLS8" s="87"/>
      <c r="QLT8" s="87"/>
      <c r="QLU8" s="87"/>
      <c r="QLV8" s="87"/>
      <c r="QLW8" s="87"/>
      <c r="QLX8" s="87"/>
      <c r="QLY8" s="87"/>
      <c r="QLZ8" s="87"/>
      <c r="QMA8" s="87"/>
      <c r="QMB8" s="87"/>
      <c r="QMC8" s="87"/>
      <c r="QMD8" s="87"/>
      <c r="QME8" s="87"/>
      <c r="QMF8" s="87"/>
      <c r="QMG8" s="87"/>
      <c r="QMH8" s="87"/>
      <c r="QMI8" s="87"/>
      <c r="QMJ8" s="87"/>
      <c r="QMK8" s="87"/>
      <c r="QML8" s="87"/>
      <c r="QMM8" s="87"/>
      <c r="QMN8" s="87"/>
      <c r="QMO8" s="87"/>
      <c r="QMP8" s="87"/>
      <c r="QMQ8" s="87"/>
      <c r="QMR8" s="87"/>
      <c r="QMS8" s="87"/>
      <c r="QMT8" s="87"/>
      <c r="QMU8" s="87"/>
      <c r="QMV8" s="87"/>
      <c r="QMW8" s="87"/>
      <c r="QMX8" s="87"/>
      <c r="QMY8" s="87"/>
      <c r="QMZ8" s="87"/>
      <c r="QNA8" s="87"/>
      <c r="QNB8" s="87"/>
      <c r="QNC8" s="87"/>
      <c r="QND8" s="87"/>
      <c r="QNE8" s="87"/>
      <c r="QNF8" s="87"/>
      <c r="QNG8" s="87"/>
      <c r="QNH8" s="87"/>
      <c r="QNI8" s="87"/>
      <c r="QNJ8" s="87"/>
      <c r="QNK8" s="87"/>
      <c r="QNL8" s="87"/>
      <c r="QNM8" s="87"/>
      <c r="QNN8" s="87"/>
      <c r="QNO8" s="87"/>
      <c r="QNP8" s="87"/>
      <c r="QNQ8" s="87"/>
      <c r="QNR8" s="87"/>
      <c r="QNS8" s="87"/>
      <c r="QNT8" s="87"/>
      <c r="QNU8" s="87"/>
      <c r="QNV8" s="87"/>
      <c r="QNW8" s="87"/>
      <c r="QNX8" s="87"/>
      <c r="QNY8" s="87"/>
      <c r="QNZ8" s="87"/>
      <c r="QOA8" s="87"/>
      <c r="QOB8" s="87"/>
      <c r="QOC8" s="87"/>
      <c r="QOD8" s="87"/>
      <c r="QOE8" s="87"/>
      <c r="QOF8" s="87"/>
      <c r="QOG8" s="87"/>
      <c r="QOH8" s="87"/>
      <c r="QOI8" s="87"/>
      <c r="QOJ8" s="87"/>
      <c r="QOK8" s="87"/>
      <c r="QOL8" s="87"/>
      <c r="QOM8" s="87"/>
      <c r="QON8" s="87"/>
      <c r="QOO8" s="87"/>
      <c r="QOP8" s="87"/>
      <c r="QOQ8" s="87"/>
      <c r="QOR8" s="87"/>
      <c r="QOS8" s="87"/>
      <c r="QOT8" s="87"/>
      <c r="QOU8" s="87"/>
      <c r="QOV8" s="87"/>
      <c r="QOW8" s="87"/>
      <c r="QOX8" s="87"/>
      <c r="QOY8" s="87"/>
      <c r="QOZ8" s="87"/>
      <c r="QPA8" s="87"/>
      <c r="QPB8" s="87"/>
      <c r="QPC8" s="87"/>
      <c r="QPD8" s="87"/>
      <c r="QPE8" s="87"/>
      <c r="QPF8" s="87"/>
      <c r="QPG8" s="87"/>
      <c r="QPH8" s="87"/>
      <c r="QPI8" s="87"/>
      <c r="QPJ8" s="87"/>
      <c r="QPK8" s="87"/>
      <c r="QPL8" s="87"/>
      <c r="QPM8" s="87"/>
      <c r="QPN8" s="87"/>
      <c r="QPO8" s="87"/>
      <c r="QPP8" s="87"/>
      <c r="QPQ8" s="87"/>
      <c r="QPR8" s="87"/>
      <c r="QPS8" s="87"/>
      <c r="QPT8" s="87"/>
      <c r="QPU8" s="87"/>
      <c r="QPV8" s="87"/>
      <c r="QPW8" s="87"/>
      <c r="QPX8" s="87"/>
      <c r="QPY8" s="87"/>
      <c r="QPZ8" s="87"/>
      <c r="QQA8" s="87"/>
      <c r="QQB8" s="87"/>
      <c r="QQC8" s="87"/>
      <c r="QQD8" s="87"/>
      <c r="QQE8" s="87"/>
      <c r="QQF8" s="87"/>
      <c r="QQG8" s="87"/>
      <c r="QQH8" s="87"/>
      <c r="QQI8" s="87"/>
      <c r="QQJ8" s="87"/>
      <c r="QQK8" s="87"/>
      <c r="QQL8" s="87"/>
      <c r="QQM8" s="87"/>
      <c r="QQN8" s="87"/>
      <c r="QQO8" s="87"/>
      <c r="QQP8" s="87"/>
      <c r="QQQ8" s="87"/>
      <c r="QQR8" s="87"/>
      <c r="QQS8" s="87"/>
      <c r="QQT8" s="87"/>
      <c r="QQU8" s="87"/>
      <c r="QQV8" s="87"/>
      <c r="QQW8" s="87"/>
      <c r="QQX8" s="87"/>
      <c r="QQY8" s="87"/>
      <c r="QQZ8" s="87"/>
      <c r="QRA8" s="87"/>
      <c r="QRB8" s="87"/>
      <c r="QRC8" s="87"/>
      <c r="QRD8" s="87"/>
      <c r="QRE8" s="87"/>
      <c r="QRF8" s="87"/>
      <c r="QRG8" s="87"/>
      <c r="QRH8" s="87"/>
      <c r="QRI8" s="87"/>
      <c r="QRJ8" s="87"/>
      <c r="QRK8" s="87"/>
      <c r="QRL8" s="87"/>
      <c r="QRM8" s="87"/>
      <c r="QRN8" s="87"/>
      <c r="QRO8" s="87"/>
      <c r="QRP8" s="87"/>
      <c r="QRQ8" s="87"/>
      <c r="QRR8" s="87"/>
      <c r="QRS8" s="87"/>
      <c r="QRT8" s="87"/>
      <c r="QRU8" s="87"/>
      <c r="QRV8" s="87"/>
      <c r="QRW8" s="87"/>
      <c r="QRX8" s="87"/>
      <c r="QRY8" s="87"/>
      <c r="QRZ8" s="87"/>
      <c r="QSA8" s="87"/>
      <c r="QSB8" s="87"/>
      <c r="QSC8" s="87"/>
      <c r="QSD8" s="87"/>
      <c r="QSE8" s="87"/>
      <c r="QSF8" s="87"/>
      <c r="QSG8" s="87"/>
      <c r="QSH8" s="87"/>
      <c r="QSI8" s="87"/>
      <c r="QSJ8" s="87"/>
      <c r="QSK8" s="87"/>
      <c r="QSL8" s="87"/>
      <c r="QSM8" s="87"/>
      <c r="QSN8" s="87"/>
      <c r="QSO8" s="87"/>
      <c r="QSP8" s="87"/>
      <c r="QSQ8" s="87"/>
      <c r="QSR8" s="87"/>
      <c r="QSS8" s="87"/>
      <c r="QST8" s="87"/>
      <c r="QSU8" s="87"/>
      <c r="QSV8" s="87"/>
      <c r="QSW8" s="87"/>
      <c r="QSX8" s="87"/>
      <c r="QSY8" s="87"/>
      <c r="QSZ8" s="87"/>
      <c r="QTA8" s="87"/>
      <c r="QTB8" s="87"/>
      <c r="QTC8" s="87"/>
      <c r="QTD8" s="87"/>
      <c r="QTE8" s="87"/>
      <c r="QTF8" s="87"/>
      <c r="QTG8" s="87"/>
      <c r="QTH8" s="87"/>
      <c r="QTI8" s="87"/>
      <c r="QTJ8" s="87"/>
      <c r="QTK8" s="87"/>
      <c r="QTL8" s="87"/>
      <c r="QTM8" s="87"/>
      <c r="QTN8" s="87"/>
      <c r="QTO8" s="87"/>
      <c r="QTP8" s="87"/>
      <c r="QTQ8" s="87"/>
      <c r="QTR8" s="87"/>
      <c r="QTS8" s="87"/>
      <c r="QTT8" s="87"/>
      <c r="QTU8" s="87"/>
      <c r="QTV8" s="87"/>
      <c r="QTW8" s="87"/>
      <c r="QTX8" s="87"/>
      <c r="QTY8" s="87"/>
      <c r="QTZ8" s="87"/>
      <c r="QUA8" s="87"/>
      <c r="QUB8" s="87"/>
      <c r="QUC8" s="87"/>
      <c r="QUD8" s="87"/>
      <c r="QUE8" s="87"/>
      <c r="QUF8" s="87"/>
      <c r="QUG8" s="87"/>
      <c r="QUH8" s="87"/>
      <c r="QUI8" s="87"/>
      <c r="QUJ8" s="87"/>
      <c r="QUK8" s="87"/>
      <c r="QUL8" s="87"/>
      <c r="QUM8" s="87"/>
      <c r="QUN8" s="87"/>
      <c r="QUO8" s="87"/>
      <c r="QUP8" s="87"/>
      <c r="QUQ8" s="87"/>
      <c r="QUR8" s="87"/>
      <c r="QUS8" s="87"/>
      <c r="QUT8" s="87"/>
      <c r="QUU8" s="87"/>
      <c r="QUV8" s="87"/>
      <c r="QUW8" s="87"/>
      <c r="QUX8" s="87"/>
      <c r="QUY8" s="87"/>
      <c r="QUZ8" s="87"/>
      <c r="QVA8" s="87"/>
      <c r="QVB8" s="87"/>
      <c r="QVC8" s="87"/>
      <c r="QVD8" s="87"/>
      <c r="QVE8" s="87"/>
      <c r="QVF8" s="87"/>
      <c r="QVG8" s="87"/>
      <c r="QVH8" s="87"/>
      <c r="QVI8" s="87"/>
      <c r="QVJ8" s="87"/>
      <c r="QVK8" s="87"/>
      <c r="QVL8" s="87"/>
      <c r="QVM8" s="87"/>
      <c r="QVN8" s="87"/>
      <c r="QVO8" s="87"/>
      <c r="QVP8" s="87"/>
      <c r="QVQ8" s="87"/>
      <c r="QVR8" s="87"/>
      <c r="QVS8" s="87"/>
      <c r="QVT8" s="87"/>
      <c r="QVU8" s="87"/>
      <c r="QVV8" s="87"/>
      <c r="QVW8" s="87"/>
      <c r="QVX8" s="87"/>
      <c r="QVY8" s="87"/>
      <c r="QVZ8" s="87"/>
      <c r="QWA8" s="87"/>
      <c r="QWB8" s="87"/>
      <c r="QWC8" s="87"/>
      <c r="QWD8" s="87"/>
      <c r="QWE8" s="87"/>
      <c r="QWF8" s="87"/>
      <c r="QWG8" s="87"/>
      <c r="QWH8" s="87"/>
      <c r="QWI8" s="87"/>
      <c r="QWJ8" s="87"/>
      <c r="QWK8" s="87"/>
      <c r="QWL8" s="87"/>
      <c r="QWM8" s="87"/>
      <c r="QWN8" s="87"/>
      <c r="QWO8" s="87"/>
      <c r="QWP8" s="87"/>
      <c r="QWQ8" s="87"/>
      <c r="QWR8" s="87"/>
      <c r="QWS8" s="87"/>
      <c r="QWT8" s="87"/>
      <c r="QWU8" s="87"/>
      <c r="QWV8" s="87"/>
      <c r="QWW8" s="87"/>
      <c r="QWX8" s="87"/>
      <c r="QWY8" s="87"/>
      <c r="QWZ8" s="87"/>
      <c r="QXA8" s="87"/>
      <c r="QXB8" s="87"/>
      <c r="QXC8" s="87"/>
      <c r="QXD8" s="87"/>
      <c r="QXE8" s="87"/>
      <c r="QXF8" s="87"/>
      <c r="QXG8" s="87"/>
      <c r="QXH8" s="87"/>
      <c r="QXI8" s="87"/>
      <c r="QXJ8" s="87"/>
      <c r="QXK8" s="87"/>
      <c r="QXL8" s="87"/>
      <c r="QXM8" s="87"/>
      <c r="QXN8" s="87"/>
      <c r="QXO8" s="87"/>
      <c r="QXP8" s="87"/>
      <c r="QXQ8" s="87"/>
      <c r="QXR8" s="87"/>
      <c r="QXS8" s="87"/>
      <c r="QXT8" s="87"/>
      <c r="QXU8" s="87"/>
      <c r="QXV8" s="87"/>
      <c r="QXW8" s="87"/>
      <c r="QXX8" s="87"/>
      <c r="QXY8" s="87"/>
      <c r="QXZ8" s="87"/>
      <c r="QYA8" s="87"/>
      <c r="QYB8" s="87"/>
      <c r="QYC8" s="87"/>
      <c r="QYD8" s="87"/>
      <c r="QYE8" s="87"/>
      <c r="QYF8" s="87"/>
      <c r="QYG8" s="87"/>
      <c r="QYH8" s="87"/>
      <c r="QYI8" s="87"/>
      <c r="QYJ8" s="87"/>
      <c r="QYK8" s="87"/>
      <c r="QYL8" s="87"/>
      <c r="QYM8" s="87"/>
      <c r="QYN8" s="87"/>
      <c r="QYO8" s="87"/>
      <c r="QYP8" s="87"/>
      <c r="QYQ8" s="87"/>
      <c r="QYR8" s="87"/>
      <c r="QYS8" s="87"/>
      <c r="QYT8" s="87"/>
      <c r="QYU8" s="87"/>
      <c r="QYV8" s="87"/>
      <c r="QYW8" s="87"/>
      <c r="QYX8" s="87"/>
      <c r="QYY8" s="87"/>
      <c r="QYZ8" s="87"/>
      <c r="QZA8" s="87"/>
      <c r="QZB8" s="87"/>
      <c r="QZC8" s="87"/>
      <c r="QZD8" s="87"/>
      <c r="QZE8" s="87"/>
      <c r="QZF8" s="87"/>
      <c r="QZG8" s="87"/>
      <c r="QZH8" s="87"/>
      <c r="QZI8" s="87"/>
      <c r="QZJ8" s="87"/>
      <c r="QZK8" s="87"/>
      <c r="QZL8" s="87"/>
      <c r="QZM8" s="87"/>
      <c r="QZN8" s="87"/>
      <c r="QZO8" s="87"/>
      <c r="QZP8" s="87"/>
      <c r="QZQ8" s="87"/>
      <c r="QZR8" s="87"/>
      <c r="QZS8" s="87"/>
      <c r="QZT8" s="87"/>
      <c r="QZU8" s="87"/>
      <c r="QZV8" s="87"/>
      <c r="QZW8" s="87"/>
      <c r="QZX8" s="87"/>
      <c r="QZY8" s="87"/>
      <c r="QZZ8" s="87"/>
      <c r="RAA8" s="87"/>
      <c r="RAB8" s="87"/>
      <c r="RAC8" s="87"/>
      <c r="RAD8" s="87"/>
      <c r="RAE8" s="87"/>
      <c r="RAF8" s="87"/>
      <c r="RAG8" s="87"/>
      <c r="RAH8" s="87"/>
      <c r="RAI8" s="87"/>
      <c r="RAJ8" s="87"/>
      <c r="RAK8" s="87"/>
      <c r="RAL8" s="87"/>
      <c r="RAM8" s="87"/>
      <c r="RAN8" s="87"/>
      <c r="RAO8" s="87"/>
      <c r="RAP8" s="87"/>
      <c r="RAQ8" s="87"/>
      <c r="RAR8" s="87"/>
      <c r="RAS8" s="87"/>
      <c r="RAT8" s="87"/>
      <c r="RAU8" s="87"/>
      <c r="RAV8" s="87"/>
      <c r="RAW8" s="87"/>
      <c r="RAX8" s="87"/>
      <c r="RAY8" s="87"/>
      <c r="RAZ8" s="87"/>
      <c r="RBA8" s="87"/>
      <c r="RBB8" s="87"/>
      <c r="RBC8" s="87"/>
      <c r="RBD8" s="87"/>
      <c r="RBE8" s="87"/>
      <c r="RBF8" s="87"/>
      <c r="RBG8" s="87"/>
      <c r="RBH8" s="87"/>
      <c r="RBI8" s="87"/>
      <c r="RBJ8" s="87"/>
      <c r="RBK8" s="87"/>
      <c r="RBL8" s="87"/>
      <c r="RBM8" s="87"/>
      <c r="RBN8" s="87"/>
      <c r="RBO8" s="87"/>
      <c r="RBP8" s="87"/>
      <c r="RBQ8" s="87"/>
      <c r="RBR8" s="87"/>
      <c r="RBS8" s="87"/>
      <c r="RBT8" s="87"/>
      <c r="RBU8" s="87"/>
      <c r="RBV8" s="87"/>
      <c r="RBW8" s="87"/>
      <c r="RBX8" s="87"/>
      <c r="RBY8" s="87"/>
      <c r="RBZ8" s="87"/>
      <c r="RCA8" s="87"/>
      <c r="RCB8" s="87"/>
      <c r="RCC8" s="87"/>
      <c r="RCD8" s="87"/>
      <c r="RCE8" s="87"/>
      <c r="RCF8" s="87"/>
      <c r="RCG8" s="87"/>
      <c r="RCH8" s="87"/>
      <c r="RCI8" s="87"/>
      <c r="RCJ8" s="87"/>
      <c r="RCK8" s="87"/>
      <c r="RCL8" s="87"/>
      <c r="RCM8" s="87"/>
      <c r="RCN8" s="87"/>
      <c r="RCO8" s="87"/>
      <c r="RCP8" s="87"/>
      <c r="RCQ8" s="87"/>
      <c r="RCR8" s="87"/>
      <c r="RCS8" s="87"/>
      <c r="RCT8" s="87"/>
      <c r="RCU8" s="87"/>
      <c r="RCV8" s="87"/>
      <c r="RCW8" s="87"/>
      <c r="RCX8" s="87"/>
      <c r="RCY8" s="87"/>
      <c r="RCZ8" s="87"/>
      <c r="RDA8" s="87"/>
      <c r="RDB8" s="87"/>
      <c r="RDC8" s="87"/>
      <c r="RDD8" s="87"/>
      <c r="RDE8" s="87"/>
      <c r="RDF8" s="87"/>
      <c r="RDG8" s="87"/>
      <c r="RDH8" s="87"/>
      <c r="RDI8" s="87"/>
      <c r="RDJ8" s="87"/>
      <c r="RDK8" s="87"/>
      <c r="RDL8" s="87"/>
      <c r="RDM8" s="87"/>
      <c r="RDN8" s="87"/>
      <c r="RDO8" s="87"/>
      <c r="RDP8" s="87"/>
      <c r="RDQ8" s="87"/>
      <c r="RDR8" s="87"/>
      <c r="RDS8" s="87"/>
      <c r="RDT8" s="87"/>
      <c r="RDU8" s="87"/>
      <c r="RDV8" s="87"/>
      <c r="RDW8" s="87"/>
      <c r="RDX8" s="87"/>
      <c r="RDY8" s="87"/>
      <c r="RDZ8" s="87"/>
      <c r="REA8" s="87"/>
      <c r="REB8" s="87"/>
      <c r="REC8" s="87"/>
      <c r="RED8" s="87"/>
      <c r="REE8" s="87"/>
      <c r="REF8" s="87"/>
      <c r="REG8" s="87"/>
      <c r="REH8" s="87"/>
      <c r="REI8" s="87"/>
      <c r="REJ8" s="87"/>
      <c r="REK8" s="87"/>
      <c r="REL8" s="87"/>
      <c r="REM8" s="87"/>
      <c r="REN8" s="87"/>
      <c r="REO8" s="87"/>
      <c r="REP8" s="87"/>
      <c r="REQ8" s="87"/>
      <c r="RER8" s="87"/>
      <c r="RES8" s="87"/>
      <c r="RET8" s="87"/>
      <c r="REU8" s="87"/>
      <c r="REV8" s="87"/>
      <c r="REW8" s="87"/>
      <c r="REX8" s="87"/>
      <c r="REY8" s="87"/>
      <c r="REZ8" s="87"/>
      <c r="RFA8" s="87"/>
      <c r="RFB8" s="87"/>
      <c r="RFC8" s="87"/>
      <c r="RFD8" s="87"/>
      <c r="RFE8" s="87"/>
      <c r="RFF8" s="87"/>
      <c r="RFG8" s="87"/>
      <c r="RFH8" s="87"/>
      <c r="RFI8" s="87"/>
      <c r="RFJ8" s="87"/>
      <c r="RFK8" s="87"/>
      <c r="RFL8" s="87"/>
      <c r="RFM8" s="87"/>
      <c r="RFN8" s="87"/>
      <c r="RFO8" s="87"/>
      <c r="RFP8" s="87"/>
      <c r="RFQ8" s="87"/>
      <c r="RFR8" s="87"/>
      <c r="RFS8" s="87"/>
      <c r="RFT8" s="87"/>
      <c r="RFU8" s="87"/>
      <c r="RFV8" s="87"/>
      <c r="RFW8" s="87"/>
      <c r="RFX8" s="87"/>
      <c r="RFY8" s="87"/>
      <c r="RFZ8" s="87"/>
      <c r="RGA8" s="87"/>
      <c r="RGB8" s="87"/>
      <c r="RGC8" s="87"/>
      <c r="RGD8" s="87"/>
      <c r="RGE8" s="87"/>
      <c r="RGF8" s="87"/>
      <c r="RGG8" s="87"/>
      <c r="RGH8" s="87"/>
      <c r="RGI8" s="87"/>
      <c r="RGJ8" s="87"/>
      <c r="RGK8" s="87"/>
      <c r="RGL8" s="87"/>
      <c r="RGM8" s="87"/>
      <c r="RGN8" s="87"/>
      <c r="RGO8" s="87"/>
      <c r="RGP8" s="87"/>
      <c r="RGQ8" s="87"/>
      <c r="RGR8" s="87"/>
      <c r="RGS8" s="87"/>
      <c r="RGT8" s="87"/>
      <c r="RGU8" s="87"/>
      <c r="RGV8" s="87"/>
      <c r="RGW8" s="87"/>
      <c r="RGX8" s="87"/>
      <c r="RGY8" s="87"/>
      <c r="RGZ8" s="87"/>
      <c r="RHA8" s="87"/>
      <c r="RHB8" s="87"/>
      <c r="RHC8" s="87"/>
      <c r="RHD8" s="87"/>
      <c r="RHE8" s="87"/>
      <c r="RHF8" s="87"/>
      <c r="RHG8" s="87"/>
      <c r="RHH8" s="87"/>
      <c r="RHI8" s="87"/>
      <c r="RHJ8" s="87"/>
      <c r="RHK8" s="87"/>
      <c r="RHL8" s="87"/>
      <c r="RHM8" s="87"/>
      <c r="RHN8" s="87"/>
      <c r="RHO8" s="87"/>
      <c r="RHP8" s="87"/>
      <c r="RHQ8" s="87"/>
      <c r="RHR8" s="87"/>
      <c r="RHS8" s="87"/>
      <c r="RHT8" s="87"/>
      <c r="RHU8" s="87"/>
      <c r="RHV8" s="87"/>
      <c r="RHW8" s="87"/>
      <c r="RHX8" s="87"/>
      <c r="RHY8" s="87"/>
      <c r="RHZ8" s="87"/>
      <c r="RIA8" s="87"/>
      <c r="RIB8" s="87"/>
      <c r="RIC8" s="87"/>
      <c r="RID8" s="87"/>
      <c r="RIE8" s="87"/>
      <c r="RIF8" s="87"/>
      <c r="RIG8" s="87"/>
      <c r="RIH8" s="87"/>
      <c r="RII8" s="87"/>
      <c r="RIJ8" s="87"/>
      <c r="RIK8" s="87"/>
      <c r="RIL8" s="87"/>
      <c r="RIM8" s="87"/>
      <c r="RIN8" s="87"/>
      <c r="RIO8" s="87"/>
      <c r="RIP8" s="87"/>
      <c r="RIQ8" s="87"/>
      <c r="RIR8" s="87"/>
      <c r="RIS8" s="87"/>
      <c r="RIT8" s="87"/>
      <c r="RIU8" s="87"/>
      <c r="RIV8" s="87"/>
      <c r="RIW8" s="87"/>
      <c r="RIX8" s="87"/>
      <c r="RIY8" s="87"/>
      <c r="RIZ8" s="87"/>
      <c r="RJA8" s="87"/>
      <c r="RJB8" s="87"/>
      <c r="RJC8" s="87"/>
      <c r="RJD8" s="87"/>
      <c r="RJE8" s="87"/>
      <c r="RJF8" s="87"/>
      <c r="RJG8" s="87"/>
      <c r="RJH8" s="87"/>
      <c r="RJI8" s="87"/>
      <c r="RJJ8" s="87"/>
      <c r="RJK8" s="87"/>
      <c r="RJL8" s="87"/>
      <c r="RJM8" s="87"/>
      <c r="RJN8" s="87"/>
      <c r="RJO8" s="87"/>
      <c r="RJP8" s="87"/>
      <c r="RJQ8" s="87"/>
      <c r="RJR8" s="87"/>
      <c r="RJS8" s="87"/>
      <c r="RJT8" s="87"/>
      <c r="RJU8" s="87"/>
      <c r="RJV8" s="87"/>
      <c r="RJW8" s="87"/>
      <c r="RJX8" s="87"/>
      <c r="RJY8" s="87"/>
      <c r="RJZ8" s="87"/>
      <c r="RKA8" s="87"/>
      <c r="RKB8" s="87"/>
      <c r="RKC8" s="87"/>
      <c r="RKD8" s="87"/>
      <c r="RKE8" s="87"/>
      <c r="RKF8" s="87"/>
      <c r="RKG8" s="87"/>
      <c r="RKH8" s="87"/>
      <c r="RKI8" s="87"/>
      <c r="RKJ8" s="87"/>
      <c r="RKK8" s="87"/>
      <c r="RKL8" s="87"/>
      <c r="RKM8" s="87"/>
      <c r="RKN8" s="87"/>
      <c r="RKO8" s="87"/>
      <c r="RKP8" s="87"/>
      <c r="RKQ8" s="87"/>
      <c r="RKR8" s="87"/>
      <c r="RKS8" s="87"/>
      <c r="RKT8" s="87"/>
      <c r="RKU8" s="87"/>
      <c r="RKV8" s="87"/>
      <c r="RKW8" s="87"/>
      <c r="RKX8" s="87"/>
      <c r="RKY8" s="87"/>
      <c r="RKZ8" s="87"/>
      <c r="RLA8" s="87"/>
      <c r="RLB8" s="87"/>
      <c r="RLC8" s="87"/>
      <c r="RLD8" s="87"/>
      <c r="RLE8" s="87"/>
      <c r="RLF8" s="87"/>
      <c r="RLG8" s="87"/>
      <c r="RLH8" s="87"/>
      <c r="RLI8" s="87"/>
      <c r="RLJ8" s="87"/>
      <c r="RLK8" s="87"/>
      <c r="RLL8" s="87"/>
      <c r="RLM8" s="87"/>
      <c r="RLN8" s="87"/>
      <c r="RLO8" s="87"/>
      <c r="RLP8" s="87"/>
      <c r="RLQ8" s="87"/>
      <c r="RLR8" s="87"/>
      <c r="RLS8" s="87"/>
      <c r="RLT8" s="87"/>
      <c r="RLU8" s="87"/>
      <c r="RLV8" s="87"/>
      <c r="RLW8" s="87"/>
      <c r="RLX8" s="87"/>
      <c r="RLY8" s="87"/>
      <c r="RLZ8" s="87"/>
      <c r="RMA8" s="87"/>
      <c r="RMB8" s="87"/>
      <c r="RMC8" s="87"/>
      <c r="RMD8" s="87"/>
      <c r="RME8" s="87"/>
      <c r="RMF8" s="87"/>
      <c r="RMG8" s="87"/>
      <c r="RMH8" s="87"/>
      <c r="RMI8" s="87"/>
      <c r="RMJ8" s="87"/>
      <c r="RMK8" s="87"/>
      <c r="RML8" s="87"/>
      <c r="RMM8" s="87"/>
      <c r="RMN8" s="87"/>
      <c r="RMO8" s="87"/>
      <c r="RMP8" s="87"/>
      <c r="RMQ8" s="87"/>
      <c r="RMR8" s="87"/>
      <c r="RMS8" s="87"/>
      <c r="RMT8" s="87"/>
      <c r="RMU8" s="87"/>
      <c r="RMV8" s="87"/>
      <c r="RMW8" s="87"/>
      <c r="RMX8" s="87"/>
      <c r="RMY8" s="87"/>
      <c r="RMZ8" s="87"/>
      <c r="RNA8" s="87"/>
      <c r="RNB8" s="87"/>
      <c r="RNC8" s="87"/>
      <c r="RND8" s="87"/>
      <c r="RNE8" s="87"/>
      <c r="RNF8" s="87"/>
      <c r="RNG8" s="87"/>
      <c r="RNH8" s="87"/>
      <c r="RNI8" s="87"/>
      <c r="RNJ8" s="87"/>
      <c r="RNK8" s="87"/>
      <c r="RNL8" s="87"/>
      <c r="RNM8" s="87"/>
      <c r="RNN8" s="87"/>
      <c r="RNO8" s="87"/>
      <c r="RNP8" s="87"/>
      <c r="RNQ8" s="87"/>
      <c r="RNR8" s="87"/>
      <c r="RNS8" s="87"/>
      <c r="RNT8" s="87"/>
      <c r="RNU8" s="87"/>
      <c r="RNV8" s="87"/>
      <c r="RNW8" s="87"/>
      <c r="RNX8" s="87"/>
      <c r="RNY8" s="87"/>
      <c r="RNZ8" s="87"/>
      <c r="ROA8" s="87"/>
      <c r="ROB8" s="87"/>
      <c r="ROC8" s="87"/>
      <c r="ROD8" s="87"/>
      <c r="ROE8" s="87"/>
      <c r="ROF8" s="87"/>
      <c r="ROG8" s="87"/>
      <c r="ROH8" s="87"/>
      <c r="ROI8" s="87"/>
      <c r="ROJ8" s="87"/>
      <c r="ROK8" s="87"/>
      <c r="ROL8" s="87"/>
      <c r="ROM8" s="87"/>
      <c r="RON8" s="87"/>
      <c r="ROO8" s="87"/>
      <c r="ROP8" s="87"/>
      <c r="ROQ8" s="87"/>
      <c r="ROR8" s="87"/>
      <c r="ROS8" s="87"/>
      <c r="ROT8" s="87"/>
      <c r="ROU8" s="87"/>
      <c r="ROV8" s="87"/>
      <c r="ROW8" s="87"/>
      <c r="ROX8" s="87"/>
      <c r="ROY8" s="87"/>
      <c r="ROZ8" s="87"/>
      <c r="RPA8" s="87"/>
      <c r="RPB8" s="87"/>
      <c r="RPC8" s="87"/>
      <c r="RPD8" s="87"/>
      <c r="RPE8" s="87"/>
      <c r="RPF8" s="87"/>
      <c r="RPG8" s="87"/>
      <c r="RPH8" s="87"/>
      <c r="RPI8" s="87"/>
      <c r="RPJ8" s="87"/>
      <c r="RPK8" s="87"/>
      <c r="RPL8" s="87"/>
      <c r="RPM8" s="87"/>
      <c r="RPN8" s="87"/>
      <c r="RPO8" s="87"/>
      <c r="RPP8" s="87"/>
      <c r="RPQ8" s="87"/>
      <c r="RPR8" s="87"/>
      <c r="RPS8" s="87"/>
      <c r="RPT8" s="87"/>
      <c r="RPU8" s="87"/>
      <c r="RPV8" s="87"/>
      <c r="RPW8" s="87"/>
      <c r="RPX8" s="87"/>
      <c r="RPY8" s="87"/>
      <c r="RPZ8" s="87"/>
      <c r="RQA8" s="87"/>
      <c r="RQB8" s="87"/>
      <c r="RQC8" s="87"/>
      <c r="RQD8" s="87"/>
      <c r="RQE8" s="87"/>
      <c r="RQF8" s="87"/>
      <c r="RQG8" s="87"/>
      <c r="RQH8" s="87"/>
      <c r="RQI8" s="87"/>
      <c r="RQJ8" s="87"/>
      <c r="RQK8" s="87"/>
      <c r="RQL8" s="87"/>
      <c r="RQM8" s="87"/>
      <c r="RQN8" s="87"/>
      <c r="RQO8" s="87"/>
      <c r="RQP8" s="87"/>
      <c r="RQQ8" s="87"/>
      <c r="RQR8" s="87"/>
      <c r="RQS8" s="87"/>
      <c r="RQT8" s="87"/>
      <c r="RQU8" s="87"/>
      <c r="RQV8" s="87"/>
      <c r="RQW8" s="87"/>
      <c r="RQX8" s="87"/>
      <c r="RQY8" s="87"/>
      <c r="RQZ8" s="87"/>
      <c r="RRA8" s="87"/>
      <c r="RRB8" s="87"/>
      <c r="RRC8" s="87"/>
      <c r="RRD8" s="87"/>
      <c r="RRE8" s="87"/>
      <c r="RRF8" s="87"/>
      <c r="RRG8" s="87"/>
      <c r="RRH8" s="87"/>
      <c r="RRI8" s="87"/>
      <c r="RRJ8" s="87"/>
      <c r="RRK8" s="87"/>
      <c r="RRL8" s="87"/>
      <c r="RRM8" s="87"/>
      <c r="RRN8" s="87"/>
      <c r="RRO8" s="87"/>
      <c r="RRP8" s="87"/>
      <c r="RRQ8" s="87"/>
      <c r="RRR8" s="87"/>
      <c r="RRS8" s="87"/>
      <c r="RRT8" s="87"/>
      <c r="RRU8" s="87"/>
      <c r="RRV8" s="87"/>
      <c r="RRW8" s="87"/>
      <c r="RRX8" s="87"/>
      <c r="RRY8" s="87"/>
      <c r="RRZ8" s="87"/>
      <c r="RSA8" s="87"/>
      <c r="RSB8" s="87"/>
      <c r="RSC8" s="87"/>
      <c r="RSD8" s="87"/>
      <c r="RSE8" s="87"/>
      <c r="RSF8" s="87"/>
      <c r="RSG8" s="87"/>
      <c r="RSH8" s="87"/>
      <c r="RSI8" s="87"/>
      <c r="RSJ8" s="87"/>
      <c r="RSK8" s="87"/>
      <c r="RSL8" s="87"/>
      <c r="RSM8" s="87"/>
      <c r="RSN8" s="87"/>
      <c r="RSO8" s="87"/>
      <c r="RSP8" s="87"/>
      <c r="RSQ8" s="87"/>
      <c r="RSR8" s="87"/>
      <c r="RSS8" s="87"/>
      <c r="RST8" s="87"/>
      <c r="RSU8" s="87"/>
      <c r="RSV8" s="87"/>
      <c r="RSW8" s="87"/>
      <c r="RSX8" s="87"/>
      <c r="RSY8" s="87"/>
      <c r="RSZ8" s="87"/>
      <c r="RTA8" s="87"/>
      <c r="RTB8" s="87"/>
      <c r="RTC8" s="87"/>
      <c r="RTD8" s="87"/>
      <c r="RTE8" s="87"/>
      <c r="RTF8" s="87"/>
      <c r="RTG8" s="87"/>
      <c r="RTH8" s="87"/>
      <c r="RTI8" s="87"/>
      <c r="RTJ8" s="87"/>
      <c r="RTK8" s="87"/>
      <c r="RTL8" s="87"/>
      <c r="RTM8" s="87"/>
      <c r="RTN8" s="87"/>
      <c r="RTO8" s="87"/>
      <c r="RTP8" s="87"/>
      <c r="RTQ8" s="87"/>
      <c r="RTR8" s="87"/>
      <c r="RTS8" s="87"/>
      <c r="RTT8" s="87"/>
      <c r="RTU8" s="87"/>
      <c r="RTV8" s="87"/>
      <c r="RTW8" s="87"/>
      <c r="RTX8" s="87"/>
      <c r="RTY8" s="87"/>
      <c r="RTZ8" s="87"/>
      <c r="RUA8" s="87"/>
      <c r="RUB8" s="87"/>
      <c r="RUC8" s="87"/>
      <c r="RUD8" s="87"/>
      <c r="RUE8" s="87"/>
      <c r="RUF8" s="87"/>
      <c r="RUG8" s="87"/>
      <c r="RUH8" s="87"/>
      <c r="RUI8" s="87"/>
      <c r="RUJ8" s="87"/>
      <c r="RUK8" s="87"/>
      <c r="RUL8" s="87"/>
      <c r="RUM8" s="87"/>
      <c r="RUN8" s="87"/>
      <c r="RUO8" s="87"/>
      <c r="RUP8" s="87"/>
      <c r="RUQ8" s="87"/>
      <c r="RUR8" s="87"/>
      <c r="RUS8" s="87"/>
      <c r="RUT8" s="87"/>
      <c r="RUU8" s="87"/>
      <c r="RUV8" s="87"/>
      <c r="RUW8" s="87"/>
      <c r="RUX8" s="87"/>
      <c r="RUY8" s="87"/>
      <c r="RUZ8" s="87"/>
      <c r="RVA8" s="87"/>
      <c r="RVB8" s="87"/>
      <c r="RVC8" s="87"/>
      <c r="RVD8" s="87"/>
      <c r="RVE8" s="87"/>
      <c r="RVF8" s="87"/>
      <c r="RVG8" s="87"/>
      <c r="RVH8" s="87"/>
      <c r="RVI8" s="87"/>
      <c r="RVJ8" s="87"/>
      <c r="RVK8" s="87"/>
      <c r="RVL8" s="87"/>
      <c r="RVM8" s="87"/>
      <c r="RVN8" s="87"/>
      <c r="RVO8" s="87"/>
      <c r="RVP8" s="87"/>
      <c r="RVQ8" s="87"/>
      <c r="RVR8" s="87"/>
      <c r="RVS8" s="87"/>
      <c r="RVT8" s="87"/>
      <c r="RVU8" s="87"/>
      <c r="RVV8" s="87"/>
      <c r="RVW8" s="87"/>
      <c r="RVX8" s="87"/>
      <c r="RVY8" s="87"/>
      <c r="RVZ8" s="87"/>
      <c r="RWA8" s="87"/>
      <c r="RWB8" s="87"/>
      <c r="RWC8" s="87"/>
      <c r="RWD8" s="87"/>
      <c r="RWE8" s="87"/>
      <c r="RWF8" s="87"/>
      <c r="RWG8" s="87"/>
      <c r="RWH8" s="87"/>
      <c r="RWI8" s="87"/>
      <c r="RWJ8" s="87"/>
      <c r="RWK8" s="87"/>
      <c r="RWL8" s="87"/>
      <c r="RWM8" s="87"/>
      <c r="RWN8" s="87"/>
      <c r="RWO8" s="87"/>
      <c r="RWP8" s="87"/>
      <c r="RWQ8" s="87"/>
      <c r="RWR8" s="87"/>
      <c r="RWS8" s="87"/>
      <c r="RWT8" s="87"/>
      <c r="RWU8" s="87"/>
      <c r="RWV8" s="87"/>
      <c r="RWW8" s="87"/>
      <c r="RWX8" s="87"/>
      <c r="RWY8" s="87"/>
      <c r="RWZ8" s="87"/>
      <c r="RXA8" s="87"/>
      <c r="RXB8" s="87"/>
      <c r="RXC8" s="87"/>
      <c r="RXD8" s="87"/>
      <c r="RXE8" s="87"/>
      <c r="RXF8" s="87"/>
      <c r="RXG8" s="87"/>
      <c r="RXH8" s="87"/>
      <c r="RXI8" s="87"/>
      <c r="RXJ8" s="87"/>
      <c r="RXK8" s="87"/>
      <c r="RXL8" s="87"/>
      <c r="RXM8" s="87"/>
      <c r="RXN8" s="87"/>
      <c r="RXO8" s="87"/>
      <c r="RXP8" s="87"/>
      <c r="RXQ8" s="87"/>
      <c r="RXR8" s="87"/>
      <c r="RXS8" s="87"/>
      <c r="RXT8" s="87"/>
      <c r="RXU8" s="87"/>
      <c r="RXV8" s="87"/>
      <c r="RXW8" s="87"/>
      <c r="RXX8" s="87"/>
      <c r="RXY8" s="87"/>
      <c r="RXZ8" s="87"/>
      <c r="RYA8" s="87"/>
      <c r="RYB8" s="87"/>
      <c r="RYC8" s="87"/>
      <c r="RYD8" s="87"/>
      <c r="RYE8" s="87"/>
      <c r="RYF8" s="87"/>
      <c r="RYG8" s="87"/>
      <c r="RYH8" s="87"/>
      <c r="RYI8" s="87"/>
      <c r="RYJ8" s="87"/>
      <c r="RYK8" s="87"/>
      <c r="RYL8" s="87"/>
      <c r="RYM8" s="87"/>
      <c r="RYN8" s="87"/>
      <c r="RYO8" s="87"/>
      <c r="RYP8" s="87"/>
      <c r="RYQ8" s="87"/>
      <c r="RYR8" s="87"/>
      <c r="RYS8" s="87"/>
      <c r="RYT8" s="87"/>
      <c r="RYU8" s="87"/>
      <c r="RYV8" s="87"/>
      <c r="RYW8" s="87"/>
      <c r="RYX8" s="87"/>
      <c r="RYY8" s="87"/>
      <c r="RYZ8" s="87"/>
      <c r="RZA8" s="87"/>
      <c r="RZB8" s="87"/>
      <c r="RZC8" s="87"/>
      <c r="RZD8" s="87"/>
      <c r="RZE8" s="87"/>
      <c r="RZF8" s="87"/>
      <c r="RZG8" s="87"/>
      <c r="RZH8" s="87"/>
      <c r="RZI8" s="87"/>
      <c r="RZJ8" s="87"/>
      <c r="RZK8" s="87"/>
      <c r="RZL8" s="87"/>
      <c r="RZM8" s="87"/>
      <c r="RZN8" s="87"/>
      <c r="RZO8" s="87"/>
      <c r="RZP8" s="87"/>
      <c r="RZQ8" s="87"/>
      <c r="RZR8" s="87"/>
      <c r="RZS8" s="87"/>
      <c r="RZT8" s="87"/>
      <c r="RZU8" s="87"/>
      <c r="RZV8" s="87"/>
      <c r="RZW8" s="87"/>
      <c r="RZX8" s="87"/>
      <c r="RZY8" s="87"/>
      <c r="RZZ8" s="87"/>
      <c r="SAA8" s="87"/>
      <c r="SAB8" s="87"/>
      <c r="SAC8" s="87"/>
      <c r="SAD8" s="87"/>
      <c r="SAE8" s="87"/>
      <c r="SAF8" s="87"/>
      <c r="SAG8" s="87"/>
      <c r="SAH8" s="87"/>
      <c r="SAI8" s="87"/>
      <c r="SAJ8" s="87"/>
      <c r="SAK8" s="87"/>
      <c r="SAL8" s="87"/>
      <c r="SAM8" s="87"/>
      <c r="SAN8" s="87"/>
      <c r="SAO8" s="87"/>
      <c r="SAP8" s="87"/>
      <c r="SAQ8" s="87"/>
      <c r="SAR8" s="87"/>
      <c r="SAS8" s="87"/>
      <c r="SAT8" s="87"/>
      <c r="SAU8" s="87"/>
      <c r="SAV8" s="87"/>
      <c r="SAW8" s="87"/>
      <c r="SAX8" s="87"/>
      <c r="SAY8" s="87"/>
      <c r="SAZ8" s="87"/>
      <c r="SBA8" s="87"/>
      <c r="SBB8" s="87"/>
      <c r="SBC8" s="87"/>
      <c r="SBD8" s="87"/>
      <c r="SBE8" s="87"/>
      <c r="SBF8" s="87"/>
      <c r="SBG8" s="87"/>
      <c r="SBH8" s="87"/>
      <c r="SBI8" s="87"/>
      <c r="SBJ8" s="87"/>
      <c r="SBK8" s="87"/>
      <c r="SBL8" s="87"/>
      <c r="SBM8" s="87"/>
      <c r="SBN8" s="87"/>
      <c r="SBO8" s="87"/>
      <c r="SBP8" s="87"/>
      <c r="SBQ8" s="87"/>
      <c r="SBR8" s="87"/>
      <c r="SBS8" s="87"/>
      <c r="SBT8" s="87"/>
      <c r="SBU8" s="87"/>
      <c r="SBV8" s="87"/>
      <c r="SBW8" s="87"/>
      <c r="SBX8" s="87"/>
      <c r="SBY8" s="87"/>
      <c r="SBZ8" s="87"/>
      <c r="SCA8" s="87"/>
      <c r="SCB8" s="87"/>
      <c r="SCC8" s="87"/>
      <c r="SCD8" s="87"/>
      <c r="SCE8" s="87"/>
      <c r="SCF8" s="87"/>
      <c r="SCG8" s="87"/>
      <c r="SCH8" s="87"/>
      <c r="SCI8" s="87"/>
      <c r="SCJ8" s="87"/>
      <c r="SCK8" s="87"/>
      <c r="SCL8" s="87"/>
      <c r="SCM8" s="87"/>
      <c r="SCN8" s="87"/>
      <c r="SCO8" s="87"/>
      <c r="SCP8" s="87"/>
      <c r="SCQ8" s="87"/>
      <c r="SCR8" s="87"/>
      <c r="SCS8" s="87"/>
      <c r="SCT8" s="87"/>
      <c r="SCU8" s="87"/>
      <c r="SCV8" s="87"/>
      <c r="SCW8" s="87"/>
      <c r="SCX8" s="87"/>
      <c r="SCY8" s="87"/>
      <c r="SCZ8" s="87"/>
      <c r="SDA8" s="87"/>
      <c r="SDB8" s="87"/>
      <c r="SDC8" s="87"/>
      <c r="SDD8" s="87"/>
      <c r="SDE8" s="87"/>
      <c r="SDF8" s="87"/>
      <c r="SDG8" s="87"/>
      <c r="SDH8" s="87"/>
      <c r="SDI8" s="87"/>
      <c r="SDJ8" s="87"/>
      <c r="SDK8" s="87"/>
      <c r="SDL8" s="87"/>
      <c r="SDM8" s="87"/>
      <c r="SDN8" s="87"/>
      <c r="SDO8" s="87"/>
      <c r="SDP8" s="87"/>
      <c r="SDQ8" s="87"/>
      <c r="SDR8" s="87"/>
      <c r="SDS8" s="87"/>
      <c r="SDT8" s="87"/>
      <c r="SDU8" s="87"/>
      <c r="SDV8" s="87"/>
      <c r="SDW8" s="87"/>
      <c r="SDX8" s="87"/>
      <c r="SDY8" s="87"/>
      <c r="SDZ8" s="87"/>
      <c r="SEA8" s="87"/>
      <c r="SEB8" s="87"/>
      <c r="SEC8" s="87"/>
      <c r="SED8" s="87"/>
      <c r="SEE8" s="87"/>
      <c r="SEF8" s="87"/>
      <c r="SEG8" s="87"/>
      <c r="SEH8" s="87"/>
      <c r="SEI8" s="87"/>
      <c r="SEJ8" s="87"/>
      <c r="SEK8" s="87"/>
      <c r="SEL8" s="87"/>
      <c r="SEM8" s="87"/>
      <c r="SEN8" s="87"/>
      <c r="SEO8" s="87"/>
      <c r="SEP8" s="87"/>
      <c r="SEQ8" s="87"/>
      <c r="SER8" s="87"/>
      <c r="SES8" s="87"/>
      <c r="SET8" s="87"/>
      <c r="SEU8" s="87"/>
      <c r="SEV8" s="87"/>
      <c r="SEW8" s="87"/>
      <c r="SEX8" s="87"/>
      <c r="SEY8" s="87"/>
      <c r="SEZ8" s="87"/>
      <c r="SFA8" s="87"/>
      <c r="SFB8" s="87"/>
      <c r="SFC8" s="87"/>
      <c r="SFD8" s="87"/>
      <c r="SFE8" s="87"/>
      <c r="SFF8" s="87"/>
      <c r="SFG8" s="87"/>
      <c r="SFH8" s="87"/>
      <c r="SFI8" s="87"/>
      <c r="SFJ8" s="87"/>
      <c r="SFK8" s="87"/>
      <c r="SFL8" s="87"/>
      <c r="SFM8" s="87"/>
      <c r="SFN8" s="87"/>
      <c r="SFO8" s="87"/>
      <c r="SFP8" s="87"/>
      <c r="SFQ8" s="87"/>
      <c r="SFR8" s="87"/>
      <c r="SFS8" s="87"/>
      <c r="SFT8" s="87"/>
      <c r="SFU8" s="87"/>
      <c r="SFV8" s="87"/>
      <c r="SFW8" s="87"/>
      <c r="SFX8" s="87"/>
      <c r="SFY8" s="87"/>
      <c r="SFZ8" s="87"/>
      <c r="SGA8" s="87"/>
      <c r="SGB8" s="87"/>
      <c r="SGC8" s="87"/>
      <c r="SGD8" s="87"/>
      <c r="SGE8" s="87"/>
      <c r="SGF8" s="87"/>
      <c r="SGG8" s="87"/>
      <c r="SGH8" s="87"/>
      <c r="SGI8" s="87"/>
      <c r="SGJ8" s="87"/>
      <c r="SGK8" s="87"/>
      <c r="SGL8" s="87"/>
      <c r="SGM8" s="87"/>
      <c r="SGN8" s="87"/>
      <c r="SGO8" s="87"/>
      <c r="SGP8" s="87"/>
      <c r="SGQ8" s="87"/>
      <c r="SGR8" s="87"/>
      <c r="SGS8" s="87"/>
      <c r="SGT8" s="87"/>
      <c r="SGU8" s="87"/>
      <c r="SGV8" s="87"/>
      <c r="SGW8" s="87"/>
      <c r="SGX8" s="87"/>
      <c r="SGY8" s="87"/>
      <c r="SGZ8" s="87"/>
      <c r="SHA8" s="87"/>
      <c r="SHB8" s="87"/>
      <c r="SHC8" s="87"/>
      <c r="SHD8" s="87"/>
      <c r="SHE8" s="87"/>
      <c r="SHF8" s="87"/>
      <c r="SHG8" s="87"/>
      <c r="SHH8" s="87"/>
      <c r="SHI8" s="87"/>
      <c r="SHJ8" s="87"/>
      <c r="SHK8" s="87"/>
      <c r="SHL8" s="87"/>
      <c r="SHM8" s="87"/>
      <c r="SHN8" s="87"/>
      <c r="SHO8" s="87"/>
      <c r="SHP8" s="87"/>
      <c r="SHQ8" s="87"/>
      <c r="SHR8" s="87"/>
      <c r="SHS8" s="87"/>
      <c r="SHT8" s="87"/>
      <c r="SHU8" s="87"/>
      <c r="SHV8" s="87"/>
      <c r="SHW8" s="87"/>
      <c r="SHX8" s="87"/>
      <c r="SHY8" s="87"/>
      <c r="SHZ8" s="87"/>
      <c r="SIA8" s="87"/>
      <c r="SIB8" s="87"/>
      <c r="SIC8" s="87"/>
      <c r="SID8" s="87"/>
      <c r="SIE8" s="87"/>
      <c r="SIF8" s="87"/>
      <c r="SIG8" s="87"/>
      <c r="SIH8" s="87"/>
      <c r="SII8" s="87"/>
      <c r="SIJ8" s="87"/>
      <c r="SIK8" s="87"/>
      <c r="SIL8" s="87"/>
      <c r="SIM8" s="87"/>
      <c r="SIN8" s="87"/>
      <c r="SIO8" s="87"/>
      <c r="SIP8" s="87"/>
      <c r="SIQ8" s="87"/>
      <c r="SIR8" s="87"/>
      <c r="SIS8" s="87"/>
      <c r="SIT8" s="87"/>
      <c r="SIU8" s="87"/>
      <c r="SIV8" s="87"/>
      <c r="SIW8" s="87"/>
      <c r="SIX8" s="87"/>
      <c r="SIY8" s="87"/>
      <c r="SIZ8" s="87"/>
      <c r="SJA8" s="87"/>
      <c r="SJB8" s="87"/>
      <c r="SJC8" s="87"/>
      <c r="SJD8" s="87"/>
      <c r="SJE8" s="87"/>
      <c r="SJF8" s="87"/>
      <c r="SJG8" s="87"/>
      <c r="SJH8" s="87"/>
      <c r="SJI8" s="87"/>
      <c r="SJJ8" s="87"/>
      <c r="SJK8" s="87"/>
      <c r="SJL8" s="87"/>
      <c r="SJM8" s="87"/>
      <c r="SJN8" s="87"/>
      <c r="SJO8" s="87"/>
      <c r="SJP8" s="87"/>
      <c r="SJQ8" s="87"/>
      <c r="SJR8" s="87"/>
      <c r="SJS8" s="87"/>
      <c r="SJT8" s="87"/>
      <c r="SJU8" s="87"/>
      <c r="SJV8" s="87"/>
      <c r="SJW8" s="87"/>
      <c r="SJX8" s="87"/>
      <c r="SJY8" s="87"/>
      <c r="SJZ8" s="87"/>
      <c r="SKA8" s="87"/>
      <c r="SKB8" s="87"/>
      <c r="SKC8" s="87"/>
      <c r="SKD8" s="87"/>
      <c r="SKE8" s="87"/>
      <c r="SKF8" s="87"/>
      <c r="SKG8" s="87"/>
      <c r="SKH8" s="87"/>
      <c r="SKI8" s="87"/>
      <c r="SKJ8" s="87"/>
      <c r="SKK8" s="87"/>
      <c r="SKL8" s="87"/>
      <c r="SKM8" s="87"/>
      <c r="SKN8" s="87"/>
      <c r="SKO8" s="87"/>
      <c r="SKP8" s="87"/>
      <c r="SKQ8" s="87"/>
      <c r="SKR8" s="87"/>
      <c r="SKS8" s="87"/>
      <c r="SKT8" s="87"/>
      <c r="SKU8" s="87"/>
      <c r="SKV8" s="87"/>
      <c r="SKW8" s="87"/>
      <c r="SKX8" s="87"/>
      <c r="SKY8" s="87"/>
      <c r="SKZ8" s="87"/>
      <c r="SLA8" s="87"/>
      <c r="SLB8" s="87"/>
      <c r="SLC8" s="87"/>
      <c r="SLD8" s="87"/>
      <c r="SLE8" s="87"/>
      <c r="SLF8" s="87"/>
      <c r="SLG8" s="87"/>
      <c r="SLH8" s="87"/>
      <c r="SLI8" s="87"/>
      <c r="SLJ8" s="87"/>
      <c r="SLK8" s="87"/>
      <c r="SLL8" s="87"/>
      <c r="SLM8" s="87"/>
      <c r="SLN8" s="87"/>
      <c r="SLO8" s="87"/>
      <c r="SLP8" s="87"/>
      <c r="SLQ8" s="87"/>
      <c r="SLR8" s="87"/>
      <c r="SLS8" s="87"/>
      <c r="SLT8" s="87"/>
      <c r="SLU8" s="87"/>
      <c r="SLV8" s="87"/>
      <c r="SLW8" s="87"/>
      <c r="SLX8" s="87"/>
      <c r="SLY8" s="87"/>
      <c r="SLZ8" s="87"/>
      <c r="SMA8" s="87"/>
      <c r="SMB8" s="87"/>
      <c r="SMC8" s="87"/>
      <c r="SMD8" s="87"/>
      <c r="SME8" s="87"/>
      <c r="SMF8" s="87"/>
      <c r="SMG8" s="87"/>
      <c r="SMH8" s="87"/>
      <c r="SMI8" s="87"/>
      <c r="SMJ8" s="87"/>
      <c r="SMK8" s="87"/>
      <c r="SML8" s="87"/>
      <c r="SMM8" s="87"/>
      <c r="SMN8" s="87"/>
      <c r="SMO8" s="87"/>
      <c r="SMP8" s="87"/>
      <c r="SMQ8" s="87"/>
      <c r="SMR8" s="87"/>
      <c r="SMS8" s="87"/>
      <c r="SMT8" s="87"/>
      <c r="SMU8" s="87"/>
      <c r="SMV8" s="87"/>
      <c r="SMW8" s="87"/>
      <c r="SMX8" s="87"/>
      <c r="SMY8" s="87"/>
      <c r="SMZ8" s="87"/>
      <c r="SNA8" s="87"/>
      <c r="SNB8" s="87"/>
      <c r="SNC8" s="87"/>
      <c r="SND8" s="87"/>
      <c r="SNE8" s="87"/>
      <c r="SNF8" s="87"/>
      <c r="SNG8" s="87"/>
      <c r="SNH8" s="87"/>
      <c r="SNI8" s="87"/>
      <c r="SNJ8" s="87"/>
      <c r="SNK8" s="87"/>
      <c r="SNL8" s="87"/>
      <c r="SNM8" s="87"/>
      <c r="SNN8" s="87"/>
      <c r="SNO8" s="87"/>
      <c r="SNP8" s="87"/>
      <c r="SNQ8" s="87"/>
      <c r="SNR8" s="87"/>
      <c r="SNS8" s="87"/>
      <c r="SNT8" s="87"/>
      <c r="SNU8" s="87"/>
      <c r="SNV8" s="87"/>
      <c r="SNW8" s="87"/>
      <c r="SNX8" s="87"/>
      <c r="SNY8" s="87"/>
      <c r="SNZ8" s="87"/>
      <c r="SOA8" s="87"/>
      <c r="SOB8" s="87"/>
      <c r="SOC8" s="87"/>
      <c r="SOD8" s="87"/>
      <c r="SOE8" s="87"/>
      <c r="SOF8" s="87"/>
      <c r="SOG8" s="87"/>
      <c r="SOH8" s="87"/>
      <c r="SOI8" s="87"/>
      <c r="SOJ8" s="87"/>
      <c r="SOK8" s="87"/>
      <c r="SOL8" s="87"/>
      <c r="SOM8" s="87"/>
      <c r="SON8" s="87"/>
      <c r="SOO8" s="87"/>
      <c r="SOP8" s="87"/>
      <c r="SOQ8" s="87"/>
      <c r="SOR8" s="87"/>
      <c r="SOS8" s="87"/>
      <c r="SOT8" s="87"/>
      <c r="SOU8" s="87"/>
      <c r="SOV8" s="87"/>
      <c r="SOW8" s="87"/>
      <c r="SOX8" s="87"/>
      <c r="SOY8" s="87"/>
      <c r="SOZ8" s="87"/>
      <c r="SPA8" s="87"/>
      <c r="SPB8" s="87"/>
      <c r="SPC8" s="87"/>
      <c r="SPD8" s="87"/>
      <c r="SPE8" s="87"/>
      <c r="SPF8" s="87"/>
      <c r="SPG8" s="87"/>
      <c r="SPH8" s="87"/>
      <c r="SPI8" s="87"/>
      <c r="SPJ8" s="87"/>
      <c r="SPK8" s="87"/>
      <c r="SPL8" s="87"/>
      <c r="SPM8" s="87"/>
      <c r="SPN8" s="87"/>
      <c r="SPO8" s="87"/>
      <c r="SPP8" s="87"/>
      <c r="SPQ8" s="87"/>
      <c r="SPR8" s="87"/>
      <c r="SPS8" s="87"/>
      <c r="SPT8" s="87"/>
      <c r="SPU8" s="87"/>
      <c r="SPV8" s="87"/>
      <c r="SPW8" s="87"/>
      <c r="SPX8" s="87"/>
      <c r="SPY8" s="87"/>
      <c r="SPZ8" s="87"/>
      <c r="SQA8" s="87"/>
      <c r="SQB8" s="87"/>
      <c r="SQC8" s="87"/>
      <c r="SQD8" s="87"/>
      <c r="SQE8" s="87"/>
      <c r="SQF8" s="87"/>
      <c r="SQG8" s="87"/>
      <c r="SQH8" s="87"/>
      <c r="SQI8" s="87"/>
      <c r="SQJ8" s="87"/>
      <c r="SQK8" s="87"/>
      <c r="SQL8" s="87"/>
      <c r="SQM8" s="87"/>
      <c r="SQN8" s="87"/>
      <c r="SQO8" s="87"/>
      <c r="SQP8" s="87"/>
      <c r="SQQ8" s="87"/>
      <c r="SQR8" s="87"/>
      <c r="SQS8" s="87"/>
      <c r="SQT8" s="87"/>
      <c r="SQU8" s="87"/>
      <c r="SQV8" s="87"/>
      <c r="SQW8" s="87"/>
      <c r="SQX8" s="87"/>
      <c r="SQY8" s="87"/>
      <c r="SQZ8" s="87"/>
      <c r="SRA8" s="87"/>
      <c r="SRB8" s="87"/>
      <c r="SRC8" s="87"/>
      <c r="SRD8" s="87"/>
      <c r="SRE8" s="87"/>
      <c r="SRF8" s="87"/>
      <c r="SRG8" s="87"/>
      <c r="SRH8" s="87"/>
      <c r="SRI8" s="87"/>
      <c r="SRJ8" s="87"/>
      <c r="SRK8" s="87"/>
      <c r="SRL8" s="87"/>
      <c r="SRM8" s="87"/>
      <c r="SRN8" s="87"/>
      <c r="SRO8" s="87"/>
      <c r="SRP8" s="87"/>
      <c r="SRQ8" s="87"/>
      <c r="SRR8" s="87"/>
      <c r="SRS8" s="87"/>
      <c r="SRT8" s="87"/>
      <c r="SRU8" s="87"/>
      <c r="SRV8" s="87"/>
      <c r="SRW8" s="87"/>
      <c r="SRX8" s="87"/>
      <c r="SRY8" s="87"/>
      <c r="SRZ8" s="87"/>
      <c r="SSA8" s="87"/>
      <c r="SSB8" s="87"/>
      <c r="SSC8" s="87"/>
      <c r="SSD8" s="87"/>
      <c r="SSE8" s="87"/>
      <c r="SSF8" s="87"/>
      <c r="SSG8" s="87"/>
      <c r="SSH8" s="87"/>
      <c r="SSI8" s="87"/>
      <c r="SSJ8" s="87"/>
      <c r="SSK8" s="87"/>
      <c r="SSL8" s="87"/>
      <c r="SSM8" s="87"/>
      <c r="SSN8" s="87"/>
      <c r="SSO8" s="87"/>
      <c r="SSP8" s="87"/>
      <c r="SSQ8" s="87"/>
      <c r="SSR8" s="87"/>
      <c r="SSS8" s="87"/>
      <c r="SST8" s="87"/>
      <c r="SSU8" s="87"/>
      <c r="SSV8" s="87"/>
      <c r="SSW8" s="87"/>
      <c r="SSX8" s="87"/>
      <c r="SSY8" s="87"/>
      <c r="SSZ8" s="87"/>
      <c r="STA8" s="87"/>
      <c r="STB8" s="87"/>
      <c r="STC8" s="87"/>
      <c r="STD8" s="87"/>
      <c r="STE8" s="87"/>
      <c r="STF8" s="87"/>
      <c r="STG8" s="87"/>
      <c r="STH8" s="87"/>
      <c r="STI8" s="87"/>
      <c r="STJ8" s="87"/>
      <c r="STK8" s="87"/>
      <c r="STL8" s="87"/>
      <c r="STM8" s="87"/>
      <c r="STN8" s="87"/>
      <c r="STO8" s="87"/>
      <c r="STP8" s="87"/>
      <c r="STQ8" s="87"/>
      <c r="STR8" s="87"/>
      <c r="STS8" s="87"/>
      <c r="STT8" s="87"/>
      <c r="STU8" s="87"/>
      <c r="STV8" s="87"/>
      <c r="STW8" s="87"/>
      <c r="STX8" s="87"/>
      <c r="STY8" s="87"/>
      <c r="STZ8" s="87"/>
      <c r="SUA8" s="87"/>
      <c r="SUB8" s="87"/>
      <c r="SUC8" s="87"/>
      <c r="SUD8" s="87"/>
      <c r="SUE8" s="87"/>
      <c r="SUF8" s="87"/>
      <c r="SUG8" s="87"/>
      <c r="SUH8" s="87"/>
      <c r="SUI8" s="87"/>
      <c r="SUJ8" s="87"/>
      <c r="SUK8" s="87"/>
      <c r="SUL8" s="87"/>
      <c r="SUM8" s="87"/>
      <c r="SUN8" s="87"/>
      <c r="SUO8" s="87"/>
      <c r="SUP8" s="87"/>
      <c r="SUQ8" s="87"/>
      <c r="SUR8" s="87"/>
      <c r="SUS8" s="87"/>
      <c r="SUT8" s="87"/>
      <c r="SUU8" s="87"/>
      <c r="SUV8" s="87"/>
      <c r="SUW8" s="87"/>
      <c r="SUX8" s="87"/>
      <c r="SUY8" s="87"/>
      <c r="SUZ8" s="87"/>
      <c r="SVA8" s="87"/>
      <c r="SVB8" s="87"/>
      <c r="SVC8" s="87"/>
      <c r="SVD8" s="87"/>
      <c r="SVE8" s="87"/>
      <c r="SVF8" s="87"/>
      <c r="SVG8" s="87"/>
      <c r="SVH8" s="87"/>
      <c r="SVI8" s="87"/>
      <c r="SVJ8" s="87"/>
      <c r="SVK8" s="87"/>
      <c r="SVL8" s="87"/>
      <c r="SVM8" s="87"/>
      <c r="SVN8" s="87"/>
      <c r="SVO8" s="87"/>
      <c r="SVP8" s="87"/>
      <c r="SVQ8" s="87"/>
      <c r="SVR8" s="87"/>
      <c r="SVS8" s="87"/>
      <c r="SVT8" s="87"/>
      <c r="SVU8" s="87"/>
      <c r="SVV8" s="87"/>
      <c r="SVW8" s="87"/>
      <c r="SVX8" s="87"/>
      <c r="SVY8" s="87"/>
      <c r="SVZ8" s="87"/>
      <c r="SWA8" s="87"/>
      <c r="SWB8" s="87"/>
      <c r="SWC8" s="87"/>
      <c r="SWD8" s="87"/>
      <c r="SWE8" s="87"/>
      <c r="SWF8" s="87"/>
      <c r="SWG8" s="87"/>
      <c r="SWH8" s="87"/>
      <c r="SWI8" s="87"/>
      <c r="SWJ8" s="87"/>
      <c r="SWK8" s="87"/>
      <c r="SWL8" s="87"/>
      <c r="SWM8" s="87"/>
      <c r="SWN8" s="87"/>
      <c r="SWO8" s="87"/>
      <c r="SWP8" s="87"/>
      <c r="SWQ8" s="87"/>
      <c r="SWR8" s="87"/>
      <c r="SWS8" s="87"/>
      <c r="SWT8" s="87"/>
      <c r="SWU8" s="87"/>
      <c r="SWV8" s="87"/>
      <c r="SWW8" s="87"/>
      <c r="SWX8" s="87"/>
      <c r="SWY8" s="87"/>
      <c r="SWZ8" s="87"/>
      <c r="SXA8" s="87"/>
      <c r="SXB8" s="87"/>
      <c r="SXC8" s="87"/>
      <c r="SXD8" s="87"/>
      <c r="SXE8" s="87"/>
      <c r="SXF8" s="87"/>
      <c r="SXG8" s="87"/>
      <c r="SXH8" s="87"/>
      <c r="SXI8" s="87"/>
      <c r="SXJ8" s="87"/>
      <c r="SXK8" s="87"/>
      <c r="SXL8" s="87"/>
      <c r="SXM8" s="87"/>
      <c r="SXN8" s="87"/>
      <c r="SXO8" s="87"/>
      <c r="SXP8" s="87"/>
      <c r="SXQ8" s="87"/>
      <c r="SXR8" s="87"/>
      <c r="SXS8" s="87"/>
      <c r="SXT8" s="87"/>
      <c r="SXU8" s="87"/>
      <c r="SXV8" s="87"/>
      <c r="SXW8" s="87"/>
      <c r="SXX8" s="87"/>
      <c r="SXY8" s="87"/>
      <c r="SXZ8" s="87"/>
      <c r="SYA8" s="87"/>
      <c r="SYB8" s="87"/>
      <c r="SYC8" s="87"/>
      <c r="SYD8" s="87"/>
      <c r="SYE8" s="87"/>
      <c r="SYF8" s="87"/>
      <c r="SYG8" s="87"/>
      <c r="SYH8" s="87"/>
      <c r="SYI8" s="87"/>
      <c r="SYJ8" s="87"/>
      <c r="SYK8" s="87"/>
      <c r="SYL8" s="87"/>
      <c r="SYM8" s="87"/>
      <c r="SYN8" s="87"/>
      <c r="SYO8" s="87"/>
      <c r="SYP8" s="87"/>
      <c r="SYQ8" s="87"/>
      <c r="SYR8" s="87"/>
      <c r="SYS8" s="87"/>
      <c r="SYT8" s="87"/>
      <c r="SYU8" s="87"/>
      <c r="SYV8" s="87"/>
      <c r="SYW8" s="87"/>
      <c r="SYX8" s="87"/>
      <c r="SYY8" s="87"/>
      <c r="SYZ8" s="87"/>
      <c r="SZA8" s="87"/>
      <c r="SZB8" s="87"/>
      <c r="SZC8" s="87"/>
      <c r="SZD8" s="87"/>
      <c r="SZE8" s="87"/>
      <c r="SZF8" s="87"/>
      <c r="SZG8" s="87"/>
      <c r="SZH8" s="87"/>
      <c r="SZI8" s="87"/>
      <c r="SZJ8" s="87"/>
      <c r="SZK8" s="87"/>
      <c r="SZL8" s="87"/>
      <c r="SZM8" s="87"/>
      <c r="SZN8" s="87"/>
      <c r="SZO8" s="87"/>
      <c r="SZP8" s="87"/>
      <c r="SZQ8" s="87"/>
      <c r="SZR8" s="87"/>
      <c r="SZS8" s="87"/>
      <c r="SZT8" s="87"/>
      <c r="SZU8" s="87"/>
      <c r="SZV8" s="87"/>
      <c r="SZW8" s="87"/>
      <c r="SZX8" s="87"/>
      <c r="SZY8" s="87"/>
      <c r="SZZ8" s="87"/>
      <c r="TAA8" s="87"/>
      <c r="TAB8" s="87"/>
      <c r="TAC8" s="87"/>
      <c r="TAD8" s="87"/>
      <c r="TAE8" s="87"/>
      <c r="TAF8" s="87"/>
      <c r="TAG8" s="87"/>
      <c r="TAH8" s="87"/>
      <c r="TAI8" s="87"/>
      <c r="TAJ8" s="87"/>
      <c r="TAK8" s="87"/>
      <c r="TAL8" s="87"/>
      <c r="TAM8" s="87"/>
      <c r="TAN8" s="87"/>
      <c r="TAO8" s="87"/>
      <c r="TAP8" s="87"/>
      <c r="TAQ8" s="87"/>
      <c r="TAR8" s="87"/>
      <c r="TAS8" s="87"/>
      <c r="TAT8" s="87"/>
      <c r="TAU8" s="87"/>
      <c r="TAV8" s="87"/>
      <c r="TAW8" s="87"/>
      <c r="TAX8" s="87"/>
      <c r="TAY8" s="87"/>
      <c r="TAZ8" s="87"/>
      <c r="TBA8" s="87"/>
      <c r="TBB8" s="87"/>
      <c r="TBC8" s="87"/>
      <c r="TBD8" s="87"/>
      <c r="TBE8" s="87"/>
      <c r="TBF8" s="87"/>
      <c r="TBG8" s="87"/>
      <c r="TBH8" s="87"/>
      <c r="TBI8" s="87"/>
      <c r="TBJ8" s="87"/>
      <c r="TBK8" s="87"/>
      <c r="TBL8" s="87"/>
      <c r="TBM8" s="87"/>
      <c r="TBN8" s="87"/>
      <c r="TBO8" s="87"/>
      <c r="TBP8" s="87"/>
      <c r="TBQ8" s="87"/>
      <c r="TBR8" s="87"/>
      <c r="TBS8" s="87"/>
      <c r="TBT8" s="87"/>
      <c r="TBU8" s="87"/>
      <c r="TBV8" s="87"/>
      <c r="TBW8" s="87"/>
      <c r="TBX8" s="87"/>
      <c r="TBY8" s="87"/>
      <c r="TBZ8" s="87"/>
      <c r="TCA8" s="87"/>
      <c r="TCB8" s="87"/>
      <c r="TCC8" s="87"/>
      <c r="TCD8" s="87"/>
      <c r="TCE8" s="87"/>
      <c r="TCF8" s="87"/>
      <c r="TCG8" s="87"/>
      <c r="TCH8" s="87"/>
      <c r="TCI8" s="87"/>
      <c r="TCJ8" s="87"/>
      <c r="TCK8" s="87"/>
      <c r="TCL8" s="87"/>
      <c r="TCM8" s="87"/>
      <c r="TCN8" s="87"/>
      <c r="TCO8" s="87"/>
      <c r="TCP8" s="87"/>
      <c r="TCQ8" s="87"/>
      <c r="TCR8" s="87"/>
      <c r="TCS8" s="87"/>
      <c r="TCT8" s="87"/>
      <c r="TCU8" s="87"/>
      <c r="TCV8" s="87"/>
      <c r="TCW8" s="87"/>
      <c r="TCX8" s="87"/>
      <c r="TCY8" s="87"/>
      <c r="TCZ8" s="87"/>
      <c r="TDA8" s="87"/>
      <c r="TDB8" s="87"/>
      <c r="TDC8" s="87"/>
      <c r="TDD8" s="87"/>
      <c r="TDE8" s="87"/>
      <c r="TDF8" s="87"/>
      <c r="TDG8" s="87"/>
      <c r="TDH8" s="87"/>
      <c r="TDI8" s="87"/>
      <c r="TDJ8" s="87"/>
      <c r="TDK8" s="87"/>
      <c r="TDL8" s="87"/>
      <c r="TDM8" s="87"/>
      <c r="TDN8" s="87"/>
      <c r="TDO8" s="87"/>
      <c r="TDP8" s="87"/>
      <c r="TDQ8" s="87"/>
      <c r="TDR8" s="87"/>
      <c r="TDS8" s="87"/>
      <c r="TDT8" s="87"/>
      <c r="TDU8" s="87"/>
      <c r="TDV8" s="87"/>
      <c r="TDW8" s="87"/>
      <c r="TDX8" s="87"/>
      <c r="TDY8" s="87"/>
      <c r="TDZ8" s="87"/>
      <c r="TEA8" s="87"/>
      <c r="TEB8" s="87"/>
      <c r="TEC8" s="87"/>
      <c r="TED8" s="87"/>
      <c r="TEE8" s="87"/>
      <c r="TEF8" s="87"/>
      <c r="TEG8" s="87"/>
      <c r="TEH8" s="87"/>
      <c r="TEI8" s="87"/>
      <c r="TEJ8" s="87"/>
      <c r="TEK8" s="87"/>
      <c r="TEL8" s="87"/>
      <c r="TEM8" s="87"/>
      <c r="TEN8" s="87"/>
      <c r="TEO8" s="87"/>
      <c r="TEP8" s="87"/>
      <c r="TEQ8" s="87"/>
      <c r="TER8" s="87"/>
      <c r="TES8" s="87"/>
      <c r="TET8" s="87"/>
      <c r="TEU8" s="87"/>
      <c r="TEV8" s="87"/>
      <c r="TEW8" s="87"/>
      <c r="TEX8" s="87"/>
      <c r="TEY8" s="87"/>
      <c r="TEZ8" s="87"/>
      <c r="TFA8" s="87"/>
      <c r="TFB8" s="87"/>
      <c r="TFC8" s="87"/>
      <c r="TFD8" s="87"/>
      <c r="TFE8" s="87"/>
      <c r="TFF8" s="87"/>
      <c r="TFG8" s="87"/>
      <c r="TFH8" s="87"/>
      <c r="TFI8" s="87"/>
      <c r="TFJ8" s="87"/>
      <c r="TFK8" s="87"/>
      <c r="TFL8" s="87"/>
      <c r="TFM8" s="87"/>
      <c r="TFN8" s="87"/>
      <c r="TFO8" s="87"/>
      <c r="TFP8" s="87"/>
      <c r="TFQ8" s="87"/>
      <c r="TFR8" s="87"/>
      <c r="TFS8" s="87"/>
      <c r="TFT8" s="87"/>
      <c r="TFU8" s="87"/>
      <c r="TFV8" s="87"/>
      <c r="TFW8" s="87"/>
      <c r="TFX8" s="87"/>
      <c r="TFY8" s="87"/>
      <c r="TFZ8" s="87"/>
      <c r="TGA8" s="87"/>
      <c r="TGB8" s="87"/>
      <c r="TGC8" s="87"/>
      <c r="TGD8" s="87"/>
      <c r="TGE8" s="87"/>
      <c r="TGF8" s="87"/>
      <c r="TGG8" s="87"/>
      <c r="TGH8" s="87"/>
      <c r="TGI8" s="87"/>
      <c r="TGJ8" s="87"/>
      <c r="TGK8" s="87"/>
      <c r="TGL8" s="87"/>
      <c r="TGM8" s="87"/>
      <c r="TGN8" s="87"/>
      <c r="TGO8" s="87"/>
      <c r="TGP8" s="87"/>
      <c r="TGQ8" s="87"/>
      <c r="TGR8" s="87"/>
      <c r="TGS8" s="87"/>
      <c r="TGT8" s="87"/>
      <c r="TGU8" s="87"/>
      <c r="TGV8" s="87"/>
      <c r="TGW8" s="87"/>
      <c r="TGX8" s="87"/>
      <c r="TGY8" s="87"/>
      <c r="TGZ8" s="87"/>
      <c r="THA8" s="87"/>
      <c r="THB8" s="87"/>
      <c r="THC8" s="87"/>
      <c r="THD8" s="87"/>
      <c r="THE8" s="87"/>
      <c r="THF8" s="87"/>
      <c r="THG8" s="87"/>
      <c r="THH8" s="87"/>
      <c r="THI8" s="87"/>
      <c r="THJ8" s="87"/>
      <c r="THK8" s="87"/>
      <c r="THL8" s="87"/>
      <c r="THM8" s="87"/>
      <c r="THN8" s="87"/>
      <c r="THO8" s="87"/>
      <c r="THP8" s="87"/>
      <c r="THQ8" s="87"/>
      <c r="THR8" s="87"/>
      <c r="THS8" s="87"/>
      <c r="THT8" s="87"/>
      <c r="THU8" s="87"/>
      <c r="THV8" s="87"/>
      <c r="THW8" s="87"/>
      <c r="THX8" s="87"/>
      <c r="THY8" s="87"/>
      <c r="THZ8" s="87"/>
      <c r="TIA8" s="87"/>
      <c r="TIB8" s="87"/>
      <c r="TIC8" s="87"/>
      <c r="TID8" s="87"/>
      <c r="TIE8" s="87"/>
      <c r="TIF8" s="87"/>
      <c r="TIG8" s="87"/>
      <c r="TIH8" s="87"/>
      <c r="TII8" s="87"/>
      <c r="TIJ8" s="87"/>
      <c r="TIK8" s="87"/>
      <c r="TIL8" s="87"/>
      <c r="TIM8" s="87"/>
      <c r="TIN8" s="87"/>
      <c r="TIO8" s="87"/>
      <c r="TIP8" s="87"/>
      <c r="TIQ8" s="87"/>
      <c r="TIR8" s="87"/>
      <c r="TIS8" s="87"/>
      <c r="TIT8" s="87"/>
      <c r="TIU8" s="87"/>
      <c r="TIV8" s="87"/>
      <c r="TIW8" s="87"/>
      <c r="TIX8" s="87"/>
      <c r="TIY8" s="87"/>
      <c r="TIZ8" s="87"/>
      <c r="TJA8" s="87"/>
      <c r="TJB8" s="87"/>
      <c r="TJC8" s="87"/>
      <c r="TJD8" s="87"/>
      <c r="TJE8" s="87"/>
      <c r="TJF8" s="87"/>
      <c r="TJG8" s="87"/>
      <c r="TJH8" s="87"/>
      <c r="TJI8" s="87"/>
      <c r="TJJ8" s="87"/>
      <c r="TJK8" s="87"/>
      <c r="TJL8" s="87"/>
      <c r="TJM8" s="87"/>
      <c r="TJN8" s="87"/>
      <c r="TJO8" s="87"/>
      <c r="TJP8" s="87"/>
      <c r="TJQ8" s="87"/>
      <c r="TJR8" s="87"/>
      <c r="TJS8" s="87"/>
      <c r="TJT8" s="87"/>
      <c r="TJU8" s="87"/>
      <c r="TJV8" s="87"/>
      <c r="TJW8" s="87"/>
      <c r="TJX8" s="87"/>
      <c r="TJY8" s="87"/>
      <c r="TJZ8" s="87"/>
      <c r="TKA8" s="87"/>
      <c r="TKB8" s="87"/>
      <c r="TKC8" s="87"/>
      <c r="TKD8" s="87"/>
      <c r="TKE8" s="87"/>
      <c r="TKF8" s="87"/>
      <c r="TKG8" s="87"/>
      <c r="TKH8" s="87"/>
      <c r="TKI8" s="87"/>
      <c r="TKJ8" s="87"/>
      <c r="TKK8" s="87"/>
      <c r="TKL8" s="87"/>
      <c r="TKM8" s="87"/>
      <c r="TKN8" s="87"/>
      <c r="TKO8" s="87"/>
      <c r="TKP8" s="87"/>
      <c r="TKQ8" s="87"/>
      <c r="TKR8" s="87"/>
      <c r="TKS8" s="87"/>
      <c r="TKT8" s="87"/>
      <c r="TKU8" s="87"/>
      <c r="TKV8" s="87"/>
      <c r="TKW8" s="87"/>
      <c r="TKX8" s="87"/>
      <c r="TKY8" s="87"/>
      <c r="TKZ8" s="87"/>
      <c r="TLA8" s="87"/>
      <c r="TLB8" s="87"/>
      <c r="TLC8" s="87"/>
      <c r="TLD8" s="87"/>
      <c r="TLE8" s="87"/>
      <c r="TLF8" s="87"/>
      <c r="TLG8" s="87"/>
      <c r="TLH8" s="87"/>
      <c r="TLI8" s="87"/>
      <c r="TLJ8" s="87"/>
      <c r="TLK8" s="87"/>
      <c r="TLL8" s="87"/>
      <c r="TLM8" s="87"/>
      <c r="TLN8" s="87"/>
      <c r="TLO8" s="87"/>
      <c r="TLP8" s="87"/>
      <c r="TLQ8" s="87"/>
      <c r="TLR8" s="87"/>
      <c r="TLS8" s="87"/>
      <c r="TLT8" s="87"/>
      <c r="TLU8" s="87"/>
      <c r="TLV8" s="87"/>
      <c r="TLW8" s="87"/>
      <c r="TLX8" s="87"/>
      <c r="TLY8" s="87"/>
      <c r="TLZ8" s="87"/>
      <c r="TMA8" s="87"/>
      <c r="TMB8" s="87"/>
      <c r="TMC8" s="87"/>
      <c r="TMD8" s="87"/>
      <c r="TME8" s="87"/>
      <c r="TMF8" s="87"/>
      <c r="TMG8" s="87"/>
      <c r="TMH8" s="87"/>
      <c r="TMI8" s="87"/>
      <c r="TMJ8" s="87"/>
      <c r="TMK8" s="87"/>
      <c r="TML8" s="87"/>
      <c r="TMM8" s="87"/>
      <c r="TMN8" s="87"/>
      <c r="TMO8" s="87"/>
      <c r="TMP8" s="87"/>
      <c r="TMQ8" s="87"/>
      <c r="TMR8" s="87"/>
      <c r="TMS8" s="87"/>
      <c r="TMT8" s="87"/>
      <c r="TMU8" s="87"/>
      <c r="TMV8" s="87"/>
      <c r="TMW8" s="87"/>
      <c r="TMX8" s="87"/>
      <c r="TMY8" s="87"/>
      <c r="TMZ8" s="87"/>
      <c r="TNA8" s="87"/>
      <c r="TNB8" s="87"/>
      <c r="TNC8" s="87"/>
      <c r="TND8" s="87"/>
      <c r="TNE8" s="87"/>
      <c r="TNF8" s="87"/>
      <c r="TNG8" s="87"/>
      <c r="TNH8" s="87"/>
      <c r="TNI8" s="87"/>
      <c r="TNJ8" s="87"/>
      <c r="TNK8" s="87"/>
      <c r="TNL8" s="87"/>
      <c r="TNM8" s="87"/>
      <c r="TNN8" s="87"/>
      <c r="TNO8" s="87"/>
      <c r="TNP8" s="87"/>
      <c r="TNQ8" s="87"/>
      <c r="TNR8" s="87"/>
      <c r="TNS8" s="87"/>
      <c r="TNT8" s="87"/>
      <c r="TNU8" s="87"/>
      <c r="TNV8" s="87"/>
      <c r="TNW8" s="87"/>
      <c r="TNX8" s="87"/>
      <c r="TNY8" s="87"/>
      <c r="TNZ8" s="87"/>
      <c r="TOA8" s="87"/>
      <c r="TOB8" s="87"/>
      <c r="TOC8" s="87"/>
      <c r="TOD8" s="87"/>
      <c r="TOE8" s="87"/>
      <c r="TOF8" s="87"/>
      <c r="TOG8" s="87"/>
      <c r="TOH8" s="87"/>
      <c r="TOI8" s="87"/>
      <c r="TOJ8" s="87"/>
      <c r="TOK8" s="87"/>
      <c r="TOL8" s="87"/>
      <c r="TOM8" s="87"/>
      <c r="TON8" s="87"/>
      <c r="TOO8" s="87"/>
      <c r="TOP8" s="87"/>
      <c r="TOQ8" s="87"/>
      <c r="TOR8" s="87"/>
      <c r="TOS8" s="87"/>
      <c r="TOT8" s="87"/>
      <c r="TOU8" s="87"/>
      <c r="TOV8" s="87"/>
      <c r="TOW8" s="87"/>
      <c r="TOX8" s="87"/>
      <c r="TOY8" s="87"/>
      <c r="TOZ8" s="87"/>
      <c r="TPA8" s="87"/>
      <c r="TPB8" s="87"/>
      <c r="TPC8" s="87"/>
      <c r="TPD8" s="87"/>
      <c r="TPE8" s="87"/>
      <c r="TPF8" s="87"/>
      <c r="TPG8" s="87"/>
      <c r="TPH8" s="87"/>
      <c r="TPI8" s="87"/>
      <c r="TPJ8" s="87"/>
      <c r="TPK8" s="87"/>
      <c r="TPL8" s="87"/>
      <c r="TPM8" s="87"/>
      <c r="TPN8" s="87"/>
      <c r="TPO8" s="87"/>
      <c r="TPP8" s="87"/>
      <c r="TPQ8" s="87"/>
      <c r="TPR8" s="87"/>
      <c r="TPS8" s="87"/>
      <c r="TPT8" s="87"/>
      <c r="TPU8" s="87"/>
      <c r="TPV8" s="87"/>
      <c r="TPW8" s="87"/>
      <c r="TPX8" s="87"/>
      <c r="TPY8" s="87"/>
      <c r="TPZ8" s="87"/>
      <c r="TQA8" s="87"/>
      <c r="TQB8" s="87"/>
      <c r="TQC8" s="87"/>
      <c r="TQD8" s="87"/>
      <c r="TQE8" s="87"/>
      <c r="TQF8" s="87"/>
      <c r="TQG8" s="87"/>
      <c r="TQH8" s="87"/>
      <c r="TQI8" s="87"/>
      <c r="TQJ8" s="87"/>
      <c r="TQK8" s="87"/>
      <c r="TQL8" s="87"/>
      <c r="TQM8" s="87"/>
      <c r="TQN8" s="87"/>
      <c r="TQO8" s="87"/>
      <c r="TQP8" s="87"/>
      <c r="TQQ8" s="87"/>
      <c r="TQR8" s="87"/>
      <c r="TQS8" s="87"/>
      <c r="TQT8" s="87"/>
      <c r="TQU8" s="87"/>
      <c r="TQV8" s="87"/>
      <c r="TQW8" s="87"/>
      <c r="TQX8" s="87"/>
      <c r="TQY8" s="87"/>
      <c r="TQZ8" s="87"/>
      <c r="TRA8" s="87"/>
      <c r="TRB8" s="87"/>
      <c r="TRC8" s="87"/>
      <c r="TRD8" s="87"/>
      <c r="TRE8" s="87"/>
      <c r="TRF8" s="87"/>
      <c r="TRG8" s="87"/>
      <c r="TRH8" s="87"/>
      <c r="TRI8" s="87"/>
      <c r="TRJ8" s="87"/>
      <c r="TRK8" s="87"/>
      <c r="TRL8" s="87"/>
      <c r="TRM8" s="87"/>
      <c r="TRN8" s="87"/>
      <c r="TRO8" s="87"/>
      <c r="TRP8" s="87"/>
      <c r="TRQ8" s="87"/>
      <c r="TRR8" s="87"/>
      <c r="TRS8" s="87"/>
      <c r="TRT8" s="87"/>
      <c r="TRU8" s="87"/>
      <c r="TRV8" s="87"/>
      <c r="TRW8" s="87"/>
      <c r="TRX8" s="87"/>
      <c r="TRY8" s="87"/>
      <c r="TRZ8" s="87"/>
      <c r="TSA8" s="87"/>
      <c r="TSB8" s="87"/>
      <c r="TSC8" s="87"/>
      <c r="TSD8" s="87"/>
      <c r="TSE8" s="87"/>
      <c r="TSF8" s="87"/>
      <c r="TSG8" s="87"/>
      <c r="TSH8" s="87"/>
      <c r="TSI8" s="87"/>
      <c r="TSJ8" s="87"/>
      <c r="TSK8" s="87"/>
      <c r="TSL8" s="87"/>
      <c r="TSM8" s="87"/>
      <c r="TSN8" s="87"/>
      <c r="TSO8" s="87"/>
      <c r="TSP8" s="87"/>
      <c r="TSQ8" s="87"/>
      <c r="TSR8" s="87"/>
      <c r="TSS8" s="87"/>
      <c r="TST8" s="87"/>
      <c r="TSU8" s="87"/>
      <c r="TSV8" s="87"/>
      <c r="TSW8" s="87"/>
      <c r="TSX8" s="87"/>
      <c r="TSY8" s="87"/>
      <c r="TSZ8" s="87"/>
      <c r="TTA8" s="87"/>
      <c r="TTB8" s="87"/>
      <c r="TTC8" s="87"/>
      <c r="TTD8" s="87"/>
      <c r="TTE8" s="87"/>
      <c r="TTF8" s="87"/>
      <c r="TTG8" s="87"/>
      <c r="TTH8" s="87"/>
      <c r="TTI8" s="87"/>
      <c r="TTJ8" s="87"/>
      <c r="TTK8" s="87"/>
      <c r="TTL8" s="87"/>
      <c r="TTM8" s="87"/>
      <c r="TTN8" s="87"/>
      <c r="TTO8" s="87"/>
      <c r="TTP8" s="87"/>
      <c r="TTQ8" s="87"/>
      <c r="TTR8" s="87"/>
      <c r="TTS8" s="87"/>
      <c r="TTT8" s="87"/>
      <c r="TTU8" s="87"/>
      <c r="TTV8" s="87"/>
      <c r="TTW8" s="87"/>
      <c r="TTX8" s="87"/>
      <c r="TTY8" s="87"/>
      <c r="TTZ8" s="87"/>
      <c r="TUA8" s="87"/>
      <c r="TUB8" s="87"/>
      <c r="TUC8" s="87"/>
      <c r="TUD8" s="87"/>
      <c r="TUE8" s="87"/>
      <c r="TUF8" s="87"/>
      <c r="TUG8" s="87"/>
      <c r="TUH8" s="87"/>
      <c r="TUI8" s="87"/>
      <c r="TUJ8" s="87"/>
      <c r="TUK8" s="87"/>
      <c r="TUL8" s="87"/>
      <c r="TUM8" s="87"/>
      <c r="TUN8" s="87"/>
      <c r="TUO8" s="87"/>
      <c r="TUP8" s="87"/>
      <c r="TUQ8" s="87"/>
      <c r="TUR8" s="87"/>
      <c r="TUS8" s="87"/>
      <c r="TUT8" s="87"/>
      <c r="TUU8" s="87"/>
      <c r="TUV8" s="87"/>
      <c r="TUW8" s="87"/>
      <c r="TUX8" s="87"/>
      <c r="TUY8" s="87"/>
      <c r="TUZ8" s="87"/>
      <c r="TVA8" s="87"/>
      <c r="TVB8" s="87"/>
      <c r="TVC8" s="87"/>
      <c r="TVD8" s="87"/>
      <c r="TVE8" s="87"/>
      <c r="TVF8" s="87"/>
      <c r="TVG8" s="87"/>
      <c r="TVH8" s="87"/>
      <c r="TVI8" s="87"/>
      <c r="TVJ8" s="87"/>
      <c r="TVK8" s="87"/>
      <c r="TVL8" s="87"/>
      <c r="TVM8" s="87"/>
      <c r="TVN8" s="87"/>
      <c r="TVO8" s="87"/>
      <c r="TVP8" s="87"/>
      <c r="TVQ8" s="87"/>
      <c r="TVR8" s="87"/>
      <c r="TVS8" s="87"/>
      <c r="TVT8" s="87"/>
      <c r="TVU8" s="87"/>
      <c r="TVV8" s="87"/>
      <c r="TVW8" s="87"/>
      <c r="TVX8" s="87"/>
      <c r="TVY8" s="87"/>
      <c r="TVZ8" s="87"/>
      <c r="TWA8" s="87"/>
      <c r="TWB8" s="87"/>
      <c r="TWC8" s="87"/>
      <c r="TWD8" s="87"/>
      <c r="TWE8" s="87"/>
      <c r="TWF8" s="87"/>
      <c r="TWG8" s="87"/>
      <c r="TWH8" s="87"/>
      <c r="TWI8" s="87"/>
      <c r="TWJ8" s="87"/>
      <c r="TWK8" s="87"/>
      <c r="TWL8" s="87"/>
      <c r="TWM8" s="87"/>
      <c r="TWN8" s="87"/>
      <c r="TWO8" s="87"/>
      <c r="TWP8" s="87"/>
      <c r="TWQ8" s="87"/>
      <c r="TWR8" s="87"/>
      <c r="TWS8" s="87"/>
      <c r="TWT8" s="87"/>
      <c r="TWU8" s="87"/>
      <c r="TWV8" s="87"/>
      <c r="TWW8" s="87"/>
      <c r="TWX8" s="87"/>
      <c r="TWY8" s="87"/>
      <c r="TWZ8" s="87"/>
      <c r="TXA8" s="87"/>
      <c r="TXB8" s="87"/>
      <c r="TXC8" s="87"/>
      <c r="TXD8" s="87"/>
      <c r="TXE8" s="87"/>
      <c r="TXF8" s="87"/>
      <c r="TXG8" s="87"/>
      <c r="TXH8" s="87"/>
      <c r="TXI8" s="87"/>
      <c r="TXJ8" s="87"/>
      <c r="TXK8" s="87"/>
      <c r="TXL8" s="87"/>
      <c r="TXM8" s="87"/>
      <c r="TXN8" s="87"/>
      <c r="TXO8" s="87"/>
      <c r="TXP8" s="87"/>
      <c r="TXQ8" s="87"/>
      <c r="TXR8" s="87"/>
      <c r="TXS8" s="87"/>
      <c r="TXT8" s="87"/>
      <c r="TXU8" s="87"/>
      <c r="TXV8" s="87"/>
      <c r="TXW8" s="87"/>
      <c r="TXX8" s="87"/>
      <c r="TXY8" s="87"/>
      <c r="TXZ8" s="87"/>
      <c r="TYA8" s="87"/>
      <c r="TYB8" s="87"/>
      <c r="TYC8" s="87"/>
      <c r="TYD8" s="87"/>
      <c r="TYE8" s="87"/>
      <c r="TYF8" s="87"/>
      <c r="TYG8" s="87"/>
      <c r="TYH8" s="87"/>
      <c r="TYI8" s="87"/>
      <c r="TYJ8" s="87"/>
      <c r="TYK8" s="87"/>
      <c r="TYL8" s="87"/>
      <c r="TYM8" s="87"/>
      <c r="TYN8" s="87"/>
      <c r="TYO8" s="87"/>
      <c r="TYP8" s="87"/>
      <c r="TYQ8" s="87"/>
      <c r="TYR8" s="87"/>
      <c r="TYS8" s="87"/>
      <c r="TYT8" s="87"/>
      <c r="TYU8" s="87"/>
      <c r="TYV8" s="87"/>
      <c r="TYW8" s="87"/>
      <c r="TYX8" s="87"/>
      <c r="TYY8" s="87"/>
      <c r="TYZ8" s="87"/>
      <c r="TZA8" s="87"/>
      <c r="TZB8" s="87"/>
      <c r="TZC8" s="87"/>
      <c r="TZD8" s="87"/>
      <c r="TZE8" s="87"/>
      <c r="TZF8" s="87"/>
      <c r="TZG8" s="87"/>
      <c r="TZH8" s="87"/>
      <c r="TZI8" s="87"/>
      <c r="TZJ8" s="87"/>
      <c r="TZK8" s="87"/>
      <c r="TZL8" s="87"/>
      <c r="TZM8" s="87"/>
      <c r="TZN8" s="87"/>
      <c r="TZO8" s="87"/>
      <c r="TZP8" s="87"/>
      <c r="TZQ8" s="87"/>
      <c r="TZR8" s="87"/>
      <c r="TZS8" s="87"/>
      <c r="TZT8" s="87"/>
      <c r="TZU8" s="87"/>
      <c r="TZV8" s="87"/>
      <c r="TZW8" s="87"/>
      <c r="TZX8" s="87"/>
      <c r="TZY8" s="87"/>
      <c r="TZZ8" s="87"/>
      <c r="UAA8" s="87"/>
      <c r="UAB8" s="87"/>
      <c r="UAC8" s="87"/>
      <c r="UAD8" s="87"/>
      <c r="UAE8" s="87"/>
      <c r="UAF8" s="87"/>
      <c r="UAG8" s="87"/>
      <c r="UAH8" s="87"/>
      <c r="UAI8" s="87"/>
      <c r="UAJ8" s="87"/>
      <c r="UAK8" s="87"/>
      <c r="UAL8" s="87"/>
      <c r="UAM8" s="87"/>
      <c r="UAN8" s="87"/>
      <c r="UAO8" s="87"/>
      <c r="UAP8" s="87"/>
      <c r="UAQ8" s="87"/>
      <c r="UAR8" s="87"/>
      <c r="UAS8" s="87"/>
      <c r="UAT8" s="87"/>
      <c r="UAU8" s="87"/>
      <c r="UAV8" s="87"/>
      <c r="UAW8" s="87"/>
      <c r="UAX8" s="87"/>
      <c r="UAY8" s="87"/>
      <c r="UAZ8" s="87"/>
      <c r="UBA8" s="87"/>
      <c r="UBB8" s="87"/>
      <c r="UBC8" s="87"/>
      <c r="UBD8" s="87"/>
      <c r="UBE8" s="87"/>
      <c r="UBF8" s="87"/>
      <c r="UBG8" s="87"/>
      <c r="UBH8" s="87"/>
      <c r="UBI8" s="87"/>
      <c r="UBJ8" s="87"/>
      <c r="UBK8" s="87"/>
      <c r="UBL8" s="87"/>
      <c r="UBM8" s="87"/>
      <c r="UBN8" s="87"/>
      <c r="UBO8" s="87"/>
      <c r="UBP8" s="87"/>
      <c r="UBQ8" s="87"/>
      <c r="UBR8" s="87"/>
      <c r="UBS8" s="87"/>
      <c r="UBT8" s="87"/>
      <c r="UBU8" s="87"/>
      <c r="UBV8" s="87"/>
      <c r="UBW8" s="87"/>
      <c r="UBX8" s="87"/>
      <c r="UBY8" s="87"/>
      <c r="UBZ8" s="87"/>
      <c r="UCA8" s="87"/>
      <c r="UCB8" s="87"/>
      <c r="UCC8" s="87"/>
      <c r="UCD8" s="87"/>
      <c r="UCE8" s="87"/>
      <c r="UCF8" s="87"/>
      <c r="UCG8" s="87"/>
      <c r="UCH8" s="87"/>
      <c r="UCI8" s="87"/>
      <c r="UCJ8" s="87"/>
      <c r="UCK8" s="87"/>
      <c r="UCL8" s="87"/>
      <c r="UCM8" s="87"/>
      <c r="UCN8" s="87"/>
      <c r="UCO8" s="87"/>
      <c r="UCP8" s="87"/>
      <c r="UCQ8" s="87"/>
      <c r="UCR8" s="87"/>
      <c r="UCS8" s="87"/>
      <c r="UCT8" s="87"/>
      <c r="UCU8" s="87"/>
      <c r="UCV8" s="87"/>
      <c r="UCW8" s="87"/>
      <c r="UCX8" s="87"/>
      <c r="UCY8" s="87"/>
      <c r="UCZ8" s="87"/>
      <c r="UDA8" s="87"/>
      <c r="UDB8" s="87"/>
      <c r="UDC8" s="87"/>
      <c r="UDD8" s="87"/>
      <c r="UDE8" s="87"/>
      <c r="UDF8" s="87"/>
      <c r="UDG8" s="87"/>
      <c r="UDH8" s="87"/>
      <c r="UDI8" s="87"/>
      <c r="UDJ8" s="87"/>
      <c r="UDK8" s="87"/>
      <c r="UDL8" s="87"/>
      <c r="UDM8" s="87"/>
      <c r="UDN8" s="87"/>
      <c r="UDO8" s="87"/>
      <c r="UDP8" s="87"/>
      <c r="UDQ8" s="87"/>
      <c r="UDR8" s="87"/>
      <c r="UDS8" s="87"/>
      <c r="UDT8" s="87"/>
      <c r="UDU8" s="87"/>
      <c r="UDV8" s="87"/>
      <c r="UDW8" s="87"/>
      <c r="UDX8" s="87"/>
      <c r="UDY8" s="87"/>
      <c r="UDZ8" s="87"/>
      <c r="UEA8" s="87"/>
      <c r="UEB8" s="87"/>
      <c r="UEC8" s="87"/>
      <c r="UED8" s="87"/>
      <c r="UEE8" s="87"/>
      <c r="UEF8" s="87"/>
      <c r="UEG8" s="87"/>
      <c r="UEH8" s="87"/>
      <c r="UEI8" s="87"/>
      <c r="UEJ8" s="87"/>
      <c r="UEK8" s="87"/>
      <c r="UEL8" s="87"/>
      <c r="UEM8" s="87"/>
      <c r="UEN8" s="87"/>
      <c r="UEO8" s="87"/>
      <c r="UEP8" s="87"/>
      <c r="UEQ8" s="87"/>
      <c r="UER8" s="87"/>
      <c r="UES8" s="87"/>
      <c r="UET8" s="87"/>
      <c r="UEU8" s="87"/>
      <c r="UEV8" s="87"/>
      <c r="UEW8" s="87"/>
      <c r="UEX8" s="87"/>
      <c r="UEY8" s="87"/>
      <c r="UEZ8" s="87"/>
      <c r="UFA8" s="87"/>
      <c r="UFB8" s="87"/>
      <c r="UFC8" s="87"/>
      <c r="UFD8" s="87"/>
      <c r="UFE8" s="87"/>
      <c r="UFF8" s="87"/>
      <c r="UFG8" s="87"/>
      <c r="UFH8" s="87"/>
      <c r="UFI8" s="87"/>
      <c r="UFJ8" s="87"/>
      <c r="UFK8" s="87"/>
      <c r="UFL8" s="87"/>
      <c r="UFM8" s="87"/>
      <c r="UFN8" s="87"/>
      <c r="UFO8" s="87"/>
      <c r="UFP8" s="87"/>
      <c r="UFQ8" s="87"/>
      <c r="UFR8" s="87"/>
      <c r="UFS8" s="87"/>
      <c r="UFT8" s="87"/>
      <c r="UFU8" s="87"/>
      <c r="UFV8" s="87"/>
      <c r="UFW8" s="87"/>
      <c r="UFX8" s="87"/>
      <c r="UFY8" s="87"/>
      <c r="UFZ8" s="87"/>
      <c r="UGA8" s="87"/>
      <c r="UGB8" s="87"/>
      <c r="UGC8" s="87"/>
      <c r="UGD8" s="87"/>
      <c r="UGE8" s="87"/>
      <c r="UGF8" s="87"/>
      <c r="UGG8" s="87"/>
      <c r="UGH8" s="87"/>
      <c r="UGI8" s="87"/>
      <c r="UGJ8" s="87"/>
      <c r="UGK8" s="87"/>
      <c r="UGL8" s="87"/>
      <c r="UGM8" s="87"/>
      <c r="UGN8" s="87"/>
      <c r="UGO8" s="87"/>
      <c r="UGP8" s="87"/>
      <c r="UGQ8" s="87"/>
      <c r="UGR8" s="87"/>
      <c r="UGS8" s="87"/>
      <c r="UGT8" s="87"/>
      <c r="UGU8" s="87"/>
      <c r="UGV8" s="87"/>
      <c r="UGW8" s="87"/>
      <c r="UGX8" s="87"/>
      <c r="UGY8" s="87"/>
      <c r="UGZ8" s="87"/>
      <c r="UHA8" s="87"/>
      <c r="UHB8" s="87"/>
      <c r="UHC8" s="87"/>
      <c r="UHD8" s="87"/>
      <c r="UHE8" s="87"/>
      <c r="UHF8" s="87"/>
      <c r="UHG8" s="87"/>
      <c r="UHH8" s="87"/>
      <c r="UHI8" s="87"/>
      <c r="UHJ8" s="87"/>
      <c r="UHK8" s="87"/>
      <c r="UHL8" s="87"/>
      <c r="UHM8" s="87"/>
      <c r="UHN8" s="87"/>
      <c r="UHO8" s="87"/>
      <c r="UHP8" s="87"/>
      <c r="UHQ8" s="87"/>
      <c r="UHR8" s="87"/>
      <c r="UHS8" s="87"/>
      <c r="UHT8" s="87"/>
      <c r="UHU8" s="87"/>
      <c r="UHV8" s="87"/>
      <c r="UHW8" s="87"/>
      <c r="UHX8" s="87"/>
      <c r="UHY8" s="87"/>
      <c r="UHZ8" s="87"/>
      <c r="UIA8" s="87"/>
      <c r="UIB8" s="87"/>
      <c r="UIC8" s="87"/>
      <c r="UID8" s="87"/>
      <c r="UIE8" s="87"/>
      <c r="UIF8" s="87"/>
      <c r="UIG8" s="87"/>
      <c r="UIH8" s="87"/>
      <c r="UII8" s="87"/>
      <c r="UIJ8" s="87"/>
      <c r="UIK8" s="87"/>
      <c r="UIL8" s="87"/>
      <c r="UIM8" s="87"/>
      <c r="UIN8" s="87"/>
      <c r="UIO8" s="87"/>
      <c r="UIP8" s="87"/>
      <c r="UIQ8" s="87"/>
      <c r="UIR8" s="87"/>
      <c r="UIS8" s="87"/>
      <c r="UIT8" s="87"/>
      <c r="UIU8" s="87"/>
      <c r="UIV8" s="87"/>
      <c r="UIW8" s="87"/>
      <c r="UIX8" s="87"/>
      <c r="UIY8" s="87"/>
      <c r="UIZ8" s="87"/>
      <c r="UJA8" s="87"/>
      <c r="UJB8" s="87"/>
      <c r="UJC8" s="87"/>
      <c r="UJD8" s="87"/>
      <c r="UJE8" s="87"/>
      <c r="UJF8" s="87"/>
      <c r="UJG8" s="87"/>
      <c r="UJH8" s="87"/>
      <c r="UJI8" s="87"/>
      <c r="UJJ8" s="87"/>
      <c r="UJK8" s="87"/>
      <c r="UJL8" s="87"/>
      <c r="UJM8" s="87"/>
      <c r="UJN8" s="87"/>
      <c r="UJO8" s="87"/>
      <c r="UJP8" s="87"/>
      <c r="UJQ8" s="87"/>
      <c r="UJR8" s="87"/>
      <c r="UJS8" s="87"/>
      <c r="UJT8" s="87"/>
      <c r="UJU8" s="87"/>
      <c r="UJV8" s="87"/>
      <c r="UJW8" s="87"/>
      <c r="UJX8" s="87"/>
      <c r="UJY8" s="87"/>
      <c r="UJZ8" s="87"/>
      <c r="UKA8" s="87"/>
      <c r="UKB8" s="87"/>
      <c r="UKC8" s="87"/>
      <c r="UKD8" s="87"/>
      <c r="UKE8" s="87"/>
      <c r="UKF8" s="87"/>
      <c r="UKG8" s="87"/>
      <c r="UKH8" s="87"/>
      <c r="UKI8" s="87"/>
      <c r="UKJ8" s="87"/>
      <c r="UKK8" s="87"/>
      <c r="UKL8" s="87"/>
      <c r="UKM8" s="87"/>
      <c r="UKN8" s="87"/>
      <c r="UKO8" s="87"/>
      <c r="UKP8" s="87"/>
      <c r="UKQ8" s="87"/>
      <c r="UKR8" s="87"/>
      <c r="UKS8" s="87"/>
      <c r="UKT8" s="87"/>
      <c r="UKU8" s="87"/>
      <c r="UKV8" s="87"/>
      <c r="UKW8" s="87"/>
      <c r="UKX8" s="87"/>
      <c r="UKY8" s="87"/>
      <c r="UKZ8" s="87"/>
      <c r="ULA8" s="87"/>
      <c r="ULB8" s="87"/>
      <c r="ULC8" s="87"/>
      <c r="ULD8" s="87"/>
      <c r="ULE8" s="87"/>
      <c r="ULF8" s="87"/>
      <c r="ULG8" s="87"/>
      <c r="ULH8" s="87"/>
      <c r="ULI8" s="87"/>
      <c r="ULJ8" s="87"/>
      <c r="ULK8" s="87"/>
      <c r="ULL8" s="87"/>
      <c r="ULM8" s="87"/>
      <c r="ULN8" s="87"/>
      <c r="ULO8" s="87"/>
      <c r="ULP8" s="87"/>
      <c r="ULQ8" s="87"/>
      <c r="ULR8" s="87"/>
      <c r="ULS8" s="87"/>
      <c r="ULT8" s="87"/>
      <c r="ULU8" s="87"/>
      <c r="ULV8" s="87"/>
      <c r="ULW8" s="87"/>
      <c r="ULX8" s="87"/>
      <c r="ULY8" s="87"/>
      <c r="ULZ8" s="87"/>
      <c r="UMA8" s="87"/>
      <c r="UMB8" s="87"/>
      <c r="UMC8" s="87"/>
      <c r="UMD8" s="87"/>
      <c r="UME8" s="87"/>
      <c r="UMF8" s="87"/>
      <c r="UMG8" s="87"/>
      <c r="UMH8" s="87"/>
      <c r="UMI8" s="87"/>
      <c r="UMJ8" s="87"/>
      <c r="UMK8" s="87"/>
      <c r="UML8" s="87"/>
      <c r="UMM8" s="87"/>
      <c r="UMN8" s="87"/>
      <c r="UMO8" s="87"/>
      <c r="UMP8" s="87"/>
      <c r="UMQ8" s="87"/>
      <c r="UMR8" s="87"/>
      <c r="UMS8" s="87"/>
      <c r="UMT8" s="87"/>
      <c r="UMU8" s="87"/>
      <c r="UMV8" s="87"/>
      <c r="UMW8" s="87"/>
      <c r="UMX8" s="87"/>
      <c r="UMY8" s="87"/>
      <c r="UMZ8" s="87"/>
      <c r="UNA8" s="87"/>
      <c r="UNB8" s="87"/>
      <c r="UNC8" s="87"/>
      <c r="UND8" s="87"/>
      <c r="UNE8" s="87"/>
      <c r="UNF8" s="87"/>
      <c r="UNG8" s="87"/>
      <c r="UNH8" s="87"/>
      <c r="UNI8" s="87"/>
      <c r="UNJ8" s="87"/>
      <c r="UNK8" s="87"/>
      <c r="UNL8" s="87"/>
      <c r="UNM8" s="87"/>
      <c r="UNN8" s="87"/>
      <c r="UNO8" s="87"/>
      <c r="UNP8" s="87"/>
      <c r="UNQ8" s="87"/>
      <c r="UNR8" s="87"/>
      <c r="UNS8" s="87"/>
      <c r="UNT8" s="87"/>
      <c r="UNU8" s="87"/>
      <c r="UNV8" s="87"/>
      <c r="UNW8" s="87"/>
      <c r="UNX8" s="87"/>
      <c r="UNY8" s="87"/>
      <c r="UNZ8" s="87"/>
      <c r="UOA8" s="87"/>
      <c r="UOB8" s="87"/>
      <c r="UOC8" s="87"/>
      <c r="UOD8" s="87"/>
      <c r="UOE8" s="87"/>
      <c r="UOF8" s="87"/>
      <c r="UOG8" s="87"/>
      <c r="UOH8" s="87"/>
      <c r="UOI8" s="87"/>
      <c r="UOJ8" s="87"/>
      <c r="UOK8" s="87"/>
      <c r="UOL8" s="87"/>
      <c r="UOM8" s="87"/>
      <c r="UON8" s="87"/>
      <c r="UOO8" s="87"/>
      <c r="UOP8" s="87"/>
      <c r="UOQ8" s="87"/>
      <c r="UOR8" s="87"/>
      <c r="UOS8" s="87"/>
      <c r="UOT8" s="87"/>
      <c r="UOU8" s="87"/>
      <c r="UOV8" s="87"/>
      <c r="UOW8" s="87"/>
      <c r="UOX8" s="87"/>
      <c r="UOY8" s="87"/>
      <c r="UOZ8" s="87"/>
      <c r="UPA8" s="87"/>
      <c r="UPB8" s="87"/>
      <c r="UPC8" s="87"/>
      <c r="UPD8" s="87"/>
      <c r="UPE8" s="87"/>
      <c r="UPF8" s="87"/>
      <c r="UPG8" s="87"/>
      <c r="UPH8" s="87"/>
      <c r="UPI8" s="87"/>
      <c r="UPJ8" s="87"/>
      <c r="UPK8" s="87"/>
      <c r="UPL8" s="87"/>
      <c r="UPM8" s="87"/>
      <c r="UPN8" s="87"/>
      <c r="UPO8" s="87"/>
      <c r="UPP8" s="87"/>
      <c r="UPQ8" s="87"/>
      <c r="UPR8" s="87"/>
      <c r="UPS8" s="87"/>
      <c r="UPT8" s="87"/>
      <c r="UPU8" s="87"/>
      <c r="UPV8" s="87"/>
      <c r="UPW8" s="87"/>
      <c r="UPX8" s="87"/>
      <c r="UPY8" s="87"/>
      <c r="UPZ8" s="87"/>
      <c r="UQA8" s="87"/>
      <c r="UQB8" s="87"/>
      <c r="UQC8" s="87"/>
      <c r="UQD8" s="87"/>
      <c r="UQE8" s="87"/>
      <c r="UQF8" s="87"/>
      <c r="UQG8" s="87"/>
      <c r="UQH8" s="87"/>
      <c r="UQI8" s="87"/>
      <c r="UQJ8" s="87"/>
      <c r="UQK8" s="87"/>
      <c r="UQL8" s="87"/>
      <c r="UQM8" s="87"/>
      <c r="UQN8" s="87"/>
      <c r="UQO8" s="87"/>
      <c r="UQP8" s="87"/>
      <c r="UQQ8" s="87"/>
      <c r="UQR8" s="87"/>
      <c r="UQS8" s="87"/>
      <c r="UQT8" s="87"/>
      <c r="UQU8" s="87"/>
      <c r="UQV8" s="87"/>
      <c r="UQW8" s="87"/>
      <c r="UQX8" s="87"/>
      <c r="UQY8" s="87"/>
      <c r="UQZ8" s="87"/>
      <c r="URA8" s="87"/>
      <c r="URB8" s="87"/>
      <c r="URC8" s="87"/>
      <c r="URD8" s="87"/>
      <c r="URE8" s="87"/>
      <c r="URF8" s="87"/>
      <c r="URG8" s="87"/>
      <c r="URH8" s="87"/>
      <c r="URI8" s="87"/>
      <c r="URJ8" s="87"/>
      <c r="URK8" s="87"/>
      <c r="URL8" s="87"/>
      <c r="URM8" s="87"/>
      <c r="URN8" s="87"/>
      <c r="URO8" s="87"/>
      <c r="URP8" s="87"/>
      <c r="URQ8" s="87"/>
      <c r="URR8" s="87"/>
      <c r="URS8" s="87"/>
      <c r="URT8" s="87"/>
      <c r="URU8" s="87"/>
      <c r="URV8" s="87"/>
      <c r="URW8" s="87"/>
      <c r="URX8" s="87"/>
      <c r="URY8" s="87"/>
      <c r="URZ8" s="87"/>
      <c r="USA8" s="87"/>
      <c r="USB8" s="87"/>
      <c r="USC8" s="87"/>
      <c r="USD8" s="87"/>
      <c r="USE8" s="87"/>
      <c r="USF8" s="87"/>
      <c r="USG8" s="87"/>
      <c r="USH8" s="87"/>
      <c r="USI8" s="87"/>
      <c r="USJ8" s="87"/>
      <c r="USK8" s="87"/>
      <c r="USL8" s="87"/>
      <c r="USM8" s="87"/>
      <c r="USN8" s="87"/>
      <c r="USO8" s="87"/>
      <c r="USP8" s="87"/>
      <c r="USQ8" s="87"/>
      <c r="USR8" s="87"/>
      <c r="USS8" s="87"/>
      <c r="UST8" s="87"/>
      <c r="USU8" s="87"/>
      <c r="USV8" s="87"/>
      <c r="USW8" s="87"/>
      <c r="USX8" s="87"/>
      <c r="USY8" s="87"/>
      <c r="USZ8" s="87"/>
      <c r="UTA8" s="87"/>
      <c r="UTB8" s="87"/>
      <c r="UTC8" s="87"/>
      <c r="UTD8" s="87"/>
      <c r="UTE8" s="87"/>
      <c r="UTF8" s="87"/>
      <c r="UTG8" s="87"/>
      <c r="UTH8" s="87"/>
      <c r="UTI8" s="87"/>
      <c r="UTJ8" s="87"/>
      <c r="UTK8" s="87"/>
      <c r="UTL8" s="87"/>
      <c r="UTM8" s="87"/>
      <c r="UTN8" s="87"/>
      <c r="UTO8" s="87"/>
      <c r="UTP8" s="87"/>
      <c r="UTQ8" s="87"/>
      <c r="UTR8" s="87"/>
      <c r="UTS8" s="87"/>
      <c r="UTT8" s="87"/>
      <c r="UTU8" s="87"/>
      <c r="UTV8" s="87"/>
      <c r="UTW8" s="87"/>
      <c r="UTX8" s="87"/>
      <c r="UTY8" s="87"/>
      <c r="UTZ8" s="87"/>
      <c r="UUA8" s="87"/>
      <c r="UUB8" s="87"/>
      <c r="UUC8" s="87"/>
      <c r="UUD8" s="87"/>
      <c r="UUE8" s="87"/>
      <c r="UUF8" s="87"/>
      <c r="UUG8" s="87"/>
      <c r="UUH8" s="87"/>
      <c r="UUI8" s="87"/>
      <c r="UUJ8" s="87"/>
      <c r="UUK8" s="87"/>
      <c r="UUL8" s="87"/>
      <c r="UUM8" s="87"/>
      <c r="UUN8" s="87"/>
      <c r="UUO8" s="87"/>
      <c r="UUP8" s="87"/>
      <c r="UUQ8" s="87"/>
      <c r="UUR8" s="87"/>
      <c r="UUS8" s="87"/>
      <c r="UUT8" s="87"/>
      <c r="UUU8" s="87"/>
      <c r="UUV8" s="87"/>
      <c r="UUW8" s="87"/>
      <c r="UUX8" s="87"/>
      <c r="UUY8" s="87"/>
      <c r="UUZ8" s="87"/>
      <c r="UVA8" s="87"/>
      <c r="UVB8" s="87"/>
      <c r="UVC8" s="87"/>
      <c r="UVD8" s="87"/>
      <c r="UVE8" s="87"/>
      <c r="UVF8" s="87"/>
      <c r="UVG8" s="87"/>
      <c r="UVH8" s="87"/>
      <c r="UVI8" s="87"/>
      <c r="UVJ8" s="87"/>
      <c r="UVK8" s="87"/>
      <c r="UVL8" s="87"/>
      <c r="UVM8" s="87"/>
      <c r="UVN8" s="87"/>
      <c r="UVO8" s="87"/>
      <c r="UVP8" s="87"/>
      <c r="UVQ8" s="87"/>
      <c r="UVR8" s="87"/>
      <c r="UVS8" s="87"/>
      <c r="UVT8" s="87"/>
      <c r="UVU8" s="87"/>
      <c r="UVV8" s="87"/>
      <c r="UVW8" s="87"/>
      <c r="UVX8" s="87"/>
      <c r="UVY8" s="87"/>
      <c r="UVZ8" s="87"/>
      <c r="UWA8" s="87"/>
      <c r="UWB8" s="87"/>
      <c r="UWC8" s="87"/>
      <c r="UWD8" s="87"/>
      <c r="UWE8" s="87"/>
      <c r="UWF8" s="87"/>
      <c r="UWG8" s="87"/>
      <c r="UWH8" s="87"/>
      <c r="UWI8" s="87"/>
      <c r="UWJ8" s="87"/>
      <c r="UWK8" s="87"/>
      <c r="UWL8" s="87"/>
      <c r="UWM8" s="87"/>
      <c r="UWN8" s="87"/>
      <c r="UWO8" s="87"/>
      <c r="UWP8" s="87"/>
      <c r="UWQ8" s="87"/>
      <c r="UWR8" s="87"/>
      <c r="UWS8" s="87"/>
      <c r="UWT8" s="87"/>
      <c r="UWU8" s="87"/>
      <c r="UWV8" s="87"/>
      <c r="UWW8" s="87"/>
      <c r="UWX8" s="87"/>
      <c r="UWY8" s="87"/>
      <c r="UWZ8" s="87"/>
      <c r="UXA8" s="87"/>
      <c r="UXB8" s="87"/>
      <c r="UXC8" s="87"/>
      <c r="UXD8" s="87"/>
      <c r="UXE8" s="87"/>
      <c r="UXF8" s="87"/>
      <c r="UXG8" s="87"/>
      <c r="UXH8" s="87"/>
      <c r="UXI8" s="87"/>
      <c r="UXJ8" s="87"/>
      <c r="UXK8" s="87"/>
      <c r="UXL8" s="87"/>
      <c r="UXM8" s="87"/>
      <c r="UXN8" s="87"/>
      <c r="UXO8" s="87"/>
      <c r="UXP8" s="87"/>
      <c r="UXQ8" s="87"/>
      <c r="UXR8" s="87"/>
      <c r="UXS8" s="87"/>
      <c r="UXT8" s="87"/>
      <c r="UXU8" s="87"/>
      <c r="UXV8" s="87"/>
      <c r="UXW8" s="87"/>
      <c r="UXX8" s="87"/>
      <c r="UXY8" s="87"/>
      <c r="UXZ8" s="87"/>
      <c r="UYA8" s="87"/>
      <c r="UYB8" s="87"/>
      <c r="UYC8" s="87"/>
      <c r="UYD8" s="87"/>
      <c r="UYE8" s="87"/>
      <c r="UYF8" s="87"/>
      <c r="UYG8" s="87"/>
      <c r="UYH8" s="87"/>
      <c r="UYI8" s="87"/>
      <c r="UYJ8" s="87"/>
      <c r="UYK8" s="87"/>
      <c r="UYL8" s="87"/>
      <c r="UYM8" s="87"/>
      <c r="UYN8" s="87"/>
      <c r="UYO8" s="87"/>
      <c r="UYP8" s="87"/>
      <c r="UYQ8" s="87"/>
      <c r="UYR8" s="87"/>
      <c r="UYS8" s="87"/>
      <c r="UYT8" s="87"/>
      <c r="UYU8" s="87"/>
      <c r="UYV8" s="87"/>
      <c r="UYW8" s="87"/>
      <c r="UYX8" s="87"/>
      <c r="UYY8" s="87"/>
      <c r="UYZ8" s="87"/>
      <c r="UZA8" s="87"/>
      <c r="UZB8" s="87"/>
      <c r="UZC8" s="87"/>
      <c r="UZD8" s="87"/>
      <c r="UZE8" s="87"/>
      <c r="UZF8" s="87"/>
      <c r="UZG8" s="87"/>
      <c r="UZH8" s="87"/>
      <c r="UZI8" s="87"/>
      <c r="UZJ8" s="87"/>
      <c r="UZK8" s="87"/>
      <c r="UZL8" s="87"/>
      <c r="UZM8" s="87"/>
      <c r="UZN8" s="87"/>
      <c r="UZO8" s="87"/>
      <c r="UZP8" s="87"/>
      <c r="UZQ8" s="87"/>
      <c r="UZR8" s="87"/>
      <c r="UZS8" s="87"/>
      <c r="UZT8" s="87"/>
      <c r="UZU8" s="87"/>
      <c r="UZV8" s="87"/>
      <c r="UZW8" s="87"/>
      <c r="UZX8" s="87"/>
      <c r="UZY8" s="87"/>
      <c r="UZZ8" s="87"/>
      <c r="VAA8" s="87"/>
      <c r="VAB8" s="87"/>
      <c r="VAC8" s="87"/>
      <c r="VAD8" s="87"/>
      <c r="VAE8" s="87"/>
      <c r="VAF8" s="87"/>
      <c r="VAG8" s="87"/>
      <c r="VAH8" s="87"/>
      <c r="VAI8" s="87"/>
      <c r="VAJ8" s="87"/>
      <c r="VAK8" s="87"/>
      <c r="VAL8" s="87"/>
      <c r="VAM8" s="87"/>
      <c r="VAN8" s="87"/>
      <c r="VAO8" s="87"/>
      <c r="VAP8" s="87"/>
      <c r="VAQ8" s="87"/>
      <c r="VAR8" s="87"/>
      <c r="VAS8" s="87"/>
      <c r="VAT8" s="87"/>
      <c r="VAU8" s="87"/>
      <c r="VAV8" s="87"/>
      <c r="VAW8" s="87"/>
      <c r="VAX8" s="87"/>
      <c r="VAY8" s="87"/>
      <c r="VAZ8" s="87"/>
      <c r="VBA8" s="87"/>
      <c r="VBB8" s="87"/>
      <c r="VBC8" s="87"/>
      <c r="VBD8" s="87"/>
      <c r="VBE8" s="87"/>
      <c r="VBF8" s="87"/>
      <c r="VBG8" s="87"/>
      <c r="VBH8" s="87"/>
      <c r="VBI8" s="87"/>
      <c r="VBJ8" s="87"/>
      <c r="VBK8" s="87"/>
      <c r="VBL8" s="87"/>
      <c r="VBM8" s="87"/>
      <c r="VBN8" s="87"/>
      <c r="VBO8" s="87"/>
      <c r="VBP8" s="87"/>
      <c r="VBQ8" s="87"/>
      <c r="VBR8" s="87"/>
      <c r="VBS8" s="87"/>
      <c r="VBT8" s="87"/>
      <c r="VBU8" s="87"/>
      <c r="VBV8" s="87"/>
      <c r="VBW8" s="87"/>
      <c r="VBX8" s="87"/>
      <c r="VBY8" s="87"/>
      <c r="VBZ8" s="87"/>
      <c r="VCA8" s="87"/>
      <c r="VCB8" s="87"/>
      <c r="VCC8" s="87"/>
      <c r="VCD8" s="87"/>
      <c r="VCE8" s="87"/>
      <c r="VCF8" s="87"/>
      <c r="VCG8" s="87"/>
      <c r="VCH8" s="87"/>
      <c r="VCI8" s="87"/>
      <c r="VCJ8" s="87"/>
      <c r="VCK8" s="87"/>
      <c r="VCL8" s="87"/>
      <c r="VCM8" s="87"/>
      <c r="VCN8" s="87"/>
      <c r="VCO8" s="87"/>
      <c r="VCP8" s="87"/>
      <c r="VCQ8" s="87"/>
      <c r="VCR8" s="87"/>
      <c r="VCS8" s="87"/>
      <c r="VCT8" s="87"/>
      <c r="VCU8" s="87"/>
      <c r="VCV8" s="87"/>
      <c r="VCW8" s="87"/>
      <c r="VCX8" s="87"/>
      <c r="VCY8" s="87"/>
      <c r="VCZ8" s="87"/>
      <c r="VDA8" s="87"/>
      <c r="VDB8" s="87"/>
      <c r="VDC8" s="87"/>
      <c r="VDD8" s="87"/>
      <c r="VDE8" s="87"/>
      <c r="VDF8" s="87"/>
      <c r="VDG8" s="87"/>
      <c r="VDH8" s="87"/>
      <c r="VDI8" s="87"/>
      <c r="VDJ8" s="87"/>
      <c r="VDK8" s="87"/>
      <c r="VDL8" s="87"/>
      <c r="VDM8" s="87"/>
      <c r="VDN8" s="87"/>
      <c r="VDO8" s="87"/>
      <c r="VDP8" s="87"/>
      <c r="VDQ8" s="87"/>
      <c r="VDR8" s="87"/>
      <c r="VDS8" s="87"/>
      <c r="VDT8" s="87"/>
      <c r="VDU8" s="87"/>
      <c r="VDV8" s="87"/>
      <c r="VDW8" s="87"/>
      <c r="VDX8" s="87"/>
      <c r="VDY8" s="87"/>
      <c r="VDZ8" s="87"/>
      <c r="VEA8" s="87"/>
      <c r="VEB8" s="87"/>
      <c r="VEC8" s="87"/>
      <c r="VED8" s="87"/>
      <c r="VEE8" s="87"/>
      <c r="VEF8" s="87"/>
      <c r="VEG8" s="87"/>
      <c r="VEH8" s="87"/>
      <c r="VEI8" s="87"/>
      <c r="VEJ8" s="87"/>
      <c r="VEK8" s="87"/>
      <c r="VEL8" s="87"/>
      <c r="VEM8" s="87"/>
      <c r="VEN8" s="87"/>
      <c r="VEO8" s="87"/>
      <c r="VEP8" s="87"/>
      <c r="VEQ8" s="87"/>
      <c r="VER8" s="87"/>
      <c r="VES8" s="87"/>
      <c r="VET8" s="87"/>
      <c r="VEU8" s="87"/>
      <c r="VEV8" s="87"/>
      <c r="VEW8" s="87"/>
      <c r="VEX8" s="87"/>
      <c r="VEY8" s="87"/>
      <c r="VEZ8" s="87"/>
      <c r="VFA8" s="87"/>
      <c r="VFB8" s="87"/>
      <c r="VFC8" s="87"/>
      <c r="VFD8" s="87"/>
      <c r="VFE8" s="87"/>
      <c r="VFF8" s="87"/>
      <c r="VFG8" s="87"/>
      <c r="VFH8" s="87"/>
      <c r="VFI8" s="87"/>
      <c r="VFJ8" s="87"/>
      <c r="VFK8" s="87"/>
      <c r="VFL8" s="87"/>
      <c r="VFM8" s="87"/>
      <c r="VFN8" s="87"/>
      <c r="VFO8" s="87"/>
      <c r="VFP8" s="87"/>
      <c r="VFQ8" s="87"/>
      <c r="VFR8" s="87"/>
      <c r="VFS8" s="87"/>
      <c r="VFT8" s="87"/>
      <c r="VFU8" s="87"/>
      <c r="VFV8" s="87"/>
      <c r="VFW8" s="87"/>
      <c r="VFX8" s="87"/>
      <c r="VFY8" s="87"/>
      <c r="VFZ8" s="87"/>
      <c r="VGA8" s="87"/>
      <c r="VGB8" s="87"/>
      <c r="VGC8" s="87"/>
      <c r="VGD8" s="87"/>
      <c r="VGE8" s="87"/>
      <c r="VGF8" s="87"/>
      <c r="VGG8" s="87"/>
      <c r="VGH8" s="87"/>
      <c r="VGI8" s="87"/>
      <c r="VGJ8" s="87"/>
      <c r="VGK8" s="87"/>
      <c r="VGL8" s="87"/>
      <c r="VGM8" s="87"/>
      <c r="VGN8" s="87"/>
      <c r="VGO8" s="87"/>
      <c r="VGP8" s="87"/>
      <c r="VGQ8" s="87"/>
      <c r="VGR8" s="87"/>
      <c r="VGS8" s="87"/>
      <c r="VGT8" s="87"/>
      <c r="VGU8" s="87"/>
      <c r="VGV8" s="87"/>
      <c r="VGW8" s="87"/>
      <c r="VGX8" s="87"/>
      <c r="VGY8" s="87"/>
      <c r="VGZ8" s="87"/>
      <c r="VHA8" s="87"/>
      <c r="VHB8" s="87"/>
      <c r="VHC8" s="87"/>
      <c r="VHD8" s="87"/>
      <c r="VHE8" s="87"/>
      <c r="VHF8" s="87"/>
      <c r="VHG8" s="87"/>
      <c r="VHH8" s="87"/>
      <c r="VHI8" s="87"/>
      <c r="VHJ8" s="87"/>
      <c r="VHK8" s="87"/>
      <c r="VHL8" s="87"/>
      <c r="VHM8" s="87"/>
      <c r="VHN8" s="87"/>
      <c r="VHO8" s="87"/>
      <c r="VHP8" s="87"/>
      <c r="VHQ8" s="87"/>
      <c r="VHR8" s="87"/>
      <c r="VHS8" s="87"/>
      <c r="VHT8" s="87"/>
      <c r="VHU8" s="87"/>
      <c r="VHV8" s="87"/>
      <c r="VHW8" s="87"/>
      <c r="VHX8" s="87"/>
      <c r="VHY8" s="87"/>
      <c r="VHZ8" s="87"/>
      <c r="VIA8" s="87"/>
      <c r="VIB8" s="87"/>
      <c r="VIC8" s="87"/>
      <c r="VID8" s="87"/>
      <c r="VIE8" s="87"/>
      <c r="VIF8" s="87"/>
      <c r="VIG8" s="87"/>
      <c r="VIH8" s="87"/>
      <c r="VII8" s="87"/>
      <c r="VIJ8" s="87"/>
      <c r="VIK8" s="87"/>
      <c r="VIL8" s="87"/>
      <c r="VIM8" s="87"/>
      <c r="VIN8" s="87"/>
      <c r="VIO8" s="87"/>
      <c r="VIP8" s="87"/>
      <c r="VIQ8" s="87"/>
      <c r="VIR8" s="87"/>
      <c r="VIS8" s="87"/>
      <c r="VIT8" s="87"/>
      <c r="VIU8" s="87"/>
      <c r="VIV8" s="87"/>
      <c r="VIW8" s="87"/>
      <c r="VIX8" s="87"/>
      <c r="VIY8" s="87"/>
      <c r="VIZ8" s="87"/>
      <c r="VJA8" s="87"/>
      <c r="VJB8" s="87"/>
      <c r="VJC8" s="87"/>
      <c r="VJD8" s="87"/>
      <c r="VJE8" s="87"/>
      <c r="VJF8" s="87"/>
      <c r="VJG8" s="87"/>
      <c r="VJH8" s="87"/>
      <c r="VJI8" s="87"/>
      <c r="VJJ8" s="87"/>
      <c r="VJK8" s="87"/>
      <c r="VJL8" s="87"/>
      <c r="VJM8" s="87"/>
      <c r="VJN8" s="87"/>
      <c r="VJO8" s="87"/>
      <c r="VJP8" s="87"/>
      <c r="VJQ8" s="87"/>
      <c r="VJR8" s="87"/>
      <c r="VJS8" s="87"/>
      <c r="VJT8" s="87"/>
      <c r="VJU8" s="87"/>
      <c r="VJV8" s="87"/>
      <c r="VJW8" s="87"/>
      <c r="VJX8" s="87"/>
      <c r="VJY8" s="87"/>
      <c r="VJZ8" s="87"/>
      <c r="VKA8" s="87"/>
      <c r="VKB8" s="87"/>
      <c r="VKC8" s="87"/>
      <c r="VKD8" s="87"/>
      <c r="VKE8" s="87"/>
      <c r="VKF8" s="87"/>
      <c r="VKG8" s="87"/>
      <c r="VKH8" s="87"/>
      <c r="VKI8" s="87"/>
      <c r="VKJ8" s="87"/>
      <c r="VKK8" s="87"/>
      <c r="VKL8" s="87"/>
      <c r="VKM8" s="87"/>
      <c r="VKN8" s="87"/>
      <c r="VKO8" s="87"/>
      <c r="VKP8" s="87"/>
      <c r="VKQ8" s="87"/>
      <c r="VKR8" s="87"/>
      <c r="VKS8" s="87"/>
      <c r="VKT8" s="87"/>
      <c r="VKU8" s="87"/>
      <c r="VKV8" s="87"/>
      <c r="VKW8" s="87"/>
      <c r="VKX8" s="87"/>
      <c r="VKY8" s="87"/>
      <c r="VKZ8" s="87"/>
      <c r="VLA8" s="87"/>
      <c r="VLB8" s="87"/>
      <c r="VLC8" s="87"/>
      <c r="VLD8" s="87"/>
      <c r="VLE8" s="87"/>
      <c r="VLF8" s="87"/>
      <c r="VLG8" s="87"/>
      <c r="VLH8" s="87"/>
      <c r="VLI8" s="87"/>
      <c r="VLJ8" s="87"/>
      <c r="VLK8" s="87"/>
      <c r="VLL8" s="87"/>
      <c r="VLM8" s="87"/>
      <c r="VLN8" s="87"/>
      <c r="VLO8" s="87"/>
      <c r="VLP8" s="87"/>
      <c r="VLQ8" s="87"/>
      <c r="VLR8" s="87"/>
      <c r="VLS8" s="87"/>
      <c r="VLT8" s="87"/>
      <c r="VLU8" s="87"/>
      <c r="VLV8" s="87"/>
      <c r="VLW8" s="87"/>
      <c r="VLX8" s="87"/>
      <c r="VLY8" s="87"/>
      <c r="VLZ8" s="87"/>
      <c r="VMA8" s="87"/>
      <c r="VMB8" s="87"/>
      <c r="VMC8" s="87"/>
      <c r="VMD8" s="87"/>
      <c r="VME8" s="87"/>
      <c r="VMF8" s="87"/>
      <c r="VMG8" s="87"/>
      <c r="VMH8" s="87"/>
      <c r="VMI8" s="87"/>
      <c r="VMJ8" s="87"/>
      <c r="VMK8" s="87"/>
      <c r="VML8" s="87"/>
      <c r="VMM8" s="87"/>
      <c r="VMN8" s="87"/>
      <c r="VMO8" s="87"/>
      <c r="VMP8" s="87"/>
      <c r="VMQ8" s="87"/>
      <c r="VMR8" s="87"/>
      <c r="VMS8" s="87"/>
      <c r="VMT8" s="87"/>
      <c r="VMU8" s="87"/>
      <c r="VMV8" s="87"/>
      <c r="VMW8" s="87"/>
      <c r="VMX8" s="87"/>
      <c r="VMY8" s="87"/>
      <c r="VMZ8" s="87"/>
      <c r="VNA8" s="87"/>
      <c r="VNB8" s="87"/>
      <c r="VNC8" s="87"/>
      <c r="VND8" s="87"/>
      <c r="VNE8" s="87"/>
      <c r="VNF8" s="87"/>
      <c r="VNG8" s="87"/>
      <c r="VNH8" s="87"/>
      <c r="VNI8" s="87"/>
      <c r="VNJ8" s="87"/>
      <c r="VNK8" s="87"/>
      <c r="VNL8" s="87"/>
      <c r="VNM8" s="87"/>
      <c r="VNN8" s="87"/>
      <c r="VNO8" s="87"/>
      <c r="VNP8" s="87"/>
      <c r="VNQ8" s="87"/>
      <c r="VNR8" s="87"/>
      <c r="VNS8" s="87"/>
      <c r="VNT8" s="87"/>
      <c r="VNU8" s="87"/>
      <c r="VNV8" s="87"/>
      <c r="VNW8" s="87"/>
      <c r="VNX8" s="87"/>
      <c r="VNY8" s="87"/>
      <c r="VNZ8" s="87"/>
      <c r="VOA8" s="87"/>
      <c r="VOB8" s="87"/>
      <c r="VOC8" s="87"/>
      <c r="VOD8" s="87"/>
      <c r="VOE8" s="87"/>
      <c r="VOF8" s="87"/>
      <c r="VOG8" s="87"/>
      <c r="VOH8" s="87"/>
      <c r="VOI8" s="87"/>
      <c r="VOJ8" s="87"/>
      <c r="VOK8" s="87"/>
      <c r="VOL8" s="87"/>
      <c r="VOM8" s="87"/>
      <c r="VON8" s="87"/>
      <c r="VOO8" s="87"/>
      <c r="VOP8" s="87"/>
      <c r="VOQ8" s="87"/>
      <c r="VOR8" s="87"/>
      <c r="VOS8" s="87"/>
      <c r="VOT8" s="87"/>
      <c r="VOU8" s="87"/>
      <c r="VOV8" s="87"/>
      <c r="VOW8" s="87"/>
      <c r="VOX8" s="87"/>
      <c r="VOY8" s="87"/>
      <c r="VOZ8" s="87"/>
      <c r="VPA8" s="87"/>
      <c r="VPB8" s="87"/>
      <c r="VPC8" s="87"/>
      <c r="VPD8" s="87"/>
      <c r="VPE8" s="87"/>
      <c r="VPF8" s="87"/>
      <c r="VPG8" s="87"/>
      <c r="VPH8" s="87"/>
      <c r="VPI8" s="87"/>
      <c r="VPJ8" s="87"/>
      <c r="VPK8" s="87"/>
      <c r="VPL8" s="87"/>
      <c r="VPM8" s="87"/>
      <c r="VPN8" s="87"/>
      <c r="VPO8" s="87"/>
      <c r="VPP8" s="87"/>
      <c r="VPQ8" s="87"/>
      <c r="VPR8" s="87"/>
      <c r="VPS8" s="87"/>
      <c r="VPT8" s="87"/>
      <c r="VPU8" s="87"/>
      <c r="VPV8" s="87"/>
      <c r="VPW8" s="87"/>
      <c r="VPX8" s="87"/>
      <c r="VPY8" s="87"/>
      <c r="VPZ8" s="87"/>
      <c r="VQA8" s="87"/>
      <c r="VQB8" s="87"/>
      <c r="VQC8" s="87"/>
      <c r="VQD8" s="87"/>
      <c r="VQE8" s="87"/>
      <c r="VQF8" s="87"/>
      <c r="VQG8" s="87"/>
      <c r="VQH8" s="87"/>
      <c r="VQI8" s="87"/>
      <c r="VQJ8" s="87"/>
      <c r="VQK8" s="87"/>
      <c r="VQL8" s="87"/>
      <c r="VQM8" s="87"/>
      <c r="VQN8" s="87"/>
      <c r="VQO8" s="87"/>
      <c r="VQP8" s="87"/>
      <c r="VQQ8" s="87"/>
      <c r="VQR8" s="87"/>
      <c r="VQS8" s="87"/>
      <c r="VQT8" s="87"/>
      <c r="VQU8" s="87"/>
      <c r="VQV8" s="87"/>
      <c r="VQW8" s="87"/>
      <c r="VQX8" s="87"/>
      <c r="VQY8" s="87"/>
      <c r="VQZ8" s="87"/>
      <c r="VRA8" s="87"/>
      <c r="VRB8" s="87"/>
      <c r="VRC8" s="87"/>
      <c r="VRD8" s="87"/>
      <c r="VRE8" s="87"/>
      <c r="VRF8" s="87"/>
      <c r="VRG8" s="87"/>
      <c r="VRH8" s="87"/>
      <c r="VRI8" s="87"/>
      <c r="VRJ8" s="87"/>
      <c r="VRK8" s="87"/>
      <c r="VRL8" s="87"/>
      <c r="VRM8" s="87"/>
      <c r="VRN8" s="87"/>
      <c r="VRO8" s="87"/>
      <c r="VRP8" s="87"/>
      <c r="VRQ8" s="87"/>
      <c r="VRR8" s="87"/>
      <c r="VRS8" s="87"/>
      <c r="VRT8" s="87"/>
      <c r="VRU8" s="87"/>
      <c r="VRV8" s="87"/>
      <c r="VRW8" s="87"/>
      <c r="VRX8" s="87"/>
      <c r="VRY8" s="87"/>
      <c r="VRZ8" s="87"/>
      <c r="VSA8" s="87"/>
      <c r="VSB8" s="87"/>
      <c r="VSC8" s="87"/>
      <c r="VSD8" s="87"/>
      <c r="VSE8" s="87"/>
      <c r="VSF8" s="87"/>
      <c r="VSG8" s="87"/>
      <c r="VSH8" s="87"/>
      <c r="VSI8" s="87"/>
      <c r="VSJ8" s="87"/>
      <c r="VSK8" s="87"/>
      <c r="VSL8" s="87"/>
      <c r="VSM8" s="87"/>
      <c r="VSN8" s="87"/>
      <c r="VSO8" s="87"/>
      <c r="VSP8" s="87"/>
      <c r="VSQ8" s="87"/>
      <c r="VSR8" s="87"/>
      <c r="VSS8" s="87"/>
      <c r="VST8" s="87"/>
      <c r="VSU8" s="87"/>
      <c r="VSV8" s="87"/>
      <c r="VSW8" s="87"/>
      <c r="VSX8" s="87"/>
      <c r="VSY8" s="87"/>
      <c r="VSZ8" s="87"/>
      <c r="VTA8" s="87"/>
      <c r="VTB8" s="87"/>
      <c r="VTC8" s="87"/>
      <c r="VTD8" s="87"/>
      <c r="VTE8" s="87"/>
      <c r="VTF8" s="87"/>
      <c r="VTG8" s="87"/>
      <c r="VTH8" s="87"/>
      <c r="VTI8" s="87"/>
      <c r="VTJ8" s="87"/>
      <c r="VTK8" s="87"/>
      <c r="VTL8" s="87"/>
      <c r="VTM8" s="87"/>
      <c r="VTN8" s="87"/>
      <c r="VTO8" s="87"/>
      <c r="VTP8" s="87"/>
      <c r="VTQ8" s="87"/>
      <c r="VTR8" s="87"/>
      <c r="VTS8" s="87"/>
      <c r="VTT8" s="87"/>
      <c r="VTU8" s="87"/>
      <c r="VTV8" s="87"/>
      <c r="VTW8" s="87"/>
      <c r="VTX8" s="87"/>
      <c r="VTY8" s="87"/>
      <c r="VTZ8" s="87"/>
      <c r="VUA8" s="87"/>
      <c r="VUB8" s="87"/>
      <c r="VUC8" s="87"/>
      <c r="VUD8" s="87"/>
      <c r="VUE8" s="87"/>
      <c r="VUF8" s="87"/>
      <c r="VUG8" s="87"/>
      <c r="VUH8" s="87"/>
      <c r="VUI8" s="87"/>
      <c r="VUJ8" s="87"/>
      <c r="VUK8" s="87"/>
      <c r="VUL8" s="87"/>
      <c r="VUM8" s="87"/>
      <c r="VUN8" s="87"/>
      <c r="VUO8" s="87"/>
      <c r="VUP8" s="87"/>
      <c r="VUQ8" s="87"/>
      <c r="VUR8" s="87"/>
      <c r="VUS8" s="87"/>
      <c r="VUT8" s="87"/>
      <c r="VUU8" s="87"/>
      <c r="VUV8" s="87"/>
      <c r="VUW8" s="87"/>
      <c r="VUX8" s="87"/>
      <c r="VUY8" s="87"/>
      <c r="VUZ8" s="87"/>
      <c r="VVA8" s="87"/>
      <c r="VVB8" s="87"/>
      <c r="VVC8" s="87"/>
      <c r="VVD8" s="87"/>
      <c r="VVE8" s="87"/>
      <c r="VVF8" s="87"/>
      <c r="VVG8" s="87"/>
      <c r="VVH8" s="87"/>
      <c r="VVI8" s="87"/>
      <c r="VVJ8" s="87"/>
      <c r="VVK8" s="87"/>
      <c r="VVL8" s="87"/>
      <c r="VVM8" s="87"/>
      <c r="VVN8" s="87"/>
      <c r="VVO8" s="87"/>
      <c r="VVP8" s="87"/>
      <c r="VVQ8" s="87"/>
      <c r="VVR8" s="87"/>
      <c r="VVS8" s="87"/>
      <c r="VVT8" s="87"/>
      <c r="VVU8" s="87"/>
      <c r="VVV8" s="87"/>
      <c r="VVW8" s="87"/>
      <c r="VVX8" s="87"/>
      <c r="VVY8" s="87"/>
      <c r="VVZ8" s="87"/>
      <c r="VWA8" s="87"/>
      <c r="VWB8" s="87"/>
      <c r="VWC8" s="87"/>
      <c r="VWD8" s="87"/>
      <c r="VWE8" s="87"/>
      <c r="VWF8" s="87"/>
      <c r="VWG8" s="87"/>
      <c r="VWH8" s="87"/>
      <c r="VWI8" s="87"/>
      <c r="VWJ8" s="87"/>
      <c r="VWK8" s="87"/>
      <c r="VWL8" s="87"/>
      <c r="VWM8" s="87"/>
      <c r="VWN8" s="87"/>
      <c r="VWO8" s="87"/>
      <c r="VWP8" s="87"/>
      <c r="VWQ8" s="87"/>
      <c r="VWR8" s="87"/>
      <c r="VWS8" s="87"/>
      <c r="VWT8" s="87"/>
      <c r="VWU8" s="87"/>
      <c r="VWV8" s="87"/>
      <c r="VWW8" s="87"/>
      <c r="VWX8" s="87"/>
      <c r="VWY8" s="87"/>
      <c r="VWZ8" s="87"/>
      <c r="VXA8" s="87"/>
      <c r="VXB8" s="87"/>
      <c r="VXC8" s="87"/>
      <c r="VXD8" s="87"/>
      <c r="VXE8" s="87"/>
      <c r="VXF8" s="87"/>
      <c r="VXG8" s="87"/>
      <c r="VXH8" s="87"/>
      <c r="VXI8" s="87"/>
      <c r="VXJ8" s="87"/>
      <c r="VXK8" s="87"/>
      <c r="VXL8" s="87"/>
      <c r="VXM8" s="87"/>
      <c r="VXN8" s="87"/>
      <c r="VXO8" s="87"/>
      <c r="VXP8" s="87"/>
      <c r="VXQ8" s="87"/>
      <c r="VXR8" s="87"/>
      <c r="VXS8" s="87"/>
      <c r="VXT8" s="87"/>
      <c r="VXU8" s="87"/>
      <c r="VXV8" s="87"/>
      <c r="VXW8" s="87"/>
      <c r="VXX8" s="87"/>
      <c r="VXY8" s="87"/>
      <c r="VXZ8" s="87"/>
      <c r="VYA8" s="87"/>
      <c r="VYB8" s="87"/>
      <c r="VYC8" s="87"/>
      <c r="VYD8" s="87"/>
      <c r="VYE8" s="87"/>
      <c r="VYF8" s="87"/>
      <c r="VYG8" s="87"/>
      <c r="VYH8" s="87"/>
      <c r="VYI8" s="87"/>
      <c r="VYJ8" s="87"/>
      <c r="VYK8" s="87"/>
      <c r="VYL8" s="87"/>
      <c r="VYM8" s="87"/>
      <c r="VYN8" s="87"/>
      <c r="VYO8" s="87"/>
      <c r="VYP8" s="87"/>
      <c r="VYQ8" s="87"/>
      <c r="VYR8" s="87"/>
      <c r="VYS8" s="87"/>
      <c r="VYT8" s="87"/>
      <c r="VYU8" s="87"/>
      <c r="VYV8" s="87"/>
      <c r="VYW8" s="87"/>
      <c r="VYX8" s="87"/>
      <c r="VYY8" s="87"/>
      <c r="VYZ8" s="87"/>
      <c r="VZA8" s="87"/>
      <c r="VZB8" s="87"/>
      <c r="VZC8" s="87"/>
      <c r="VZD8" s="87"/>
      <c r="VZE8" s="87"/>
      <c r="VZF8" s="87"/>
      <c r="VZG8" s="87"/>
      <c r="VZH8" s="87"/>
      <c r="VZI8" s="87"/>
      <c r="VZJ8" s="87"/>
      <c r="VZK8" s="87"/>
      <c r="VZL8" s="87"/>
      <c r="VZM8" s="87"/>
      <c r="VZN8" s="87"/>
      <c r="VZO8" s="87"/>
      <c r="VZP8" s="87"/>
      <c r="VZQ8" s="87"/>
      <c r="VZR8" s="87"/>
      <c r="VZS8" s="87"/>
      <c r="VZT8" s="87"/>
      <c r="VZU8" s="87"/>
      <c r="VZV8" s="87"/>
      <c r="VZW8" s="87"/>
      <c r="VZX8" s="87"/>
      <c r="VZY8" s="87"/>
      <c r="VZZ8" s="87"/>
      <c r="WAA8" s="87"/>
      <c r="WAB8" s="87"/>
      <c r="WAC8" s="87"/>
      <c r="WAD8" s="87"/>
      <c r="WAE8" s="87"/>
      <c r="WAF8" s="87"/>
      <c r="WAG8" s="87"/>
      <c r="WAH8" s="87"/>
      <c r="WAI8" s="87"/>
      <c r="WAJ8" s="87"/>
      <c r="WAK8" s="87"/>
      <c r="WAL8" s="87"/>
      <c r="WAM8" s="87"/>
      <c r="WAN8" s="87"/>
      <c r="WAO8" s="87"/>
      <c r="WAP8" s="87"/>
      <c r="WAQ8" s="87"/>
      <c r="WAR8" s="87"/>
      <c r="WAS8" s="87"/>
      <c r="WAT8" s="87"/>
      <c r="WAU8" s="87"/>
      <c r="WAV8" s="87"/>
      <c r="WAW8" s="87"/>
      <c r="WAX8" s="87"/>
      <c r="WAY8" s="87"/>
      <c r="WAZ8" s="87"/>
      <c r="WBA8" s="87"/>
      <c r="WBB8" s="87"/>
      <c r="WBC8" s="87"/>
      <c r="WBD8" s="87"/>
      <c r="WBE8" s="87"/>
      <c r="WBF8" s="87"/>
      <c r="WBG8" s="87"/>
      <c r="WBH8" s="87"/>
      <c r="WBI8" s="87"/>
      <c r="WBJ8" s="87"/>
      <c r="WBK8" s="87"/>
      <c r="WBL8" s="87"/>
      <c r="WBM8" s="87"/>
      <c r="WBN8" s="87"/>
      <c r="WBO8" s="87"/>
      <c r="WBP8" s="87"/>
      <c r="WBQ8" s="87"/>
      <c r="WBR8" s="87"/>
      <c r="WBS8" s="87"/>
      <c r="WBT8" s="87"/>
      <c r="WBU8" s="87"/>
      <c r="WBV8" s="87"/>
      <c r="WBW8" s="87"/>
      <c r="WBX8" s="87"/>
      <c r="WBY8" s="87"/>
      <c r="WBZ8" s="87"/>
      <c r="WCA8" s="87"/>
      <c r="WCB8" s="87"/>
      <c r="WCC8" s="87"/>
      <c r="WCD8" s="87"/>
      <c r="WCE8" s="87"/>
      <c r="WCF8" s="87"/>
      <c r="WCG8" s="87"/>
      <c r="WCH8" s="87"/>
      <c r="WCI8" s="87"/>
      <c r="WCJ8" s="87"/>
      <c r="WCK8" s="87"/>
      <c r="WCL8" s="87"/>
      <c r="WCM8" s="87"/>
      <c r="WCN8" s="87"/>
      <c r="WCO8" s="87"/>
      <c r="WCP8" s="87"/>
      <c r="WCQ8" s="87"/>
      <c r="WCR8" s="87"/>
      <c r="WCS8" s="87"/>
      <c r="WCT8" s="87"/>
      <c r="WCU8" s="87"/>
      <c r="WCV8" s="87"/>
      <c r="WCW8" s="87"/>
      <c r="WCX8" s="87"/>
      <c r="WCY8" s="87"/>
      <c r="WCZ8" s="87"/>
      <c r="WDA8" s="87"/>
      <c r="WDB8" s="87"/>
      <c r="WDC8" s="87"/>
      <c r="WDD8" s="87"/>
      <c r="WDE8" s="87"/>
      <c r="WDF8" s="87"/>
      <c r="WDG8" s="87"/>
      <c r="WDH8" s="87"/>
      <c r="WDI8" s="87"/>
      <c r="WDJ8" s="87"/>
      <c r="WDK8" s="87"/>
      <c r="WDL8" s="87"/>
      <c r="WDM8" s="87"/>
      <c r="WDN8" s="87"/>
      <c r="WDO8" s="87"/>
      <c r="WDP8" s="87"/>
      <c r="WDQ8" s="87"/>
      <c r="WDR8" s="87"/>
      <c r="WDS8" s="87"/>
      <c r="WDT8" s="87"/>
      <c r="WDU8" s="87"/>
      <c r="WDV8" s="87"/>
      <c r="WDW8" s="87"/>
      <c r="WDX8" s="87"/>
      <c r="WDY8" s="87"/>
      <c r="WDZ8" s="87"/>
      <c r="WEA8" s="87"/>
      <c r="WEB8" s="87"/>
      <c r="WEC8" s="87"/>
      <c r="WED8" s="87"/>
      <c r="WEE8" s="87"/>
      <c r="WEF8" s="87"/>
      <c r="WEG8" s="87"/>
      <c r="WEH8" s="87"/>
      <c r="WEI8" s="87"/>
      <c r="WEJ8" s="87"/>
      <c r="WEK8" s="87"/>
      <c r="WEL8" s="87"/>
      <c r="WEM8" s="87"/>
      <c r="WEN8" s="87"/>
      <c r="WEO8" s="87"/>
      <c r="WEP8" s="87"/>
      <c r="WEQ8" s="87"/>
      <c r="WER8" s="87"/>
      <c r="WES8" s="87"/>
      <c r="WET8" s="87"/>
      <c r="WEU8" s="87"/>
      <c r="WEV8" s="87"/>
      <c r="WEW8" s="87"/>
      <c r="WEX8" s="87"/>
      <c r="WEY8" s="87"/>
      <c r="WEZ8" s="87"/>
      <c r="WFA8" s="87"/>
      <c r="WFB8" s="87"/>
      <c r="WFC8" s="87"/>
      <c r="WFD8" s="87"/>
      <c r="WFE8" s="87"/>
      <c r="WFF8" s="87"/>
      <c r="WFG8" s="87"/>
      <c r="WFH8" s="87"/>
      <c r="WFI8" s="87"/>
      <c r="WFJ8" s="87"/>
      <c r="WFK8" s="87"/>
      <c r="WFL8" s="87"/>
      <c r="WFM8" s="87"/>
      <c r="WFN8" s="87"/>
      <c r="WFO8" s="87"/>
      <c r="WFP8" s="87"/>
      <c r="WFQ8" s="87"/>
      <c r="WFR8" s="87"/>
      <c r="WFS8" s="87"/>
      <c r="WFT8" s="87"/>
      <c r="WFU8" s="87"/>
      <c r="WFV8" s="87"/>
      <c r="WFW8" s="87"/>
      <c r="WFX8" s="87"/>
      <c r="WFY8" s="87"/>
      <c r="WFZ8" s="87"/>
      <c r="WGA8" s="87"/>
      <c r="WGB8" s="87"/>
      <c r="WGC8" s="87"/>
      <c r="WGD8" s="87"/>
      <c r="WGE8" s="87"/>
      <c r="WGF8" s="87"/>
      <c r="WGG8" s="87"/>
      <c r="WGH8" s="87"/>
      <c r="WGI8" s="87"/>
      <c r="WGJ8" s="87"/>
      <c r="WGK8" s="87"/>
      <c r="WGL8" s="87"/>
      <c r="WGM8" s="87"/>
      <c r="WGN8" s="87"/>
      <c r="WGO8" s="87"/>
      <c r="WGP8" s="87"/>
      <c r="WGQ8" s="87"/>
      <c r="WGR8" s="87"/>
      <c r="WGS8" s="87"/>
      <c r="WGT8" s="87"/>
      <c r="WGU8" s="87"/>
      <c r="WGV8" s="87"/>
      <c r="WGW8" s="87"/>
      <c r="WGX8" s="87"/>
      <c r="WGY8" s="87"/>
      <c r="WGZ8" s="87"/>
      <c r="WHA8" s="87"/>
      <c r="WHB8" s="87"/>
      <c r="WHC8" s="87"/>
      <c r="WHD8" s="87"/>
      <c r="WHE8" s="87"/>
      <c r="WHF8" s="87"/>
      <c r="WHG8" s="87"/>
      <c r="WHH8" s="87"/>
      <c r="WHI8" s="87"/>
      <c r="WHJ8" s="87"/>
      <c r="WHK8" s="87"/>
      <c r="WHL8" s="87"/>
      <c r="WHM8" s="87"/>
      <c r="WHN8" s="87"/>
      <c r="WHO8" s="87"/>
      <c r="WHP8" s="87"/>
      <c r="WHQ8" s="87"/>
      <c r="WHR8" s="87"/>
      <c r="WHS8" s="87"/>
      <c r="WHT8" s="87"/>
      <c r="WHU8" s="87"/>
      <c r="WHV8" s="87"/>
      <c r="WHW8" s="87"/>
      <c r="WHX8" s="87"/>
      <c r="WHY8" s="87"/>
      <c r="WHZ8" s="87"/>
      <c r="WIA8" s="87"/>
      <c r="WIB8" s="87"/>
      <c r="WIC8" s="87"/>
      <c r="WID8" s="87"/>
      <c r="WIE8" s="87"/>
      <c r="WIF8" s="87"/>
      <c r="WIG8" s="87"/>
      <c r="WIH8" s="87"/>
      <c r="WII8" s="87"/>
      <c r="WIJ8" s="87"/>
      <c r="WIK8" s="87"/>
      <c r="WIL8" s="87"/>
      <c r="WIM8" s="87"/>
      <c r="WIN8" s="87"/>
      <c r="WIO8" s="87"/>
      <c r="WIP8" s="87"/>
      <c r="WIQ8" s="87"/>
      <c r="WIR8" s="87"/>
      <c r="WIS8" s="87"/>
      <c r="WIT8" s="87"/>
      <c r="WIU8" s="87"/>
      <c r="WIV8" s="87"/>
      <c r="WIW8" s="87"/>
      <c r="WIX8" s="87"/>
      <c r="WIY8" s="87"/>
      <c r="WIZ8" s="87"/>
      <c r="WJA8" s="87"/>
      <c r="WJB8" s="87"/>
      <c r="WJC8" s="87"/>
      <c r="WJD8" s="87"/>
      <c r="WJE8" s="87"/>
      <c r="WJF8" s="87"/>
      <c r="WJG8" s="87"/>
      <c r="WJH8" s="87"/>
      <c r="WJI8" s="87"/>
      <c r="WJJ8" s="87"/>
      <c r="WJK8" s="87"/>
      <c r="WJL8" s="87"/>
      <c r="WJM8" s="87"/>
      <c r="WJN8" s="87"/>
      <c r="WJO8" s="87"/>
      <c r="WJP8" s="87"/>
      <c r="WJQ8" s="87"/>
      <c r="WJR8" s="87"/>
      <c r="WJS8" s="87"/>
      <c r="WJT8" s="87"/>
      <c r="WJU8" s="87"/>
      <c r="WJV8" s="87"/>
      <c r="WJW8" s="87"/>
      <c r="WJX8" s="87"/>
      <c r="WJY8" s="87"/>
      <c r="WJZ8" s="87"/>
      <c r="WKA8" s="87"/>
      <c r="WKB8" s="87"/>
      <c r="WKC8" s="87"/>
      <c r="WKD8" s="87"/>
      <c r="WKE8" s="87"/>
      <c r="WKF8" s="87"/>
      <c r="WKG8" s="87"/>
      <c r="WKH8" s="87"/>
      <c r="WKI8" s="87"/>
      <c r="WKJ8" s="87"/>
      <c r="WKK8" s="87"/>
      <c r="WKL8" s="87"/>
      <c r="WKM8" s="87"/>
      <c r="WKN8" s="87"/>
      <c r="WKO8" s="87"/>
      <c r="WKP8" s="87"/>
      <c r="WKQ8" s="87"/>
      <c r="WKR8" s="87"/>
      <c r="WKS8" s="87"/>
      <c r="WKT8" s="87"/>
      <c r="WKU8" s="87"/>
      <c r="WKV8" s="87"/>
      <c r="WKW8" s="87"/>
      <c r="WKX8" s="87"/>
      <c r="WKY8" s="87"/>
      <c r="WKZ8" s="87"/>
      <c r="WLA8" s="87"/>
      <c r="WLB8" s="87"/>
      <c r="WLC8" s="87"/>
      <c r="WLD8" s="87"/>
      <c r="WLE8" s="87"/>
      <c r="WLF8" s="87"/>
      <c r="WLG8" s="87"/>
      <c r="WLH8" s="87"/>
      <c r="WLI8" s="87"/>
      <c r="WLJ8" s="87"/>
      <c r="WLK8" s="87"/>
      <c r="WLL8" s="87"/>
      <c r="WLM8" s="87"/>
      <c r="WLN8" s="87"/>
      <c r="WLO8" s="87"/>
      <c r="WLP8" s="87"/>
      <c r="WLQ8" s="87"/>
      <c r="WLR8" s="87"/>
      <c r="WLS8" s="87"/>
      <c r="WLT8" s="87"/>
      <c r="WLU8" s="87"/>
      <c r="WLV8" s="87"/>
      <c r="WLW8" s="87"/>
      <c r="WLX8" s="87"/>
      <c r="WLY8" s="87"/>
      <c r="WLZ8" s="87"/>
      <c r="WMA8" s="87"/>
      <c r="WMB8" s="87"/>
      <c r="WMC8" s="87"/>
      <c r="WMD8" s="87"/>
      <c r="WME8" s="87"/>
      <c r="WMF8" s="87"/>
      <c r="WMG8" s="87"/>
      <c r="WMH8" s="87"/>
      <c r="WMI8" s="87"/>
      <c r="WMJ8" s="87"/>
      <c r="WMK8" s="87"/>
      <c r="WML8" s="87"/>
      <c r="WMM8" s="87"/>
      <c r="WMN8" s="87"/>
      <c r="WMO8" s="87"/>
      <c r="WMP8" s="87"/>
      <c r="WMQ8" s="87"/>
      <c r="WMR8" s="87"/>
      <c r="WMS8" s="87"/>
      <c r="WMT8" s="87"/>
      <c r="WMU8" s="87"/>
      <c r="WMV8" s="87"/>
      <c r="WMW8" s="87"/>
      <c r="WMX8" s="87"/>
      <c r="WMY8" s="87"/>
      <c r="WMZ8" s="87"/>
      <c r="WNA8" s="87"/>
      <c r="WNB8" s="87"/>
      <c r="WNC8" s="87"/>
      <c r="WND8" s="87"/>
      <c r="WNE8" s="87"/>
      <c r="WNF8" s="87"/>
      <c r="WNG8" s="87"/>
      <c r="WNH8" s="87"/>
      <c r="WNI8" s="87"/>
      <c r="WNJ8" s="87"/>
      <c r="WNK8" s="87"/>
      <c r="WNL8" s="87"/>
      <c r="WNM8" s="87"/>
      <c r="WNN8" s="87"/>
      <c r="WNO8" s="87"/>
      <c r="WNP8" s="87"/>
      <c r="WNQ8" s="87"/>
      <c r="WNR8" s="87"/>
      <c r="WNS8" s="87"/>
      <c r="WNT8" s="87"/>
      <c r="WNU8" s="87"/>
      <c r="WNV8" s="87"/>
      <c r="WNW8" s="87"/>
      <c r="WNX8" s="87"/>
      <c r="WNY8" s="87"/>
      <c r="WNZ8" s="87"/>
      <c r="WOA8" s="87"/>
      <c r="WOB8" s="87"/>
      <c r="WOC8" s="87"/>
      <c r="WOD8" s="87"/>
      <c r="WOE8" s="87"/>
      <c r="WOF8" s="87"/>
      <c r="WOG8" s="87"/>
      <c r="WOH8" s="87"/>
      <c r="WOI8" s="87"/>
      <c r="WOJ8" s="87"/>
      <c r="WOK8" s="87"/>
      <c r="WOL8" s="87"/>
      <c r="WOM8" s="87"/>
      <c r="WON8" s="87"/>
      <c r="WOO8" s="87"/>
      <c r="WOP8" s="87"/>
      <c r="WOQ8" s="87"/>
      <c r="WOR8" s="87"/>
      <c r="WOS8" s="87"/>
      <c r="WOT8" s="87"/>
      <c r="WOU8" s="87"/>
      <c r="WOV8" s="87"/>
      <c r="WOW8" s="87"/>
      <c r="WOX8" s="87"/>
      <c r="WOY8" s="87"/>
      <c r="WOZ8" s="87"/>
      <c r="WPA8" s="87"/>
      <c r="WPB8" s="87"/>
      <c r="WPC8" s="87"/>
      <c r="WPD8" s="87"/>
      <c r="WPE8" s="87"/>
      <c r="WPF8" s="87"/>
      <c r="WPG8" s="87"/>
      <c r="WPH8" s="87"/>
      <c r="WPI8" s="87"/>
      <c r="WPJ8" s="87"/>
      <c r="WPK8" s="87"/>
      <c r="WPL8" s="87"/>
      <c r="WPM8" s="87"/>
      <c r="WPN8" s="87"/>
      <c r="WPO8" s="87"/>
      <c r="WPP8" s="87"/>
      <c r="WPQ8" s="87"/>
      <c r="WPR8" s="87"/>
      <c r="WPS8" s="87"/>
      <c r="WPT8" s="87"/>
      <c r="WPU8" s="87"/>
      <c r="WPV8" s="87"/>
      <c r="WPW8" s="87"/>
      <c r="WPX8" s="87"/>
      <c r="WPY8" s="87"/>
      <c r="WPZ8" s="87"/>
      <c r="WQA8" s="87"/>
      <c r="WQB8" s="87"/>
      <c r="WQC8" s="87"/>
      <c r="WQD8" s="87"/>
      <c r="WQE8" s="87"/>
      <c r="WQF8" s="87"/>
      <c r="WQG8" s="87"/>
      <c r="WQH8" s="87"/>
      <c r="WQI8" s="87"/>
      <c r="WQJ8" s="87"/>
      <c r="WQK8" s="87"/>
      <c r="WQL8" s="87"/>
      <c r="WQM8" s="87"/>
      <c r="WQN8" s="87"/>
      <c r="WQO8" s="87"/>
      <c r="WQP8" s="87"/>
      <c r="WQQ8" s="87"/>
      <c r="WQR8" s="87"/>
      <c r="WQS8" s="87"/>
      <c r="WQT8" s="87"/>
      <c r="WQU8" s="87"/>
      <c r="WQV8" s="87"/>
      <c r="WQW8" s="87"/>
      <c r="WQX8" s="87"/>
      <c r="WQY8" s="87"/>
      <c r="WQZ8" s="87"/>
      <c r="WRA8" s="87"/>
      <c r="WRB8" s="87"/>
      <c r="WRC8" s="87"/>
      <c r="WRD8" s="87"/>
      <c r="WRE8" s="87"/>
      <c r="WRF8" s="87"/>
      <c r="WRG8" s="87"/>
      <c r="WRH8" s="87"/>
      <c r="WRI8" s="87"/>
      <c r="WRJ8" s="87"/>
      <c r="WRK8" s="87"/>
      <c r="WRL8" s="87"/>
      <c r="WRM8" s="87"/>
      <c r="WRN8" s="87"/>
      <c r="WRO8" s="87"/>
      <c r="WRP8" s="87"/>
      <c r="WRQ8" s="87"/>
      <c r="WRR8" s="87"/>
      <c r="WRS8" s="87"/>
      <c r="WRT8" s="87"/>
      <c r="WRU8" s="87"/>
      <c r="WRV8" s="87"/>
      <c r="WRW8" s="87"/>
      <c r="WRX8" s="87"/>
      <c r="WRY8" s="87"/>
      <c r="WRZ8" s="87"/>
      <c r="WSA8" s="87"/>
      <c r="WSB8" s="87"/>
      <c r="WSC8" s="87"/>
      <c r="WSD8" s="87"/>
      <c r="WSE8" s="87"/>
      <c r="WSF8" s="87"/>
      <c r="WSG8" s="87"/>
      <c r="WSH8" s="87"/>
      <c r="WSI8" s="87"/>
      <c r="WSJ8" s="87"/>
      <c r="WSK8" s="87"/>
      <c r="WSL8" s="87"/>
      <c r="WSM8" s="87"/>
      <c r="WSN8" s="87"/>
      <c r="WSO8" s="87"/>
      <c r="WSP8" s="87"/>
      <c r="WSQ8" s="87"/>
      <c r="WSR8" s="87"/>
      <c r="WSS8" s="87"/>
      <c r="WST8" s="87"/>
      <c r="WSU8" s="87"/>
      <c r="WSV8" s="87"/>
      <c r="WSW8" s="87"/>
      <c r="WSX8" s="87"/>
      <c r="WSY8" s="87"/>
      <c r="WSZ8" s="87"/>
      <c r="WTA8" s="87"/>
      <c r="WTB8" s="87"/>
      <c r="WTC8" s="87"/>
      <c r="WTD8" s="87"/>
      <c r="WTE8" s="87"/>
      <c r="WTF8" s="87"/>
      <c r="WTG8" s="87"/>
      <c r="WTH8" s="87"/>
      <c r="WTI8" s="87"/>
      <c r="WTJ8" s="87"/>
      <c r="WTK8" s="87"/>
      <c r="WTL8" s="87"/>
      <c r="WTM8" s="87"/>
      <c r="WTN8" s="87"/>
      <c r="WTO8" s="87"/>
      <c r="WTP8" s="87"/>
      <c r="WTQ8" s="87"/>
      <c r="WTR8" s="87"/>
      <c r="WTS8" s="87"/>
      <c r="WTT8" s="87"/>
      <c r="WTU8" s="87"/>
      <c r="WTV8" s="87"/>
      <c r="WTW8" s="87"/>
      <c r="WTX8" s="87"/>
      <c r="WTY8" s="87"/>
      <c r="WTZ8" s="87"/>
      <c r="WUA8" s="87"/>
      <c r="WUB8" s="87"/>
      <c r="WUC8" s="87"/>
      <c r="WUD8" s="87"/>
      <c r="WUE8" s="87"/>
      <c r="WUF8" s="87"/>
      <c r="WUG8" s="87"/>
      <c r="WUH8" s="87"/>
      <c r="WUI8" s="87"/>
      <c r="WUJ8" s="87"/>
      <c r="WUK8" s="87"/>
      <c r="WUL8" s="87"/>
      <c r="WUM8" s="87"/>
      <c r="WUN8" s="87"/>
      <c r="WUO8" s="87"/>
      <c r="WUP8" s="87"/>
      <c r="WUQ8" s="87"/>
      <c r="WUR8" s="87"/>
      <c r="WUS8" s="87"/>
      <c r="WUT8" s="87"/>
      <c r="WUU8" s="87"/>
      <c r="WUV8" s="87"/>
      <c r="WUW8" s="87"/>
      <c r="WUX8" s="87"/>
      <c r="WUY8" s="87"/>
      <c r="WUZ8" s="87"/>
      <c r="WVA8" s="87"/>
      <c r="WVB8" s="87"/>
      <c r="WVC8" s="87"/>
      <c r="WVD8" s="87"/>
      <c r="WVE8" s="87"/>
      <c r="WVF8" s="87"/>
      <c r="WVG8" s="87"/>
      <c r="WVH8" s="87"/>
      <c r="WVI8" s="87"/>
      <c r="WVJ8" s="87"/>
      <c r="WVK8" s="87"/>
      <c r="WVL8" s="87"/>
      <c r="WVM8" s="87"/>
      <c r="WVN8" s="87"/>
      <c r="WVO8" s="87"/>
      <c r="WVP8" s="87"/>
      <c r="WVQ8" s="87"/>
      <c r="WVR8" s="87"/>
      <c r="WVS8" s="87"/>
      <c r="WVT8" s="87"/>
      <c r="WVU8" s="87"/>
      <c r="WVV8" s="87"/>
      <c r="WVW8" s="87"/>
      <c r="WVX8" s="87"/>
      <c r="WVY8" s="87"/>
      <c r="WVZ8" s="87"/>
      <c r="WWA8" s="87"/>
      <c r="WWB8" s="87"/>
      <c r="WWC8" s="87"/>
      <c r="WWD8" s="87"/>
      <c r="WWE8" s="87"/>
      <c r="WWF8" s="87"/>
      <c r="WWG8" s="87"/>
      <c r="WWH8" s="87"/>
      <c r="WWI8" s="87"/>
      <c r="WWJ8" s="87"/>
      <c r="WWK8" s="87"/>
      <c r="WWL8" s="87"/>
      <c r="WWM8" s="87"/>
      <c r="WWN8" s="87"/>
      <c r="WWO8" s="87"/>
      <c r="WWP8" s="87"/>
      <c r="WWQ8" s="87"/>
      <c r="WWR8" s="87"/>
      <c r="WWS8" s="87"/>
      <c r="WWT8" s="87"/>
      <c r="WWU8" s="87"/>
      <c r="WWV8" s="87"/>
      <c r="WWW8" s="87"/>
      <c r="WWX8" s="87"/>
      <c r="WWY8" s="87"/>
      <c r="WWZ8" s="87"/>
      <c r="WXA8" s="87"/>
      <c r="WXB8" s="87"/>
      <c r="WXC8" s="87"/>
      <c r="WXD8" s="87"/>
      <c r="WXE8" s="87"/>
      <c r="WXF8" s="87"/>
      <c r="WXG8" s="87"/>
      <c r="WXH8" s="87"/>
      <c r="WXI8" s="87"/>
      <c r="WXJ8" s="87"/>
      <c r="WXK8" s="87"/>
      <c r="WXL8" s="87"/>
      <c r="WXM8" s="87"/>
      <c r="WXN8" s="87"/>
      <c r="WXO8" s="87"/>
      <c r="WXP8" s="87"/>
      <c r="WXQ8" s="87"/>
      <c r="WXR8" s="87"/>
      <c r="WXS8" s="87"/>
      <c r="WXT8" s="87"/>
      <c r="WXU8" s="87"/>
      <c r="WXV8" s="87"/>
      <c r="WXW8" s="87"/>
      <c r="WXX8" s="87"/>
      <c r="WXY8" s="87"/>
      <c r="WXZ8" s="87"/>
      <c r="WYA8" s="87"/>
      <c r="WYB8" s="87"/>
      <c r="WYC8" s="87"/>
      <c r="WYD8" s="87"/>
      <c r="WYE8" s="87"/>
      <c r="WYF8" s="87"/>
      <c r="WYG8" s="87"/>
      <c r="WYH8" s="87"/>
      <c r="WYI8" s="87"/>
      <c r="WYJ8" s="87"/>
      <c r="WYK8" s="87"/>
      <c r="WYL8" s="87"/>
      <c r="WYM8" s="87"/>
      <c r="WYN8" s="87"/>
      <c r="WYO8" s="87"/>
      <c r="WYP8" s="87"/>
      <c r="WYQ8" s="87"/>
      <c r="WYR8" s="87"/>
      <c r="WYS8" s="87"/>
      <c r="WYT8" s="87"/>
      <c r="WYU8" s="87"/>
      <c r="WYV8" s="87"/>
      <c r="WYW8" s="87"/>
      <c r="WYX8" s="87"/>
      <c r="WYY8" s="87"/>
      <c r="WYZ8" s="87"/>
      <c r="WZA8" s="87"/>
      <c r="WZB8" s="87"/>
      <c r="WZC8" s="87"/>
      <c r="WZD8" s="87"/>
      <c r="WZE8" s="87"/>
      <c r="WZF8" s="87"/>
      <c r="WZG8" s="87"/>
      <c r="WZH8" s="87"/>
      <c r="WZI8" s="87"/>
      <c r="WZJ8" s="87"/>
      <c r="WZK8" s="87"/>
      <c r="WZL8" s="87"/>
      <c r="WZM8" s="87"/>
      <c r="WZN8" s="87"/>
      <c r="WZO8" s="87"/>
      <c r="WZP8" s="87"/>
      <c r="WZQ8" s="87"/>
      <c r="WZR8" s="87"/>
      <c r="WZS8" s="87"/>
      <c r="WZT8" s="87"/>
      <c r="WZU8" s="87"/>
      <c r="WZV8" s="87"/>
      <c r="WZW8" s="87"/>
      <c r="WZX8" s="87"/>
      <c r="WZY8" s="87"/>
      <c r="WZZ8" s="87"/>
      <c r="XAA8" s="87"/>
      <c r="XAB8" s="87"/>
      <c r="XAC8" s="87"/>
      <c r="XAD8" s="87"/>
      <c r="XAE8" s="87"/>
      <c r="XAF8" s="87"/>
      <c r="XAG8" s="87"/>
      <c r="XAH8" s="87"/>
      <c r="XAI8" s="87"/>
      <c r="XAJ8" s="87"/>
      <c r="XAK8" s="87"/>
      <c r="XAL8" s="87"/>
      <c r="XAM8" s="87"/>
      <c r="XAN8" s="87"/>
      <c r="XAO8" s="87"/>
      <c r="XAP8" s="87"/>
      <c r="XAQ8" s="87"/>
      <c r="XAR8" s="87"/>
      <c r="XAS8" s="87"/>
      <c r="XAT8" s="87"/>
      <c r="XAU8" s="87"/>
      <c r="XAV8" s="87"/>
      <c r="XAW8" s="87"/>
      <c r="XAX8" s="87"/>
      <c r="XAY8" s="87"/>
      <c r="XAZ8" s="87"/>
      <c r="XBA8" s="87"/>
      <c r="XBB8" s="87"/>
      <c r="XBC8" s="87"/>
      <c r="XBD8" s="87"/>
      <c r="XBE8" s="87"/>
      <c r="XBF8" s="87"/>
      <c r="XBG8" s="87"/>
      <c r="XBH8" s="87"/>
      <c r="XBI8" s="87"/>
      <c r="XBJ8" s="87"/>
      <c r="XBK8" s="87"/>
      <c r="XBL8" s="87"/>
      <c r="XBM8" s="87"/>
      <c r="XBN8" s="87"/>
      <c r="XBO8" s="87"/>
      <c r="XBP8" s="87"/>
      <c r="XBQ8" s="87"/>
      <c r="XBR8" s="87"/>
      <c r="XBS8" s="87"/>
      <c r="XBT8" s="87"/>
      <c r="XBU8" s="87"/>
      <c r="XBV8" s="87"/>
      <c r="XBW8" s="87"/>
      <c r="XBX8" s="87"/>
      <c r="XBY8" s="87"/>
      <c r="XBZ8" s="87"/>
      <c r="XCA8" s="87"/>
      <c r="XCB8" s="87"/>
      <c r="XCC8" s="87"/>
      <c r="XCD8" s="87"/>
      <c r="XCE8" s="87"/>
      <c r="XCF8" s="87"/>
      <c r="XCG8" s="87"/>
      <c r="XCH8" s="87"/>
      <c r="XCI8" s="87"/>
      <c r="XCJ8" s="87"/>
      <c r="XCK8" s="87"/>
      <c r="XCL8" s="87"/>
      <c r="XCM8" s="87"/>
      <c r="XCN8" s="87"/>
      <c r="XCO8" s="87"/>
      <c r="XCP8" s="87"/>
      <c r="XCQ8" s="87"/>
      <c r="XCR8" s="87"/>
      <c r="XCS8" s="87"/>
      <c r="XCT8" s="87"/>
      <c r="XCU8" s="87"/>
      <c r="XCV8" s="87"/>
    </row>
    <row r="9" spans="1:16324" ht="14.5">
      <c r="A9" s="102">
        <v>11</v>
      </c>
      <c r="B9" s="94">
        <v>100</v>
      </c>
      <c r="C9" s="103" t="s">
        <v>1005</v>
      </c>
      <c r="D9" s="100" t="s">
        <v>1006</v>
      </c>
      <c r="E9" s="95">
        <v>220</v>
      </c>
      <c r="F9" s="19" t="s">
        <v>889</v>
      </c>
      <c r="G9" s="96">
        <v>0.5</v>
      </c>
      <c r="H9" s="96">
        <f t="shared" si="0"/>
        <v>2.2727272727272729</v>
      </c>
      <c r="I9" s="95">
        <v>1</v>
      </c>
      <c r="J9" s="96">
        <v>1</v>
      </c>
      <c r="K9" s="96">
        <f t="shared" si="27"/>
        <v>0</v>
      </c>
      <c r="L9" s="97">
        <f t="shared" si="28"/>
        <v>0.5</v>
      </c>
      <c r="M9" s="97">
        <f t="shared" si="29"/>
        <v>0</v>
      </c>
      <c r="N9" s="97">
        <f t="shared" si="30"/>
        <v>0.25</v>
      </c>
      <c r="O9" s="97"/>
      <c r="P9" s="97"/>
      <c r="Q9" s="97"/>
      <c r="R9" s="97"/>
      <c r="S9" s="97"/>
      <c r="T9" s="97"/>
      <c r="U9" s="86">
        <f>H9*2.5</f>
        <v>5.6818181818181825</v>
      </c>
      <c r="V9" s="86">
        <f t="shared" si="31"/>
        <v>15.90909090909091</v>
      </c>
      <c r="W9" s="116" t="s">
        <v>875</v>
      </c>
      <c r="X9" s="87" t="s">
        <v>301</v>
      </c>
      <c r="Y9" s="87">
        <f t="shared" si="32"/>
        <v>6</v>
      </c>
      <c r="Z9" s="87" t="str">
        <f>INDEX(автоматы!$B$3:$D$11,MATCH(Y9,автоматы!$A$3:$A$11,0),MATCH(X9,кол_пол,0))</f>
        <v>EZ9F34206</v>
      </c>
      <c r="AA9" s="87">
        <f t="shared" si="33"/>
        <v>6.3</v>
      </c>
      <c r="AB9" s="87" t="str">
        <f>VLOOKUP(AA9,автоматы!$H$3:$I$17,2,0)</f>
        <v>GZ1 E10</v>
      </c>
      <c r="AC9" s="87">
        <f t="shared" si="34"/>
        <v>20</v>
      </c>
      <c r="AD9" s="87" t="str">
        <f>VLOOKUP(AC9,автоматы!$N$3:$O$19,2,0)</f>
        <v>LZMB1-A20-I</v>
      </c>
      <c r="AE9" s="88">
        <f t="shared" si="35"/>
        <v>6</v>
      </c>
      <c r="AF9" s="87" t="str">
        <f>INDEX(автоматы!$T$2:$V$15,MATCH(AE9,автоматы!$S$2:$S$15,0),MATCH(X9,автоматы!$T$1:$V$1,0))</f>
        <v>iC60N C6 2P</v>
      </c>
      <c r="AG9" s="87">
        <f t="shared" si="36"/>
        <v>6</v>
      </c>
      <c r="AH9" s="87" t="str">
        <f>VLOOKUP(AG9,автоматы!$Z$3:$AA$9,2,0)</f>
        <v>A9D31606</v>
      </c>
      <c r="AI9" s="2">
        <f t="shared" si="37"/>
        <v>15</v>
      </c>
      <c r="AJ9" t="str">
        <f>VLOOKUP(AI9,автоматы!$AE$3:$AF$26,2,0)</f>
        <v>EZC100F3015</v>
      </c>
      <c r="AK9" s="3">
        <f t="shared" si="38"/>
        <v>6.3</v>
      </c>
      <c r="AL9" t="str">
        <f>VLOOKUP(AK9,DEKraft!$I$2:$J$16,2,0)</f>
        <v>21228DEK</v>
      </c>
      <c r="AM9">
        <f t="shared" si="39"/>
        <v>6.3</v>
      </c>
      <c r="AN9" t="str">
        <f>VLOOKUP(AM9,systeme!$A$33:$B$47,2,0)</f>
        <v>GM2ME10</v>
      </c>
      <c r="AO9">
        <f t="shared" si="40"/>
        <v>6.3</v>
      </c>
      <c r="AP9">
        <f>VLOOKUP(AO9,chint!$A$34:$B$48,2,0)</f>
        <v>495080</v>
      </c>
      <c r="AQ9" s="3">
        <f t="shared" si="41"/>
        <v>6</v>
      </c>
      <c r="AR9" t="str">
        <f>INDEX(DEKraft!$B$2:$D$13,MATCH(AQ9,DEKraft!$A$2:$A$13,0),MATCH(X9,DEKraft!$B$1:$D$1,0))</f>
        <v>13163DEK</v>
      </c>
      <c r="AS9" t="str">
        <f>INDEX(DEKraft!$B$21:$D$32,MATCH(AQ9,DEKraft!$A$21:$A$32,0),MATCH(X9,DEKraft!$B$20:$D$20,0))</f>
        <v>12285DEK</v>
      </c>
      <c r="AT9" t="str">
        <f>INDEX(systeme!$B$2:$D$10,MATCH(AQ9,systeme!$A$2:$A$10,0),MATCH(X9,systeme!$B$1:$D$1,0))</f>
        <v>C9F36206</v>
      </c>
      <c r="AU9">
        <f>INDEX(chint!$B$2:$D$10,MATCH(AQ9,chint!$A$2:$A$10,0),MATCH(X9,chint!$B$1:$D$1,0))</f>
        <v>179667</v>
      </c>
      <c r="AV9" s="3">
        <f t="shared" si="42"/>
        <v>6</v>
      </c>
      <c r="AW9" t="str">
        <f>VLOOKUP(AV9,DEKraft!$A$41:$B$47,2,0)</f>
        <v>16202DEK</v>
      </c>
      <c r="AX9">
        <f t="shared" si="43"/>
        <v>10</v>
      </c>
      <c r="AY9" t="str">
        <f>VLOOKUP(AX9,systeme!$G$2:$H$7,2,0)</f>
        <v>C9D36610</v>
      </c>
      <c r="AZ9">
        <f t="shared" si="44"/>
        <v>6</v>
      </c>
      <c r="BA9">
        <f>VLOOKUP(AV9,chint!$G$2:$H$8,2,0)</f>
        <v>689000</v>
      </c>
      <c r="BB9" s="3">
        <f t="shared" si="45"/>
        <v>25</v>
      </c>
      <c r="BC9" t="str">
        <f>VLOOKUP(BB9,DEKraft!$I$21:$J$36,2,0)</f>
        <v>28100DEK</v>
      </c>
      <c r="BD9">
        <f t="shared" si="46"/>
        <v>16</v>
      </c>
      <c r="BE9" t="str">
        <f>VLOOKUP(BD9,systeme!$A$16:$B$30,2,0)</f>
        <v>SPC100F016L3DF</v>
      </c>
      <c r="BF9">
        <f t="shared" si="47"/>
        <v>16</v>
      </c>
      <c r="BG9" s="4">
        <f>VLOOKUP(BF9,chint!$A$14:$B$31,2,0)</f>
        <v>271581</v>
      </c>
      <c r="BH9">
        <f t="shared" si="48"/>
        <v>6</v>
      </c>
      <c r="BI9" t="str">
        <f>INDEX(КЭАЗ!$B$2:$E$14,MATCH(BH9,КЭАЗ!$A$2:$A$14,0),MATCH(X9,КЭАЗ!$B$1:$D$1,0))</f>
        <v>kea.341916</v>
      </c>
      <c r="BJ9">
        <f t="shared" si="49"/>
        <v>6</v>
      </c>
      <c r="BK9" t="str">
        <f>INDEX(hy!$B$2:$D$18,MATCH(BJ9,hy!$A$2:$A$18,0),MATCH(X9,hy!$B$1:$D$1,0))</f>
        <v>HGD63M 2PMCS0000C 00006</v>
      </c>
      <c r="BL9" t="str">
        <f>VLOOKUP(BJ9,hy!$G$2:$H$15,2,0)</f>
        <v>HRO63M 1NG4С0000C00006G</v>
      </c>
      <c r="BM9">
        <f t="shared" si="50"/>
        <v>6.3</v>
      </c>
      <c r="BN9" t="str">
        <f>VLOOKUP(BM9,hy!$A$41:$B$55,2,0)</f>
        <v>MMS32K 06P3</v>
      </c>
      <c r="BO9">
        <f t="shared" si="51"/>
        <v>100</v>
      </c>
      <c r="BP9" t="str">
        <f>VLOOKUP(BO9,hy!$A$21:$B$35,2,0)</f>
        <v>HGP100S-G 3PT4S0000C 00100H</v>
      </c>
      <c r="BQ9" s="89">
        <f>IF($W9=автоматы!$D$45,Z9,IF($W9=автоматы!$D$46,AF9,IF($W9=автоматы!$D$47,AH9,IF($W9=автоматы!$D$48,AB9,IF($W9=автоматы!$D$49,AJ9,IF($W9=автоматы!$D$50,AD9,IF($W9=автоматы!$D$51,BI9,IF($W9=автоматы!$D$52,AR9,IF($W9=автоматы!$D$53,AS9,IF($W9=автоматы!$D$54,AW9,IF($W9=автоматы!$D$55,AL9,IF($W9=автоматы!$D$56,BC9,IF($W9=автоматы!$D$57,AT9,IF($W9=автоматы!$D$58,AY9,IF($W9=автоматы!$D$59,AN9,IF($W9=автоматы!$D$60,BE9,IF($W9=автоматы!$D$61,AU9,IF($W9=автоматы!$D$62,BA9,IF($W9=автоматы!$D$63,AP9,IF($W9=автоматы!$D$64,BG9,IF($W9=автоматы!$D$65,BK9,IF($W9=автоматы!$D$66,BL9,IF($W9=автоматы!$D$67,BN9,IF($W9=автоматы!$D$68,BP9,"др"))))))))))))))))))))))))</f>
        <v>689000</v>
      </c>
      <c r="BR9" s="89">
        <f>IF($W9=автоматы!$D$45,Y9,IF($W9=автоматы!$D$46,AE9,IF($W9=автоматы!$D$47,AG9,IF($W9=автоматы!$D$48,AA9,IF($W9=автоматы!$D$49,AI9,IF($W9=автоматы!$D$50,AC9,IF($W9=автоматы!$D$51,BH9,IF($W9=автоматы!$D$52,AQ9,IF($W9=автоматы!$D$53,AQ9,IF($W9=автоматы!$D$54,AV9,IF($W9=автоматы!$D$55,AK9,IF($W9=автоматы!$D$56,BB9,IF($W9=автоматы!$D$57,AQ9,IF($W9=автоматы!$D$58,AX9,IF($W9=автоматы!$D$59,AM9,IF($W9=автоматы!$D$60,BD9,IF($W9=автоматы!$D$61,AQ9,IF($W9=автоматы!$D$62,AZ9,IF($W9=автоматы!$D$63,AO9,IF($W9=автоматы!$D$64,BF9,IF($W9=автоматы!$D$65,BJ9,IF($W9=автоматы!$D$66,BJ9,IF($W9=автоматы!$D$67,BM9,IF($W9=автоматы!$D$68,BO9,"др"))))))))))))))))))))))))</f>
        <v>6</v>
      </c>
      <c r="BS9" s="89" t="str">
        <f>CONCATENATE(IF($W9=автоматы!$A$1,Y9,IF($W9=автоматы!$H$1,VLOOKUP(AA9,автоматы!$H$3:$K$17,3,0),IF($W9=автоматы!$N$1,VLOOKUP(AC9,автоматы!$N$3:$Q$19,3,0),IF($W9=автоматы!$S$17,AE9,IF($W9=автоматы!$Z$1,AG9,IF($W9=автоматы!$AE$1,AI9,"др"))))))," А")</f>
        <v>др А</v>
      </c>
      <c r="BT9" s="89" t="str">
        <f>IF($W9=автоматы!$A$1,Y9*10,IF($W9=автоматы!$H$1,VLOOKUP(AA9,автоматы!$H$3:$K$17,4,0),IF($W9=автоматы!$N$1,VLOOKUP(AC9,автоматы!$N$3:$Q$19,4,0),IF($W9=автоматы!$S$17,AE9*10,IF($W9=автоматы!$Z$1,AG9*10,IF($W9=автоматы!$AE$1,AI9*10,"др"))))))</f>
        <v>др</v>
      </c>
      <c r="BU9" s="85"/>
      <c r="BV9" s="90" t="s">
        <v>147</v>
      </c>
      <c r="BW9" s="90">
        <v>1</v>
      </c>
      <c r="BX9" s="91">
        <v>3</v>
      </c>
      <c r="BY9" s="92">
        <v>1.5</v>
      </c>
      <c r="BZ9" s="91">
        <f>HLOOKUP(BV9,каталог!$CG$1:$CO$22,MATCH(BY9,каталог!$CF$1:$CF$22,0),0)*BW9</f>
        <v>19</v>
      </c>
      <c r="CA9" s="87" t="str">
        <f t="shared" si="52"/>
        <v>нЕК1</v>
      </c>
      <c r="CB9" s="87" t="str">
        <f t="shared" si="53"/>
        <v>ВВГнг(А)-LS 3x1,5</v>
      </c>
      <c r="CC9" s="87"/>
      <c r="CD9" s="87"/>
      <c r="CE9" s="87"/>
      <c r="CF9" s="87"/>
      <c r="CG9" s="87"/>
      <c r="CH9" s="87"/>
      <c r="CI9" s="87"/>
      <c r="CJ9" s="87"/>
      <c r="CK9" s="87"/>
      <c r="CL9" s="87"/>
      <c r="CM9" s="87"/>
      <c r="CN9" s="87"/>
      <c r="CO9" s="87"/>
      <c r="CP9" s="87"/>
      <c r="CQ9" s="87"/>
      <c r="CR9" s="87"/>
      <c r="CS9" s="87"/>
      <c r="CT9" s="87"/>
      <c r="CU9" s="87"/>
      <c r="CV9" s="87"/>
      <c r="CW9" s="87"/>
      <c r="CX9" s="87"/>
      <c r="CY9" s="87"/>
      <c r="CZ9" s="87"/>
      <c r="DA9" s="87"/>
      <c r="DB9" s="87"/>
      <c r="DC9" s="87"/>
      <c r="DD9" s="87"/>
      <c r="DE9" s="87"/>
      <c r="DF9" s="87"/>
      <c r="DG9" s="87"/>
      <c r="DH9" s="87"/>
      <c r="DI9" s="87"/>
      <c r="DJ9" s="87"/>
      <c r="DK9" s="87"/>
      <c r="DL9" s="87"/>
      <c r="DM9" s="87"/>
      <c r="DN9" s="87"/>
      <c r="DO9" s="87"/>
      <c r="DP9" s="87"/>
      <c r="DQ9" s="87"/>
      <c r="DR9" s="87"/>
      <c r="DS9" s="87"/>
      <c r="DT9" s="87"/>
      <c r="DU9" s="87"/>
      <c r="DV9" s="87"/>
      <c r="DW9" s="87"/>
      <c r="DX9" s="87"/>
      <c r="DY9" s="87"/>
      <c r="DZ9" s="87"/>
      <c r="EA9" s="87"/>
      <c r="EB9" s="87"/>
      <c r="EC9" s="87"/>
      <c r="ED9" s="87"/>
      <c r="EE9" s="87"/>
      <c r="EF9" s="87"/>
      <c r="EG9" s="87"/>
      <c r="EH9" s="87"/>
      <c r="EI9" s="87"/>
      <c r="EJ9" s="87"/>
      <c r="EK9" s="87"/>
      <c r="EL9" s="87"/>
      <c r="EM9" s="87"/>
      <c r="EN9" s="87"/>
      <c r="EO9" s="87"/>
      <c r="EP9" s="87"/>
      <c r="EQ9" s="87"/>
      <c r="ER9" s="87"/>
      <c r="ES9" s="87"/>
      <c r="ET9" s="87"/>
      <c r="EU9" s="87"/>
      <c r="EV9" s="87"/>
      <c r="EW9" s="87"/>
      <c r="EX9" s="87"/>
      <c r="EY9" s="87"/>
      <c r="EZ9" s="87"/>
      <c r="FA9" s="87"/>
      <c r="FB9" s="87"/>
      <c r="FC9" s="87"/>
      <c r="FD9" s="87"/>
      <c r="FE9" s="87"/>
      <c r="FF9" s="87"/>
      <c r="FG9" s="87"/>
      <c r="FH9" s="87"/>
      <c r="FI9" s="87"/>
      <c r="FJ9" s="87"/>
      <c r="FK9" s="87"/>
      <c r="FL9" s="87"/>
      <c r="FM9" s="87"/>
      <c r="FN9" s="87"/>
      <c r="FO9" s="87"/>
      <c r="FP9" s="87"/>
      <c r="FQ9" s="87"/>
      <c r="FR9" s="87"/>
      <c r="FS9" s="87"/>
      <c r="FT9" s="87"/>
      <c r="FU9" s="87"/>
      <c r="FV9" s="87"/>
      <c r="FW9" s="87"/>
      <c r="FX9" s="87"/>
      <c r="FY9" s="87"/>
      <c r="FZ9" s="87"/>
      <c r="GA9" s="87"/>
      <c r="GB9" s="87"/>
      <c r="GC9" s="87"/>
      <c r="GD9" s="87"/>
      <c r="GE9" s="87"/>
      <c r="GF9" s="87"/>
      <c r="GG9" s="87"/>
      <c r="GH9" s="87"/>
      <c r="GI9" s="87"/>
      <c r="GJ9" s="87"/>
      <c r="GK9" s="87"/>
      <c r="GL9" s="87"/>
      <c r="GM9" s="87"/>
      <c r="GN9" s="87"/>
      <c r="GO9" s="87"/>
      <c r="GP9" s="87"/>
      <c r="GQ9" s="87"/>
      <c r="GR9" s="87"/>
      <c r="GS9" s="87"/>
      <c r="GT9" s="87"/>
      <c r="GU9" s="87"/>
      <c r="GV9" s="87"/>
      <c r="GW9" s="87"/>
      <c r="GX9" s="87"/>
      <c r="GY9" s="87"/>
      <c r="GZ9" s="87"/>
      <c r="HA9" s="87"/>
      <c r="HB9" s="87"/>
      <c r="HC9" s="87"/>
      <c r="HD9" s="87"/>
      <c r="HE9" s="87"/>
      <c r="HF9" s="87"/>
      <c r="HG9" s="87"/>
      <c r="HH9" s="87"/>
      <c r="HI9" s="87"/>
      <c r="HJ9" s="87"/>
      <c r="HK9" s="87"/>
      <c r="HL9" s="87"/>
      <c r="HM9" s="87"/>
      <c r="HN9" s="87"/>
      <c r="HO9" s="87"/>
      <c r="HP9" s="87"/>
      <c r="HQ9" s="87"/>
      <c r="HR9" s="87"/>
      <c r="HS9" s="87"/>
      <c r="HT9" s="87"/>
      <c r="HU9" s="87"/>
      <c r="HV9" s="87"/>
      <c r="HW9" s="87"/>
      <c r="HX9" s="87"/>
      <c r="HY9" s="87"/>
      <c r="HZ9" s="87"/>
      <c r="IA9" s="87"/>
      <c r="IB9" s="87"/>
      <c r="IC9" s="87"/>
      <c r="ID9" s="87"/>
      <c r="IE9" s="87"/>
      <c r="IF9" s="87"/>
      <c r="IG9" s="87"/>
      <c r="IH9" s="87"/>
      <c r="II9" s="87"/>
      <c r="IJ9" s="87"/>
      <c r="IK9" s="87"/>
      <c r="IL9" s="87"/>
      <c r="IM9" s="87"/>
      <c r="IN9" s="87"/>
      <c r="IO9" s="87"/>
      <c r="IP9" s="87"/>
      <c r="IQ9" s="87"/>
      <c r="IR9" s="87"/>
      <c r="IS9" s="87"/>
      <c r="IT9" s="87"/>
      <c r="IU9" s="87"/>
      <c r="IV9" s="87"/>
      <c r="IW9" s="87"/>
      <c r="IX9" s="87"/>
      <c r="IY9" s="87"/>
      <c r="IZ9" s="87"/>
      <c r="JA9" s="87"/>
      <c r="JB9" s="87"/>
      <c r="JC9" s="87"/>
      <c r="JD9" s="87"/>
      <c r="JE9" s="87"/>
      <c r="JF9" s="87"/>
      <c r="JG9" s="87"/>
      <c r="JH9" s="87"/>
      <c r="JI9" s="87"/>
      <c r="JJ9" s="87"/>
      <c r="JK9" s="87"/>
      <c r="JL9" s="87"/>
      <c r="JM9" s="87"/>
      <c r="JN9" s="87"/>
      <c r="JO9" s="87"/>
      <c r="JP9" s="87"/>
      <c r="JQ9" s="87"/>
      <c r="JR9" s="87"/>
      <c r="JS9" s="87"/>
      <c r="JT9" s="87"/>
      <c r="JU9" s="87"/>
      <c r="JV9" s="87"/>
      <c r="JW9" s="87"/>
      <c r="JX9" s="87"/>
      <c r="JY9" s="87"/>
      <c r="JZ9" s="87"/>
      <c r="KA9" s="87"/>
      <c r="KB9" s="87"/>
      <c r="KC9" s="87"/>
      <c r="KD9" s="87"/>
      <c r="KE9" s="87"/>
      <c r="KF9" s="87"/>
      <c r="KG9" s="87"/>
      <c r="KH9" s="87"/>
      <c r="KI9" s="87"/>
      <c r="KJ9" s="87"/>
      <c r="KK9" s="87"/>
      <c r="KL9" s="87"/>
      <c r="KM9" s="87"/>
      <c r="KN9" s="87"/>
      <c r="KO9" s="87"/>
      <c r="KP9" s="87"/>
      <c r="KQ9" s="87"/>
      <c r="KR9" s="87"/>
      <c r="KS9" s="87"/>
      <c r="KT9" s="87"/>
      <c r="KU9" s="87"/>
      <c r="KV9" s="87"/>
      <c r="KW9" s="87"/>
      <c r="KX9" s="87"/>
      <c r="KY9" s="87"/>
      <c r="KZ9" s="87"/>
      <c r="LA9" s="87"/>
      <c r="LB9" s="87"/>
      <c r="LC9" s="87"/>
      <c r="LD9" s="87"/>
      <c r="LE9" s="87"/>
      <c r="LF9" s="87"/>
      <c r="LG9" s="87"/>
      <c r="LH9" s="87"/>
      <c r="LI9" s="87"/>
      <c r="LJ9" s="87"/>
      <c r="LK9" s="87"/>
      <c r="LL9" s="87"/>
      <c r="LM9" s="87"/>
      <c r="LN9" s="87"/>
      <c r="LO9" s="87"/>
      <c r="LP9" s="87"/>
      <c r="LQ9" s="87"/>
      <c r="LR9" s="87"/>
      <c r="LS9" s="87"/>
      <c r="LT9" s="87"/>
      <c r="LU9" s="87"/>
      <c r="LV9" s="87"/>
      <c r="LW9" s="87"/>
      <c r="LX9" s="87"/>
      <c r="LY9" s="87"/>
      <c r="LZ9" s="87"/>
      <c r="MA9" s="87"/>
      <c r="MB9" s="87"/>
      <c r="MC9" s="87"/>
      <c r="MD9" s="87"/>
      <c r="ME9" s="87"/>
      <c r="MF9" s="87"/>
      <c r="MG9" s="87"/>
      <c r="MH9" s="87"/>
      <c r="MI9" s="87"/>
      <c r="MJ9" s="87"/>
      <c r="MK9" s="87"/>
      <c r="ML9" s="87"/>
      <c r="MM9" s="87"/>
      <c r="MN9" s="87"/>
      <c r="MO9" s="87"/>
      <c r="MP9" s="87"/>
      <c r="MQ9" s="87"/>
      <c r="MR9" s="87"/>
      <c r="MS9" s="87"/>
      <c r="MT9" s="87"/>
      <c r="MU9" s="87"/>
      <c r="MV9" s="87"/>
      <c r="MW9" s="87"/>
      <c r="MX9" s="87"/>
      <c r="MY9" s="87"/>
      <c r="MZ9" s="87"/>
      <c r="NA9" s="87"/>
      <c r="NB9" s="87"/>
      <c r="NC9" s="87"/>
      <c r="ND9" s="87"/>
      <c r="NE9" s="87"/>
      <c r="NF9" s="87"/>
      <c r="NG9" s="87"/>
      <c r="NH9" s="87"/>
      <c r="NI9" s="87"/>
      <c r="NJ9" s="87"/>
      <c r="NK9" s="87"/>
      <c r="NL9" s="87"/>
      <c r="NM9" s="87"/>
      <c r="NN9" s="87"/>
      <c r="NO9" s="87"/>
      <c r="NP9" s="87"/>
      <c r="NQ9" s="87"/>
      <c r="NR9" s="87"/>
      <c r="NS9" s="87"/>
      <c r="NT9" s="87"/>
      <c r="NU9" s="87"/>
      <c r="NV9" s="87"/>
      <c r="NW9" s="87"/>
      <c r="NX9" s="87"/>
      <c r="NY9" s="87"/>
      <c r="NZ9" s="87"/>
      <c r="OA9" s="87"/>
      <c r="OB9" s="87"/>
      <c r="OC9" s="87"/>
      <c r="OD9" s="87"/>
      <c r="OE9" s="87"/>
      <c r="OF9" s="87"/>
      <c r="OG9" s="87"/>
      <c r="OH9" s="87"/>
      <c r="OI9" s="87"/>
      <c r="OJ9" s="87"/>
      <c r="OK9" s="87"/>
      <c r="OL9" s="87"/>
      <c r="OM9" s="87"/>
      <c r="ON9" s="87"/>
      <c r="OO9" s="87"/>
      <c r="OP9" s="87"/>
      <c r="OQ9" s="87"/>
      <c r="OR9" s="87"/>
      <c r="OS9" s="87"/>
      <c r="OT9" s="87"/>
      <c r="OU9" s="87"/>
      <c r="OV9" s="87"/>
      <c r="OW9" s="87"/>
      <c r="OX9" s="87"/>
      <c r="OY9" s="87"/>
      <c r="OZ9" s="87"/>
      <c r="PA9" s="87"/>
      <c r="PB9" s="87"/>
      <c r="PC9" s="87"/>
      <c r="PD9" s="87"/>
      <c r="PE9" s="87"/>
      <c r="PF9" s="87"/>
      <c r="PG9" s="87"/>
      <c r="PH9" s="87"/>
      <c r="PI9" s="87"/>
      <c r="PJ9" s="87"/>
      <c r="PK9" s="87"/>
      <c r="PL9" s="87"/>
      <c r="PM9" s="87"/>
      <c r="PN9" s="87"/>
      <c r="PO9" s="87"/>
      <c r="PP9" s="87"/>
      <c r="PQ9" s="87"/>
      <c r="PR9" s="87"/>
      <c r="PS9" s="87"/>
      <c r="PT9" s="87"/>
      <c r="PU9" s="87"/>
      <c r="PV9" s="87"/>
      <c r="PW9" s="87"/>
      <c r="PX9" s="87"/>
      <c r="PY9" s="87"/>
      <c r="PZ9" s="87"/>
      <c r="QA9" s="87"/>
      <c r="QB9" s="87"/>
      <c r="QC9" s="87"/>
      <c r="QD9" s="87"/>
      <c r="QE9" s="87"/>
      <c r="QF9" s="87"/>
      <c r="QG9" s="87"/>
      <c r="QH9" s="87"/>
      <c r="QI9" s="87"/>
      <c r="QJ9" s="87"/>
      <c r="QK9" s="87"/>
      <c r="QL9" s="87"/>
      <c r="QM9" s="87"/>
      <c r="QN9" s="87"/>
      <c r="QO9" s="87"/>
      <c r="QP9" s="87"/>
      <c r="QQ9" s="87"/>
      <c r="QR9" s="87"/>
      <c r="QS9" s="87"/>
      <c r="QT9" s="87"/>
      <c r="QU9" s="87"/>
      <c r="QV9" s="87"/>
      <c r="QW9" s="87"/>
      <c r="QX9" s="87"/>
      <c r="QY9" s="87"/>
      <c r="QZ9" s="87"/>
      <c r="RA9" s="87"/>
      <c r="RB9" s="87"/>
      <c r="RC9" s="87"/>
      <c r="RD9" s="87"/>
      <c r="RE9" s="87"/>
      <c r="RF9" s="87"/>
      <c r="RG9" s="87"/>
      <c r="RH9" s="87"/>
      <c r="RI9" s="87"/>
      <c r="RJ9" s="87"/>
      <c r="RK9" s="87"/>
      <c r="RL9" s="87"/>
      <c r="RM9" s="87"/>
      <c r="RN9" s="87"/>
      <c r="RO9" s="87"/>
      <c r="RP9" s="87"/>
      <c r="RQ9" s="87"/>
      <c r="RR9" s="87"/>
      <c r="RS9" s="87"/>
      <c r="RT9" s="87"/>
      <c r="RU9" s="87"/>
      <c r="RV9" s="87"/>
      <c r="RW9" s="87"/>
      <c r="RX9" s="87"/>
      <c r="RY9" s="87"/>
      <c r="RZ9" s="87"/>
      <c r="SA9" s="87"/>
      <c r="SB9" s="87"/>
      <c r="SC9" s="87"/>
      <c r="SD9" s="87"/>
      <c r="SE9" s="87"/>
      <c r="SF9" s="87"/>
      <c r="SG9" s="87"/>
      <c r="SH9" s="87"/>
      <c r="SI9" s="87"/>
      <c r="SJ9" s="87"/>
      <c r="SK9" s="87"/>
      <c r="SL9" s="87"/>
      <c r="SM9" s="87"/>
      <c r="SN9" s="87"/>
      <c r="SO9" s="87"/>
      <c r="SP9" s="87"/>
      <c r="SQ9" s="87"/>
      <c r="SR9" s="87"/>
      <c r="SS9" s="87"/>
      <c r="ST9" s="87"/>
      <c r="SU9" s="87"/>
      <c r="SV9" s="87"/>
      <c r="SW9" s="87"/>
      <c r="SX9" s="87"/>
      <c r="SY9" s="87"/>
      <c r="SZ9" s="87"/>
      <c r="TA9" s="87"/>
      <c r="TB9" s="87"/>
      <c r="TC9" s="87"/>
      <c r="TD9" s="87"/>
      <c r="TE9" s="87"/>
      <c r="TF9" s="87"/>
      <c r="TG9" s="87"/>
      <c r="TH9" s="87"/>
      <c r="TI9" s="87"/>
      <c r="TJ9" s="87"/>
      <c r="TK9" s="87"/>
      <c r="TL9" s="87"/>
      <c r="TM9" s="87"/>
      <c r="TN9" s="87"/>
      <c r="TO9" s="87"/>
      <c r="TP9" s="87"/>
      <c r="TQ9" s="87"/>
      <c r="TR9" s="87"/>
      <c r="TS9" s="87"/>
      <c r="TT9" s="87"/>
      <c r="TU9" s="87"/>
      <c r="TV9" s="87"/>
      <c r="TW9" s="87"/>
      <c r="TX9" s="87"/>
      <c r="TY9" s="87"/>
      <c r="TZ9" s="87"/>
      <c r="UA9" s="87"/>
      <c r="UB9" s="87"/>
      <c r="UC9" s="87"/>
      <c r="UD9" s="87"/>
      <c r="UE9" s="87"/>
      <c r="UF9" s="87"/>
      <c r="UG9" s="87"/>
      <c r="UH9" s="87"/>
      <c r="UI9" s="87"/>
      <c r="UJ9" s="87"/>
      <c r="UK9" s="87"/>
      <c r="UL9" s="87"/>
      <c r="UM9" s="87"/>
      <c r="UN9" s="87"/>
      <c r="UO9" s="87"/>
      <c r="UP9" s="87"/>
      <c r="UQ9" s="87"/>
      <c r="UR9" s="87"/>
      <c r="US9" s="87"/>
      <c r="UT9" s="87"/>
      <c r="UU9" s="87"/>
      <c r="UV9" s="87"/>
      <c r="UW9" s="87"/>
      <c r="UX9" s="87"/>
      <c r="UY9" s="87"/>
      <c r="UZ9" s="87"/>
      <c r="VA9" s="87"/>
      <c r="VB9" s="87"/>
      <c r="VC9" s="87"/>
      <c r="VD9" s="87"/>
      <c r="VE9" s="87"/>
      <c r="VF9" s="87"/>
      <c r="VG9" s="87"/>
      <c r="VH9" s="87"/>
      <c r="VI9" s="87"/>
      <c r="VJ9" s="87"/>
      <c r="VK9" s="87"/>
      <c r="VL9" s="87"/>
      <c r="VM9" s="87"/>
      <c r="VN9" s="87"/>
      <c r="VO9" s="87"/>
      <c r="VP9" s="87"/>
      <c r="VQ9" s="87"/>
      <c r="VR9" s="87"/>
      <c r="VS9" s="87"/>
      <c r="VT9" s="87"/>
      <c r="VU9" s="87"/>
      <c r="VV9" s="87"/>
      <c r="VW9" s="87"/>
      <c r="VX9" s="87"/>
      <c r="VY9" s="87"/>
      <c r="VZ9" s="87"/>
      <c r="WA9" s="87"/>
      <c r="WB9" s="87"/>
      <c r="WC9" s="87"/>
      <c r="WD9" s="87"/>
      <c r="WE9" s="87"/>
      <c r="WF9" s="87"/>
      <c r="WG9" s="87"/>
      <c r="WH9" s="87"/>
      <c r="WI9" s="87"/>
      <c r="WJ9" s="87"/>
      <c r="WK9" s="87"/>
      <c r="WL9" s="87"/>
      <c r="WM9" s="87"/>
      <c r="WN9" s="87"/>
      <c r="WO9" s="87"/>
      <c r="WP9" s="87"/>
      <c r="WQ9" s="87"/>
      <c r="WR9" s="87"/>
      <c r="WS9" s="87"/>
      <c r="WT9" s="87"/>
      <c r="WU9" s="87"/>
      <c r="WV9" s="87"/>
      <c r="WW9" s="87"/>
      <c r="WX9" s="87"/>
      <c r="WY9" s="87"/>
      <c r="WZ9" s="87"/>
      <c r="XA9" s="87"/>
      <c r="XB9" s="87"/>
      <c r="XC9" s="87"/>
      <c r="XD9" s="87"/>
      <c r="XE9" s="87"/>
      <c r="XF9" s="87"/>
      <c r="XG9" s="87"/>
      <c r="XH9" s="87"/>
      <c r="XI9" s="87"/>
      <c r="XJ9" s="87"/>
      <c r="XK9" s="87"/>
      <c r="XL9" s="87"/>
      <c r="XM9" s="87"/>
      <c r="XN9" s="87"/>
      <c r="XO9" s="87"/>
      <c r="XP9" s="87"/>
      <c r="XQ9" s="87"/>
      <c r="XR9" s="87"/>
      <c r="XS9" s="87"/>
      <c r="XT9" s="87"/>
      <c r="XU9" s="87"/>
      <c r="XV9" s="87"/>
      <c r="XW9" s="87"/>
      <c r="XX9" s="87"/>
      <c r="XY9" s="87"/>
      <c r="XZ9" s="87"/>
      <c r="YA9" s="87"/>
      <c r="YB9" s="87"/>
      <c r="YC9" s="87"/>
      <c r="YD9" s="87"/>
      <c r="YE9" s="87"/>
      <c r="YF9" s="87"/>
      <c r="YG9" s="87"/>
      <c r="YH9" s="87"/>
      <c r="YI9" s="87"/>
      <c r="YJ9" s="87"/>
      <c r="YK9" s="87"/>
      <c r="YL9" s="87"/>
      <c r="YM9" s="87"/>
      <c r="YN9" s="87"/>
      <c r="YO9" s="87"/>
      <c r="YP9" s="87"/>
      <c r="YQ9" s="87"/>
      <c r="YR9" s="87"/>
      <c r="YS9" s="87"/>
      <c r="YT9" s="87"/>
      <c r="YU9" s="87"/>
      <c r="YV9" s="87"/>
      <c r="YW9" s="87"/>
      <c r="YX9" s="87"/>
      <c r="YY9" s="87"/>
      <c r="YZ9" s="87"/>
      <c r="ZA9" s="87"/>
      <c r="ZB9" s="87"/>
      <c r="ZC9" s="87"/>
      <c r="ZD9" s="87"/>
      <c r="ZE9" s="87"/>
      <c r="ZF9" s="87"/>
      <c r="ZG9" s="87"/>
      <c r="ZH9" s="87"/>
      <c r="ZI9" s="87"/>
      <c r="ZJ9" s="87"/>
      <c r="ZK9" s="87"/>
      <c r="ZL9" s="87"/>
      <c r="ZM9" s="87"/>
      <c r="ZN9" s="87"/>
      <c r="ZO9" s="87"/>
      <c r="ZP9" s="87"/>
      <c r="ZQ9" s="87"/>
      <c r="ZR9" s="87"/>
      <c r="ZS9" s="87"/>
      <c r="ZT9" s="87"/>
      <c r="ZU9" s="87"/>
      <c r="ZV9" s="87"/>
      <c r="ZW9" s="87"/>
      <c r="ZX9" s="87"/>
      <c r="ZY9" s="87"/>
      <c r="ZZ9" s="87"/>
      <c r="AAA9" s="87"/>
      <c r="AAB9" s="87"/>
      <c r="AAC9" s="87"/>
      <c r="AAD9" s="87"/>
      <c r="AAE9" s="87"/>
      <c r="AAF9" s="87"/>
      <c r="AAG9" s="87"/>
      <c r="AAH9" s="87"/>
      <c r="AAI9" s="87"/>
      <c r="AAJ9" s="87"/>
      <c r="AAK9" s="87"/>
      <c r="AAL9" s="87"/>
      <c r="AAM9" s="87"/>
      <c r="AAN9" s="87"/>
      <c r="AAO9" s="87"/>
      <c r="AAP9" s="87"/>
      <c r="AAQ9" s="87"/>
      <c r="AAR9" s="87"/>
      <c r="AAS9" s="87"/>
      <c r="AAT9" s="87"/>
      <c r="AAU9" s="87"/>
      <c r="AAV9" s="87"/>
      <c r="AAW9" s="87"/>
      <c r="AAX9" s="87"/>
      <c r="AAY9" s="87"/>
      <c r="AAZ9" s="87"/>
      <c r="ABA9" s="87"/>
      <c r="ABB9" s="87"/>
      <c r="ABC9" s="87"/>
      <c r="ABD9" s="87"/>
      <c r="ABE9" s="87"/>
      <c r="ABF9" s="87"/>
      <c r="ABG9" s="87"/>
      <c r="ABH9" s="87"/>
      <c r="ABI9" s="87"/>
      <c r="ABJ9" s="87"/>
      <c r="ABK9" s="87"/>
      <c r="ABL9" s="87"/>
      <c r="ABM9" s="87"/>
      <c r="ABN9" s="87"/>
      <c r="ABO9" s="87"/>
      <c r="ABP9" s="87"/>
      <c r="ABQ9" s="87"/>
      <c r="ABR9" s="87"/>
      <c r="ABS9" s="87"/>
      <c r="ABT9" s="87"/>
      <c r="ABU9" s="87"/>
      <c r="ABV9" s="87"/>
      <c r="ABW9" s="87"/>
      <c r="ABX9" s="87"/>
      <c r="ABY9" s="87"/>
      <c r="ABZ9" s="87"/>
      <c r="ACA9" s="87"/>
      <c r="ACB9" s="87"/>
      <c r="ACC9" s="87"/>
      <c r="ACD9" s="87"/>
      <c r="ACE9" s="87"/>
      <c r="ACF9" s="87"/>
      <c r="ACG9" s="87"/>
      <c r="ACH9" s="87"/>
      <c r="ACI9" s="87"/>
      <c r="ACJ9" s="87"/>
      <c r="ACK9" s="87"/>
      <c r="ACL9" s="87"/>
      <c r="ACM9" s="87"/>
      <c r="ACN9" s="87"/>
      <c r="ACO9" s="87"/>
      <c r="ACP9" s="87"/>
      <c r="ACQ9" s="87"/>
      <c r="ACR9" s="87"/>
      <c r="ACS9" s="87"/>
      <c r="ACT9" s="87"/>
      <c r="ACU9" s="87"/>
      <c r="ACV9" s="87"/>
      <c r="ACW9" s="87"/>
      <c r="ACX9" s="87"/>
      <c r="ACY9" s="87"/>
      <c r="ACZ9" s="87"/>
      <c r="ADA9" s="87"/>
      <c r="ADB9" s="87"/>
      <c r="ADC9" s="87"/>
      <c r="ADD9" s="87"/>
      <c r="ADE9" s="87"/>
      <c r="ADF9" s="87"/>
      <c r="ADG9" s="87"/>
      <c r="ADH9" s="87"/>
      <c r="ADI9" s="87"/>
      <c r="ADJ9" s="87"/>
      <c r="ADK9" s="87"/>
      <c r="ADL9" s="87"/>
      <c r="ADM9" s="87"/>
      <c r="ADN9" s="87"/>
      <c r="ADO9" s="87"/>
      <c r="ADP9" s="87"/>
      <c r="ADQ9" s="87"/>
      <c r="ADR9" s="87"/>
      <c r="ADS9" s="87"/>
      <c r="ADT9" s="87"/>
      <c r="ADU9" s="87"/>
      <c r="ADV9" s="87"/>
      <c r="ADW9" s="87"/>
      <c r="ADX9" s="87"/>
      <c r="ADY9" s="87"/>
      <c r="ADZ9" s="87"/>
      <c r="AEA9" s="87"/>
      <c r="AEB9" s="87"/>
      <c r="AEC9" s="87"/>
      <c r="AED9" s="87"/>
      <c r="AEE9" s="87"/>
      <c r="AEF9" s="87"/>
      <c r="AEG9" s="87"/>
      <c r="AEH9" s="87"/>
      <c r="AEI9" s="87"/>
      <c r="AEJ9" s="87"/>
      <c r="AEK9" s="87"/>
      <c r="AEL9" s="87"/>
      <c r="AEM9" s="87"/>
      <c r="AEN9" s="87"/>
      <c r="AEO9" s="87"/>
      <c r="AEP9" s="87"/>
      <c r="AEQ9" s="87"/>
      <c r="AER9" s="87"/>
      <c r="AES9" s="87"/>
      <c r="AET9" s="87"/>
      <c r="AEU9" s="87"/>
      <c r="AEV9" s="87"/>
      <c r="AEW9" s="87"/>
      <c r="AEX9" s="87"/>
      <c r="AEY9" s="87"/>
      <c r="AEZ9" s="87"/>
      <c r="AFA9" s="87"/>
      <c r="AFB9" s="87"/>
      <c r="AFC9" s="87"/>
      <c r="AFD9" s="87"/>
      <c r="AFE9" s="87"/>
      <c r="AFF9" s="87"/>
      <c r="AFG9" s="87"/>
      <c r="AFH9" s="87"/>
      <c r="AFI9" s="87"/>
      <c r="AFJ9" s="87"/>
      <c r="AFK9" s="87"/>
      <c r="AFL9" s="87"/>
      <c r="AFM9" s="87"/>
      <c r="AFN9" s="87"/>
      <c r="AFO9" s="87"/>
      <c r="AFP9" s="87"/>
      <c r="AFQ9" s="87"/>
      <c r="AFR9" s="87"/>
      <c r="AFS9" s="87"/>
      <c r="AFT9" s="87"/>
      <c r="AFU9" s="87"/>
      <c r="AFV9" s="87"/>
      <c r="AFW9" s="87"/>
      <c r="AFX9" s="87"/>
      <c r="AFY9" s="87"/>
      <c r="AFZ9" s="87"/>
      <c r="AGA9" s="87"/>
      <c r="AGB9" s="87"/>
      <c r="AGC9" s="87"/>
      <c r="AGD9" s="87"/>
      <c r="AGE9" s="87"/>
      <c r="AGF9" s="87"/>
      <c r="AGG9" s="87"/>
      <c r="AGH9" s="87"/>
      <c r="AGI9" s="87"/>
      <c r="AGJ9" s="87"/>
      <c r="AGK9" s="87"/>
      <c r="AGL9" s="87"/>
      <c r="AGM9" s="87"/>
      <c r="AGN9" s="87"/>
      <c r="AGO9" s="87"/>
      <c r="AGP9" s="87"/>
      <c r="AGQ9" s="87"/>
      <c r="AGR9" s="87"/>
      <c r="AGS9" s="87"/>
      <c r="AGT9" s="87"/>
      <c r="AGU9" s="87"/>
      <c r="AGV9" s="87"/>
      <c r="AGW9" s="87"/>
      <c r="AGX9" s="87"/>
      <c r="AGY9" s="87"/>
      <c r="AGZ9" s="87"/>
      <c r="AHA9" s="87"/>
      <c r="AHB9" s="87"/>
      <c r="AHC9" s="87"/>
      <c r="AHD9" s="87"/>
      <c r="AHE9" s="87"/>
      <c r="AHF9" s="87"/>
      <c r="AHG9" s="87"/>
      <c r="AHH9" s="87"/>
      <c r="AHI9" s="87"/>
      <c r="AHJ9" s="87"/>
      <c r="AHK9" s="87"/>
      <c r="AHL9" s="87"/>
      <c r="AHM9" s="87"/>
      <c r="AHN9" s="87"/>
      <c r="AHO9" s="87"/>
      <c r="AHP9" s="87"/>
      <c r="AHQ9" s="87"/>
      <c r="AHR9" s="87"/>
      <c r="AHS9" s="87"/>
      <c r="AHT9" s="87"/>
      <c r="AHU9" s="87"/>
      <c r="AHV9" s="87"/>
      <c r="AHW9" s="87"/>
      <c r="AHX9" s="87"/>
      <c r="AHY9" s="87"/>
      <c r="AHZ9" s="87"/>
      <c r="AIA9" s="87"/>
      <c r="AIB9" s="87"/>
      <c r="AIC9" s="87"/>
      <c r="AID9" s="87"/>
      <c r="AIE9" s="87"/>
      <c r="AIF9" s="87"/>
      <c r="AIG9" s="87"/>
      <c r="AIH9" s="87"/>
      <c r="AII9" s="87"/>
      <c r="AIJ9" s="87"/>
      <c r="AIK9" s="87"/>
      <c r="AIL9" s="87"/>
      <c r="AIM9" s="87"/>
      <c r="AIN9" s="87"/>
      <c r="AIO9" s="87"/>
      <c r="AIP9" s="87"/>
      <c r="AIQ9" s="87"/>
      <c r="AIR9" s="87"/>
      <c r="AIS9" s="87"/>
      <c r="AIT9" s="87"/>
      <c r="AIU9" s="87"/>
      <c r="AIV9" s="87"/>
      <c r="AIW9" s="87"/>
      <c r="AIX9" s="87"/>
      <c r="AIY9" s="87"/>
      <c r="AIZ9" s="87"/>
      <c r="AJA9" s="87"/>
      <c r="AJB9" s="87"/>
      <c r="AJC9" s="87"/>
      <c r="AJD9" s="87"/>
      <c r="AJE9" s="87"/>
      <c r="AJF9" s="87"/>
      <c r="AJG9" s="87"/>
      <c r="AJH9" s="87"/>
      <c r="AJI9" s="87"/>
      <c r="AJJ9" s="87"/>
      <c r="AJK9" s="87"/>
      <c r="AJL9" s="87"/>
      <c r="AJM9" s="87"/>
      <c r="AJN9" s="87"/>
      <c r="AJO9" s="87"/>
      <c r="AJP9" s="87"/>
      <c r="AJQ9" s="87"/>
      <c r="AJR9" s="87"/>
      <c r="AJS9" s="87"/>
      <c r="AJT9" s="87"/>
      <c r="AJU9" s="87"/>
      <c r="AJV9" s="87"/>
      <c r="AJW9" s="87"/>
      <c r="AJX9" s="87"/>
      <c r="AJY9" s="87"/>
      <c r="AJZ9" s="87"/>
      <c r="AKA9" s="87"/>
      <c r="AKB9" s="87"/>
      <c r="AKC9" s="87"/>
      <c r="AKD9" s="87"/>
      <c r="AKE9" s="87"/>
      <c r="AKF9" s="87"/>
      <c r="AKG9" s="87"/>
      <c r="AKH9" s="87"/>
      <c r="AKI9" s="87"/>
      <c r="AKJ9" s="87"/>
      <c r="AKK9" s="87"/>
      <c r="AKL9" s="87"/>
      <c r="AKM9" s="87"/>
      <c r="AKN9" s="87"/>
      <c r="AKO9" s="87"/>
      <c r="AKP9" s="87"/>
      <c r="AKQ9" s="87"/>
      <c r="AKR9" s="87"/>
      <c r="AKS9" s="87"/>
      <c r="AKT9" s="87"/>
      <c r="AKU9" s="87"/>
      <c r="AKV9" s="87"/>
      <c r="AKW9" s="87"/>
      <c r="AKX9" s="87"/>
      <c r="AKY9" s="87"/>
      <c r="AKZ9" s="87"/>
      <c r="ALA9" s="87"/>
      <c r="ALB9" s="87"/>
      <c r="ALC9" s="87"/>
      <c r="ALD9" s="87"/>
      <c r="ALE9" s="87"/>
      <c r="ALF9" s="87"/>
      <c r="ALG9" s="87"/>
      <c r="ALH9" s="87"/>
      <c r="ALI9" s="87"/>
      <c r="ALJ9" s="87"/>
      <c r="ALK9" s="87"/>
      <c r="ALL9" s="87"/>
      <c r="ALM9" s="87"/>
      <c r="ALN9" s="87"/>
      <c r="ALO9" s="87"/>
      <c r="ALP9" s="87"/>
      <c r="ALQ9" s="87"/>
      <c r="ALR9" s="87"/>
      <c r="ALS9" s="87"/>
      <c r="ALT9" s="87"/>
      <c r="ALU9" s="87"/>
      <c r="ALV9" s="87"/>
      <c r="ALW9" s="87"/>
      <c r="ALX9" s="87"/>
      <c r="ALY9" s="87"/>
      <c r="ALZ9" s="87"/>
      <c r="AMA9" s="87"/>
      <c r="AMB9" s="87"/>
      <c r="AMC9" s="87"/>
      <c r="AMD9" s="87"/>
      <c r="AME9" s="87"/>
      <c r="AMF9" s="87"/>
      <c r="AMG9" s="87"/>
      <c r="AMH9" s="87"/>
      <c r="AMI9" s="87"/>
      <c r="AMJ9" s="87"/>
      <c r="AMK9" s="87"/>
      <c r="AML9" s="87"/>
      <c r="AMM9" s="87"/>
      <c r="AMN9" s="87"/>
      <c r="AMO9" s="87"/>
      <c r="AMP9" s="87"/>
      <c r="AMQ9" s="87"/>
      <c r="AMR9" s="87"/>
      <c r="AMS9" s="87"/>
      <c r="AMT9" s="87"/>
      <c r="AMU9" s="87"/>
      <c r="AMV9" s="87"/>
      <c r="AMW9" s="87"/>
      <c r="AMX9" s="87"/>
      <c r="AMY9" s="87"/>
      <c r="AMZ9" s="87"/>
      <c r="ANA9" s="87"/>
      <c r="ANB9" s="87"/>
      <c r="ANC9" s="87"/>
      <c r="AND9" s="87"/>
      <c r="ANE9" s="87"/>
      <c r="ANF9" s="87"/>
      <c r="ANG9" s="87"/>
      <c r="ANH9" s="87"/>
      <c r="ANI9" s="87"/>
      <c r="ANJ9" s="87"/>
      <c r="ANK9" s="87"/>
      <c r="ANL9" s="87"/>
      <c r="ANM9" s="87"/>
      <c r="ANN9" s="87"/>
      <c r="ANO9" s="87"/>
      <c r="ANP9" s="87"/>
      <c r="ANQ9" s="87"/>
      <c r="ANR9" s="87"/>
      <c r="ANS9" s="87"/>
      <c r="ANT9" s="87"/>
      <c r="ANU9" s="87"/>
      <c r="ANV9" s="87"/>
      <c r="ANW9" s="87"/>
      <c r="ANX9" s="87"/>
      <c r="ANY9" s="87"/>
      <c r="ANZ9" s="87"/>
      <c r="AOA9" s="87"/>
      <c r="AOB9" s="87"/>
      <c r="AOC9" s="87"/>
      <c r="AOD9" s="87"/>
      <c r="AOE9" s="87"/>
      <c r="AOF9" s="87"/>
      <c r="AOG9" s="87"/>
      <c r="AOH9" s="87"/>
      <c r="AOI9" s="87"/>
      <c r="AOJ9" s="87"/>
      <c r="AOK9" s="87"/>
      <c r="AOL9" s="87"/>
      <c r="AOM9" s="87"/>
      <c r="AON9" s="87"/>
      <c r="AOO9" s="87"/>
      <c r="AOP9" s="87"/>
      <c r="AOQ9" s="87"/>
      <c r="AOR9" s="87"/>
      <c r="AOS9" s="87"/>
      <c r="AOT9" s="87"/>
      <c r="AOU9" s="87"/>
      <c r="AOV9" s="87"/>
      <c r="AOW9" s="87"/>
      <c r="AOX9" s="87"/>
      <c r="AOY9" s="87"/>
      <c r="AOZ9" s="87"/>
      <c r="APA9" s="87"/>
      <c r="APB9" s="87"/>
      <c r="APC9" s="87"/>
      <c r="APD9" s="87"/>
      <c r="APE9" s="87"/>
      <c r="APF9" s="87"/>
      <c r="APG9" s="87"/>
      <c r="APH9" s="87"/>
      <c r="API9" s="87"/>
      <c r="APJ9" s="87"/>
      <c r="APK9" s="87"/>
      <c r="APL9" s="87"/>
      <c r="APM9" s="87"/>
      <c r="APN9" s="87"/>
      <c r="APO9" s="87"/>
      <c r="APP9" s="87"/>
      <c r="APQ9" s="87"/>
      <c r="APR9" s="87"/>
      <c r="APS9" s="87"/>
      <c r="APT9" s="87"/>
      <c r="APU9" s="87"/>
      <c r="APV9" s="87"/>
      <c r="APW9" s="87"/>
      <c r="APX9" s="87"/>
      <c r="APY9" s="87"/>
      <c r="APZ9" s="87"/>
      <c r="AQA9" s="87"/>
      <c r="AQB9" s="87"/>
      <c r="AQC9" s="87"/>
      <c r="AQD9" s="87"/>
      <c r="AQE9" s="87"/>
      <c r="AQF9" s="87"/>
      <c r="AQG9" s="87"/>
      <c r="AQH9" s="87"/>
      <c r="AQI9" s="87"/>
      <c r="AQJ9" s="87"/>
      <c r="AQK9" s="87"/>
      <c r="AQL9" s="87"/>
      <c r="AQM9" s="87"/>
      <c r="AQN9" s="87"/>
      <c r="AQO9" s="87"/>
      <c r="AQP9" s="87"/>
      <c r="AQQ9" s="87"/>
      <c r="AQR9" s="87"/>
      <c r="AQS9" s="87"/>
      <c r="AQT9" s="87"/>
      <c r="AQU9" s="87"/>
      <c r="AQV9" s="87"/>
      <c r="AQW9" s="87"/>
      <c r="AQX9" s="87"/>
      <c r="AQY9" s="87"/>
      <c r="AQZ9" s="87"/>
      <c r="ARA9" s="87"/>
      <c r="ARB9" s="87"/>
      <c r="ARC9" s="87"/>
      <c r="ARD9" s="87"/>
      <c r="ARE9" s="87"/>
      <c r="ARF9" s="87"/>
      <c r="ARG9" s="87"/>
      <c r="ARH9" s="87"/>
      <c r="ARI9" s="87"/>
      <c r="ARJ9" s="87"/>
      <c r="ARK9" s="87"/>
      <c r="ARL9" s="87"/>
      <c r="ARM9" s="87"/>
      <c r="ARN9" s="87"/>
      <c r="ARO9" s="87"/>
      <c r="ARP9" s="87"/>
      <c r="ARQ9" s="87"/>
      <c r="ARR9" s="87"/>
      <c r="ARS9" s="87"/>
      <c r="ART9" s="87"/>
      <c r="ARU9" s="87"/>
      <c r="ARV9" s="87"/>
      <c r="ARW9" s="87"/>
      <c r="ARX9" s="87"/>
      <c r="ARY9" s="87"/>
      <c r="ARZ9" s="87"/>
      <c r="ASA9" s="87"/>
      <c r="ASB9" s="87"/>
      <c r="ASC9" s="87"/>
      <c r="ASD9" s="87"/>
      <c r="ASE9" s="87"/>
      <c r="ASF9" s="87"/>
      <c r="ASG9" s="87"/>
      <c r="ASH9" s="87"/>
      <c r="ASI9" s="87"/>
      <c r="ASJ9" s="87"/>
      <c r="ASK9" s="87"/>
      <c r="ASL9" s="87"/>
      <c r="ASM9" s="87"/>
      <c r="ASN9" s="87"/>
      <c r="ASO9" s="87"/>
      <c r="ASP9" s="87"/>
      <c r="ASQ9" s="87"/>
      <c r="ASR9" s="87"/>
      <c r="ASS9" s="87"/>
      <c r="AST9" s="87"/>
      <c r="ASU9" s="87"/>
      <c r="ASV9" s="87"/>
      <c r="ASW9" s="87"/>
      <c r="ASX9" s="87"/>
      <c r="ASY9" s="87"/>
      <c r="ASZ9" s="87"/>
      <c r="ATA9" s="87"/>
      <c r="ATB9" s="87"/>
      <c r="ATC9" s="87"/>
      <c r="ATD9" s="87"/>
      <c r="ATE9" s="87"/>
      <c r="ATF9" s="87"/>
      <c r="ATG9" s="87"/>
      <c r="ATH9" s="87"/>
      <c r="ATI9" s="87"/>
      <c r="ATJ9" s="87"/>
      <c r="ATK9" s="87"/>
      <c r="ATL9" s="87"/>
      <c r="ATM9" s="87"/>
      <c r="ATN9" s="87"/>
      <c r="ATO9" s="87"/>
      <c r="ATP9" s="87"/>
      <c r="ATQ9" s="87"/>
      <c r="ATR9" s="87"/>
      <c r="ATS9" s="87"/>
      <c r="ATT9" s="87"/>
      <c r="ATU9" s="87"/>
      <c r="ATV9" s="87"/>
      <c r="ATW9" s="87"/>
      <c r="ATX9" s="87"/>
      <c r="ATY9" s="87"/>
      <c r="ATZ9" s="87"/>
      <c r="AUA9" s="87"/>
      <c r="AUB9" s="87"/>
      <c r="AUC9" s="87"/>
      <c r="AUD9" s="87"/>
      <c r="AUE9" s="87"/>
      <c r="AUF9" s="87"/>
      <c r="AUG9" s="87"/>
      <c r="AUH9" s="87"/>
      <c r="AUI9" s="87"/>
      <c r="AUJ9" s="87"/>
      <c r="AUK9" s="87"/>
      <c r="AUL9" s="87"/>
      <c r="AUM9" s="87"/>
      <c r="AUN9" s="87"/>
      <c r="AUO9" s="87"/>
      <c r="AUP9" s="87"/>
      <c r="AUQ9" s="87"/>
      <c r="AUR9" s="87"/>
      <c r="AUS9" s="87"/>
      <c r="AUT9" s="87"/>
      <c r="AUU9" s="87"/>
      <c r="AUV9" s="87"/>
      <c r="AUW9" s="87"/>
      <c r="AUX9" s="87"/>
      <c r="AUY9" s="87"/>
      <c r="AUZ9" s="87"/>
      <c r="AVA9" s="87"/>
      <c r="AVB9" s="87"/>
      <c r="AVC9" s="87"/>
      <c r="AVD9" s="87"/>
      <c r="AVE9" s="87"/>
      <c r="AVF9" s="87"/>
      <c r="AVG9" s="87"/>
      <c r="AVH9" s="87"/>
      <c r="AVI9" s="87"/>
      <c r="AVJ9" s="87"/>
      <c r="AVK9" s="87"/>
      <c r="AVL9" s="87"/>
      <c r="AVM9" s="87"/>
      <c r="AVN9" s="87"/>
      <c r="AVO9" s="87"/>
      <c r="AVP9" s="87"/>
      <c r="AVQ9" s="87"/>
      <c r="AVR9" s="87"/>
      <c r="AVS9" s="87"/>
      <c r="AVT9" s="87"/>
      <c r="AVU9" s="87"/>
      <c r="AVV9" s="87"/>
      <c r="AVW9" s="87"/>
      <c r="AVX9" s="87"/>
      <c r="AVY9" s="87"/>
      <c r="AVZ9" s="87"/>
      <c r="AWA9" s="87"/>
      <c r="AWB9" s="87"/>
      <c r="AWC9" s="87"/>
      <c r="AWD9" s="87"/>
      <c r="AWE9" s="87"/>
      <c r="AWF9" s="87"/>
      <c r="AWG9" s="87"/>
      <c r="AWH9" s="87"/>
      <c r="AWI9" s="87"/>
      <c r="AWJ9" s="87"/>
      <c r="AWK9" s="87"/>
      <c r="AWL9" s="87"/>
      <c r="AWM9" s="87"/>
      <c r="AWN9" s="87"/>
      <c r="AWO9" s="87"/>
      <c r="AWP9" s="87"/>
      <c r="AWQ9" s="87"/>
      <c r="AWR9" s="87"/>
      <c r="AWS9" s="87"/>
      <c r="AWT9" s="87"/>
      <c r="AWU9" s="87"/>
      <c r="AWV9" s="87"/>
      <c r="AWW9" s="87"/>
      <c r="AWX9" s="87"/>
      <c r="AWY9" s="87"/>
      <c r="AWZ9" s="87"/>
      <c r="AXA9" s="87"/>
      <c r="AXB9" s="87"/>
      <c r="AXC9" s="87"/>
      <c r="AXD9" s="87"/>
      <c r="AXE9" s="87"/>
      <c r="AXF9" s="87"/>
      <c r="AXG9" s="87"/>
      <c r="AXH9" s="87"/>
      <c r="AXI9" s="87"/>
      <c r="AXJ9" s="87"/>
      <c r="AXK9" s="87"/>
      <c r="AXL9" s="87"/>
      <c r="AXM9" s="87"/>
      <c r="AXN9" s="87"/>
      <c r="AXO9" s="87"/>
      <c r="AXP9" s="87"/>
      <c r="AXQ9" s="87"/>
      <c r="AXR9" s="87"/>
      <c r="AXS9" s="87"/>
      <c r="AXT9" s="87"/>
      <c r="AXU9" s="87"/>
      <c r="AXV9" s="87"/>
      <c r="AXW9" s="87"/>
      <c r="AXX9" s="87"/>
      <c r="AXY9" s="87"/>
      <c r="AXZ9" s="87"/>
      <c r="AYA9" s="87"/>
      <c r="AYB9" s="87"/>
      <c r="AYC9" s="87"/>
      <c r="AYD9" s="87"/>
      <c r="AYE9" s="87"/>
      <c r="AYF9" s="87"/>
      <c r="AYG9" s="87"/>
      <c r="AYH9" s="87"/>
      <c r="AYI9" s="87"/>
      <c r="AYJ9" s="87"/>
      <c r="AYK9" s="87"/>
      <c r="AYL9" s="87"/>
      <c r="AYM9" s="87"/>
      <c r="AYN9" s="87"/>
      <c r="AYO9" s="87"/>
      <c r="AYP9" s="87"/>
      <c r="AYQ9" s="87"/>
      <c r="AYR9" s="87"/>
      <c r="AYS9" s="87"/>
      <c r="AYT9" s="87"/>
      <c r="AYU9" s="87"/>
      <c r="AYV9" s="87"/>
      <c r="AYW9" s="87"/>
      <c r="AYX9" s="87"/>
      <c r="AYY9" s="87"/>
      <c r="AYZ9" s="87"/>
      <c r="AZA9" s="87"/>
      <c r="AZB9" s="87"/>
      <c r="AZC9" s="87"/>
      <c r="AZD9" s="87"/>
      <c r="AZE9" s="87"/>
      <c r="AZF9" s="87"/>
      <c r="AZG9" s="87"/>
      <c r="AZH9" s="87"/>
      <c r="AZI9" s="87"/>
      <c r="AZJ9" s="87"/>
      <c r="AZK9" s="87"/>
      <c r="AZL9" s="87"/>
      <c r="AZM9" s="87"/>
      <c r="AZN9" s="87"/>
      <c r="AZO9" s="87"/>
      <c r="AZP9" s="87"/>
      <c r="AZQ9" s="87"/>
      <c r="AZR9" s="87"/>
      <c r="AZS9" s="87"/>
      <c r="AZT9" s="87"/>
      <c r="AZU9" s="87"/>
      <c r="AZV9" s="87"/>
      <c r="AZW9" s="87"/>
      <c r="AZX9" s="87"/>
      <c r="AZY9" s="87"/>
      <c r="AZZ9" s="87"/>
      <c r="BAA9" s="87"/>
      <c r="BAB9" s="87"/>
      <c r="BAC9" s="87"/>
      <c r="BAD9" s="87"/>
      <c r="BAE9" s="87"/>
      <c r="BAF9" s="87"/>
      <c r="BAG9" s="87"/>
      <c r="BAH9" s="87"/>
      <c r="BAI9" s="87"/>
      <c r="BAJ9" s="87"/>
      <c r="BAK9" s="87"/>
      <c r="BAL9" s="87"/>
      <c r="BAM9" s="87"/>
      <c r="BAN9" s="87"/>
      <c r="BAO9" s="87"/>
      <c r="BAP9" s="87"/>
      <c r="BAQ9" s="87"/>
      <c r="BAR9" s="87"/>
      <c r="BAS9" s="87"/>
      <c r="BAT9" s="87"/>
      <c r="BAU9" s="87"/>
      <c r="BAV9" s="87"/>
      <c r="BAW9" s="87"/>
      <c r="BAX9" s="87"/>
      <c r="BAY9" s="87"/>
      <c r="BAZ9" s="87"/>
      <c r="BBA9" s="87"/>
      <c r="BBB9" s="87"/>
      <c r="BBC9" s="87"/>
      <c r="BBD9" s="87"/>
      <c r="BBE9" s="87"/>
      <c r="BBF9" s="87"/>
      <c r="BBG9" s="87"/>
      <c r="BBH9" s="87"/>
      <c r="BBI9" s="87"/>
      <c r="BBJ9" s="87"/>
      <c r="BBK9" s="87"/>
      <c r="BBL9" s="87"/>
      <c r="BBM9" s="87"/>
      <c r="BBN9" s="87"/>
      <c r="BBO9" s="87"/>
      <c r="BBP9" s="87"/>
      <c r="BBQ9" s="87"/>
      <c r="BBR9" s="87"/>
      <c r="BBS9" s="87"/>
      <c r="BBT9" s="87"/>
      <c r="BBU9" s="87"/>
      <c r="BBV9" s="87"/>
      <c r="BBW9" s="87"/>
      <c r="BBX9" s="87"/>
      <c r="BBY9" s="87"/>
      <c r="BBZ9" s="87"/>
      <c r="BCA9" s="87"/>
      <c r="BCB9" s="87"/>
      <c r="BCC9" s="87"/>
      <c r="BCD9" s="87"/>
      <c r="BCE9" s="87"/>
      <c r="BCF9" s="87"/>
      <c r="BCG9" s="87"/>
      <c r="BCH9" s="87"/>
      <c r="BCI9" s="87"/>
      <c r="BCJ9" s="87"/>
      <c r="BCK9" s="87"/>
      <c r="BCL9" s="87"/>
      <c r="BCM9" s="87"/>
      <c r="BCN9" s="87"/>
      <c r="BCO9" s="87"/>
      <c r="BCP9" s="87"/>
      <c r="BCQ9" s="87"/>
      <c r="BCR9" s="87"/>
      <c r="BCS9" s="87"/>
      <c r="BCT9" s="87"/>
      <c r="BCU9" s="87"/>
      <c r="BCV9" s="87"/>
      <c r="BCW9" s="87"/>
      <c r="BCX9" s="87"/>
      <c r="BCY9" s="87"/>
      <c r="BCZ9" s="87"/>
      <c r="BDA9" s="87"/>
      <c r="BDB9" s="87"/>
      <c r="BDC9" s="87"/>
      <c r="BDD9" s="87"/>
      <c r="BDE9" s="87"/>
      <c r="BDF9" s="87"/>
      <c r="BDG9" s="87"/>
      <c r="BDH9" s="87"/>
      <c r="BDI9" s="87"/>
      <c r="BDJ9" s="87"/>
      <c r="BDK9" s="87"/>
      <c r="BDL9" s="87"/>
      <c r="BDM9" s="87"/>
      <c r="BDN9" s="87"/>
      <c r="BDO9" s="87"/>
      <c r="BDP9" s="87"/>
      <c r="BDQ9" s="87"/>
      <c r="BDR9" s="87"/>
      <c r="BDS9" s="87"/>
      <c r="BDT9" s="87"/>
      <c r="BDU9" s="87"/>
      <c r="BDV9" s="87"/>
      <c r="BDW9" s="87"/>
      <c r="BDX9" s="87"/>
      <c r="BDY9" s="87"/>
      <c r="BDZ9" s="87"/>
      <c r="BEA9" s="87"/>
      <c r="BEB9" s="87"/>
      <c r="BEC9" s="87"/>
      <c r="BED9" s="87"/>
      <c r="BEE9" s="87"/>
      <c r="BEF9" s="87"/>
      <c r="BEG9" s="87"/>
      <c r="BEH9" s="87"/>
      <c r="BEI9" s="87"/>
      <c r="BEJ9" s="87"/>
      <c r="BEK9" s="87"/>
      <c r="BEL9" s="87"/>
      <c r="BEM9" s="87"/>
      <c r="BEN9" s="87"/>
      <c r="BEO9" s="87"/>
      <c r="BEP9" s="87"/>
      <c r="BEQ9" s="87"/>
      <c r="BER9" s="87"/>
      <c r="BES9" s="87"/>
      <c r="BET9" s="87"/>
      <c r="BEU9" s="87"/>
      <c r="BEV9" s="87"/>
      <c r="BEW9" s="87"/>
      <c r="BEX9" s="87"/>
      <c r="BEY9" s="87"/>
      <c r="BEZ9" s="87"/>
      <c r="BFA9" s="87"/>
      <c r="BFB9" s="87"/>
      <c r="BFC9" s="87"/>
      <c r="BFD9" s="87"/>
      <c r="BFE9" s="87"/>
      <c r="BFF9" s="87"/>
      <c r="BFG9" s="87"/>
      <c r="BFH9" s="87"/>
      <c r="BFI9" s="87"/>
      <c r="BFJ9" s="87"/>
      <c r="BFK9" s="87"/>
      <c r="BFL9" s="87"/>
      <c r="BFM9" s="87"/>
      <c r="BFN9" s="87"/>
      <c r="BFO9" s="87"/>
      <c r="BFP9" s="87"/>
      <c r="BFQ9" s="87"/>
      <c r="BFR9" s="87"/>
      <c r="BFS9" s="87"/>
      <c r="BFT9" s="87"/>
      <c r="BFU9" s="87"/>
      <c r="BFV9" s="87"/>
      <c r="BFW9" s="87"/>
      <c r="BFX9" s="87"/>
      <c r="BFY9" s="87"/>
      <c r="BFZ9" s="87"/>
      <c r="BGA9" s="87"/>
      <c r="BGB9" s="87"/>
      <c r="BGC9" s="87"/>
      <c r="BGD9" s="87"/>
      <c r="BGE9" s="87"/>
      <c r="BGF9" s="87"/>
      <c r="BGG9" s="87"/>
      <c r="BGH9" s="87"/>
      <c r="BGI9" s="87"/>
      <c r="BGJ9" s="87"/>
      <c r="BGK9" s="87"/>
      <c r="BGL9" s="87"/>
      <c r="BGM9" s="87"/>
      <c r="BGN9" s="87"/>
      <c r="BGO9" s="87"/>
      <c r="BGP9" s="87"/>
      <c r="BGQ9" s="87"/>
      <c r="BGR9" s="87"/>
      <c r="BGS9" s="87"/>
      <c r="BGT9" s="87"/>
      <c r="BGU9" s="87"/>
      <c r="BGV9" s="87"/>
      <c r="BGW9" s="87"/>
      <c r="BGX9" s="87"/>
      <c r="BGY9" s="87"/>
      <c r="BGZ9" s="87"/>
      <c r="BHA9" s="87"/>
      <c r="BHB9" s="87"/>
      <c r="BHC9" s="87"/>
      <c r="BHD9" s="87"/>
      <c r="BHE9" s="87"/>
      <c r="BHF9" s="87"/>
      <c r="BHG9" s="87"/>
      <c r="BHH9" s="87"/>
      <c r="BHI9" s="87"/>
      <c r="BHJ9" s="87"/>
      <c r="BHK9" s="87"/>
      <c r="BHL9" s="87"/>
      <c r="BHM9" s="87"/>
      <c r="BHN9" s="87"/>
      <c r="BHO9" s="87"/>
      <c r="BHP9" s="87"/>
      <c r="BHQ9" s="87"/>
      <c r="BHR9" s="87"/>
      <c r="BHS9" s="87"/>
      <c r="BHT9" s="87"/>
      <c r="BHU9" s="87"/>
      <c r="BHV9" s="87"/>
      <c r="BHW9" s="87"/>
      <c r="BHX9" s="87"/>
      <c r="BHY9" s="87"/>
      <c r="BHZ9" s="87"/>
      <c r="BIA9" s="87"/>
      <c r="BIB9" s="87"/>
      <c r="BIC9" s="87"/>
      <c r="BID9" s="87"/>
      <c r="BIE9" s="87"/>
      <c r="BIF9" s="87"/>
      <c r="BIG9" s="87"/>
      <c r="BIH9" s="87"/>
      <c r="BII9" s="87"/>
      <c r="BIJ9" s="87"/>
      <c r="BIK9" s="87"/>
      <c r="BIL9" s="87"/>
      <c r="BIM9" s="87"/>
      <c r="BIN9" s="87"/>
      <c r="BIO9" s="87"/>
      <c r="BIP9" s="87"/>
      <c r="BIQ9" s="87"/>
      <c r="BIR9" s="87"/>
      <c r="BIS9" s="87"/>
      <c r="BIT9" s="87"/>
      <c r="BIU9" s="87"/>
      <c r="BIV9" s="87"/>
      <c r="BIW9" s="87"/>
      <c r="BIX9" s="87"/>
      <c r="BIY9" s="87"/>
      <c r="BIZ9" s="87"/>
      <c r="BJA9" s="87"/>
      <c r="BJB9" s="87"/>
      <c r="BJC9" s="87"/>
      <c r="BJD9" s="87"/>
      <c r="BJE9" s="87"/>
      <c r="BJF9" s="87"/>
      <c r="BJG9" s="87"/>
      <c r="BJH9" s="87"/>
      <c r="BJI9" s="87"/>
      <c r="BJJ9" s="87"/>
      <c r="BJK9" s="87"/>
      <c r="BJL9" s="87"/>
      <c r="BJM9" s="87"/>
      <c r="BJN9" s="87"/>
      <c r="BJO9" s="87"/>
      <c r="BJP9" s="87"/>
      <c r="BJQ9" s="87"/>
      <c r="BJR9" s="87"/>
      <c r="BJS9" s="87"/>
      <c r="BJT9" s="87"/>
      <c r="BJU9" s="87"/>
      <c r="BJV9" s="87"/>
      <c r="BJW9" s="87"/>
      <c r="BJX9" s="87"/>
      <c r="BJY9" s="87"/>
      <c r="BJZ9" s="87"/>
      <c r="BKA9" s="87"/>
      <c r="BKB9" s="87"/>
      <c r="BKC9" s="87"/>
      <c r="BKD9" s="87"/>
      <c r="BKE9" s="87"/>
      <c r="BKF9" s="87"/>
      <c r="BKG9" s="87"/>
      <c r="BKH9" s="87"/>
      <c r="BKI9" s="87"/>
      <c r="BKJ9" s="87"/>
      <c r="BKK9" s="87"/>
      <c r="BKL9" s="87"/>
      <c r="BKM9" s="87"/>
      <c r="BKN9" s="87"/>
      <c r="BKO9" s="87"/>
      <c r="BKP9" s="87"/>
      <c r="BKQ9" s="87"/>
      <c r="BKR9" s="87"/>
      <c r="BKS9" s="87"/>
      <c r="BKT9" s="87"/>
      <c r="BKU9" s="87"/>
      <c r="BKV9" s="87"/>
      <c r="BKW9" s="87"/>
      <c r="BKX9" s="87"/>
      <c r="BKY9" s="87"/>
      <c r="BKZ9" s="87"/>
      <c r="BLA9" s="87"/>
      <c r="BLB9" s="87"/>
      <c r="BLC9" s="87"/>
      <c r="BLD9" s="87"/>
      <c r="BLE9" s="87"/>
      <c r="BLF9" s="87"/>
      <c r="BLG9" s="87"/>
      <c r="BLH9" s="87"/>
      <c r="BLI9" s="87"/>
      <c r="BLJ9" s="87"/>
      <c r="BLK9" s="87"/>
      <c r="BLL9" s="87"/>
      <c r="BLM9" s="87"/>
      <c r="BLN9" s="87"/>
      <c r="BLO9" s="87"/>
      <c r="BLP9" s="87"/>
      <c r="BLQ9" s="87"/>
      <c r="BLR9" s="87"/>
      <c r="BLS9" s="87"/>
      <c r="BLT9" s="87"/>
      <c r="BLU9" s="87"/>
      <c r="BLV9" s="87"/>
      <c r="BLW9" s="87"/>
      <c r="BLX9" s="87"/>
      <c r="BLY9" s="87"/>
      <c r="BLZ9" s="87"/>
      <c r="BMA9" s="87"/>
      <c r="BMB9" s="87"/>
      <c r="BMC9" s="87"/>
      <c r="BMD9" s="87"/>
      <c r="BME9" s="87"/>
      <c r="BMF9" s="87"/>
      <c r="BMG9" s="87"/>
      <c r="BMH9" s="87"/>
      <c r="BMI9" s="87"/>
      <c r="BMJ9" s="87"/>
      <c r="BMK9" s="87"/>
      <c r="BML9" s="87"/>
      <c r="BMM9" s="87"/>
      <c r="BMN9" s="87"/>
      <c r="BMO9" s="87"/>
      <c r="BMP9" s="87"/>
      <c r="BMQ9" s="87"/>
      <c r="BMR9" s="87"/>
      <c r="BMS9" s="87"/>
      <c r="BMT9" s="87"/>
      <c r="BMU9" s="87"/>
      <c r="BMV9" s="87"/>
      <c r="BMW9" s="87"/>
      <c r="BMX9" s="87"/>
      <c r="BMY9" s="87"/>
      <c r="BMZ9" s="87"/>
      <c r="BNA9" s="87"/>
      <c r="BNB9" s="87"/>
      <c r="BNC9" s="87"/>
      <c r="BND9" s="87"/>
      <c r="BNE9" s="87"/>
      <c r="BNF9" s="87"/>
      <c r="BNG9" s="87"/>
      <c r="BNH9" s="87"/>
      <c r="BNI9" s="87"/>
      <c r="BNJ9" s="87"/>
      <c r="BNK9" s="87"/>
      <c r="BNL9" s="87"/>
      <c r="BNM9" s="87"/>
      <c r="BNN9" s="87"/>
      <c r="BNO9" s="87"/>
      <c r="BNP9" s="87"/>
      <c r="BNQ9" s="87"/>
      <c r="BNR9" s="87"/>
      <c r="BNS9" s="87"/>
      <c r="BNT9" s="87"/>
      <c r="BNU9" s="87"/>
      <c r="BNV9" s="87"/>
      <c r="BNW9" s="87"/>
      <c r="BNX9" s="87"/>
      <c r="BNY9" s="87"/>
      <c r="BNZ9" s="87"/>
      <c r="BOA9" s="87"/>
      <c r="BOB9" s="87"/>
      <c r="BOC9" s="87"/>
      <c r="BOD9" s="87"/>
      <c r="BOE9" s="87"/>
      <c r="BOF9" s="87"/>
      <c r="BOG9" s="87"/>
      <c r="BOH9" s="87"/>
      <c r="BOI9" s="87"/>
      <c r="BOJ9" s="87"/>
      <c r="BOK9" s="87"/>
      <c r="BOL9" s="87"/>
      <c r="BOM9" s="87"/>
      <c r="BON9" s="87"/>
      <c r="BOO9" s="87"/>
      <c r="BOP9" s="87"/>
      <c r="BOQ9" s="87"/>
      <c r="BOR9" s="87"/>
      <c r="BOS9" s="87"/>
      <c r="BOT9" s="87"/>
      <c r="BOU9" s="87"/>
      <c r="BOV9" s="87"/>
      <c r="BOW9" s="87"/>
      <c r="BOX9" s="87"/>
      <c r="BOY9" s="87"/>
      <c r="BOZ9" s="87"/>
      <c r="BPA9" s="87"/>
      <c r="BPB9" s="87"/>
      <c r="BPC9" s="87"/>
      <c r="BPD9" s="87"/>
      <c r="BPE9" s="87"/>
      <c r="BPF9" s="87"/>
      <c r="BPG9" s="87"/>
      <c r="BPH9" s="87"/>
      <c r="BPI9" s="87"/>
      <c r="BPJ9" s="87"/>
      <c r="BPK9" s="87"/>
      <c r="BPL9" s="87"/>
      <c r="BPM9" s="87"/>
      <c r="BPN9" s="87"/>
      <c r="BPO9" s="87"/>
      <c r="BPP9" s="87"/>
      <c r="BPQ9" s="87"/>
      <c r="BPR9" s="87"/>
      <c r="BPS9" s="87"/>
      <c r="BPT9" s="87"/>
      <c r="BPU9" s="87"/>
      <c r="BPV9" s="87"/>
      <c r="BPW9" s="87"/>
      <c r="BPX9" s="87"/>
      <c r="BPY9" s="87"/>
      <c r="BPZ9" s="87"/>
      <c r="BQA9" s="87"/>
      <c r="BQB9" s="87"/>
      <c r="BQC9" s="87"/>
      <c r="BQD9" s="87"/>
      <c r="BQE9" s="87"/>
      <c r="BQF9" s="87"/>
      <c r="BQG9" s="87"/>
      <c r="BQH9" s="87"/>
      <c r="BQI9" s="87"/>
      <c r="BQJ9" s="87"/>
      <c r="BQK9" s="87"/>
      <c r="BQL9" s="87"/>
      <c r="BQM9" s="87"/>
      <c r="BQN9" s="87"/>
      <c r="BQO9" s="87"/>
      <c r="BQP9" s="87"/>
      <c r="BQQ9" s="87"/>
      <c r="BQR9" s="87"/>
      <c r="BQS9" s="87"/>
      <c r="BQT9" s="87"/>
      <c r="BQU9" s="87"/>
      <c r="BQV9" s="87"/>
      <c r="BQW9" s="87"/>
      <c r="BQX9" s="87"/>
      <c r="BQY9" s="87"/>
      <c r="BQZ9" s="87"/>
      <c r="BRA9" s="87"/>
      <c r="BRB9" s="87"/>
      <c r="BRC9" s="87"/>
      <c r="BRD9" s="87"/>
      <c r="BRE9" s="87"/>
      <c r="BRF9" s="87"/>
      <c r="BRG9" s="87"/>
      <c r="BRH9" s="87"/>
      <c r="BRI9" s="87"/>
      <c r="BRJ9" s="87"/>
      <c r="BRK9" s="87"/>
      <c r="BRL9" s="87"/>
      <c r="BRM9" s="87"/>
      <c r="BRN9" s="87"/>
      <c r="BRO9" s="87"/>
      <c r="BRP9" s="87"/>
      <c r="BRQ9" s="87"/>
      <c r="BRR9" s="87"/>
      <c r="BRS9" s="87"/>
      <c r="BRT9" s="87"/>
      <c r="BRU9" s="87"/>
      <c r="BRV9" s="87"/>
      <c r="BRW9" s="87"/>
      <c r="BRX9" s="87"/>
      <c r="BRY9" s="87"/>
      <c r="BRZ9" s="87"/>
      <c r="BSA9" s="87"/>
      <c r="BSB9" s="87"/>
      <c r="BSC9" s="87"/>
      <c r="BSD9" s="87"/>
      <c r="BSE9" s="87"/>
      <c r="BSF9" s="87"/>
      <c r="BSG9" s="87"/>
      <c r="BSH9" s="87"/>
      <c r="BSI9" s="87"/>
      <c r="BSJ9" s="87"/>
      <c r="BSK9" s="87"/>
      <c r="BSL9" s="87"/>
      <c r="BSM9" s="87"/>
      <c r="BSN9" s="87"/>
      <c r="BSO9" s="87"/>
      <c r="BSP9" s="87"/>
      <c r="BSQ9" s="87"/>
      <c r="BSR9" s="87"/>
      <c r="BSS9" s="87"/>
      <c r="BST9" s="87"/>
      <c r="BSU9" s="87"/>
      <c r="BSV9" s="87"/>
      <c r="BSW9" s="87"/>
      <c r="BSX9" s="87"/>
      <c r="BSY9" s="87"/>
      <c r="BSZ9" s="87"/>
      <c r="BTA9" s="87"/>
      <c r="BTB9" s="87"/>
      <c r="BTC9" s="87"/>
      <c r="BTD9" s="87"/>
      <c r="BTE9" s="87"/>
      <c r="BTF9" s="87"/>
      <c r="BTG9" s="87"/>
      <c r="BTH9" s="87"/>
      <c r="BTI9" s="87"/>
      <c r="BTJ9" s="87"/>
      <c r="BTK9" s="87"/>
      <c r="BTL9" s="87"/>
      <c r="BTM9" s="87"/>
      <c r="BTN9" s="87"/>
      <c r="BTO9" s="87"/>
      <c r="BTP9" s="87"/>
      <c r="BTQ9" s="87"/>
      <c r="BTR9" s="87"/>
      <c r="BTS9" s="87"/>
      <c r="BTT9" s="87"/>
      <c r="BTU9" s="87"/>
      <c r="BTV9" s="87"/>
      <c r="BTW9" s="87"/>
      <c r="BTX9" s="87"/>
      <c r="BTY9" s="87"/>
      <c r="BTZ9" s="87"/>
      <c r="BUA9" s="87"/>
      <c r="BUB9" s="87"/>
      <c r="BUC9" s="87"/>
      <c r="BUD9" s="87"/>
      <c r="BUE9" s="87"/>
      <c r="BUF9" s="87"/>
      <c r="BUG9" s="87"/>
      <c r="BUH9" s="87"/>
      <c r="BUI9" s="87"/>
      <c r="BUJ9" s="87"/>
      <c r="BUK9" s="87"/>
      <c r="BUL9" s="87"/>
      <c r="BUM9" s="87"/>
      <c r="BUN9" s="87"/>
      <c r="BUO9" s="87"/>
      <c r="BUP9" s="87"/>
      <c r="BUQ9" s="87"/>
      <c r="BUR9" s="87"/>
      <c r="BUS9" s="87"/>
      <c r="BUT9" s="87"/>
      <c r="BUU9" s="87"/>
      <c r="BUV9" s="87"/>
      <c r="BUW9" s="87"/>
      <c r="BUX9" s="87"/>
      <c r="BUY9" s="87"/>
      <c r="BUZ9" s="87"/>
      <c r="BVA9" s="87"/>
      <c r="BVB9" s="87"/>
      <c r="BVC9" s="87"/>
      <c r="BVD9" s="87"/>
      <c r="BVE9" s="87"/>
      <c r="BVF9" s="87"/>
      <c r="BVG9" s="87"/>
      <c r="BVH9" s="87"/>
      <c r="BVI9" s="87"/>
      <c r="BVJ9" s="87"/>
      <c r="BVK9" s="87"/>
      <c r="BVL9" s="87"/>
      <c r="BVM9" s="87"/>
      <c r="BVN9" s="87"/>
      <c r="BVO9" s="87"/>
      <c r="BVP9" s="87"/>
      <c r="BVQ9" s="87"/>
      <c r="BVR9" s="87"/>
      <c r="BVS9" s="87"/>
      <c r="BVT9" s="87"/>
      <c r="BVU9" s="87"/>
      <c r="BVV9" s="87"/>
      <c r="BVW9" s="87"/>
      <c r="BVX9" s="87"/>
      <c r="BVY9" s="87"/>
      <c r="BVZ9" s="87"/>
      <c r="BWA9" s="87"/>
      <c r="BWB9" s="87"/>
      <c r="BWC9" s="87"/>
      <c r="BWD9" s="87"/>
      <c r="BWE9" s="87"/>
      <c r="BWF9" s="87"/>
      <c r="BWG9" s="87"/>
      <c r="BWH9" s="87"/>
      <c r="BWI9" s="87"/>
      <c r="BWJ9" s="87"/>
      <c r="BWK9" s="87"/>
      <c r="BWL9" s="87"/>
      <c r="BWM9" s="87"/>
      <c r="BWN9" s="87"/>
      <c r="BWO9" s="87"/>
      <c r="BWP9" s="87"/>
      <c r="BWQ9" s="87"/>
      <c r="BWR9" s="87"/>
      <c r="BWS9" s="87"/>
      <c r="BWT9" s="87"/>
      <c r="BWU9" s="87"/>
      <c r="BWV9" s="87"/>
      <c r="BWW9" s="87"/>
      <c r="BWX9" s="87"/>
      <c r="BWY9" s="87"/>
      <c r="BWZ9" s="87"/>
      <c r="BXA9" s="87"/>
      <c r="BXB9" s="87"/>
      <c r="BXC9" s="87"/>
      <c r="BXD9" s="87"/>
      <c r="BXE9" s="87"/>
      <c r="BXF9" s="87"/>
      <c r="BXG9" s="87"/>
      <c r="BXH9" s="87"/>
      <c r="BXI9" s="87"/>
      <c r="BXJ9" s="87"/>
      <c r="BXK9" s="87"/>
      <c r="BXL9" s="87"/>
      <c r="BXM9" s="87"/>
      <c r="BXN9" s="87"/>
      <c r="BXO9" s="87"/>
      <c r="BXP9" s="87"/>
      <c r="BXQ9" s="87"/>
      <c r="BXR9" s="87"/>
      <c r="BXS9" s="87"/>
      <c r="BXT9" s="87"/>
      <c r="BXU9" s="87"/>
      <c r="BXV9" s="87"/>
      <c r="BXW9" s="87"/>
      <c r="BXX9" s="87"/>
      <c r="BXY9" s="87"/>
      <c r="BXZ9" s="87"/>
      <c r="BYA9" s="87"/>
      <c r="BYB9" s="87"/>
      <c r="BYC9" s="87"/>
      <c r="BYD9" s="87"/>
      <c r="BYE9" s="87"/>
      <c r="BYF9" s="87"/>
      <c r="BYG9" s="87"/>
      <c r="BYH9" s="87"/>
      <c r="BYI9" s="87"/>
      <c r="BYJ9" s="87"/>
      <c r="BYK9" s="87"/>
      <c r="BYL9" s="87"/>
      <c r="BYM9" s="87"/>
      <c r="BYN9" s="87"/>
      <c r="BYO9" s="87"/>
      <c r="BYP9" s="87"/>
      <c r="BYQ9" s="87"/>
      <c r="BYR9" s="87"/>
      <c r="BYS9" s="87"/>
      <c r="BYT9" s="87"/>
      <c r="BYU9" s="87"/>
      <c r="BYV9" s="87"/>
      <c r="BYW9" s="87"/>
      <c r="BYX9" s="87"/>
      <c r="BYY9" s="87"/>
      <c r="BYZ9" s="87"/>
      <c r="BZA9" s="87"/>
      <c r="BZB9" s="87"/>
      <c r="BZC9" s="87"/>
      <c r="BZD9" s="87"/>
      <c r="BZE9" s="87"/>
      <c r="BZF9" s="87"/>
      <c r="BZG9" s="87"/>
      <c r="BZH9" s="87"/>
      <c r="BZI9" s="87"/>
      <c r="BZJ9" s="87"/>
      <c r="BZK9" s="87"/>
      <c r="BZL9" s="87"/>
      <c r="BZM9" s="87"/>
      <c r="BZN9" s="87"/>
      <c r="BZO9" s="87"/>
      <c r="BZP9" s="87"/>
      <c r="BZQ9" s="87"/>
      <c r="BZR9" s="87"/>
      <c r="BZS9" s="87"/>
      <c r="BZT9" s="87"/>
      <c r="BZU9" s="87"/>
      <c r="BZV9" s="87"/>
      <c r="BZW9" s="87"/>
      <c r="BZX9" s="87"/>
      <c r="BZY9" s="87"/>
      <c r="BZZ9" s="87"/>
      <c r="CAA9" s="87"/>
      <c r="CAB9" s="87"/>
      <c r="CAC9" s="87"/>
      <c r="CAD9" s="87"/>
      <c r="CAE9" s="87"/>
      <c r="CAF9" s="87"/>
      <c r="CAG9" s="87"/>
      <c r="CAH9" s="87"/>
      <c r="CAI9" s="87"/>
      <c r="CAJ9" s="87"/>
      <c r="CAK9" s="87"/>
      <c r="CAL9" s="87"/>
      <c r="CAM9" s="87"/>
      <c r="CAN9" s="87"/>
      <c r="CAO9" s="87"/>
      <c r="CAP9" s="87"/>
      <c r="CAQ9" s="87"/>
      <c r="CAR9" s="87"/>
      <c r="CAS9" s="87"/>
      <c r="CAT9" s="87"/>
      <c r="CAU9" s="87"/>
      <c r="CAV9" s="87"/>
      <c r="CAW9" s="87"/>
      <c r="CAX9" s="87"/>
      <c r="CAY9" s="87"/>
      <c r="CAZ9" s="87"/>
      <c r="CBA9" s="87"/>
      <c r="CBB9" s="87"/>
      <c r="CBC9" s="87"/>
      <c r="CBD9" s="87"/>
      <c r="CBE9" s="87"/>
      <c r="CBF9" s="87"/>
      <c r="CBG9" s="87"/>
      <c r="CBH9" s="87"/>
      <c r="CBI9" s="87"/>
      <c r="CBJ9" s="87"/>
      <c r="CBK9" s="87"/>
      <c r="CBL9" s="87"/>
      <c r="CBM9" s="87"/>
      <c r="CBN9" s="87"/>
      <c r="CBO9" s="87"/>
      <c r="CBP9" s="87"/>
      <c r="CBQ9" s="87"/>
      <c r="CBR9" s="87"/>
      <c r="CBS9" s="87"/>
      <c r="CBT9" s="87"/>
      <c r="CBU9" s="87"/>
      <c r="CBV9" s="87"/>
      <c r="CBW9" s="87"/>
      <c r="CBX9" s="87"/>
      <c r="CBY9" s="87"/>
      <c r="CBZ9" s="87"/>
      <c r="CCA9" s="87"/>
      <c r="CCB9" s="87"/>
      <c r="CCC9" s="87"/>
      <c r="CCD9" s="87"/>
      <c r="CCE9" s="87"/>
      <c r="CCF9" s="87"/>
      <c r="CCG9" s="87"/>
      <c r="CCH9" s="87"/>
      <c r="CCI9" s="87"/>
      <c r="CCJ9" s="87"/>
      <c r="CCK9" s="87"/>
      <c r="CCL9" s="87"/>
      <c r="CCM9" s="87"/>
      <c r="CCN9" s="87"/>
      <c r="CCO9" s="87"/>
      <c r="CCP9" s="87"/>
      <c r="CCQ9" s="87"/>
      <c r="CCR9" s="87"/>
      <c r="CCS9" s="87"/>
      <c r="CCT9" s="87"/>
      <c r="CCU9" s="87"/>
      <c r="CCV9" s="87"/>
      <c r="CCW9" s="87"/>
      <c r="CCX9" s="87"/>
      <c r="CCY9" s="87"/>
      <c r="CCZ9" s="87"/>
      <c r="CDA9" s="87"/>
      <c r="CDB9" s="87"/>
      <c r="CDC9" s="87"/>
      <c r="CDD9" s="87"/>
      <c r="CDE9" s="87"/>
      <c r="CDF9" s="87"/>
      <c r="CDG9" s="87"/>
      <c r="CDH9" s="87"/>
      <c r="CDI9" s="87"/>
      <c r="CDJ9" s="87"/>
      <c r="CDK9" s="87"/>
      <c r="CDL9" s="87"/>
      <c r="CDM9" s="87"/>
      <c r="CDN9" s="87"/>
      <c r="CDO9" s="87"/>
      <c r="CDP9" s="87"/>
      <c r="CDQ9" s="87"/>
      <c r="CDR9" s="87"/>
      <c r="CDS9" s="87"/>
      <c r="CDT9" s="87"/>
      <c r="CDU9" s="87"/>
      <c r="CDV9" s="87"/>
      <c r="CDW9" s="87"/>
      <c r="CDX9" s="87"/>
      <c r="CDY9" s="87"/>
      <c r="CDZ9" s="87"/>
      <c r="CEA9" s="87"/>
      <c r="CEB9" s="87"/>
      <c r="CEC9" s="87"/>
      <c r="CED9" s="87"/>
      <c r="CEE9" s="87"/>
      <c r="CEF9" s="87"/>
      <c r="CEG9" s="87"/>
      <c r="CEH9" s="87"/>
      <c r="CEI9" s="87"/>
      <c r="CEJ9" s="87"/>
      <c r="CEK9" s="87"/>
      <c r="CEL9" s="87"/>
      <c r="CEM9" s="87"/>
      <c r="CEN9" s="87"/>
      <c r="CEO9" s="87"/>
      <c r="CEP9" s="87"/>
      <c r="CEQ9" s="87"/>
      <c r="CER9" s="87"/>
      <c r="CES9" s="87"/>
      <c r="CET9" s="87"/>
      <c r="CEU9" s="87"/>
      <c r="CEV9" s="87"/>
      <c r="CEW9" s="87"/>
      <c r="CEX9" s="87"/>
      <c r="CEY9" s="87"/>
      <c r="CEZ9" s="87"/>
      <c r="CFA9" s="87"/>
      <c r="CFB9" s="87"/>
      <c r="CFC9" s="87"/>
      <c r="CFD9" s="87"/>
      <c r="CFE9" s="87"/>
      <c r="CFF9" s="87"/>
      <c r="CFG9" s="87"/>
      <c r="CFH9" s="87"/>
      <c r="CFI9" s="87"/>
      <c r="CFJ9" s="87"/>
      <c r="CFK9" s="87"/>
      <c r="CFL9" s="87"/>
      <c r="CFM9" s="87"/>
      <c r="CFN9" s="87"/>
      <c r="CFO9" s="87"/>
      <c r="CFP9" s="87"/>
      <c r="CFQ9" s="87"/>
      <c r="CFR9" s="87"/>
      <c r="CFS9" s="87"/>
      <c r="CFT9" s="87"/>
      <c r="CFU9" s="87"/>
      <c r="CFV9" s="87"/>
      <c r="CFW9" s="87"/>
      <c r="CFX9" s="87"/>
      <c r="CFY9" s="87"/>
      <c r="CFZ9" s="87"/>
      <c r="CGA9" s="87"/>
      <c r="CGB9" s="87"/>
      <c r="CGC9" s="87"/>
      <c r="CGD9" s="87"/>
      <c r="CGE9" s="87"/>
      <c r="CGF9" s="87"/>
      <c r="CGG9" s="87"/>
      <c r="CGH9" s="87"/>
      <c r="CGI9" s="87"/>
      <c r="CGJ9" s="87"/>
      <c r="CGK9" s="87"/>
      <c r="CGL9" s="87"/>
      <c r="CGM9" s="87"/>
      <c r="CGN9" s="87"/>
      <c r="CGO9" s="87"/>
      <c r="CGP9" s="87"/>
      <c r="CGQ9" s="87"/>
      <c r="CGR9" s="87"/>
      <c r="CGS9" s="87"/>
      <c r="CGT9" s="87"/>
      <c r="CGU9" s="87"/>
      <c r="CGV9" s="87"/>
      <c r="CGW9" s="87"/>
      <c r="CGX9" s="87"/>
      <c r="CGY9" s="87"/>
      <c r="CGZ9" s="87"/>
      <c r="CHA9" s="87"/>
      <c r="CHB9" s="87"/>
      <c r="CHC9" s="87"/>
      <c r="CHD9" s="87"/>
      <c r="CHE9" s="87"/>
      <c r="CHF9" s="87"/>
      <c r="CHG9" s="87"/>
      <c r="CHH9" s="87"/>
      <c r="CHI9" s="87"/>
      <c r="CHJ9" s="87"/>
      <c r="CHK9" s="87"/>
      <c r="CHL9" s="87"/>
      <c r="CHM9" s="87"/>
      <c r="CHN9" s="87"/>
      <c r="CHO9" s="87"/>
      <c r="CHP9" s="87"/>
      <c r="CHQ9" s="87"/>
      <c r="CHR9" s="87"/>
      <c r="CHS9" s="87"/>
      <c r="CHT9" s="87"/>
      <c r="CHU9" s="87"/>
      <c r="CHV9" s="87"/>
      <c r="CHW9" s="87"/>
      <c r="CHX9" s="87"/>
      <c r="CHY9" s="87"/>
      <c r="CHZ9" s="87"/>
      <c r="CIA9" s="87"/>
      <c r="CIB9" s="87"/>
      <c r="CIC9" s="87"/>
      <c r="CID9" s="87"/>
      <c r="CIE9" s="87"/>
      <c r="CIF9" s="87"/>
      <c r="CIG9" s="87"/>
      <c r="CIH9" s="87"/>
      <c r="CII9" s="87"/>
      <c r="CIJ9" s="87"/>
      <c r="CIK9" s="87"/>
      <c r="CIL9" s="87"/>
      <c r="CIM9" s="87"/>
      <c r="CIN9" s="87"/>
      <c r="CIO9" s="87"/>
      <c r="CIP9" s="87"/>
      <c r="CIQ9" s="87"/>
      <c r="CIR9" s="87"/>
      <c r="CIS9" s="87"/>
      <c r="CIT9" s="87"/>
      <c r="CIU9" s="87"/>
      <c r="CIV9" s="87"/>
      <c r="CIW9" s="87"/>
      <c r="CIX9" s="87"/>
      <c r="CIY9" s="87"/>
      <c r="CIZ9" s="87"/>
      <c r="CJA9" s="87"/>
      <c r="CJB9" s="87"/>
      <c r="CJC9" s="87"/>
      <c r="CJD9" s="87"/>
      <c r="CJE9" s="87"/>
      <c r="CJF9" s="87"/>
      <c r="CJG9" s="87"/>
      <c r="CJH9" s="87"/>
      <c r="CJI9" s="87"/>
      <c r="CJJ9" s="87"/>
      <c r="CJK9" s="87"/>
      <c r="CJL9" s="87"/>
      <c r="CJM9" s="87"/>
      <c r="CJN9" s="87"/>
      <c r="CJO9" s="87"/>
      <c r="CJP9" s="87"/>
      <c r="CJQ9" s="87"/>
      <c r="CJR9" s="87"/>
      <c r="CJS9" s="87"/>
      <c r="CJT9" s="87"/>
      <c r="CJU9" s="87"/>
      <c r="CJV9" s="87"/>
      <c r="CJW9" s="87"/>
      <c r="CJX9" s="87"/>
      <c r="CJY9" s="87"/>
      <c r="CJZ9" s="87"/>
      <c r="CKA9" s="87"/>
      <c r="CKB9" s="87"/>
      <c r="CKC9" s="87"/>
      <c r="CKD9" s="87"/>
      <c r="CKE9" s="87"/>
      <c r="CKF9" s="87"/>
      <c r="CKG9" s="87"/>
      <c r="CKH9" s="87"/>
      <c r="CKI9" s="87"/>
      <c r="CKJ9" s="87"/>
      <c r="CKK9" s="87"/>
      <c r="CKL9" s="87"/>
      <c r="CKM9" s="87"/>
      <c r="CKN9" s="87"/>
      <c r="CKO9" s="87"/>
      <c r="CKP9" s="87"/>
      <c r="CKQ9" s="87"/>
      <c r="CKR9" s="87"/>
      <c r="CKS9" s="87"/>
      <c r="CKT9" s="87"/>
      <c r="CKU9" s="87"/>
      <c r="CKV9" s="87"/>
      <c r="CKW9" s="87"/>
      <c r="CKX9" s="87"/>
      <c r="CKY9" s="87"/>
      <c r="CKZ9" s="87"/>
      <c r="CLA9" s="87"/>
      <c r="CLB9" s="87"/>
      <c r="CLC9" s="87"/>
      <c r="CLD9" s="87"/>
      <c r="CLE9" s="87"/>
      <c r="CLF9" s="87"/>
      <c r="CLG9" s="87"/>
      <c r="CLH9" s="87"/>
      <c r="CLI9" s="87"/>
      <c r="CLJ9" s="87"/>
      <c r="CLK9" s="87"/>
      <c r="CLL9" s="87"/>
      <c r="CLM9" s="87"/>
      <c r="CLN9" s="87"/>
      <c r="CLO9" s="87"/>
      <c r="CLP9" s="87"/>
      <c r="CLQ9" s="87"/>
      <c r="CLR9" s="87"/>
      <c r="CLS9" s="87"/>
      <c r="CLT9" s="87"/>
      <c r="CLU9" s="87"/>
      <c r="CLV9" s="87"/>
      <c r="CLW9" s="87"/>
      <c r="CLX9" s="87"/>
      <c r="CLY9" s="87"/>
      <c r="CLZ9" s="87"/>
      <c r="CMA9" s="87"/>
      <c r="CMB9" s="87"/>
      <c r="CMC9" s="87"/>
      <c r="CMD9" s="87"/>
      <c r="CME9" s="87"/>
      <c r="CMF9" s="87"/>
      <c r="CMG9" s="87"/>
      <c r="CMH9" s="87"/>
      <c r="CMI9" s="87"/>
      <c r="CMJ9" s="87"/>
      <c r="CMK9" s="87"/>
      <c r="CML9" s="87"/>
      <c r="CMM9" s="87"/>
      <c r="CMN9" s="87"/>
      <c r="CMO9" s="87"/>
      <c r="CMP9" s="87"/>
      <c r="CMQ9" s="87"/>
      <c r="CMR9" s="87"/>
      <c r="CMS9" s="87"/>
      <c r="CMT9" s="87"/>
      <c r="CMU9" s="87"/>
      <c r="CMV9" s="87"/>
      <c r="CMW9" s="87"/>
      <c r="CMX9" s="87"/>
      <c r="CMY9" s="87"/>
      <c r="CMZ9" s="87"/>
      <c r="CNA9" s="87"/>
      <c r="CNB9" s="87"/>
      <c r="CNC9" s="87"/>
      <c r="CND9" s="87"/>
      <c r="CNE9" s="87"/>
      <c r="CNF9" s="87"/>
      <c r="CNG9" s="87"/>
      <c r="CNH9" s="87"/>
      <c r="CNI9" s="87"/>
      <c r="CNJ9" s="87"/>
      <c r="CNK9" s="87"/>
      <c r="CNL9" s="87"/>
      <c r="CNM9" s="87"/>
      <c r="CNN9" s="87"/>
      <c r="CNO9" s="87"/>
      <c r="CNP9" s="87"/>
      <c r="CNQ9" s="87"/>
      <c r="CNR9" s="87"/>
      <c r="CNS9" s="87"/>
      <c r="CNT9" s="87"/>
      <c r="CNU9" s="87"/>
      <c r="CNV9" s="87"/>
      <c r="CNW9" s="87"/>
      <c r="CNX9" s="87"/>
      <c r="CNY9" s="87"/>
      <c r="CNZ9" s="87"/>
      <c r="COA9" s="87"/>
      <c r="COB9" s="87"/>
      <c r="COC9" s="87"/>
      <c r="COD9" s="87"/>
      <c r="COE9" s="87"/>
      <c r="COF9" s="87"/>
      <c r="COG9" s="87"/>
      <c r="COH9" s="87"/>
      <c r="COI9" s="87"/>
      <c r="COJ9" s="87"/>
      <c r="COK9" s="87"/>
      <c r="COL9" s="87"/>
      <c r="COM9" s="87"/>
      <c r="CON9" s="87"/>
      <c r="COO9" s="87"/>
      <c r="COP9" s="87"/>
      <c r="COQ9" s="87"/>
      <c r="COR9" s="87"/>
      <c r="COS9" s="87"/>
      <c r="COT9" s="87"/>
      <c r="COU9" s="87"/>
      <c r="COV9" s="87"/>
      <c r="COW9" s="87"/>
      <c r="COX9" s="87"/>
      <c r="COY9" s="87"/>
      <c r="COZ9" s="87"/>
      <c r="CPA9" s="87"/>
      <c r="CPB9" s="87"/>
      <c r="CPC9" s="87"/>
      <c r="CPD9" s="87"/>
      <c r="CPE9" s="87"/>
      <c r="CPF9" s="87"/>
      <c r="CPG9" s="87"/>
      <c r="CPH9" s="87"/>
      <c r="CPI9" s="87"/>
      <c r="CPJ9" s="87"/>
      <c r="CPK9" s="87"/>
      <c r="CPL9" s="87"/>
      <c r="CPM9" s="87"/>
      <c r="CPN9" s="87"/>
      <c r="CPO9" s="87"/>
      <c r="CPP9" s="87"/>
      <c r="CPQ9" s="87"/>
      <c r="CPR9" s="87"/>
      <c r="CPS9" s="87"/>
      <c r="CPT9" s="87"/>
      <c r="CPU9" s="87"/>
      <c r="CPV9" s="87"/>
      <c r="CPW9" s="87"/>
      <c r="CPX9" s="87"/>
      <c r="CPY9" s="87"/>
      <c r="CPZ9" s="87"/>
      <c r="CQA9" s="87"/>
      <c r="CQB9" s="87"/>
      <c r="CQC9" s="87"/>
      <c r="CQD9" s="87"/>
      <c r="CQE9" s="87"/>
      <c r="CQF9" s="87"/>
      <c r="CQG9" s="87"/>
      <c r="CQH9" s="87"/>
      <c r="CQI9" s="87"/>
      <c r="CQJ9" s="87"/>
      <c r="CQK9" s="87"/>
      <c r="CQL9" s="87"/>
      <c r="CQM9" s="87"/>
      <c r="CQN9" s="87"/>
      <c r="CQO9" s="87"/>
      <c r="CQP9" s="87"/>
      <c r="CQQ9" s="87"/>
      <c r="CQR9" s="87"/>
      <c r="CQS9" s="87"/>
      <c r="CQT9" s="87"/>
      <c r="CQU9" s="87"/>
      <c r="CQV9" s="87"/>
      <c r="CQW9" s="87"/>
      <c r="CQX9" s="87"/>
      <c r="CQY9" s="87"/>
      <c r="CQZ9" s="87"/>
      <c r="CRA9" s="87"/>
      <c r="CRB9" s="87"/>
      <c r="CRC9" s="87"/>
      <c r="CRD9" s="87"/>
      <c r="CRE9" s="87"/>
      <c r="CRF9" s="87"/>
      <c r="CRG9" s="87"/>
      <c r="CRH9" s="87"/>
      <c r="CRI9" s="87"/>
      <c r="CRJ9" s="87"/>
      <c r="CRK9" s="87"/>
      <c r="CRL9" s="87"/>
      <c r="CRM9" s="87"/>
      <c r="CRN9" s="87"/>
      <c r="CRO9" s="87"/>
      <c r="CRP9" s="87"/>
      <c r="CRQ9" s="87"/>
      <c r="CRR9" s="87"/>
      <c r="CRS9" s="87"/>
      <c r="CRT9" s="87"/>
      <c r="CRU9" s="87"/>
      <c r="CRV9" s="87"/>
      <c r="CRW9" s="87"/>
      <c r="CRX9" s="87"/>
      <c r="CRY9" s="87"/>
      <c r="CRZ9" s="87"/>
      <c r="CSA9" s="87"/>
      <c r="CSB9" s="87"/>
      <c r="CSC9" s="87"/>
      <c r="CSD9" s="87"/>
      <c r="CSE9" s="87"/>
      <c r="CSF9" s="87"/>
      <c r="CSG9" s="87"/>
      <c r="CSH9" s="87"/>
      <c r="CSI9" s="87"/>
      <c r="CSJ9" s="87"/>
      <c r="CSK9" s="87"/>
      <c r="CSL9" s="87"/>
      <c r="CSM9" s="87"/>
      <c r="CSN9" s="87"/>
      <c r="CSO9" s="87"/>
      <c r="CSP9" s="87"/>
      <c r="CSQ9" s="87"/>
      <c r="CSR9" s="87"/>
      <c r="CSS9" s="87"/>
      <c r="CST9" s="87"/>
      <c r="CSU9" s="87"/>
      <c r="CSV9" s="87"/>
      <c r="CSW9" s="87"/>
      <c r="CSX9" s="87"/>
      <c r="CSY9" s="87"/>
      <c r="CSZ9" s="87"/>
      <c r="CTA9" s="87"/>
      <c r="CTB9" s="87"/>
      <c r="CTC9" s="87"/>
      <c r="CTD9" s="87"/>
      <c r="CTE9" s="87"/>
      <c r="CTF9" s="87"/>
      <c r="CTG9" s="87"/>
      <c r="CTH9" s="87"/>
      <c r="CTI9" s="87"/>
      <c r="CTJ9" s="87"/>
      <c r="CTK9" s="87"/>
      <c r="CTL9" s="87"/>
      <c r="CTM9" s="87"/>
      <c r="CTN9" s="87"/>
      <c r="CTO9" s="87"/>
      <c r="CTP9" s="87"/>
      <c r="CTQ9" s="87"/>
      <c r="CTR9" s="87"/>
      <c r="CTS9" s="87"/>
      <c r="CTT9" s="87"/>
      <c r="CTU9" s="87"/>
      <c r="CTV9" s="87"/>
      <c r="CTW9" s="87"/>
      <c r="CTX9" s="87"/>
      <c r="CTY9" s="87"/>
      <c r="CTZ9" s="87"/>
      <c r="CUA9" s="87"/>
      <c r="CUB9" s="87"/>
      <c r="CUC9" s="87"/>
      <c r="CUD9" s="87"/>
      <c r="CUE9" s="87"/>
      <c r="CUF9" s="87"/>
      <c r="CUG9" s="87"/>
      <c r="CUH9" s="87"/>
      <c r="CUI9" s="87"/>
      <c r="CUJ9" s="87"/>
      <c r="CUK9" s="87"/>
      <c r="CUL9" s="87"/>
      <c r="CUM9" s="87"/>
      <c r="CUN9" s="87"/>
      <c r="CUO9" s="87"/>
      <c r="CUP9" s="87"/>
      <c r="CUQ9" s="87"/>
      <c r="CUR9" s="87"/>
      <c r="CUS9" s="87"/>
      <c r="CUT9" s="87"/>
      <c r="CUU9" s="87"/>
      <c r="CUV9" s="87"/>
      <c r="CUW9" s="87"/>
      <c r="CUX9" s="87"/>
      <c r="CUY9" s="87"/>
      <c r="CUZ9" s="87"/>
      <c r="CVA9" s="87"/>
      <c r="CVB9" s="87"/>
      <c r="CVC9" s="87"/>
      <c r="CVD9" s="87"/>
      <c r="CVE9" s="87"/>
      <c r="CVF9" s="87"/>
      <c r="CVG9" s="87"/>
      <c r="CVH9" s="87"/>
      <c r="CVI9" s="87"/>
      <c r="CVJ9" s="87"/>
      <c r="CVK9" s="87"/>
      <c r="CVL9" s="87"/>
      <c r="CVM9" s="87"/>
      <c r="CVN9" s="87"/>
      <c r="CVO9" s="87"/>
      <c r="CVP9" s="87"/>
      <c r="CVQ9" s="87"/>
      <c r="CVR9" s="87"/>
      <c r="CVS9" s="87"/>
      <c r="CVT9" s="87"/>
      <c r="CVU9" s="87"/>
      <c r="CVV9" s="87"/>
      <c r="CVW9" s="87"/>
      <c r="CVX9" s="87"/>
      <c r="CVY9" s="87"/>
      <c r="CVZ9" s="87"/>
      <c r="CWA9" s="87"/>
      <c r="CWB9" s="87"/>
      <c r="CWC9" s="87"/>
      <c r="CWD9" s="87"/>
      <c r="CWE9" s="87"/>
      <c r="CWF9" s="87"/>
      <c r="CWG9" s="87"/>
      <c r="CWH9" s="87"/>
      <c r="CWI9" s="87"/>
      <c r="CWJ9" s="87"/>
      <c r="CWK9" s="87"/>
      <c r="CWL9" s="87"/>
      <c r="CWM9" s="87"/>
      <c r="CWN9" s="87"/>
      <c r="CWO9" s="87"/>
      <c r="CWP9" s="87"/>
      <c r="CWQ9" s="87"/>
      <c r="CWR9" s="87"/>
      <c r="CWS9" s="87"/>
      <c r="CWT9" s="87"/>
      <c r="CWU9" s="87"/>
      <c r="CWV9" s="87"/>
      <c r="CWW9" s="87"/>
      <c r="CWX9" s="87"/>
      <c r="CWY9" s="87"/>
      <c r="CWZ9" s="87"/>
      <c r="CXA9" s="87"/>
      <c r="CXB9" s="87"/>
      <c r="CXC9" s="87"/>
      <c r="CXD9" s="87"/>
      <c r="CXE9" s="87"/>
      <c r="CXF9" s="87"/>
      <c r="CXG9" s="87"/>
      <c r="CXH9" s="87"/>
      <c r="CXI9" s="87"/>
      <c r="CXJ9" s="87"/>
      <c r="CXK9" s="87"/>
      <c r="CXL9" s="87"/>
      <c r="CXM9" s="87"/>
      <c r="CXN9" s="87"/>
      <c r="CXO9" s="87"/>
      <c r="CXP9" s="87"/>
      <c r="CXQ9" s="87"/>
      <c r="CXR9" s="87"/>
      <c r="CXS9" s="87"/>
      <c r="CXT9" s="87"/>
      <c r="CXU9" s="87"/>
      <c r="CXV9" s="87"/>
      <c r="CXW9" s="87"/>
      <c r="CXX9" s="87"/>
      <c r="CXY9" s="87"/>
      <c r="CXZ9" s="87"/>
      <c r="CYA9" s="87"/>
      <c r="CYB9" s="87"/>
      <c r="CYC9" s="87"/>
      <c r="CYD9" s="87"/>
      <c r="CYE9" s="87"/>
      <c r="CYF9" s="87"/>
      <c r="CYG9" s="87"/>
      <c r="CYH9" s="87"/>
      <c r="CYI9" s="87"/>
      <c r="CYJ9" s="87"/>
      <c r="CYK9" s="87"/>
      <c r="CYL9" s="87"/>
      <c r="CYM9" s="87"/>
      <c r="CYN9" s="87"/>
      <c r="CYO9" s="87"/>
      <c r="CYP9" s="87"/>
      <c r="CYQ9" s="87"/>
      <c r="CYR9" s="87"/>
      <c r="CYS9" s="87"/>
      <c r="CYT9" s="87"/>
      <c r="CYU9" s="87"/>
      <c r="CYV9" s="87"/>
      <c r="CYW9" s="87"/>
      <c r="CYX9" s="87"/>
      <c r="CYY9" s="87"/>
      <c r="CYZ9" s="87"/>
      <c r="CZA9" s="87"/>
      <c r="CZB9" s="87"/>
      <c r="CZC9" s="87"/>
      <c r="CZD9" s="87"/>
      <c r="CZE9" s="87"/>
      <c r="CZF9" s="87"/>
      <c r="CZG9" s="87"/>
      <c r="CZH9" s="87"/>
      <c r="CZI9" s="87"/>
      <c r="CZJ9" s="87"/>
      <c r="CZK9" s="87"/>
      <c r="CZL9" s="87"/>
      <c r="CZM9" s="87"/>
      <c r="CZN9" s="87"/>
      <c r="CZO9" s="87"/>
      <c r="CZP9" s="87"/>
      <c r="CZQ9" s="87"/>
      <c r="CZR9" s="87"/>
      <c r="CZS9" s="87"/>
      <c r="CZT9" s="87"/>
      <c r="CZU9" s="87"/>
      <c r="CZV9" s="87"/>
      <c r="CZW9" s="87"/>
      <c r="CZX9" s="87"/>
      <c r="CZY9" s="87"/>
      <c r="CZZ9" s="87"/>
      <c r="DAA9" s="87"/>
      <c r="DAB9" s="87"/>
      <c r="DAC9" s="87"/>
      <c r="DAD9" s="87"/>
      <c r="DAE9" s="87"/>
      <c r="DAF9" s="87"/>
      <c r="DAG9" s="87"/>
      <c r="DAH9" s="87"/>
      <c r="DAI9" s="87"/>
      <c r="DAJ9" s="87"/>
      <c r="DAK9" s="87"/>
      <c r="DAL9" s="87"/>
      <c r="DAM9" s="87"/>
      <c r="DAN9" s="87"/>
      <c r="DAO9" s="87"/>
      <c r="DAP9" s="87"/>
      <c r="DAQ9" s="87"/>
      <c r="DAR9" s="87"/>
      <c r="DAS9" s="87"/>
      <c r="DAT9" s="87"/>
      <c r="DAU9" s="87"/>
      <c r="DAV9" s="87"/>
      <c r="DAW9" s="87"/>
      <c r="DAX9" s="87"/>
      <c r="DAY9" s="87"/>
      <c r="DAZ9" s="87"/>
      <c r="DBA9" s="87"/>
      <c r="DBB9" s="87"/>
      <c r="DBC9" s="87"/>
      <c r="DBD9" s="87"/>
      <c r="DBE9" s="87"/>
      <c r="DBF9" s="87"/>
      <c r="DBG9" s="87"/>
      <c r="DBH9" s="87"/>
      <c r="DBI9" s="87"/>
      <c r="DBJ9" s="87"/>
      <c r="DBK9" s="87"/>
      <c r="DBL9" s="87"/>
      <c r="DBM9" s="87"/>
      <c r="DBN9" s="87"/>
      <c r="DBO9" s="87"/>
      <c r="DBP9" s="87"/>
      <c r="DBQ9" s="87"/>
      <c r="DBR9" s="87"/>
      <c r="DBS9" s="87"/>
      <c r="DBT9" s="87"/>
      <c r="DBU9" s="87"/>
      <c r="DBV9" s="87"/>
      <c r="DBW9" s="87"/>
      <c r="DBX9" s="87"/>
      <c r="DBY9" s="87"/>
      <c r="DBZ9" s="87"/>
      <c r="DCA9" s="87"/>
      <c r="DCB9" s="87"/>
      <c r="DCC9" s="87"/>
      <c r="DCD9" s="87"/>
      <c r="DCE9" s="87"/>
      <c r="DCF9" s="87"/>
      <c r="DCG9" s="87"/>
      <c r="DCH9" s="87"/>
      <c r="DCI9" s="87"/>
      <c r="DCJ9" s="87"/>
      <c r="DCK9" s="87"/>
      <c r="DCL9" s="87"/>
      <c r="DCM9" s="87"/>
      <c r="DCN9" s="87"/>
      <c r="DCO9" s="87"/>
      <c r="DCP9" s="87"/>
      <c r="DCQ9" s="87"/>
      <c r="DCR9" s="87"/>
      <c r="DCS9" s="87"/>
      <c r="DCT9" s="87"/>
      <c r="DCU9" s="87"/>
      <c r="DCV9" s="87"/>
      <c r="DCW9" s="87"/>
      <c r="DCX9" s="87"/>
      <c r="DCY9" s="87"/>
      <c r="DCZ9" s="87"/>
      <c r="DDA9" s="87"/>
      <c r="DDB9" s="87"/>
      <c r="DDC9" s="87"/>
      <c r="DDD9" s="87"/>
      <c r="DDE9" s="87"/>
      <c r="DDF9" s="87"/>
      <c r="DDG9" s="87"/>
      <c r="DDH9" s="87"/>
      <c r="DDI9" s="87"/>
      <c r="DDJ9" s="87"/>
      <c r="DDK9" s="87"/>
      <c r="DDL9" s="87"/>
      <c r="DDM9" s="87"/>
      <c r="DDN9" s="87"/>
      <c r="DDO9" s="87"/>
      <c r="DDP9" s="87"/>
      <c r="DDQ9" s="87"/>
      <c r="DDR9" s="87"/>
      <c r="DDS9" s="87"/>
      <c r="DDT9" s="87"/>
      <c r="DDU9" s="87"/>
      <c r="DDV9" s="87"/>
      <c r="DDW9" s="87"/>
      <c r="DDX9" s="87"/>
      <c r="DDY9" s="87"/>
      <c r="DDZ9" s="87"/>
      <c r="DEA9" s="87"/>
      <c r="DEB9" s="87"/>
      <c r="DEC9" s="87"/>
      <c r="DED9" s="87"/>
      <c r="DEE9" s="87"/>
      <c r="DEF9" s="87"/>
      <c r="DEG9" s="87"/>
      <c r="DEH9" s="87"/>
      <c r="DEI9" s="87"/>
      <c r="DEJ9" s="87"/>
      <c r="DEK9" s="87"/>
      <c r="DEL9" s="87"/>
      <c r="DEM9" s="87"/>
      <c r="DEN9" s="87"/>
      <c r="DEO9" s="87"/>
      <c r="DEP9" s="87"/>
      <c r="DEQ9" s="87"/>
      <c r="DER9" s="87"/>
      <c r="DES9" s="87"/>
      <c r="DET9" s="87"/>
      <c r="DEU9" s="87"/>
      <c r="DEV9" s="87"/>
      <c r="DEW9" s="87"/>
      <c r="DEX9" s="87"/>
      <c r="DEY9" s="87"/>
      <c r="DEZ9" s="87"/>
      <c r="DFA9" s="87"/>
      <c r="DFB9" s="87"/>
      <c r="DFC9" s="87"/>
      <c r="DFD9" s="87"/>
      <c r="DFE9" s="87"/>
      <c r="DFF9" s="87"/>
      <c r="DFG9" s="87"/>
      <c r="DFH9" s="87"/>
      <c r="DFI9" s="87"/>
      <c r="DFJ9" s="87"/>
      <c r="DFK9" s="87"/>
      <c r="DFL9" s="87"/>
      <c r="DFM9" s="87"/>
      <c r="DFN9" s="87"/>
      <c r="DFO9" s="87"/>
      <c r="DFP9" s="87"/>
      <c r="DFQ9" s="87"/>
      <c r="DFR9" s="87"/>
      <c r="DFS9" s="87"/>
      <c r="DFT9" s="87"/>
      <c r="DFU9" s="87"/>
      <c r="DFV9" s="87"/>
      <c r="DFW9" s="87"/>
      <c r="DFX9" s="87"/>
      <c r="DFY9" s="87"/>
      <c r="DFZ9" s="87"/>
      <c r="DGA9" s="87"/>
      <c r="DGB9" s="87"/>
      <c r="DGC9" s="87"/>
      <c r="DGD9" s="87"/>
      <c r="DGE9" s="87"/>
      <c r="DGF9" s="87"/>
      <c r="DGG9" s="87"/>
      <c r="DGH9" s="87"/>
      <c r="DGI9" s="87"/>
      <c r="DGJ9" s="87"/>
      <c r="DGK9" s="87"/>
      <c r="DGL9" s="87"/>
      <c r="DGM9" s="87"/>
      <c r="DGN9" s="87"/>
      <c r="DGO9" s="87"/>
      <c r="DGP9" s="87"/>
      <c r="DGQ9" s="87"/>
      <c r="DGR9" s="87"/>
      <c r="DGS9" s="87"/>
      <c r="DGT9" s="87"/>
      <c r="DGU9" s="87"/>
      <c r="DGV9" s="87"/>
      <c r="DGW9" s="87"/>
      <c r="DGX9" s="87"/>
      <c r="DGY9" s="87"/>
      <c r="DGZ9" s="87"/>
      <c r="DHA9" s="87"/>
      <c r="DHB9" s="87"/>
      <c r="DHC9" s="87"/>
      <c r="DHD9" s="87"/>
      <c r="DHE9" s="87"/>
      <c r="DHF9" s="87"/>
      <c r="DHG9" s="87"/>
      <c r="DHH9" s="87"/>
      <c r="DHI9" s="87"/>
      <c r="DHJ9" s="87"/>
      <c r="DHK9" s="87"/>
      <c r="DHL9" s="87"/>
      <c r="DHM9" s="87"/>
      <c r="DHN9" s="87"/>
      <c r="DHO9" s="87"/>
      <c r="DHP9" s="87"/>
      <c r="DHQ9" s="87"/>
      <c r="DHR9" s="87"/>
      <c r="DHS9" s="87"/>
      <c r="DHT9" s="87"/>
      <c r="DHU9" s="87"/>
      <c r="DHV9" s="87"/>
      <c r="DHW9" s="87"/>
      <c r="DHX9" s="87"/>
      <c r="DHY9" s="87"/>
      <c r="DHZ9" s="87"/>
      <c r="DIA9" s="87"/>
      <c r="DIB9" s="87"/>
      <c r="DIC9" s="87"/>
      <c r="DID9" s="87"/>
      <c r="DIE9" s="87"/>
      <c r="DIF9" s="87"/>
      <c r="DIG9" s="87"/>
      <c r="DIH9" s="87"/>
      <c r="DII9" s="87"/>
      <c r="DIJ9" s="87"/>
      <c r="DIK9" s="87"/>
      <c r="DIL9" s="87"/>
      <c r="DIM9" s="87"/>
      <c r="DIN9" s="87"/>
      <c r="DIO9" s="87"/>
      <c r="DIP9" s="87"/>
      <c r="DIQ9" s="87"/>
      <c r="DIR9" s="87"/>
      <c r="DIS9" s="87"/>
      <c r="DIT9" s="87"/>
      <c r="DIU9" s="87"/>
      <c r="DIV9" s="87"/>
      <c r="DIW9" s="87"/>
      <c r="DIX9" s="87"/>
      <c r="DIY9" s="87"/>
      <c r="DIZ9" s="87"/>
      <c r="DJA9" s="87"/>
      <c r="DJB9" s="87"/>
      <c r="DJC9" s="87"/>
      <c r="DJD9" s="87"/>
      <c r="DJE9" s="87"/>
      <c r="DJF9" s="87"/>
      <c r="DJG9" s="87"/>
      <c r="DJH9" s="87"/>
      <c r="DJI9" s="87"/>
      <c r="DJJ9" s="87"/>
      <c r="DJK9" s="87"/>
      <c r="DJL9" s="87"/>
      <c r="DJM9" s="87"/>
      <c r="DJN9" s="87"/>
      <c r="DJO9" s="87"/>
      <c r="DJP9" s="87"/>
      <c r="DJQ9" s="87"/>
      <c r="DJR9" s="87"/>
      <c r="DJS9" s="87"/>
      <c r="DJT9" s="87"/>
      <c r="DJU9" s="87"/>
      <c r="DJV9" s="87"/>
      <c r="DJW9" s="87"/>
      <c r="DJX9" s="87"/>
      <c r="DJY9" s="87"/>
      <c r="DJZ9" s="87"/>
      <c r="DKA9" s="87"/>
      <c r="DKB9" s="87"/>
      <c r="DKC9" s="87"/>
      <c r="DKD9" s="87"/>
      <c r="DKE9" s="87"/>
      <c r="DKF9" s="87"/>
      <c r="DKG9" s="87"/>
      <c r="DKH9" s="87"/>
      <c r="DKI9" s="87"/>
      <c r="DKJ9" s="87"/>
      <c r="DKK9" s="87"/>
      <c r="DKL9" s="87"/>
      <c r="DKM9" s="87"/>
      <c r="DKN9" s="87"/>
      <c r="DKO9" s="87"/>
      <c r="DKP9" s="87"/>
      <c r="DKQ9" s="87"/>
      <c r="DKR9" s="87"/>
      <c r="DKS9" s="87"/>
      <c r="DKT9" s="87"/>
      <c r="DKU9" s="87"/>
      <c r="DKV9" s="87"/>
      <c r="DKW9" s="87"/>
      <c r="DKX9" s="87"/>
      <c r="DKY9" s="87"/>
      <c r="DKZ9" s="87"/>
      <c r="DLA9" s="87"/>
      <c r="DLB9" s="87"/>
      <c r="DLC9" s="87"/>
      <c r="DLD9" s="87"/>
      <c r="DLE9" s="87"/>
      <c r="DLF9" s="87"/>
      <c r="DLG9" s="87"/>
      <c r="DLH9" s="87"/>
      <c r="DLI9" s="87"/>
      <c r="DLJ9" s="87"/>
      <c r="DLK9" s="87"/>
      <c r="DLL9" s="87"/>
      <c r="DLM9" s="87"/>
      <c r="DLN9" s="87"/>
      <c r="DLO9" s="87"/>
      <c r="DLP9" s="87"/>
      <c r="DLQ9" s="87"/>
      <c r="DLR9" s="87"/>
      <c r="DLS9" s="87"/>
      <c r="DLT9" s="87"/>
      <c r="DLU9" s="87"/>
      <c r="DLV9" s="87"/>
      <c r="DLW9" s="87"/>
      <c r="DLX9" s="87"/>
      <c r="DLY9" s="87"/>
      <c r="DLZ9" s="87"/>
      <c r="DMA9" s="87"/>
      <c r="DMB9" s="87"/>
      <c r="DMC9" s="87"/>
      <c r="DMD9" s="87"/>
      <c r="DME9" s="87"/>
      <c r="DMF9" s="87"/>
      <c r="DMG9" s="87"/>
      <c r="DMH9" s="87"/>
      <c r="DMI9" s="87"/>
      <c r="DMJ9" s="87"/>
      <c r="DMK9" s="87"/>
      <c r="DML9" s="87"/>
      <c r="DMM9" s="87"/>
      <c r="DMN9" s="87"/>
      <c r="DMO9" s="87"/>
      <c r="DMP9" s="87"/>
      <c r="DMQ9" s="87"/>
      <c r="DMR9" s="87"/>
      <c r="DMS9" s="87"/>
      <c r="DMT9" s="87"/>
      <c r="DMU9" s="87"/>
      <c r="DMV9" s="87"/>
      <c r="DMW9" s="87"/>
      <c r="DMX9" s="87"/>
      <c r="DMY9" s="87"/>
      <c r="DMZ9" s="87"/>
      <c r="DNA9" s="87"/>
      <c r="DNB9" s="87"/>
      <c r="DNC9" s="87"/>
      <c r="DND9" s="87"/>
      <c r="DNE9" s="87"/>
      <c r="DNF9" s="87"/>
      <c r="DNG9" s="87"/>
      <c r="DNH9" s="87"/>
      <c r="DNI9" s="87"/>
      <c r="DNJ9" s="87"/>
      <c r="DNK9" s="87"/>
      <c r="DNL9" s="87"/>
      <c r="DNM9" s="87"/>
      <c r="DNN9" s="87"/>
      <c r="DNO9" s="87"/>
      <c r="DNP9" s="87"/>
      <c r="DNQ9" s="87"/>
      <c r="DNR9" s="87"/>
      <c r="DNS9" s="87"/>
      <c r="DNT9" s="87"/>
      <c r="DNU9" s="87"/>
      <c r="DNV9" s="87"/>
      <c r="DNW9" s="87"/>
      <c r="DNX9" s="87"/>
      <c r="DNY9" s="87"/>
      <c r="DNZ9" s="87"/>
      <c r="DOA9" s="87"/>
      <c r="DOB9" s="87"/>
      <c r="DOC9" s="87"/>
      <c r="DOD9" s="87"/>
      <c r="DOE9" s="87"/>
      <c r="DOF9" s="87"/>
      <c r="DOG9" s="87"/>
      <c r="DOH9" s="87"/>
      <c r="DOI9" s="87"/>
      <c r="DOJ9" s="87"/>
      <c r="DOK9" s="87"/>
      <c r="DOL9" s="87"/>
      <c r="DOM9" s="87"/>
      <c r="DON9" s="87"/>
      <c r="DOO9" s="87"/>
      <c r="DOP9" s="87"/>
      <c r="DOQ9" s="87"/>
      <c r="DOR9" s="87"/>
      <c r="DOS9" s="87"/>
      <c r="DOT9" s="87"/>
      <c r="DOU9" s="87"/>
      <c r="DOV9" s="87"/>
      <c r="DOW9" s="87"/>
      <c r="DOX9" s="87"/>
      <c r="DOY9" s="87"/>
      <c r="DOZ9" s="87"/>
      <c r="DPA9" s="87"/>
      <c r="DPB9" s="87"/>
      <c r="DPC9" s="87"/>
      <c r="DPD9" s="87"/>
      <c r="DPE9" s="87"/>
      <c r="DPF9" s="87"/>
      <c r="DPG9" s="87"/>
      <c r="DPH9" s="87"/>
      <c r="DPI9" s="87"/>
      <c r="DPJ9" s="87"/>
      <c r="DPK9" s="87"/>
      <c r="DPL9" s="87"/>
      <c r="DPM9" s="87"/>
      <c r="DPN9" s="87"/>
      <c r="DPO9" s="87"/>
      <c r="DPP9" s="87"/>
      <c r="DPQ9" s="87"/>
      <c r="DPR9" s="87"/>
      <c r="DPS9" s="87"/>
      <c r="DPT9" s="87"/>
      <c r="DPU9" s="87"/>
      <c r="DPV9" s="87"/>
      <c r="DPW9" s="87"/>
      <c r="DPX9" s="87"/>
      <c r="DPY9" s="87"/>
      <c r="DPZ9" s="87"/>
      <c r="DQA9" s="87"/>
      <c r="DQB9" s="87"/>
      <c r="DQC9" s="87"/>
      <c r="DQD9" s="87"/>
      <c r="DQE9" s="87"/>
      <c r="DQF9" s="87"/>
      <c r="DQG9" s="87"/>
      <c r="DQH9" s="87"/>
      <c r="DQI9" s="87"/>
      <c r="DQJ9" s="87"/>
      <c r="DQK9" s="87"/>
      <c r="DQL9" s="87"/>
      <c r="DQM9" s="87"/>
      <c r="DQN9" s="87"/>
      <c r="DQO9" s="87"/>
      <c r="DQP9" s="87"/>
      <c r="DQQ9" s="87"/>
      <c r="DQR9" s="87"/>
      <c r="DQS9" s="87"/>
      <c r="DQT9" s="87"/>
      <c r="DQU9" s="87"/>
      <c r="DQV9" s="87"/>
      <c r="DQW9" s="87"/>
      <c r="DQX9" s="87"/>
      <c r="DQY9" s="87"/>
      <c r="DQZ9" s="87"/>
      <c r="DRA9" s="87"/>
      <c r="DRB9" s="87"/>
      <c r="DRC9" s="87"/>
      <c r="DRD9" s="87"/>
      <c r="DRE9" s="87"/>
      <c r="DRF9" s="87"/>
      <c r="DRG9" s="87"/>
      <c r="DRH9" s="87"/>
      <c r="DRI9" s="87"/>
      <c r="DRJ9" s="87"/>
      <c r="DRK9" s="87"/>
      <c r="DRL9" s="87"/>
      <c r="DRM9" s="87"/>
      <c r="DRN9" s="87"/>
      <c r="DRO9" s="87"/>
      <c r="DRP9" s="87"/>
      <c r="DRQ9" s="87"/>
      <c r="DRR9" s="87"/>
      <c r="DRS9" s="87"/>
      <c r="DRT9" s="87"/>
      <c r="DRU9" s="87"/>
      <c r="DRV9" s="87"/>
      <c r="DRW9" s="87"/>
      <c r="DRX9" s="87"/>
      <c r="DRY9" s="87"/>
      <c r="DRZ9" s="87"/>
      <c r="DSA9" s="87"/>
      <c r="DSB9" s="87"/>
      <c r="DSC9" s="87"/>
      <c r="DSD9" s="87"/>
      <c r="DSE9" s="87"/>
      <c r="DSF9" s="87"/>
      <c r="DSG9" s="87"/>
      <c r="DSH9" s="87"/>
      <c r="DSI9" s="87"/>
      <c r="DSJ9" s="87"/>
      <c r="DSK9" s="87"/>
      <c r="DSL9" s="87"/>
      <c r="DSM9" s="87"/>
      <c r="DSN9" s="87"/>
      <c r="DSO9" s="87"/>
      <c r="DSP9" s="87"/>
      <c r="DSQ9" s="87"/>
      <c r="DSR9" s="87"/>
      <c r="DSS9" s="87"/>
      <c r="DST9" s="87"/>
      <c r="DSU9" s="87"/>
      <c r="DSV9" s="87"/>
      <c r="DSW9" s="87"/>
      <c r="DSX9" s="87"/>
      <c r="DSY9" s="87"/>
      <c r="DSZ9" s="87"/>
      <c r="DTA9" s="87"/>
      <c r="DTB9" s="87"/>
      <c r="DTC9" s="87"/>
      <c r="DTD9" s="87"/>
      <c r="DTE9" s="87"/>
      <c r="DTF9" s="87"/>
      <c r="DTG9" s="87"/>
      <c r="DTH9" s="87"/>
      <c r="DTI9" s="87"/>
      <c r="DTJ9" s="87"/>
      <c r="DTK9" s="87"/>
      <c r="DTL9" s="87"/>
      <c r="DTM9" s="87"/>
      <c r="DTN9" s="87"/>
      <c r="DTO9" s="87"/>
      <c r="DTP9" s="87"/>
      <c r="DTQ9" s="87"/>
      <c r="DTR9" s="87"/>
      <c r="DTS9" s="87"/>
      <c r="DTT9" s="87"/>
      <c r="DTU9" s="87"/>
      <c r="DTV9" s="87"/>
      <c r="DTW9" s="87"/>
      <c r="DTX9" s="87"/>
      <c r="DTY9" s="87"/>
      <c r="DTZ9" s="87"/>
      <c r="DUA9" s="87"/>
      <c r="DUB9" s="87"/>
      <c r="DUC9" s="87"/>
      <c r="DUD9" s="87"/>
      <c r="DUE9" s="87"/>
      <c r="DUF9" s="87"/>
      <c r="DUG9" s="87"/>
      <c r="DUH9" s="87"/>
      <c r="DUI9" s="87"/>
      <c r="DUJ9" s="87"/>
      <c r="DUK9" s="87"/>
      <c r="DUL9" s="87"/>
      <c r="DUM9" s="87"/>
      <c r="DUN9" s="87"/>
      <c r="DUO9" s="87"/>
      <c r="DUP9" s="87"/>
      <c r="DUQ9" s="87"/>
      <c r="DUR9" s="87"/>
      <c r="DUS9" s="87"/>
      <c r="DUT9" s="87"/>
      <c r="DUU9" s="87"/>
      <c r="DUV9" s="87"/>
      <c r="DUW9" s="87"/>
      <c r="DUX9" s="87"/>
      <c r="DUY9" s="87"/>
      <c r="DUZ9" s="87"/>
      <c r="DVA9" s="87"/>
      <c r="DVB9" s="87"/>
      <c r="DVC9" s="87"/>
      <c r="DVD9" s="87"/>
      <c r="DVE9" s="87"/>
      <c r="DVF9" s="87"/>
      <c r="DVG9" s="87"/>
      <c r="DVH9" s="87"/>
      <c r="DVI9" s="87"/>
      <c r="DVJ9" s="87"/>
      <c r="DVK9" s="87"/>
      <c r="DVL9" s="87"/>
      <c r="DVM9" s="87"/>
      <c r="DVN9" s="87"/>
      <c r="DVO9" s="87"/>
      <c r="DVP9" s="87"/>
      <c r="DVQ9" s="87"/>
      <c r="DVR9" s="87"/>
      <c r="DVS9" s="87"/>
      <c r="DVT9" s="87"/>
      <c r="DVU9" s="87"/>
      <c r="DVV9" s="87"/>
      <c r="DVW9" s="87"/>
      <c r="DVX9" s="87"/>
      <c r="DVY9" s="87"/>
      <c r="DVZ9" s="87"/>
      <c r="DWA9" s="87"/>
      <c r="DWB9" s="87"/>
      <c r="DWC9" s="87"/>
      <c r="DWD9" s="87"/>
      <c r="DWE9" s="87"/>
      <c r="DWF9" s="87"/>
      <c r="DWG9" s="87"/>
      <c r="DWH9" s="87"/>
      <c r="DWI9" s="87"/>
      <c r="DWJ9" s="87"/>
      <c r="DWK9" s="87"/>
      <c r="DWL9" s="87"/>
      <c r="DWM9" s="87"/>
      <c r="DWN9" s="87"/>
      <c r="DWO9" s="87"/>
      <c r="DWP9" s="87"/>
      <c r="DWQ9" s="87"/>
      <c r="DWR9" s="87"/>
      <c r="DWS9" s="87"/>
      <c r="DWT9" s="87"/>
      <c r="DWU9" s="87"/>
      <c r="DWV9" s="87"/>
      <c r="DWW9" s="87"/>
      <c r="DWX9" s="87"/>
      <c r="DWY9" s="87"/>
      <c r="DWZ9" s="87"/>
      <c r="DXA9" s="87"/>
      <c r="DXB9" s="87"/>
      <c r="DXC9" s="87"/>
      <c r="DXD9" s="87"/>
      <c r="DXE9" s="87"/>
      <c r="DXF9" s="87"/>
      <c r="DXG9" s="87"/>
      <c r="DXH9" s="87"/>
      <c r="DXI9" s="87"/>
      <c r="DXJ9" s="87"/>
      <c r="DXK9" s="87"/>
      <c r="DXL9" s="87"/>
      <c r="DXM9" s="87"/>
      <c r="DXN9" s="87"/>
      <c r="DXO9" s="87"/>
      <c r="DXP9" s="87"/>
      <c r="DXQ9" s="87"/>
      <c r="DXR9" s="87"/>
      <c r="DXS9" s="87"/>
      <c r="DXT9" s="87"/>
      <c r="DXU9" s="87"/>
      <c r="DXV9" s="87"/>
      <c r="DXW9" s="87"/>
      <c r="DXX9" s="87"/>
      <c r="DXY9" s="87"/>
      <c r="DXZ9" s="87"/>
      <c r="DYA9" s="87"/>
      <c r="DYB9" s="87"/>
      <c r="DYC9" s="87"/>
      <c r="DYD9" s="87"/>
      <c r="DYE9" s="87"/>
      <c r="DYF9" s="87"/>
      <c r="DYG9" s="87"/>
      <c r="DYH9" s="87"/>
      <c r="DYI9" s="87"/>
      <c r="DYJ9" s="87"/>
      <c r="DYK9" s="87"/>
      <c r="DYL9" s="87"/>
      <c r="DYM9" s="87"/>
      <c r="DYN9" s="87"/>
      <c r="DYO9" s="87"/>
      <c r="DYP9" s="87"/>
      <c r="DYQ9" s="87"/>
      <c r="DYR9" s="87"/>
      <c r="DYS9" s="87"/>
      <c r="DYT9" s="87"/>
      <c r="DYU9" s="87"/>
      <c r="DYV9" s="87"/>
      <c r="DYW9" s="87"/>
      <c r="DYX9" s="87"/>
      <c r="DYY9" s="87"/>
      <c r="DYZ9" s="87"/>
      <c r="DZA9" s="87"/>
      <c r="DZB9" s="87"/>
      <c r="DZC9" s="87"/>
      <c r="DZD9" s="87"/>
      <c r="DZE9" s="87"/>
      <c r="DZF9" s="87"/>
      <c r="DZG9" s="87"/>
      <c r="DZH9" s="87"/>
      <c r="DZI9" s="87"/>
      <c r="DZJ9" s="87"/>
      <c r="DZK9" s="87"/>
      <c r="DZL9" s="87"/>
      <c r="DZM9" s="87"/>
      <c r="DZN9" s="87"/>
      <c r="DZO9" s="87"/>
      <c r="DZP9" s="87"/>
      <c r="DZQ9" s="87"/>
      <c r="DZR9" s="87"/>
      <c r="DZS9" s="87"/>
      <c r="DZT9" s="87"/>
      <c r="DZU9" s="87"/>
      <c r="DZV9" s="87"/>
      <c r="DZW9" s="87"/>
      <c r="DZX9" s="87"/>
      <c r="DZY9" s="87"/>
      <c r="DZZ9" s="87"/>
      <c r="EAA9" s="87"/>
      <c r="EAB9" s="87"/>
      <c r="EAC9" s="87"/>
      <c r="EAD9" s="87"/>
      <c r="EAE9" s="87"/>
      <c r="EAF9" s="87"/>
      <c r="EAG9" s="87"/>
      <c r="EAH9" s="87"/>
      <c r="EAI9" s="87"/>
      <c r="EAJ9" s="87"/>
      <c r="EAK9" s="87"/>
      <c r="EAL9" s="87"/>
      <c r="EAM9" s="87"/>
      <c r="EAN9" s="87"/>
      <c r="EAO9" s="87"/>
      <c r="EAP9" s="87"/>
      <c r="EAQ9" s="87"/>
      <c r="EAR9" s="87"/>
      <c r="EAS9" s="87"/>
      <c r="EAT9" s="87"/>
      <c r="EAU9" s="87"/>
      <c r="EAV9" s="87"/>
      <c r="EAW9" s="87"/>
      <c r="EAX9" s="87"/>
      <c r="EAY9" s="87"/>
      <c r="EAZ9" s="87"/>
      <c r="EBA9" s="87"/>
      <c r="EBB9" s="87"/>
      <c r="EBC9" s="87"/>
      <c r="EBD9" s="87"/>
      <c r="EBE9" s="87"/>
      <c r="EBF9" s="87"/>
      <c r="EBG9" s="87"/>
      <c r="EBH9" s="87"/>
      <c r="EBI9" s="87"/>
      <c r="EBJ9" s="87"/>
      <c r="EBK9" s="87"/>
      <c r="EBL9" s="87"/>
      <c r="EBM9" s="87"/>
      <c r="EBN9" s="87"/>
      <c r="EBO9" s="87"/>
      <c r="EBP9" s="87"/>
      <c r="EBQ9" s="87"/>
      <c r="EBR9" s="87"/>
      <c r="EBS9" s="87"/>
      <c r="EBT9" s="87"/>
      <c r="EBU9" s="87"/>
      <c r="EBV9" s="87"/>
      <c r="EBW9" s="87"/>
      <c r="EBX9" s="87"/>
      <c r="EBY9" s="87"/>
      <c r="EBZ9" s="87"/>
      <c r="ECA9" s="87"/>
      <c r="ECB9" s="87"/>
      <c r="ECC9" s="87"/>
      <c r="ECD9" s="87"/>
      <c r="ECE9" s="87"/>
      <c r="ECF9" s="87"/>
      <c r="ECG9" s="87"/>
      <c r="ECH9" s="87"/>
      <c r="ECI9" s="87"/>
      <c r="ECJ9" s="87"/>
      <c r="ECK9" s="87"/>
      <c r="ECL9" s="87"/>
      <c r="ECM9" s="87"/>
      <c r="ECN9" s="87"/>
      <c r="ECO9" s="87"/>
      <c r="ECP9" s="87"/>
      <c r="ECQ9" s="87"/>
      <c r="ECR9" s="87"/>
      <c r="ECS9" s="87"/>
      <c r="ECT9" s="87"/>
      <c r="ECU9" s="87"/>
      <c r="ECV9" s="87"/>
      <c r="ECW9" s="87"/>
      <c r="ECX9" s="87"/>
      <c r="ECY9" s="87"/>
      <c r="ECZ9" s="87"/>
      <c r="EDA9" s="87"/>
      <c r="EDB9" s="87"/>
      <c r="EDC9" s="87"/>
      <c r="EDD9" s="87"/>
      <c r="EDE9" s="87"/>
      <c r="EDF9" s="87"/>
      <c r="EDG9" s="87"/>
      <c r="EDH9" s="87"/>
      <c r="EDI9" s="87"/>
      <c r="EDJ9" s="87"/>
      <c r="EDK9" s="87"/>
      <c r="EDL9" s="87"/>
      <c r="EDM9" s="87"/>
      <c r="EDN9" s="87"/>
      <c r="EDO9" s="87"/>
      <c r="EDP9" s="87"/>
      <c r="EDQ9" s="87"/>
      <c r="EDR9" s="87"/>
      <c r="EDS9" s="87"/>
      <c r="EDT9" s="87"/>
      <c r="EDU9" s="87"/>
      <c r="EDV9" s="87"/>
      <c r="EDW9" s="87"/>
      <c r="EDX9" s="87"/>
      <c r="EDY9" s="87"/>
      <c r="EDZ9" s="87"/>
      <c r="EEA9" s="87"/>
      <c r="EEB9" s="87"/>
      <c r="EEC9" s="87"/>
      <c r="EED9" s="87"/>
      <c r="EEE9" s="87"/>
      <c r="EEF9" s="87"/>
      <c r="EEG9" s="87"/>
      <c r="EEH9" s="87"/>
      <c r="EEI9" s="87"/>
      <c r="EEJ9" s="87"/>
      <c r="EEK9" s="87"/>
      <c r="EEL9" s="87"/>
      <c r="EEM9" s="87"/>
      <c r="EEN9" s="87"/>
      <c r="EEO9" s="87"/>
      <c r="EEP9" s="87"/>
      <c r="EEQ9" s="87"/>
      <c r="EER9" s="87"/>
      <c r="EES9" s="87"/>
      <c r="EET9" s="87"/>
      <c r="EEU9" s="87"/>
      <c r="EEV9" s="87"/>
      <c r="EEW9" s="87"/>
      <c r="EEX9" s="87"/>
      <c r="EEY9" s="87"/>
      <c r="EEZ9" s="87"/>
      <c r="EFA9" s="87"/>
      <c r="EFB9" s="87"/>
      <c r="EFC9" s="87"/>
      <c r="EFD9" s="87"/>
      <c r="EFE9" s="87"/>
      <c r="EFF9" s="87"/>
      <c r="EFG9" s="87"/>
      <c r="EFH9" s="87"/>
      <c r="EFI9" s="87"/>
      <c r="EFJ9" s="87"/>
      <c r="EFK9" s="87"/>
      <c r="EFL9" s="87"/>
      <c r="EFM9" s="87"/>
      <c r="EFN9" s="87"/>
      <c r="EFO9" s="87"/>
      <c r="EFP9" s="87"/>
      <c r="EFQ9" s="87"/>
      <c r="EFR9" s="87"/>
      <c r="EFS9" s="87"/>
      <c r="EFT9" s="87"/>
      <c r="EFU9" s="87"/>
      <c r="EFV9" s="87"/>
      <c r="EFW9" s="87"/>
      <c r="EFX9" s="87"/>
      <c r="EFY9" s="87"/>
      <c r="EFZ9" s="87"/>
      <c r="EGA9" s="87"/>
      <c r="EGB9" s="87"/>
      <c r="EGC9" s="87"/>
      <c r="EGD9" s="87"/>
      <c r="EGE9" s="87"/>
      <c r="EGF9" s="87"/>
      <c r="EGG9" s="87"/>
      <c r="EGH9" s="87"/>
      <c r="EGI9" s="87"/>
      <c r="EGJ9" s="87"/>
      <c r="EGK9" s="87"/>
      <c r="EGL9" s="87"/>
      <c r="EGM9" s="87"/>
      <c r="EGN9" s="87"/>
      <c r="EGO9" s="87"/>
      <c r="EGP9" s="87"/>
      <c r="EGQ9" s="87"/>
      <c r="EGR9" s="87"/>
      <c r="EGS9" s="87"/>
      <c r="EGT9" s="87"/>
      <c r="EGU9" s="87"/>
      <c r="EGV9" s="87"/>
      <c r="EGW9" s="87"/>
      <c r="EGX9" s="87"/>
      <c r="EGY9" s="87"/>
      <c r="EGZ9" s="87"/>
      <c r="EHA9" s="87"/>
      <c r="EHB9" s="87"/>
      <c r="EHC9" s="87"/>
      <c r="EHD9" s="87"/>
      <c r="EHE9" s="87"/>
      <c r="EHF9" s="87"/>
      <c r="EHG9" s="87"/>
      <c r="EHH9" s="87"/>
      <c r="EHI9" s="87"/>
      <c r="EHJ9" s="87"/>
      <c r="EHK9" s="87"/>
      <c r="EHL9" s="87"/>
      <c r="EHM9" s="87"/>
      <c r="EHN9" s="87"/>
      <c r="EHO9" s="87"/>
      <c r="EHP9" s="87"/>
      <c r="EHQ9" s="87"/>
      <c r="EHR9" s="87"/>
      <c r="EHS9" s="87"/>
      <c r="EHT9" s="87"/>
      <c r="EHU9" s="87"/>
      <c r="EHV9" s="87"/>
      <c r="EHW9" s="87"/>
      <c r="EHX9" s="87"/>
      <c r="EHY9" s="87"/>
      <c r="EHZ9" s="87"/>
      <c r="EIA9" s="87"/>
      <c r="EIB9" s="87"/>
      <c r="EIC9" s="87"/>
      <c r="EID9" s="87"/>
      <c r="EIE9" s="87"/>
      <c r="EIF9" s="87"/>
      <c r="EIG9" s="87"/>
      <c r="EIH9" s="87"/>
      <c r="EII9" s="87"/>
      <c r="EIJ9" s="87"/>
      <c r="EIK9" s="87"/>
      <c r="EIL9" s="87"/>
      <c r="EIM9" s="87"/>
      <c r="EIN9" s="87"/>
      <c r="EIO9" s="87"/>
      <c r="EIP9" s="87"/>
      <c r="EIQ9" s="87"/>
      <c r="EIR9" s="87"/>
      <c r="EIS9" s="87"/>
      <c r="EIT9" s="87"/>
      <c r="EIU9" s="87"/>
      <c r="EIV9" s="87"/>
      <c r="EIW9" s="87"/>
      <c r="EIX9" s="87"/>
      <c r="EIY9" s="87"/>
      <c r="EIZ9" s="87"/>
      <c r="EJA9" s="87"/>
      <c r="EJB9" s="87"/>
      <c r="EJC9" s="87"/>
      <c r="EJD9" s="87"/>
      <c r="EJE9" s="87"/>
      <c r="EJF9" s="87"/>
      <c r="EJG9" s="87"/>
      <c r="EJH9" s="87"/>
      <c r="EJI9" s="87"/>
      <c r="EJJ9" s="87"/>
      <c r="EJK9" s="87"/>
      <c r="EJL9" s="87"/>
      <c r="EJM9" s="87"/>
      <c r="EJN9" s="87"/>
      <c r="EJO9" s="87"/>
      <c r="EJP9" s="87"/>
      <c r="EJQ9" s="87"/>
      <c r="EJR9" s="87"/>
      <c r="EJS9" s="87"/>
      <c r="EJT9" s="87"/>
      <c r="EJU9" s="87"/>
      <c r="EJV9" s="87"/>
      <c r="EJW9" s="87"/>
      <c r="EJX9" s="87"/>
      <c r="EJY9" s="87"/>
      <c r="EJZ9" s="87"/>
      <c r="EKA9" s="87"/>
      <c r="EKB9" s="87"/>
      <c r="EKC9" s="87"/>
      <c r="EKD9" s="87"/>
      <c r="EKE9" s="87"/>
      <c r="EKF9" s="87"/>
      <c r="EKG9" s="87"/>
      <c r="EKH9" s="87"/>
      <c r="EKI9" s="87"/>
      <c r="EKJ9" s="87"/>
      <c r="EKK9" s="87"/>
      <c r="EKL9" s="87"/>
      <c r="EKM9" s="87"/>
      <c r="EKN9" s="87"/>
      <c r="EKO9" s="87"/>
      <c r="EKP9" s="87"/>
      <c r="EKQ9" s="87"/>
      <c r="EKR9" s="87"/>
      <c r="EKS9" s="87"/>
      <c r="EKT9" s="87"/>
      <c r="EKU9" s="87"/>
      <c r="EKV9" s="87"/>
      <c r="EKW9" s="87"/>
      <c r="EKX9" s="87"/>
      <c r="EKY9" s="87"/>
      <c r="EKZ9" s="87"/>
      <c r="ELA9" s="87"/>
      <c r="ELB9" s="87"/>
      <c r="ELC9" s="87"/>
      <c r="ELD9" s="87"/>
      <c r="ELE9" s="87"/>
      <c r="ELF9" s="87"/>
      <c r="ELG9" s="87"/>
      <c r="ELH9" s="87"/>
      <c r="ELI9" s="87"/>
      <c r="ELJ9" s="87"/>
      <c r="ELK9" s="87"/>
      <c r="ELL9" s="87"/>
      <c r="ELM9" s="87"/>
      <c r="ELN9" s="87"/>
      <c r="ELO9" s="87"/>
      <c r="ELP9" s="87"/>
      <c r="ELQ9" s="87"/>
      <c r="ELR9" s="87"/>
      <c r="ELS9" s="87"/>
      <c r="ELT9" s="87"/>
      <c r="ELU9" s="87"/>
      <c r="ELV9" s="87"/>
      <c r="ELW9" s="87"/>
      <c r="ELX9" s="87"/>
      <c r="ELY9" s="87"/>
      <c r="ELZ9" s="87"/>
      <c r="EMA9" s="87"/>
      <c r="EMB9" s="87"/>
      <c r="EMC9" s="87"/>
      <c r="EMD9" s="87"/>
      <c r="EME9" s="87"/>
      <c r="EMF9" s="87"/>
      <c r="EMG9" s="87"/>
      <c r="EMH9" s="87"/>
      <c r="EMI9" s="87"/>
      <c r="EMJ9" s="87"/>
      <c r="EMK9" s="87"/>
      <c r="EML9" s="87"/>
      <c r="EMM9" s="87"/>
      <c r="EMN9" s="87"/>
      <c r="EMO9" s="87"/>
      <c r="EMP9" s="87"/>
      <c r="EMQ9" s="87"/>
      <c r="EMR9" s="87"/>
      <c r="EMS9" s="87"/>
      <c r="EMT9" s="87"/>
      <c r="EMU9" s="87"/>
      <c r="EMV9" s="87"/>
      <c r="EMW9" s="87"/>
      <c r="EMX9" s="87"/>
      <c r="EMY9" s="87"/>
      <c r="EMZ9" s="87"/>
      <c r="ENA9" s="87"/>
      <c r="ENB9" s="87"/>
      <c r="ENC9" s="87"/>
      <c r="END9" s="87"/>
      <c r="ENE9" s="87"/>
      <c r="ENF9" s="87"/>
      <c r="ENG9" s="87"/>
      <c r="ENH9" s="87"/>
      <c r="ENI9" s="87"/>
      <c r="ENJ9" s="87"/>
      <c r="ENK9" s="87"/>
      <c r="ENL9" s="87"/>
      <c r="ENM9" s="87"/>
      <c r="ENN9" s="87"/>
      <c r="ENO9" s="87"/>
      <c r="ENP9" s="87"/>
      <c r="ENQ9" s="87"/>
      <c r="ENR9" s="87"/>
      <c r="ENS9" s="87"/>
      <c r="ENT9" s="87"/>
      <c r="ENU9" s="87"/>
      <c r="ENV9" s="87"/>
      <c r="ENW9" s="87"/>
      <c r="ENX9" s="87"/>
      <c r="ENY9" s="87"/>
      <c r="ENZ9" s="87"/>
      <c r="EOA9" s="87"/>
      <c r="EOB9" s="87"/>
      <c r="EOC9" s="87"/>
      <c r="EOD9" s="87"/>
      <c r="EOE9" s="87"/>
      <c r="EOF9" s="87"/>
      <c r="EOG9" s="87"/>
      <c r="EOH9" s="87"/>
      <c r="EOI9" s="87"/>
      <c r="EOJ9" s="87"/>
      <c r="EOK9" s="87"/>
      <c r="EOL9" s="87"/>
      <c r="EOM9" s="87"/>
      <c r="EON9" s="87"/>
      <c r="EOO9" s="87"/>
      <c r="EOP9" s="87"/>
      <c r="EOQ9" s="87"/>
      <c r="EOR9" s="87"/>
      <c r="EOS9" s="87"/>
      <c r="EOT9" s="87"/>
      <c r="EOU9" s="87"/>
      <c r="EOV9" s="87"/>
      <c r="EOW9" s="87"/>
      <c r="EOX9" s="87"/>
      <c r="EOY9" s="87"/>
      <c r="EOZ9" s="87"/>
      <c r="EPA9" s="87"/>
      <c r="EPB9" s="87"/>
      <c r="EPC9" s="87"/>
      <c r="EPD9" s="87"/>
      <c r="EPE9" s="87"/>
      <c r="EPF9" s="87"/>
      <c r="EPG9" s="87"/>
      <c r="EPH9" s="87"/>
      <c r="EPI9" s="87"/>
      <c r="EPJ9" s="87"/>
      <c r="EPK9" s="87"/>
      <c r="EPL9" s="87"/>
      <c r="EPM9" s="87"/>
      <c r="EPN9" s="87"/>
      <c r="EPO9" s="87"/>
      <c r="EPP9" s="87"/>
      <c r="EPQ9" s="87"/>
      <c r="EPR9" s="87"/>
      <c r="EPS9" s="87"/>
      <c r="EPT9" s="87"/>
      <c r="EPU9" s="87"/>
      <c r="EPV9" s="87"/>
      <c r="EPW9" s="87"/>
      <c r="EPX9" s="87"/>
      <c r="EPY9" s="87"/>
      <c r="EPZ9" s="87"/>
      <c r="EQA9" s="87"/>
      <c r="EQB9" s="87"/>
      <c r="EQC9" s="87"/>
      <c r="EQD9" s="87"/>
      <c r="EQE9" s="87"/>
      <c r="EQF9" s="87"/>
      <c r="EQG9" s="87"/>
      <c r="EQH9" s="87"/>
      <c r="EQI9" s="87"/>
      <c r="EQJ9" s="87"/>
      <c r="EQK9" s="87"/>
      <c r="EQL9" s="87"/>
      <c r="EQM9" s="87"/>
      <c r="EQN9" s="87"/>
      <c r="EQO9" s="87"/>
      <c r="EQP9" s="87"/>
      <c r="EQQ9" s="87"/>
      <c r="EQR9" s="87"/>
      <c r="EQS9" s="87"/>
      <c r="EQT9" s="87"/>
      <c r="EQU9" s="87"/>
      <c r="EQV9" s="87"/>
      <c r="EQW9" s="87"/>
      <c r="EQX9" s="87"/>
      <c r="EQY9" s="87"/>
      <c r="EQZ9" s="87"/>
      <c r="ERA9" s="87"/>
      <c r="ERB9" s="87"/>
      <c r="ERC9" s="87"/>
      <c r="ERD9" s="87"/>
      <c r="ERE9" s="87"/>
      <c r="ERF9" s="87"/>
      <c r="ERG9" s="87"/>
      <c r="ERH9" s="87"/>
      <c r="ERI9" s="87"/>
      <c r="ERJ9" s="87"/>
      <c r="ERK9" s="87"/>
      <c r="ERL9" s="87"/>
      <c r="ERM9" s="87"/>
      <c r="ERN9" s="87"/>
      <c r="ERO9" s="87"/>
      <c r="ERP9" s="87"/>
      <c r="ERQ9" s="87"/>
      <c r="ERR9" s="87"/>
      <c r="ERS9" s="87"/>
      <c r="ERT9" s="87"/>
      <c r="ERU9" s="87"/>
      <c r="ERV9" s="87"/>
      <c r="ERW9" s="87"/>
      <c r="ERX9" s="87"/>
      <c r="ERY9" s="87"/>
      <c r="ERZ9" s="87"/>
      <c r="ESA9" s="87"/>
      <c r="ESB9" s="87"/>
      <c r="ESC9" s="87"/>
      <c r="ESD9" s="87"/>
      <c r="ESE9" s="87"/>
      <c r="ESF9" s="87"/>
      <c r="ESG9" s="87"/>
      <c r="ESH9" s="87"/>
      <c r="ESI9" s="87"/>
      <c r="ESJ9" s="87"/>
      <c r="ESK9" s="87"/>
      <c r="ESL9" s="87"/>
      <c r="ESM9" s="87"/>
      <c r="ESN9" s="87"/>
      <c r="ESO9" s="87"/>
      <c r="ESP9" s="87"/>
      <c r="ESQ9" s="87"/>
      <c r="ESR9" s="87"/>
      <c r="ESS9" s="87"/>
      <c r="EST9" s="87"/>
      <c r="ESU9" s="87"/>
      <c r="ESV9" s="87"/>
      <c r="ESW9" s="87"/>
      <c r="ESX9" s="87"/>
      <c r="ESY9" s="87"/>
      <c r="ESZ9" s="87"/>
      <c r="ETA9" s="87"/>
      <c r="ETB9" s="87"/>
      <c r="ETC9" s="87"/>
      <c r="ETD9" s="87"/>
      <c r="ETE9" s="87"/>
      <c r="ETF9" s="87"/>
      <c r="ETG9" s="87"/>
      <c r="ETH9" s="87"/>
      <c r="ETI9" s="87"/>
      <c r="ETJ9" s="87"/>
      <c r="ETK9" s="87"/>
      <c r="ETL9" s="87"/>
      <c r="ETM9" s="87"/>
      <c r="ETN9" s="87"/>
      <c r="ETO9" s="87"/>
      <c r="ETP9" s="87"/>
      <c r="ETQ9" s="87"/>
      <c r="ETR9" s="87"/>
      <c r="ETS9" s="87"/>
      <c r="ETT9" s="87"/>
      <c r="ETU9" s="87"/>
      <c r="ETV9" s="87"/>
      <c r="ETW9" s="87"/>
      <c r="ETX9" s="87"/>
      <c r="ETY9" s="87"/>
      <c r="ETZ9" s="87"/>
      <c r="EUA9" s="87"/>
      <c r="EUB9" s="87"/>
      <c r="EUC9" s="87"/>
      <c r="EUD9" s="87"/>
      <c r="EUE9" s="87"/>
      <c r="EUF9" s="87"/>
      <c r="EUG9" s="87"/>
      <c r="EUH9" s="87"/>
      <c r="EUI9" s="87"/>
      <c r="EUJ9" s="87"/>
      <c r="EUK9" s="87"/>
      <c r="EUL9" s="87"/>
      <c r="EUM9" s="87"/>
      <c r="EUN9" s="87"/>
      <c r="EUO9" s="87"/>
      <c r="EUP9" s="87"/>
      <c r="EUQ9" s="87"/>
      <c r="EUR9" s="87"/>
      <c r="EUS9" s="87"/>
      <c r="EUT9" s="87"/>
      <c r="EUU9" s="87"/>
      <c r="EUV9" s="87"/>
      <c r="EUW9" s="87"/>
      <c r="EUX9" s="87"/>
      <c r="EUY9" s="87"/>
      <c r="EUZ9" s="87"/>
      <c r="EVA9" s="87"/>
      <c r="EVB9" s="87"/>
      <c r="EVC9" s="87"/>
      <c r="EVD9" s="87"/>
      <c r="EVE9" s="87"/>
      <c r="EVF9" s="87"/>
      <c r="EVG9" s="87"/>
      <c r="EVH9" s="87"/>
      <c r="EVI9" s="87"/>
      <c r="EVJ9" s="87"/>
      <c r="EVK9" s="87"/>
      <c r="EVL9" s="87"/>
      <c r="EVM9" s="87"/>
      <c r="EVN9" s="87"/>
      <c r="EVO9" s="87"/>
      <c r="EVP9" s="87"/>
      <c r="EVQ9" s="87"/>
      <c r="EVR9" s="87"/>
      <c r="EVS9" s="87"/>
      <c r="EVT9" s="87"/>
      <c r="EVU9" s="87"/>
      <c r="EVV9" s="87"/>
      <c r="EVW9" s="87"/>
      <c r="EVX9" s="87"/>
      <c r="EVY9" s="87"/>
      <c r="EVZ9" s="87"/>
      <c r="EWA9" s="87"/>
      <c r="EWB9" s="87"/>
      <c r="EWC9" s="87"/>
      <c r="EWD9" s="87"/>
      <c r="EWE9" s="87"/>
      <c r="EWF9" s="87"/>
      <c r="EWG9" s="87"/>
      <c r="EWH9" s="87"/>
      <c r="EWI9" s="87"/>
      <c r="EWJ9" s="87"/>
      <c r="EWK9" s="87"/>
      <c r="EWL9" s="87"/>
      <c r="EWM9" s="87"/>
      <c r="EWN9" s="87"/>
      <c r="EWO9" s="87"/>
      <c r="EWP9" s="87"/>
      <c r="EWQ9" s="87"/>
      <c r="EWR9" s="87"/>
      <c r="EWS9" s="87"/>
      <c r="EWT9" s="87"/>
      <c r="EWU9" s="87"/>
      <c r="EWV9" s="87"/>
      <c r="EWW9" s="87"/>
      <c r="EWX9" s="87"/>
      <c r="EWY9" s="87"/>
      <c r="EWZ9" s="87"/>
      <c r="EXA9" s="87"/>
      <c r="EXB9" s="87"/>
      <c r="EXC9" s="87"/>
      <c r="EXD9" s="87"/>
      <c r="EXE9" s="87"/>
      <c r="EXF9" s="87"/>
      <c r="EXG9" s="87"/>
      <c r="EXH9" s="87"/>
      <c r="EXI9" s="87"/>
      <c r="EXJ9" s="87"/>
      <c r="EXK9" s="87"/>
      <c r="EXL9" s="87"/>
      <c r="EXM9" s="87"/>
      <c r="EXN9" s="87"/>
      <c r="EXO9" s="87"/>
      <c r="EXP9" s="87"/>
      <c r="EXQ9" s="87"/>
      <c r="EXR9" s="87"/>
      <c r="EXS9" s="87"/>
      <c r="EXT9" s="87"/>
      <c r="EXU9" s="87"/>
      <c r="EXV9" s="87"/>
      <c r="EXW9" s="87"/>
      <c r="EXX9" s="87"/>
      <c r="EXY9" s="87"/>
      <c r="EXZ9" s="87"/>
      <c r="EYA9" s="87"/>
      <c r="EYB9" s="87"/>
      <c r="EYC9" s="87"/>
      <c r="EYD9" s="87"/>
      <c r="EYE9" s="87"/>
      <c r="EYF9" s="87"/>
      <c r="EYG9" s="87"/>
      <c r="EYH9" s="87"/>
      <c r="EYI9" s="87"/>
      <c r="EYJ9" s="87"/>
      <c r="EYK9" s="87"/>
      <c r="EYL9" s="87"/>
      <c r="EYM9" s="87"/>
      <c r="EYN9" s="87"/>
      <c r="EYO9" s="87"/>
      <c r="EYP9" s="87"/>
      <c r="EYQ9" s="87"/>
      <c r="EYR9" s="87"/>
      <c r="EYS9" s="87"/>
      <c r="EYT9" s="87"/>
      <c r="EYU9" s="87"/>
      <c r="EYV9" s="87"/>
      <c r="EYW9" s="87"/>
      <c r="EYX9" s="87"/>
      <c r="EYY9" s="87"/>
      <c r="EYZ9" s="87"/>
      <c r="EZA9" s="87"/>
      <c r="EZB9" s="87"/>
      <c r="EZC9" s="87"/>
      <c r="EZD9" s="87"/>
      <c r="EZE9" s="87"/>
      <c r="EZF9" s="87"/>
      <c r="EZG9" s="87"/>
      <c r="EZH9" s="87"/>
      <c r="EZI9" s="87"/>
      <c r="EZJ9" s="87"/>
      <c r="EZK9" s="87"/>
      <c r="EZL9" s="87"/>
      <c r="EZM9" s="87"/>
      <c r="EZN9" s="87"/>
      <c r="EZO9" s="87"/>
      <c r="EZP9" s="87"/>
      <c r="EZQ9" s="87"/>
      <c r="EZR9" s="87"/>
      <c r="EZS9" s="87"/>
      <c r="EZT9" s="87"/>
      <c r="EZU9" s="87"/>
      <c r="EZV9" s="87"/>
      <c r="EZW9" s="87"/>
      <c r="EZX9" s="87"/>
      <c r="EZY9" s="87"/>
      <c r="EZZ9" s="87"/>
      <c r="FAA9" s="87"/>
      <c r="FAB9" s="87"/>
      <c r="FAC9" s="87"/>
      <c r="FAD9" s="87"/>
      <c r="FAE9" s="87"/>
      <c r="FAF9" s="87"/>
      <c r="FAG9" s="87"/>
      <c r="FAH9" s="87"/>
      <c r="FAI9" s="87"/>
      <c r="FAJ9" s="87"/>
      <c r="FAK9" s="87"/>
      <c r="FAL9" s="87"/>
      <c r="FAM9" s="87"/>
      <c r="FAN9" s="87"/>
      <c r="FAO9" s="87"/>
      <c r="FAP9" s="87"/>
      <c r="FAQ9" s="87"/>
      <c r="FAR9" s="87"/>
      <c r="FAS9" s="87"/>
      <c r="FAT9" s="87"/>
      <c r="FAU9" s="87"/>
      <c r="FAV9" s="87"/>
      <c r="FAW9" s="87"/>
      <c r="FAX9" s="87"/>
      <c r="FAY9" s="87"/>
      <c r="FAZ9" s="87"/>
      <c r="FBA9" s="87"/>
      <c r="FBB9" s="87"/>
      <c r="FBC9" s="87"/>
      <c r="FBD9" s="87"/>
      <c r="FBE9" s="87"/>
      <c r="FBF9" s="87"/>
      <c r="FBG9" s="87"/>
      <c r="FBH9" s="87"/>
      <c r="FBI9" s="87"/>
      <c r="FBJ9" s="87"/>
      <c r="FBK9" s="87"/>
      <c r="FBL9" s="87"/>
      <c r="FBM9" s="87"/>
      <c r="FBN9" s="87"/>
      <c r="FBO9" s="87"/>
      <c r="FBP9" s="87"/>
      <c r="FBQ9" s="87"/>
      <c r="FBR9" s="87"/>
      <c r="FBS9" s="87"/>
      <c r="FBT9" s="87"/>
      <c r="FBU9" s="87"/>
      <c r="FBV9" s="87"/>
      <c r="FBW9" s="87"/>
      <c r="FBX9" s="87"/>
      <c r="FBY9" s="87"/>
      <c r="FBZ9" s="87"/>
      <c r="FCA9" s="87"/>
      <c r="FCB9" s="87"/>
      <c r="FCC9" s="87"/>
      <c r="FCD9" s="87"/>
      <c r="FCE9" s="87"/>
      <c r="FCF9" s="87"/>
      <c r="FCG9" s="87"/>
      <c r="FCH9" s="87"/>
      <c r="FCI9" s="87"/>
      <c r="FCJ9" s="87"/>
      <c r="FCK9" s="87"/>
      <c r="FCL9" s="87"/>
      <c r="FCM9" s="87"/>
      <c r="FCN9" s="87"/>
      <c r="FCO9" s="87"/>
      <c r="FCP9" s="87"/>
      <c r="FCQ9" s="87"/>
      <c r="FCR9" s="87"/>
      <c r="FCS9" s="87"/>
      <c r="FCT9" s="87"/>
      <c r="FCU9" s="87"/>
      <c r="FCV9" s="87"/>
      <c r="FCW9" s="87"/>
      <c r="FCX9" s="87"/>
      <c r="FCY9" s="87"/>
      <c r="FCZ9" s="87"/>
      <c r="FDA9" s="87"/>
      <c r="FDB9" s="87"/>
      <c r="FDC9" s="87"/>
      <c r="FDD9" s="87"/>
      <c r="FDE9" s="87"/>
      <c r="FDF9" s="87"/>
      <c r="FDG9" s="87"/>
      <c r="FDH9" s="87"/>
      <c r="FDI9" s="87"/>
      <c r="FDJ9" s="87"/>
      <c r="FDK9" s="87"/>
      <c r="FDL9" s="87"/>
      <c r="FDM9" s="87"/>
      <c r="FDN9" s="87"/>
      <c r="FDO9" s="87"/>
      <c r="FDP9" s="87"/>
      <c r="FDQ9" s="87"/>
      <c r="FDR9" s="87"/>
      <c r="FDS9" s="87"/>
      <c r="FDT9" s="87"/>
      <c r="FDU9" s="87"/>
      <c r="FDV9" s="87"/>
      <c r="FDW9" s="87"/>
      <c r="FDX9" s="87"/>
      <c r="FDY9" s="87"/>
      <c r="FDZ9" s="87"/>
      <c r="FEA9" s="87"/>
      <c r="FEB9" s="87"/>
      <c r="FEC9" s="87"/>
      <c r="FED9" s="87"/>
      <c r="FEE9" s="87"/>
      <c r="FEF9" s="87"/>
      <c r="FEG9" s="87"/>
      <c r="FEH9" s="87"/>
      <c r="FEI9" s="87"/>
      <c r="FEJ9" s="87"/>
      <c r="FEK9" s="87"/>
      <c r="FEL9" s="87"/>
      <c r="FEM9" s="87"/>
      <c r="FEN9" s="87"/>
      <c r="FEO9" s="87"/>
      <c r="FEP9" s="87"/>
      <c r="FEQ9" s="87"/>
      <c r="FER9" s="87"/>
      <c r="FES9" s="87"/>
      <c r="FET9" s="87"/>
      <c r="FEU9" s="87"/>
      <c r="FEV9" s="87"/>
      <c r="FEW9" s="87"/>
      <c r="FEX9" s="87"/>
      <c r="FEY9" s="87"/>
      <c r="FEZ9" s="87"/>
      <c r="FFA9" s="87"/>
      <c r="FFB9" s="87"/>
      <c r="FFC9" s="87"/>
      <c r="FFD9" s="87"/>
      <c r="FFE9" s="87"/>
      <c r="FFF9" s="87"/>
      <c r="FFG9" s="87"/>
      <c r="FFH9" s="87"/>
      <c r="FFI9" s="87"/>
      <c r="FFJ9" s="87"/>
      <c r="FFK9" s="87"/>
      <c r="FFL9" s="87"/>
      <c r="FFM9" s="87"/>
      <c r="FFN9" s="87"/>
      <c r="FFO9" s="87"/>
      <c r="FFP9" s="87"/>
      <c r="FFQ9" s="87"/>
      <c r="FFR9" s="87"/>
      <c r="FFS9" s="87"/>
      <c r="FFT9" s="87"/>
      <c r="FFU9" s="87"/>
      <c r="FFV9" s="87"/>
      <c r="FFW9" s="87"/>
      <c r="FFX9" s="87"/>
      <c r="FFY9" s="87"/>
      <c r="FFZ9" s="87"/>
      <c r="FGA9" s="87"/>
      <c r="FGB9" s="87"/>
      <c r="FGC9" s="87"/>
      <c r="FGD9" s="87"/>
      <c r="FGE9" s="87"/>
      <c r="FGF9" s="87"/>
      <c r="FGG9" s="87"/>
      <c r="FGH9" s="87"/>
      <c r="FGI9" s="87"/>
      <c r="FGJ9" s="87"/>
      <c r="FGK9" s="87"/>
      <c r="FGL9" s="87"/>
      <c r="FGM9" s="87"/>
      <c r="FGN9" s="87"/>
      <c r="FGO9" s="87"/>
      <c r="FGP9" s="87"/>
      <c r="FGQ9" s="87"/>
      <c r="FGR9" s="87"/>
      <c r="FGS9" s="87"/>
      <c r="FGT9" s="87"/>
      <c r="FGU9" s="87"/>
      <c r="FGV9" s="87"/>
      <c r="FGW9" s="87"/>
      <c r="FGX9" s="87"/>
      <c r="FGY9" s="87"/>
      <c r="FGZ9" s="87"/>
      <c r="FHA9" s="87"/>
      <c r="FHB9" s="87"/>
      <c r="FHC9" s="87"/>
      <c r="FHD9" s="87"/>
      <c r="FHE9" s="87"/>
      <c r="FHF9" s="87"/>
      <c r="FHG9" s="87"/>
      <c r="FHH9" s="87"/>
      <c r="FHI9" s="87"/>
      <c r="FHJ9" s="87"/>
      <c r="FHK9" s="87"/>
      <c r="FHL9" s="87"/>
      <c r="FHM9" s="87"/>
      <c r="FHN9" s="87"/>
      <c r="FHO9" s="87"/>
      <c r="FHP9" s="87"/>
      <c r="FHQ9" s="87"/>
      <c r="FHR9" s="87"/>
      <c r="FHS9" s="87"/>
      <c r="FHT9" s="87"/>
      <c r="FHU9" s="87"/>
      <c r="FHV9" s="87"/>
      <c r="FHW9" s="87"/>
      <c r="FHX9" s="87"/>
      <c r="FHY9" s="87"/>
      <c r="FHZ9" s="87"/>
      <c r="FIA9" s="87"/>
      <c r="FIB9" s="87"/>
      <c r="FIC9" s="87"/>
      <c r="FID9" s="87"/>
      <c r="FIE9" s="87"/>
      <c r="FIF9" s="87"/>
      <c r="FIG9" s="87"/>
      <c r="FIH9" s="87"/>
      <c r="FII9" s="87"/>
      <c r="FIJ9" s="87"/>
      <c r="FIK9" s="87"/>
      <c r="FIL9" s="87"/>
      <c r="FIM9" s="87"/>
      <c r="FIN9" s="87"/>
      <c r="FIO9" s="87"/>
      <c r="FIP9" s="87"/>
      <c r="FIQ9" s="87"/>
      <c r="FIR9" s="87"/>
      <c r="FIS9" s="87"/>
      <c r="FIT9" s="87"/>
      <c r="FIU9" s="87"/>
      <c r="FIV9" s="87"/>
      <c r="FIW9" s="87"/>
      <c r="FIX9" s="87"/>
      <c r="FIY9" s="87"/>
      <c r="FIZ9" s="87"/>
      <c r="FJA9" s="87"/>
      <c r="FJB9" s="87"/>
      <c r="FJC9" s="87"/>
      <c r="FJD9" s="87"/>
      <c r="FJE9" s="87"/>
      <c r="FJF9" s="87"/>
      <c r="FJG9" s="87"/>
      <c r="FJH9" s="87"/>
      <c r="FJI9" s="87"/>
      <c r="FJJ9" s="87"/>
      <c r="FJK9" s="87"/>
      <c r="FJL9" s="87"/>
      <c r="FJM9" s="87"/>
      <c r="FJN9" s="87"/>
      <c r="FJO9" s="87"/>
      <c r="FJP9" s="87"/>
      <c r="FJQ9" s="87"/>
      <c r="FJR9" s="87"/>
      <c r="FJS9" s="87"/>
      <c r="FJT9" s="87"/>
      <c r="FJU9" s="87"/>
      <c r="FJV9" s="87"/>
      <c r="FJW9" s="87"/>
      <c r="FJX9" s="87"/>
      <c r="FJY9" s="87"/>
      <c r="FJZ9" s="87"/>
      <c r="FKA9" s="87"/>
      <c r="FKB9" s="87"/>
      <c r="FKC9" s="87"/>
      <c r="FKD9" s="87"/>
      <c r="FKE9" s="87"/>
      <c r="FKF9" s="87"/>
      <c r="FKG9" s="87"/>
      <c r="FKH9" s="87"/>
      <c r="FKI9" s="87"/>
      <c r="FKJ9" s="87"/>
      <c r="FKK9" s="87"/>
      <c r="FKL9" s="87"/>
      <c r="FKM9" s="87"/>
      <c r="FKN9" s="87"/>
      <c r="FKO9" s="87"/>
      <c r="FKP9" s="87"/>
      <c r="FKQ9" s="87"/>
      <c r="FKR9" s="87"/>
      <c r="FKS9" s="87"/>
      <c r="FKT9" s="87"/>
      <c r="FKU9" s="87"/>
      <c r="FKV9" s="87"/>
      <c r="FKW9" s="87"/>
      <c r="FKX9" s="87"/>
      <c r="FKY9" s="87"/>
      <c r="FKZ9" s="87"/>
      <c r="FLA9" s="87"/>
      <c r="FLB9" s="87"/>
      <c r="FLC9" s="87"/>
      <c r="FLD9" s="87"/>
      <c r="FLE9" s="87"/>
      <c r="FLF9" s="87"/>
      <c r="FLG9" s="87"/>
      <c r="FLH9" s="87"/>
      <c r="FLI9" s="87"/>
      <c r="FLJ9" s="87"/>
      <c r="FLK9" s="87"/>
      <c r="FLL9" s="87"/>
      <c r="FLM9" s="87"/>
      <c r="FLN9" s="87"/>
      <c r="FLO9" s="87"/>
      <c r="FLP9" s="87"/>
      <c r="FLQ9" s="87"/>
      <c r="FLR9" s="87"/>
      <c r="FLS9" s="87"/>
      <c r="FLT9" s="87"/>
      <c r="FLU9" s="87"/>
      <c r="FLV9" s="87"/>
      <c r="FLW9" s="87"/>
      <c r="FLX9" s="87"/>
      <c r="FLY9" s="87"/>
      <c r="FLZ9" s="87"/>
      <c r="FMA9" s="87"/>
      <c r="FMB9" s="87"/>
      <c r="FMC9" s="87"/>
      <c r="FMD9" s="87"/>
      <c r="FME9" s="87"/>
      <c r="FMF9" s="87"/>
      <c r="FMG9" s="87"/>
      <c r="FMH9" s="87"/>
      <c r="FMI9" s="87"/>
      <c r="FMJ9" s="87"/>
      <c r="FMK9" s="87"/>
      <c r="FML9" s="87"/>
      <c r="FMM9" s="87"/>
      <c r="FMN9" s="87"/>
      <c r="FMO9" s="87"/>
      <c r="FMP9" s="87"/>
      <c r="FMQ9" s="87"/>
      <c r="FMR9" s="87"/>
      <c r="FMS9" s="87"/>
      <c r="FMT9" s="87"/>
      <c r="FMU9" s="87"/>
      <c r="FMV9" s="87"/>
      <c r="FMW9" s="87"/>
      <c r="FMX9" s="87"/>
      <c r="FMY9" s="87"/>
      <c r="FMZ9" s="87"/>
      <c r="FNA9" s="87"/>
      <c r="FNB9" s="87"/>
      <c r="FNC9" s="87"/>
      <c r="FND9" s="87"/>
      <c r="FNE9" s="87"/>
      <c r="FNF9" s="87"/>
      <c r="FNG9" s="87"/>
      <c r="FNH9" s="87"/>
      <c r="FNI9" s="87"/>
      <c r="FNJ9" s="87"/>
      <c r="FNK9" s="87"/>
      <c r="FNL9" s="87"/>
      <c r="FNM9" s="87"/>
      <c r="FNN9" s="87"/>
      <c r="FNO9" s="87"/>
      <c r="FNP9" s="87"/>
      <c r="FNQ9" s="87"/>
      <c r="FNR9" s="87"/>
      <c r="FNS9" s="87"/>
      <c r="FNT9" s="87"/>
      <c r="FNU9" s="87"/>
      <c r="FNV9" s="87"/>
      <c r="FNW9" s="87"/>
      <c r="FNX9" s="87"/>
      <c r="FNY9" s="87"/>
      <c r="FNZ9" s="87"/>
      <c r="FOA9" s="87"/>
      <c r="FOB9" s="87"/>
      <c r="FOC9" s="87"/>
      <c r="FOD9" s="87"/>
      <c r="FOE9" s="87"/>
      <c r="FOF9" s="87"/>
      <c r="FOG9" s="87"/>
      <c r="FOH9" s="87"/>
      <c r="FOI9" s="87"/>
      <c r="FOJ9" s="87"/>
      <c r="FOK9" s="87"/>
      <c r="FOL9" s="87"/>
      <c r="FOM9" s="87"/>
      <c r="FON9" s="87"/>
      <c r="FOO9" s="87"/>
      <c r="FOP9" s="87"/>
      <c r="FOQ9" s="87"/>
      <c r="FOR9" s="87"/>
      <c r="FOS9" s="87"/>
      <c r="FOT9" s="87"/>
      <c r="FOU9" s="87"/>
      <c r="FOV9" s="87"/>
      <c r="FOW9" s="87"/>
      <c r="FOX9" s="87"/>
      <c r="FOY9" s="87"/>
      <c r="FOZ9" s="87"/>
      <c r="FPA9" s="87"/>
      <c r="FPB9" s="87"/>
      <c r="FPC9" s="87"/>
      <c r="FPD9" s="87"/>
      <c r="FPE9" s="87"/>
      <c r="FPF9" s="87"/>
      <c r="FPG9" s="87"/>
      <c r="FPH9" s="87"/>
      <c r="FPI9" s="87"/>
      <c r="FPJ9" s="87"/>
      <c r="FPK9" s="87"/>
      <c r="FPL9" s="87"/>
      <c r="FPM9" s="87"/>
      <c r="FPN9" s="87"/>
      <c r="FPO9" s="87"/>
      <c r="FPP9" s="87"/>
      <c r="FPQ9" s="87"/>
      <c r="FPR9" s="87"/>
      <c r="FPS9" s="87"/>
      <c r="FPT9" s="87"/>
      <c r="FPU9" s="87"/>
      <c r="FPV9" s="87"/>
      <c r="FPW9" s="87"/>
      <c r="FPX9" s="87"/>
      <c r="FPY9" s="87"/>
      <c r="FPZ9" s="87"/>
      <c r="FQA9" s="87"/>
      <c r="FQB9" s="87"/>
      <c r="FQC9" s="87"/>
      <c r="FQD9" s="87"/>
      <c r="FQE9" s="87"/>
      <c r="FQF9" s="87"/>
      <c r="FQG9" s="87"/>
      <c r="FQH9" s="87"/>
      <c r="FQI9" s="87"/>
      <c r="FQJ9" s="87"/>
      <c r="FQK9" s="87"/>
      <c r="FQL9" s="87"/>
      <c r="FQM9" s="87"/>
      <c r="FQN9" s="87"/>
      <c r="FQO9" s="87"/>
      <c r="FQP9" s="87"/>
      <c r="FQQ9" s="87"/>
      <c r="FQR9" s="87"/>
      <c r="FQS9" s="87"/>
      <c r="FQT9" s="87"/>
      <c r="FQU9" s="87"/>
      <c r="FQV9" s="87"/>
      <c r="FQW9" s="87"/>
      <c r="FQX9" s="87"/>
      <c r="FQY9" s="87"/>
      <c r="FQZ9" s="87"/>
      <c r="FRA9" s="87"/>
      <c r="FRB9" s="87"/>
      <c r="FRC9" s="87"/>
      <c r="FRD9" s="87"/>
      <c r="FRE9" s="87"/>
      <c r="FRF9" s="87"/>
      <c r="FRG9" s="87"/>
      <c r="FRH9" s="87"/>
      <c r="FRI9" s="87"/>
      <c r="FRJ9" s="87"/>
      <c r="FRK9" s="87"/>
      <c r="FRL9" s="87"/>
      <c r="FRM9" s="87"/>
      <c r="FRN9" s="87"/>
      <c r="FRO9" s="87"/>
      <c r="FRP9" s="87"/>
      <c r="FRQ9" s="87"/>
      <c r="FRR9" s="87"/>
      <c r="FRS9" s="87"/>
      <c r="FRT9" s="87"/>
      <c r="FRU9" s="87"/>
      <c r="FRV9" s="87"/>
      <c r="FRW9" s="87"/>
      <c r="FRX9" s="87"/>
      <c r="FRY9" s="87"/>
      <c r="FRZ9" s="87"/>
      <c r="FSA9" s="87"/>
      <c r="FSB9" s="87"/>
      <c r="FSC9" s="87"/>
      <c r="FSD9" s="87"/>
      <c r="FSE9" s="87"/>
      <c r="FSF9" s="87"/>
      <c r="FSG9" s="87"/>
      <c r="FSH9" s="87"/>
      <c r="FSI9" s="87"/>
      <c r="FSJ9" s="87"/>
      <c r="FSK9" s="87"/>
      <c r="FSL9" s="87"/>
      <c r="FSM9" s="87"/>
      <c r="FSN9" s="87"/>
      <c r="FSO9" s="87"/>
      <c r="FSP9" s="87"/>
      <c r="FSQ9" s="87"/>
      <c r="FSR9" s="87"/>
      <c r="FSS9" s="87"/>
      <c r="FST9" s="87"/>
      <c r="FSU9" s="87"/>
      <c r="FSV9" s="87"/>
      <c r="FSW9" s="87"/>
      <c r="FSX9" s="87"/>
      <c r="FSY9" s="87"/>
      <c r="FSZ9" s="87"/>
      <c r="FTA9" s="87"/>
      <c r="FTB9" s="87"/>
      <c r="FTC9" s="87"/>
      <c r="FTD9" s="87"/>
      <c r="FTE9" s="87"/>
      <c r="FTF9" s="87"/>
      <c r="FTG9" s="87"/>
      <c r="FTH9" s="87"/>
      <c r="FTI9" s="87"/>
      <c r="FTJ9" s="87"/>
      <c r="FTK9" s="87"/>
      <c r="FTL9" s="87"/>
      <c r="FTM9" s="87"/>
      <c r="FTN9" s="87"/>
      <c r="FTO9" s="87"/>
      <c r="FTP9" s="87"/>
      <c r="FTQ9" s="87"/>
      <c r="FTR9" s="87"/>
      <c r="FTS9" s="87"/>
      <c r="FTT9" s="87"/>
      <c r="FTU9" s="87"/>
      <c r="FTV9" s="87"/>
      <c r="FTW9" s="87"/>
      <c r="FTX9" s="87"/>
      <c r="FTY9" s="87"/>
      <c r="FTZ9" s="87"/>
      <c r="FUA9" s="87"/>
      <c r="FUB9" s="87"/>
      <c r="FUC9" s="87"/>
      <c r="FUD9" s="87"/>
      <c r="FUE9" s="87"/>
      <c r="FUF9" s="87"/>
      <c r="FUG9" s="87"/>
      <c r="FUH9" s="87"/>
      <c r="FUI9" s="87"/>
      <c r="FUJ9" s="87"/>
      <c r="FUK9" s="87"/>
      <c r="FUL9" s="87"/>
      <c r="FUM9" s="87"/>
      <c r="FUN9" s="87"/>
      <c r="FUO9" s="87"/>
      <c r="FUP9" s="87"/>
      <c r="FUQ9" s="87"/>
      <c r="FUR9" s="87"/>
      <c r="FUS9" s="87"/>
      <c r="FUT9" s="87"/>
      <c r="FUU9" s="87"/>
      <c r="FUV9" s="87"/>
      <c r="FUW9" s="87"/>
      <c r="FUX9" s="87"/>
      <c r="FUY9" s="87"/>
      <c r="FUZ9" s="87"/>
      <c r="FVA9" s="87"/>
      <c r="FVB9" s="87"/>
      <c r="FVC9" s="87"/>
      <c r="FVD9" s="87"/>
      <c r="FVE9" s="87"/>
      <c r="FVF9" s="87"/>
      <c r="FVG9" s="87"/>
      <c r="FVH9" s="87"/>
      <c r="FVI9" s="87"/>
      <c r="FVJ9" s="87"/>
      <c r="FVK9" s="87"/>
      <c r="FVL9" s="87"/>
      <c r="FVM9" s="87"/>
      <c r="FVN9" s="87"/>
      <c r="FVO9" s="87"/>
      <c r="FVP9" s="87"/>
      <c r="FVQ9" s="87"/>
      <c r="FVR9" s="87"/>
      <c r="FVS9" s="87"/>
      <c r="FVT9" s="87"/>
      <c r="FVU9" s="87"/>
      <c r="FVV9" s="87"/>
      <c r="FVW9" s="87"/>
      <c r="FVX9" s="87"/>
      <c r="FVY9" s="87"/>
      <c r="FVZ9" s="87"/>
      <c r="FWA9" s="87"/>
      <c r="FWB9" s="87"/>
      <c r="FWC9" s="87"/>
      <c r="FWD9" s="87"/>
      <c r="FWE9" s="87"/>
      <c r="FWF9" s="87"/>
      <c r="FWG9" s="87"/>
      <c r="FWH9" s="87"/>
      <c r="FWI9" s="87"/>
      <c r="FWJ9" s="87"/>
      <c r="FWK9" s="87"/>
      <c r="FWL9" s="87"/>
      <c r="FWM9" s="87"/>
      <c r="FWN9" s="87"/>
      <c r="FWO9" s="87"/>
      <c r="FWP9" s="87"/>
      <c r="FWQ9" s="87"/>
      <c r="FWR9" s="87"/>
      <c r="FWS9" s="87"/>
      <c r="FWT9" s="87"/>
      <c r="FWU9" s="87"/>
      <c r="FWV9" s="87"/>
      <c r="FWW9" s="87"/>
      <c r="FWX9" s="87"/>
      <c r="FWY9" s="87"/>
      <c r="FWZ9" s="87"/>
      <c r="FXA9" s="87"/>
      <c r="FXB9" s="87"/>
      <c r="FXC9" s="87"/>
      <c r="FXD9" s="87"/>
      <c r="FXE9" s="87"/>
      <c r="FXF9" s="87"/>
      <c r="FXG9" s="87"/>
      <c r="FXH9" s="87"/>
      <c r="FXI9" s="87"/>
      <c r="FXJ9" s="87"/>
      <c r="FXK9" s="87"/>
      <c r="FXL9" s="87"/>
      <c r="FXM9" s="87"/>
      <c r="FXN9" s="87"/>
      <c r="FXO9" s="87"/>
      <c r="FXP9" s="87"/>
      <c r="FXQ9" s="87"/>
      <c r="FXR9" s="87"/>
      <c r="FXS9" s="87"/>
      <c r="FXT9" s="87"/>
      <c r="FXU9" s="87"/>
      <c r="FXV9" s="87"/>
      <c r="FXW9" s="87"/>
      <c r="FXX9" s="87"/>
      <c r="FXY9" s="87"/>
      <c r="FXZ9" s="87"/>
      <c r="FYA9" s="87"/>
      <c r="FYB9" s="87"/>
      <c r="FYC9" s="87"/>
      <c r="FYD9" s="87"/>
      <c r="FYE9" s="87"/>
      <c r="FYF9" s="87"/>
      <c r="FYG9" s="87"/>
      <c r="FYH9" s="87"/>
      <c r="FYI9" s="87"/>
      <c r="FYJ9" s="87"/>
      <c r="FYK9" s="87"/>
      <c r="FYL9" s="87"/>
      <c r="FYM9" s="87"/>
      <c r="FYN9" s="87"/>
      <c r="FYO9" s="87"/>
      <c r="FYP9" s="87"/>
      <c r="FYQ9" s="87"/>
      <c r="FYR9" s="87"/>
      <c r="FYS9" s="87"/>
      <c r="FYT9" s="87"/>
      <c r="FYU9" s="87"/>
      <c r="FYV9" s="87"/>
      <c r="FYW9" s="87"/>
      <c r="FYX9" s="87"/>
      <c r="FYY9" s="87"/>
      <c r="FYZ9" s="87"/>
      <c r="FZA9" s="87"/>
      <c r="FZB9" s="87"/>
      <c r="FZC9" s="87"/>
      <c r="FZD9" s="87"/>
      <c r="FZE9" s="87"/>
      <c r="FZF9" s="87"/>
      <c r="FZG9" s="87"/>
      <c r="FZH9" s="87"/>
      <c r="FZI9" s="87"/>
      <c r="FZJ9" s="87"/>
      <c r="FZK9" s="87"/>
      <c r="FZL9" s="87"/>
      <c r="FZM9" s="87"/>
      <c r="FZN9" s="87"/>
      <c r="FZO9" s="87"/>
      <c r="FZP9" s="87"/>
      <c r="FZQ9" s="87"/>
      <c r="FZR9" s="87"/>
      <c r="FZS9" s="87"/>
      <c r="FZT9" s="87"/>
      <c r="FZU9" s="87"/>
      <c r="FZV9" s="87"/>
      <c r="FZW9" s="87"/>
      <c r="FZX9" s="87"/>
      <c r="FZY9" s="87"/>
      <c r="FZZ9" s="87"/>
      <c r="GAA9" s="87"/>
      <c r="GAB9" s="87"/>
      <c r="GAC9" s="87"/>
      <c r="GAD9" s="87"/>
      <c r="GAE9" s="87"/>
      <c r="GAF9" s="87"/>
      <c r="GAG9" s="87"/>
      <c r="GAH9" s="87"/>
      <c r="GAI9" s="87"/>
      <c r="GAJ9" s="87"/>
      <c r="GAK9" s="87"/>
      <c r="GAL9" s="87"/>
      <c r="GAM9" s="87"/>
      <c r="GAN9" s="87"/>
      <c r="GAO9" s="87"/>
      <c r="GAP9" s="87"/>
      <c r="GAQ9" s="87"/>
      <c r="GAR9" s="87"/>
      <c r="GAS9" s="87"/>
      <c r="GAT9" s="87"/>
      <c r="GAU9" s="87"/>
      <c r="GAV9" s="87"/>
      <c r="GAW9" s="87"/>
      <c r="GAX9" s="87"/>
      <c r="GAY9" s="87"/>
      <c r="GAZ9" s="87"/>
      <c r="GBA9" s="87"/>
      <c r="GBB9" s="87"/>
      <c r="GBC9" s="87"/>
      <c r="GBD9" s="87"/>
      <c r="GBE9" s="87"/>
      <c r="GBF9" s="87"/>
      <c r="GBG9" s="87"/>
      <c r="GBH9" s="87"/>
      <c r="GBI9" s="87"/>
      <c r="GBJ9" s="87"/>
      <c r="GBK9" s="87"/>
      <c r="GBL9" s="87"/>
      <c r="GBM9" s="87"/>
      <c r="GBN9" s="87"/>
      <c r="GBO9" s="87"/>
      <c r="GBP9" s="87"/>
      <c r="GBQ9" s="87"/>
      <c r="GBR9" s="87"/>
      <c r="GBS9" s="87"/>
      <c r="GBT9" s="87"/>
      <c r="GBU9" s="87"/>
      <c r="GBV9" s="87"/>
      <c r="GBW9" s="87"/>
      <c r="GBX9" s="87"/>
      <c r="GBY9" s="87"/>
      <c r="GBZ9" s="87"/>
      <c r="GCA9" s="87"/>
      <c r="GCB9" s="87"/>
      <c r="GCC9" s="87"/>
      <c r="GCD9" s="87"/>
      <c r="GCE9" s="87"/>
      <c r="GCF9" s="87"/>
      <c r="GCG9" s="87"/>
      <c r="GCH9" s="87"/>
      <c r="GCI9" s="87"/>
      <c r="GCJ9" s="87"/>
      <c r="GCK9" s="87"/>
      <c r="GCL9" s="87"/>
      <c r="GCM9" s="87"/>
      <c r="GCN9" s="87"/>
      <c r="GCO9" s="87"/>
      <c r="GCP9" s="87"/>
      <c r="GCQ9" s="87"/>
      <c r="GCR9" s="87"/>
      <c r="GCS9" s="87"/>
      <c r="GCT9" s="87"/>
      <c r="GCU9" s="87"/>
      <c r="GCV9" s="87"/>
      <c r="GCW9" s="87"/>
      <c r="GCX9" s="87"/>
      <c r="GCY9" s="87"/>
      <c r="GCZ9" s="87"/>
      <c r="GDA9" s="87"/>
      <c r="GDB9" s="87"/>
      <c r="GDC9" s="87"/>
      <c r="GDD9" s="87"/>
      <c r="GDE9" s="87"/>
      <c r="GDF9" s="87"/>
      <c r="GDG9" s="87"/>
      <c r="GDH9" s="87"/>
      <c r="GDI9" s="87"/>
      <c r="GDJ9" s="87"/>
      <c r="GDK9" s="87"/>
      <c r="GDL9" s="87"/>
      <c r="GDM9" s="87"/>
      <c r="GDN9" s="87"/>
      <c r="GDO9" s="87"/>
      <c r="GDP9" s="87"/>
      <c r="GDQ9" s="87"/>
      <c r="GDR9" s="87"/>
      <c r="GDS9" s="87"/>
      <c r="GDT9" s="87"/>
      <c r="GDU9" s="87"/>
      <c r="GDV9" s="87"/>
      <c r="GDW9" s="87"/>
      <c r="GDX9" s="87"/>
      <c r="GDY9" s="87"/>
      <c r="GDZ9" s="87"/>
      <c r="GEA9" s="87"/>
      <c r="GEB9" s="87"/>
      <c r="GEC9" s="87"/>
      <c r="GED9" s="87"/>
      <c r="GEE9" s="87"/>
      <c r="GEF9" s="87"/>
      <c r="GEG9" s="87"/>
      <c r="GEH9" s="87"/>
      <c r="GEI9" s="87"/>
      <c r="GEJ9" s="87"/>
      <c r="GEK9" s="87"/>
      <c r="GEL9" s="87"/>
      <c r="GEM9" s="87"/>
      <c r="GEN9" s="87"/>
      <c r="GEO9" s="87"/>
      <c r="GEP9" s="87"/>
      <c r="GEQ9" s="87"/>
      <c r="GER9" s="87"/>
      <c r="GES9" s="87"/>
      <c r="GET9" s="87"/>
      <c r="GEU9" s="87"/>
      <c r="GEV9" s="87"/>
      <c r="GEW9" s="87"/>
      <c r="GEX9" s="87"/>
      <c r="GEY9" s="87"/>
      <c r="GEZ9" s="87"/>
      <c r="GFA9" s="87"/>
      <c r="GFB9" s="87"/>
      <c r="GFC9" s="87"/>
      <c r="GFD9" s="87"/>
      <c r="GFE9" s="87"/>
      <c r="GFF9" s="87"/>
      <c r="GFG9" s="87"/>
      <c r="GFH9" s="87"/>
      <c r="GFI9" s="87"/>
      <c r="GFJ9" s="87"/>
      <c r="GFK9" s="87"/>
      <c r="GFL9" s="87"/>
      <c r="GFM9" s="87"/>
      <c r="GFN9" s="87"/>
      <c r="GFO9" s="87"/>
      <c r="GFP9" s="87"/>
      <c r="GFQ9" s="87"/>
      <c r="GFR9" s="87"/>
      <c r="GFS9" s="87"/>
      <c r="GFT9" s="87"/>
      <c r="GFU9" s="87"/>
      <c r="GFV9" s="87"/>
      <c r="GFW9" s="87"/>
      <c r="GFX9" s="87"/>
      <c r="GFY9" s="87"/>
      <c r="GFZ9" s="87"/>
      <c r="GGA9" s="87"/>
      <c r="GGB9" s="87"/>
      <c r="GGC9" s="87"/>
      <c r="GGD9" s="87"/>
      <c r="GGE9" s="87"/>
      <c r="GGF9" s="87"/>
      <c r="GGG9" s="87"/>
      <c r="GGH9" s="87"/>
      <c r="GGI9" s="87"/>
      <c r="GGJ9" s="87"/>
      <c r="GGK9" s="87"/>
      <c r="GGL9" s="87"/>
      <c r="GGM9" s="87"/>
      <c r="GGN9" s="87"/>
      <c r="GGO9" s="87"/>
      <c r="GGP9" s="87"/>
      <c r="GGQ9" s="87"/>
      <c r="GGR9" s="87"/>
      <c r="GGS9" s="87"/>
      <c r="GGT9" s="87"/>
      <c r="GGU9" s="87"/>
      <c r="GGV9" s="87"/>
      <c r="GGW9" s="87"/>
      <c r="GGX9" s="87"/>
      <c r="GGY9" s="87"/>
      <c r="GGZ9" s="87"/>
      <c r="GHA9" s="87"/>
      <c r="GHB9" s="87"/>
      <c r="GHC9" s="87"/>
      <c r="GHD9" s="87"/>
      <c r="GHE9" s="87"/>
      <c r="GHF9" s="87"/>
      <c r="GHG9" s="87"/>
      <c r="GHH9" s="87"/>
      <c r="GHI9" s="87"/>
      <c r="GHJ9" s="87"/>
      <c r="GHK9" s="87"/>
      <c r="GHL9" s="87"/>
      <c r="GHM9" s="87"/>
      <c r="GHN9" s="87"/>
      <c r="GHO9" s="87"/>
      <c r="GHP9" s="87"/>
      <c r="GHQ9" s="87"/>
      <c r="GHR9" s="87"/>
      <c r="GHS9" s="87"/>
      <c r="GHT9" s="87"/>
      <c r="GHU9" s="87"/>
      <c r="GHV9" s="87"/>
      <c r="GHW9" s="87"/>
      <c r="GHX9" s="87"/>
      <c r="GHY9" s="87"/>
      <c r="GHZ9" s="87"/>
      <c r="GIA9" s="87"/>
      <c r="GIB9" s="87"/>
      <c r="GIC9" s="87"/>
      <c r="GID9" s="87"/>
      <c r="GIE9" s="87"/>
      <c r="GIF9" s="87"/>
      <c r="GIG9" s="87"/>
      <c r="GIH9" s="87"/>
      <c r="GII9" s="87"/>
      <c r="GIJ9" s="87"/>
      <c r="GIK9" s="87"/>
      <c r="GIL9" s="87"/>
      <c r="GIM9" s="87"/>
      <c r="GIN9" s="87"/>
      <c r="GIO9" s="87"/>
      <c r="GIP9" s="87"/>
      <c r="GIQ9" s="87"/>
      <c r="GIR9" s="87"/>
      <c r="GIS9" s="87"/>
      <c r="GIT9" s="87"/>
      <c r="GIU9" s="87"/>
      <c r="GIV9" s="87"/>
      <c r="GIW9" s="87"/>
      <c r="GIX9" s="87"/>
      <c r="GIY9" s="87"/>
      <c r="GIZ9" s="87"/>
      <c r="GJA9" s="87"/>
      <c r="GJB9" s="87"/>
      <c r="GJC9" s="87"/>
      <c r="GJD9" s="87"/>
      <c r="GJE9" s="87"/>
      <c r="GJF9" s="87"/>
      <c r="GJG9" s="87"/>
      <c r="GJH9" s="87"/>
      <c r="GJI9" s="87"/>
      <c r="GJJ9" s="87"/>
      <c r="GJK9" s="87"/>
      <c r="GJL9" s="87"/>
      <c r="GJM9" s="87"/>
      <c r="GJN9" s="87"/>
      <c r="GJO9" s="87"/>
      <c r="GJP9" s="87"/>
      <c r="GJQ9" s="87"/>
      <c r="GJR9" s="87"/>
      <c r="GJS9" s="87"/>
      <c r="GJT9" s="87"/>
      <c r="GJU9" s="87"/>
      <c r="GJV9" s="87"/>
      <c r="GJW9" s="87"/>
      <c r="GJX9" s="87"/>
      <c r="GJY9" s="87"/>
      <c r="GJZ9" s="87"/>
      <c r="GKA9" s="87"/>
      <c r="GKB9" s="87"/>
      <c r="GKC9" s="87"/>
      <c r="GKD9" s="87"/>
      <c r="GKE9" s="87"/>
      <c r="GKF9" s="87"/>
      <c r="GKG9" s="87"/>
      <c r="GKH9" s="87"/>
      <c r="GKI9" s="87"/>
      <c r="GKJ9" s="87"/>
      <c r="GKK9" s="87"/>
      <c r="GKL9" s="87"/>
      <c r="GKM9" s="87"/>
      <c r="GKN9" s="87"/>
      <c r="GKO9" s="87"/>
      <c r="GKP9" s="87"/>
      <c r="GKQ9" s="87"/>
      <c r="GKR9" s="87"/>
      <c r="GKS9" s="87"/>
      <c r="GKT9" s="87"/>
      <c r="GKU9" s="87"/>
      <c r="GKV9" s="87"/>
      <c r="GKW9" s="87"/>
      <c r="GKX9" s="87"/>
      <c r="GKY9" s="87"/>
      <c r="GKZ9" s="87"/>
      <c r="GLA9" s="87"/>
      <c r="GLB9" s="87"/>
      <c r="GLC9" s="87"/>
      <c r="GLD9" s="87"/>
      <c r="GLE9" s="87"/>
      <c r="GLF9" s="87"/>
      <c r="GLG9" s="87"/>
      <c r="GLH9" s="87"/>
      <c r="GLI9" s="87"/>
      <c r="GLJ9" s="87"/>
      <c r="GLK9" s="87"/>
      <c r="GLL9" s="87"/>
      <c r="GLM9" s="87"/>
      <c r="GLN9" s="87"/>
      <c r="GLO9" s="87"/>
      <c r="GLP9" s="87"/>
      <c r="GLQ9" s="87"/>
      <c r="GLR9" s="87"/>
      <c r="GLS9" s="87"/>
      <c r="GLT9" s="87"/>
      <c r="GLU9" s="87"/>
      <c r="GLV9" s="87"/>
      <c r="GLW9" s="87"/>
      <c r="GLX9" s="87"/>
      <c r="GLY9" s="87"/>
      <c r="GLZ9" s="87"/>
      <c r="GMA9" s="87"/>
      <c r="GMB9" s="87"/>
      <c r="GMC9" s="87"/>
      <c r="GMD9" s="87"/>
      <c r="GME9" s="87"/>
      <c r="GMF9" s="87"/>
      <c r="GMG9" s="87"/>
      <c r="GMH9" s="87"/>
      <c r="GMI9" s="87"/>
      <c r="GMJ9" s="87"/>
      <c r="GMK9" s="87"/>
      <c r="GML9" s="87"/>
      <c r="GMM9" s="87"/>
      <c r="GMN9" s="87"/>
      <c r="GMO9" s="87"/>
      <c r="GMP9" s="87"/>
      <c r="GMQ9" s="87"/>
      <c r="GMR9" s="87"/>
      <c r="GMS9" s="87"/>
      <c r="GMT9" s="87"/>
      <c r="GMU9" s="87"/>
      <c r="GMV9" s="87"/>
      <c r="GMW9" s="87"/>
      <c r="GMX9" s="87"/>
      <c r="GMY9" s="87"/>
      <c r="GMZ9" s="87"/>
      <c r="GNA9" s="87"/>
      <c r="GNB9" s="87"/>
      <c r="GNC9" s="87"/>
      <c r="GND9" s="87"/>
      <c r="GNE9" s="87"/>
      <c r="GNF9" s="87"/>
      <c r="GNG9" s="87"/>
      <c r="GNH9" s="87"/>
      <c r="GNI9" s="87"/>
      <c r="GNJ9" s="87"/>
      <c r="GNK9" s="87"/>
      <c r="GNL9" s="87"/>
      <c r="GNM9" s="87"/>
      <c r="GNN9" s="87"/>
      <c r="GNO9" s="87"/>
      <c r="GNP9" s="87"/>
      <c r="GNQ9" s="87"/>
      <c r="GNR9" s="87"/>
      <c r="GNS9" s="87"/>
      <c r="GNT9" s="87"/>
      <c r="GNU9" s="87"/>
      <c r="GNV9" s="87"/>
      <c r="GNW9" s="87"/>
      <c r="GNX9" s="87"/>
      <c r="GNY9" s="87"/>
      <c r="GNZ9" s="87"/>
      <c r="GOA9" s="87"/>
      <c r="GOB9" s="87"/>
      <c r="GOC9" s="87"/>
      <c r="GOD9" s="87"/>
      <c r="GOE9" s="87"/>
      <c r="GOF9" s="87"/>
      <c r="GOG9" s="87"/>
      <c r="GOH9" s="87"/>
      <c r="GOI9" s="87"/>
      <c r="GOJ9" s="87"/>
      <c r="GOK9" s="87"/>
      <c r="GOL9" s="87"/>
      <c r="GOM9" s="87"/>
      <c r="GON9" s="87"/>
      <c r="GOO9" s="87"/>
      <c r="GOP9" s="87"/>
      <c r="GOQ9" s="87"/>
      <c r="GOR9" s="87"/>
      <c r="GOS9" s="87"/>
      <c r="GOT9" s="87"/>
      <c r="GOU9" s="87"/>
      <c r="GOV9" s="87"/>
      <c r="GOW9" s="87"/>
      <c r="GOX9" s="87"/>
      <c r="GOY9" s="87"/>
      <c r="GOZ9" s="87"/>
      <c r="GPA9" s="87"/>
      <c r="GPB9" s="87"/>
      <c r="GPC9" s="87"/>
      <c r="GPD9" s="87"/>
      <c r="GPE9" s="87"/>
      <c r="GPF9" s="87"/>
      <c r="GPG9" s="87"/>
      <c r="GPH9" s="87"/>
      <c r="GPI9" s="87"/>
      <c r="GPJ9" s="87"/>
      <c r="GPK9" s="87"/>
      <c r="GPL9" s="87"/>
      <c r="GPM9" s="87"/>
      <c r="GPN9" s="87"/>
      <c r="GPO9" s="87"/>
      <c r="GPP9" s="87"/>
      <c r="GPQ9" s="87"/>
      <c r="GPR9" s="87"/>
      <c r="GPS9" s="87"/>
      <c r="GPT9" s="87"/>
      <c r="GPU9" s="87"/>
      <c r="GPV9" s="87"/>
      <c r="GPW9" s="87"/>
      <c r="GPX9" s="87"/>
      <c r="GPY9" s="87"/>
      <c r="GPZ9" s="87"/>
      <c r="GQA9" s="87"/>
      <c r="GQB9" s="87"/>
      <c r="GQC9" s="87"/>
      <c r="GQD9" s="87"/>
      <c r="GQE9" s="87"/>
      <c r="GQF9" s="87"/>
      <c r="GQG9" s="87"/>
      <c r="GQH9" s="87"/>
      <c r="GQI9" s="87"/>
      <c r="GQJ9" s="87"/>
      <c r="GQK9" s="87"/>
      <c r="GQL9" s="87"/>
      <c r="GQM9" s="87"/>
      <c r="GQN9" s="87"/>
      <c r="GQO9" s="87"/>
      <c r="GQP9" s="87"/>
      <c r="GQQ9" s="87"/>
      <c r="GQR9" s="87"/>
      <c r="GQS9" s="87"/>
      <c r="GQT9" s="87"/>
      <c r="GQU9" s="87"/>
      <c r="GQV9" s="87"/>
      <c r="GQW9" s="87"/>
      <c r="GQX9" s="87"/>
      <c r="GQY9" s="87"/>
      <c r="GQZ9" s="87"/>
      <c r="GRA9" s="87"/>
      <c r="GRB9" s="87"/>
      <c r="GRC9" s="87"/>
      <c r="GRD9" s="87"/>
      <c r="GRE9" s="87"/>
      <c r="GRF9" s="87"/>
      <c r="GRG9" s="87"/>
      <c r="GRH9" s="87"/>
      <c r="GRI9" s="87"/>
      <c r="GRJ9" s="87"/>
      <c r="GRK9" s="87"/>
      <c r="GRL9" s="87"/>
      <c r="GRM9" s="87"/>
      <c r="GRN9" s="87"/>
      <c r="GRO9" s="87"/>
      <c r="GRP9" s="87"/>
      <c r="GRQ9" s="87"/>
      <c r="GRR9" s="87"/>
      <c r="GRS9" s="87"/>
      <c r="GRT9" s="87"/>
      <c r="GRU9" s="87"/>
      <c r="GRV9" s="87"/>
      <c r="GRW9" s="87"/>
      <c r="GRX9" s="87"/>
      <c r="GRY9" s="87"/>
      <c r="GRZ9" s="87"/>
      <c r="GSA9" s="87"/>
      <c r="GSB9" s="87"/>
      <c r="GSC9" s="87"/>
      <c r="GSD9" s="87"/>
      <c r="GSE9" s="87"/>
      <c r="GSF9" s="87"/>
      <c r="GSG9" s="87"/>
      <c r="GSH9" s="87"/>
      <c r="GSI9" s="87"/>
      <c r="GSJ9" s="87"/>
      <c r="GSK9" s="87"/>
      <c r="GSL9" s="87"/>
      <c r="GSM9" s="87"/>
      <c r="GSN9" s="87"/>
      <c r="GSO9" s="87"/>
      <c r="GSP9" s="87"/>
      <c r="GSQ9" s="87"/>
      <c r="GSR9" s="87"/>
      <c r="GSS9" s="87"/>
      <c r="GST9" s="87"/>
      <c r="GSU9" s="87"/>
      <c r="GSV9" s="87"/>
      <c r="GSW9" s="87"/>
      <c r="GSX9" s="87"/>
      <c r="GSY9" s="87"/>
      <c r="GSZ9" s="87"/>
      <c r="GTA9" s="87"/>
      <c r="GTB9" s="87"/>
      <c r="GTC9" s="87"/>
      <c r="GTD9" s="87"/>
      <c r="GTE9" s="87"/>
      <c r="GTF9" s="87"/>
      <c r="GTG9" s="87"/>
      <c r="GTH9" s="87"/>
      <c r="GTI9" s="87"/>
      <c r="GTJ9" s="87"/>
      <c r="GTK9" s="87"/>
      <c r="GTL9" s="87"/>
      <c r="GTM9" s="87"/>
      <c r="GTN9" s="87"/>
      <c r="GTO9" s="87"/>
      <c r="GTP9" s="87"/>
      <c r="GTQ9" s="87"/>
      <c r="GTR9" s="87"/>
      <c r="GTS9" s="87"/>
      <c r="GTT9" s="87"/>
      <c r="GTU9" s="87"/>
      <c r="GTV9" s="87"/>
      <c r="GTW9" s="87"/>
      <c r="GTX9" s="87"/>
      <c r="GTY9" s="87"/>
      <c r="GTZ9" s="87"/>
      <c r="GUA9" s="87"/>
      <c r="GUB9" s="87"/>
      <c r="GUC9" s="87"/>
      <c r="GUD9" s="87"/>
      <c r="GUE9" s="87"/>
      <c r="GUF9" s="87"/>
      <c r="GUG9" s="87"/>
      <c r="GUH9" s="87"/>
      <c r="GUI9" s="87"/>
      <c r="GUJ9" s="87"/>
      <c r="GUK9" s="87"/>
      <c r="GUL9" s="87"/>
      <c r="GUM9" s="87"/>
      <c r="GUN9" s="87"/>
      <c r="GUO9" s="87"/>
      <c r="GUP9" s="87"/>
      <c r="GUQ9" s="87"/>
      <c r="GUR9" s="87"/>
      <c r="GUS9" s="87"/>
      <c r="GUT9" s="87"/>
      <c r="GUU9" s="87"/>
      <c r="GUV9" s="87"/>
      <c r="GUW9" s="87"/>
      <c r="GUX9" s="87"/>
      <c r="GUY9" s="87"/>
      <c r="GUZ9" s="87"/>
      <c r="GVA9" s="87"/>
      <c r="GVB9" s="87"/>
      <c r="GVC9" s="87"/>
      <c r="GVD9" s="87"/>
      <c r="GVE9" s="87"/>
      <c r="GVF9" s="87"/>
      <c r="GVG9" s="87"/>
      <c r="GVH9" s="87"/>
      <c r="GVI9" s="87"/>
      <c r="GVJ9" s="87"/>
      <c r="GVK9" s="87"/>
      <c r="GVL9" s="87"/>
      <c r="GVM9" s="87"/>
      <c r="GVN9" s="87"/>
      <c r="GVO9" s="87"/>
      <c r="GVP9" s="87"/>
      <c r="GVQ9" s="87"/>
      <c r="GVR9" s="87"/>
      <c r="GVS9" s="87"/>
      <c r="GVT9" s="87"/>
      <c r="GVU9" s="87"/>
      <c r="GVV9" s="87"/>
      <c r="GVW9" s="87"/>
      <c r="GVX9" s="87"/>
      <c r="GVY9" s="87"/>
      <c r="GVZ9" s="87"/>
      <c r="GWA9" s="87"/>
      <c r="GWB9" s="87"/>
      <c r="GWC9" s="87"/>
      <c r="GWD9" s="87"/>
      <c r="GWE9" s="87"/>
      <c r="GWF9" s="87"/>
      <c r="GWG9" s="87"/>
      <c r="GWH9" s="87"/>
      <c r="GWI9" s="87"/>
      <c r="GWJ9" s="87"/>
      <c r="GWK9" s="87"/>
      <c r="GWL9" s="87"/>
      <c r="GWM9" s="87"/>
      <c r="GWN9" s="87"/>
      <c r="GWO9" s="87"/>
      <c r="GWP9" s="87"/>
      <c r="GWQ9" s="87"/>
      <c r="GWR9" s="87"/>
      <c r="GWS9" s="87"/>
      <c r="GWT9" s="87"/>
      <c r="GWU9" s="87"/>
      <c r="GWV9" s="87"/>
      <c r="GWW9" s="87"/>
      <c r="GWX9" s="87"/>
      <c r="GWY9" s="87"/>
      <c r="GWZ9" s="87"/>
      <c r="GXA9" s="87"/>
      <c r="GXB9" s="87"/>
      <c r="GXC9" s="87"/>
      <c r="GXD9" s="87"/>
      <c r="GXE9" s="87"/>
      <c r="GXF9" s="87"/>
      <c r="GXG9" s="87"/>
      <c r="GXH9" s="87"/>
      <c r="GXI9" s="87"/>
      <c r="GXJ9" s="87"/>
      <c r="GXK9" s="87"/>
      <c r="GXL9" s="87"/>
      <c r="GXM9" s="87"/>
      <c r="GXN9" s="87"/>
      <c r="GXO9" s="87"/>
      <c r="GXP9" s="87"/>
      <c r="GXQ9" s="87"/>
      <c r="GXR9" s="87"/>
      <c r="GXS9" s="87"/>
      <c r="GXT9" s="87"/>
      <c r="GXU9" s="87"/>
      <c r="GXV9" s="87"/>
      <c r="GXW9" s="87"/>
      <c r="GXX9" s="87"/>
      <c r="GXY9" s="87"/>
      <c r="GXZ9" s="87"/>
      <c r="GYA9" s="87"/>
      <c r="GYB9" s="87"/>
      <c r="GYC9" s="87"/>
      <c r="GYD9" s="87"/>
      <c r="GYE9" s="87"/>
      <c r="GYF9" s="87"/>
      <c r="GYG9" s="87"/>
      <c r="GYH9" s="87"/>
      <c r="GYI9" s="87"/>
      <c r="GYJ9" s="87"/>
      <c r="GYK9" s="87"/>
      <c r="GYL9" s="87"/>
      <c r="GYM9" s="87"/>
      <c r="GYN9" s="87"/>
      <c r="GYO9" s="87"/>
      <c r="GYP9" s="87"/>
      <c r="GYQ9" s="87"/>
      <c r="GYR9" s="87"/>
      <c r="GYS9" s="87"/>
      <c r="GYT9" s="87"/>
      <c r="GYU9" s="87"/>
      <c r="GYV9" s="87"/>
      <c r="GYW9" s="87"/>
      <c r="GYX9" s="87"/>
      <c r="GYY9" s="87"/>
      <c r="GYZ9" s="87"/>
      <c r="GZA9" s="87"/>
      <c r="GZB9" s="87"/>
      <c r="GZC9" s="87"/>
      <c r="GZD9" s="87"/>
      <c r="GZE9" s="87"/>
      <c r="GZF9" s="87"/>
      <c r="GZG9" s="87"/>
      <c r="GZH9" s="87"/>
      <c r="GZI9" s="87"/>
      <c r="GZJ9" s="87"/>
      <c r="GZK9" s="87"/>
      <c r="GZL9" s="87"/>
      <c r="GZM9" s="87"/>
      <c r="GZN9" s="87"/>
      <c r="GZO9" s="87"/>
      <c r="GZP9" s="87"/>
      <c r="GZQ9" s="87"/>
      <c r="GZR9" s="87"/>
      <c r="GZS9" s="87"/>
      <c r="GZT9" s="87"/>
      <c r="GZU9" s="87"/>
      <c r="GZV9" s="87"/>
      <c r="GZW9" s="87"/>
      <c r="GZX9" s="87"/>
      <c r="GZY9" s="87"/>
      <c r="GZZ9" s="87"/>
      <c r="HAA9" s="87"/>
      <c r="HAB9" s="87"/>
      <c r="HAC9" s="87"/>
      <c r="HAD9" s="87"/>
      <c r="HAE9" s="87"/>
      <c r="HAF9" s="87"/>
      <c r="HAG9" s="87"/>
      <c r="HAH9" s="87"/>
      <c r="HAI9" s="87"/>
      <c r="HAJ9" s="87"/>
      <c r="HAK9" s="87"/>
      <c r="HAL9" s="87"/>
      <c r="HAM9" s="87"/>
      <c r="HAN9" s="87"/>
      <c r="HAO9" s="87"/>
      <c r="HAP9" s="87"/>
      <c r="HAQ9" s="87"/>
      <c r="HAR9" s="87"/>
      <c r="HAS9" s="87"/>
      <c r="HAT9" s="87"/>
      <c r="HAU9" s="87"/>
      <c r="HAV9" s="87"/>
      <c r="HAW9" s="87"/>
      <c r="HAX9" s="87"/>
      <c r="HAY9" s="87"/>
      <c r="HAZ9" s="87"/>
      <c r="HBA9" s="87"/>
      <c r="HBB9" s="87"/>
      <c r="HBC9" s="87"/>
      <c r="HBD9" s="87"/>
      <c r="HBE9" s="87"/>
      <c r="HBF9" s="87"/>
      <c r="HBG9" s="87"/>
      <c r="HBH9" s="87"/>
      <c r="HBI9" s="87"/>
      <c r="HBJ9" s="87"/>
      <c r="HBK9" s="87"/>
      <c r="HBL9" s="87"/>
      <c r="HBM9" s="87"/>
      <c r="HBN9" s="87"/>
      <c r="HBO9" s="87"/>
      <c r="HBP9" s="87"/>
      <c r="HBQ9" s="87"/>
      <c r="HBR9" s="87"/>
      <c r="HBS9" s="87"/>
      <c r="HBT9" s="87"/>
      <c r="HBU9" s="87"/>
      <c r="HBV9" s="87"/>
      <c r="HBW9" s="87"/>
      <c r="HBX9" s="87"/>
      <c r="HBY9" s="87"/>
      <c r="HBZ9" s="87"/>
      <c r="HCA9" s="87"/>
      <c r="HCB9" s="87"/>
      <c r="HCC9" s="87"/>
      <c r="HCD9" s="87"/>
      <c r="HCE9" s="87"/>
      <c r="HCF9" s="87"/>
      <c r="HCG9" s="87"/>
      <c r="HCH9" s="87"/>
      <c r="HCI9" s="87"/>
      <c r="HCJ9" s="87"/>
      <c r="HCK9" s="87"/>
      <c r="HCL9" s="87"/>
      <c r="HCM9" s="87"/>
      <c r="HCN9" s="87"/>
      <c r="HCO9" s="87"/>
      <c r="HCP9" s="87"/>
      <c r="HCQ9" s="87"/>
      <c r="HCR9" s="87"/>
      <c r="HCS9" s="87"/>
      <c r="HCT9" s="87"/>
      <c r="HCU9" s="87"/>
      <c r="HCV9" s="87"/>
      <c r="HCW9" s="87"/>
      <c r="HCX9" s="87"/>
      <c r="HCY9" s="87"/>
      <c r="HCZ9" s="87"/>
      <c r="HDA9" s="87"/>
      <c r="HDB9" s="87"/>
      <c r="HDC9" s="87"/>
      <c r="HDD9" s="87"/>
      <c r="HDE9" s="87"/>
      <c r="HDF9" s="87"/>
      <c r="HDG9" s="87"/>
      <c r="HDH9" s="87"/>
      <c r="HDI9" s="87"/>
      <c r="HDJ9" s="87"/>
      <c r="HDK9" s="87"/>
      <c r="HDL9" s="87"/>
      <c r="HDM9" s="87"/>
      <c r="HDN9" s="87"/>
      <c r="HDO9" s="87"/>
      <c r="HDP9" s="87"/>
      <c r="HDQ9" s="87"/>
      <c r="HDR9" s="87"/>
      <c r="HDS9" s="87"/>
      <c r="HDT9" s="87"/>
      <c r="HDU9" s="87"/>
      <c r="HDV9" s="87"/>
      <c r="HDW9" s="87"/>
      <c r="HDX9" s="87"/>
      <c r="HDY9" s="87"/>
      <c r="HDZ9" s="87"/>
      <c r="HEA9" s="87"/>
      <c r="HEB9" s="87"/>
      <c r="HEC9" s="87"/>
      <c r="HED9" s="87"/>
      <c r="HEE9" s="87"/>
      <c r="HEF9" s="87"/>
      <c r="HEG9" s="87"/>
      <c r="HEH9" s="87"/>
      <c r="HEI9" s="87"/>
      <c r="HEJ9" s="87"/>
      <c r="HEK9" s="87"/>
      <c r="HEL9" s="87"/>
      <c r="HEM9" s="87"/>
      <c r="HEN9" s="87"/>
      <c r="HEO9" s="87"/>
      <c r="HEP9" s="87"/>
      <c r="HEQ9" s="87"/>
      <c r="HER9" s="87"/>
      <c r="HES9" s="87"/>
      <c r="HET9" s="87"/>
      <c r="HEU9" s="87"/>
      <c r="HEV9" s="87"/>
      <c r="HEW9" s="87"/>
      <c r="HEX9" s="87"/>
      <c r="HEY9" s="87"/>
      <c r="HEZ9" s="87"/>
      <c r="HFA9" s="87"/>
      <c r="HFB9" s="87"/>
      <c r="HFC9" s="87"/>
      <c r="HFD9" s="87"/>
      <c r="HFE9" s="87"/>
      <c r="HFF9" s="87"/>
      <c r="HFG9" s="87"/>
      <c r="HFH9" s="87"/>
      <c r="HFI9" s="87"/>
      <c r="HFJ9" s="87"/>
      <c r="HFK9" s="87"/>
      <c r="HFL9" s="87"/>
      <c r="HFM9" s="87"/>
      <c r="HFN9" s="87"/>
      <c r="HFO9" s="87"/>
      <c r="HFP9" s="87"/>
      <c r="HFQ9" s="87"/>
      <c r="HFR9" s="87"/>
      <c r="HFS9" s="87"/>
      <c r="HFT9" s="87"/>
      <c r="HFU9" s="87"/>
      <c r="HFV9" s="87"/>
      <c r="HFW9" s="87"/>
      <c r="HFX9" s="87"/>
      <c r="HFY9" s="87"/>
      <c r="HFZ9" s="87"/>
      <c r="HGA9" s="87"/>
      <c r="HGB9" s="87"/>
      <c r="HGC9" s="87"/>
      <c r="HGD9" s="87"/>
      <c r="HGE9" s="87"/>
      <c r="HGF9" s="87"/>
      <c r="HGG9" s="87"/>
      <c r="HGH9" s="87"/>
      <c r="HGI9" s="87"/>
      <c r="HGJ9" s="87"/>
      <c r="HGK9" s="87"/>
      <c r="HGL9" s="87"/>
      <c r="HGM9" s="87"/>
      <c r="HGN9" s="87"/>
      <c r="HGO9" s="87"/>
      <c r="HGP9" s="87"/>
      <c r="HGQ9" s="87"/>
      <c r="HGR9" s="87"/>
      <c r="HGS9" s="87"/>
      <c r="HGT9" s="87"/>
      <c r="HGU9" s="87"/>
      <c r="HGV9" s="87"/>
      <c r="HGW9" s="87"/>
      <c r="HGX9" s="87"/>
      <c r="HGY9" s="87"/>
      <c r="HGZ9" s="87"/>
      <c r="HHA9" s="87"/>
      <c r="HHB9" s="87"/>
      <c r="HHC9" s="87"/>
      <c r="HHD9" s="87"/>
      <c r="HHE9" s="87"/>
      <c r="HHF9" s="87"/>
      <c r="HHG9" s="87"/>
      <c r="HHH9" s="87"/>
      <c r="HHI9" s="87"/>
      <c r="HHJ9" s="87"/>
      <c r="HHK9" s="87"/>
      <c r="HHL9" s="87"/>
      <c r="HHM9" s="87"/>
      <c r="HHN9" s="87"/>
      <c r="HHO9" s="87"/>
      <c r="HHP9" s="87"/>
      <c r="HHQ9" s="87"/>
      <c r="HHR9" s="87"/>
      <c r="HHS9" s="87"/>
      <c r="HHT9" s="87"/>
      <c r="HHU9" s="87"/>
      <c r="HHV9" s="87"/>
      <c r="HHW9" s="87"/>
      <c r="HHX9" s="87"/>
      <c r="HHY9" s="87"/>
      <c r="HHZ9" s="87"/>
      <c r="HIA9" s="87"/>
      <c r="HIB9" s="87"/>
      <c r="HIC9" s="87"/>
      <c r="HID9" s="87"/>
      <c r="HIE9" s="87"/>
      <c r="HIF9" s="87"/>
      <c r="HIG9" s="87"/>
      <c r="HIH9" s="87"/>
      <c r="HII9" s="87"/>
      <c r="HIJ9" s="87"/>
      <c r="HIK9" s="87"/>
      <c r="HIL9" s="87"/>
      <c r="HIM9" s="87"/>
      <c r="HIN9" s="87"/>
      <c r="HIO9" s="87"/>
      <c r="HIP9" s="87"/>
      <c r="HIQ9" s="87"/>
      <c r="HIR9" s="87"/>
      <c r="HIS9" s="87"/>
      <c r="HIT9" s="87"/>
      <c r="HIU9" s="87"/>
      <c r="HIV9" s="87"/>
      <c r="HIW9" s="87"/>
      <c r="HIX9" s="87"/>
      <c r="HIY9" s="87"/>
      <c r="HIZ9" s="87"/>
      <c r="HJA9" s="87"/>
      <c r="HJB9" s="87"/>
      <c r="HJC9" s="87"/>
      <c r="HJD9" s="87"/>
      <c r="HJE9" s="87"/>
      <c r="HJF9" s="87"/>
      <c r="HJG9" s="87"/>
      <c r="HJH9" s="87"/>
      <c r="HJI9" s="87"/>
      <c r="HJJ9" s="87"/>
      <c r="HJK9" s="87"/>
      <c r="HJL9" s="87"/>
      <c r="HJM9" s="87"/>
      <c r="HJN9" s="87"/>
      <c r="HJO9" s="87"/>
      <c r="HJP9" s="87"/>
      <c r="HJQ9" s="87"/>
      <c r="HJR9" s="87"/>
      <c r="HJS9" s="87"/>
      <c r="HJT9" s="87"/>
      <c r="HJU9" s="87"/>
      <c r="HJV9" s="87"/>
      <c r="HJW9" s="87"/>
      <c r="HJX9" s="87"/>
      <c r="HJY9" s="87"/>
      <c r="HJZ9" s="87"/>
      <c r="HKA9" s="87"/>
      <c r="HKB9" s="87"/>
      <c r="HKC9" s="87"/>
      <c r="HKD9" s="87"/>
      <c r="HKE9" s="87"/>
      <c r="HKF9" s="87"/>
      <c r="HKG9" s="87"/>
      <c r="HKH9" s="87"/>
      <c r="HKI9" s="87"/>
      <c r="HKJ9" s="87"/>
      <c r="HKK9" s="87"/>
      <c r="HKL9" s="87"/>
      <c r="HKM9" s="87"/>
      <c r="HKN9" s="87"/>
      <c r="HKO9" s="87"/>
      <c r="HKP9" s="87"/>
      <c r="HKQ9" s="87"/>
      <c r="HKR9" s="87"/>
      <c r="HKS9" s="87"/>
      <c r="HKT9" s="87"/>
      <c r="HKU9" s="87"/>
      <c r="HKV9" s="87"/>
      <c r="HKW9" s="87"/>
      <c r="HKX9" s="87"/>
      <c r="HKY9" s="87"/>
      <c r="HKZ9" s="87"/>
      <c r="HLA9" s="87"/>
      <c r="HLB9" s="87"/>
      <c r="HLC9" s="87"/>
      <c r="HLD9" s="87"/>
      <c r="HLE9" s="87"/>
      <c r="HLF9" s="87"/>
      <c r="HLG9" s="87"/>
      <c r="HLH9" s="87"/>
      <c r="HLI9" s="87"/>
      <c r="HLJ9" s="87"/>
      <c r="HLK9" s="87"/>
      <c r="HLL9" s="87"/>
      <c r="HLM9" s="87"/>
      <c r="HLN9" s="87"/>
      <c r="HLO9" s="87"/>
      <c r="HLP9" s="87"/>
      <c r="HLQ9" s="87"/>
      <c r="HLR9" s="87"/>
      <c r="HLS9" s="87"/>
      <c r="HLT9" s="87"/>
      <c r="HLU9" s="87"/>
      <c r="HLV9" s="87"/>
      <c r="HLW9" s="87"/>
      <c r="HLX9" s="87"/>
      <c r="HLY9" s="87"/>
      <c r="HLZ9" s="87"/>
      <c r="HMA9" s="87"/>
      <c r="HMB9" s="87"/>
      <c r="HMC9" s="87"/>
      <c r="HMD9" s="87"/>
      <c r="HME9" s="87"/>
      <c r="HMF9" s="87"/>
      <c r="HMG9" s="87"/>
      <c r="HMH9" s="87"/>
      <c r="HMI9" s="87"/>
      <c r="HMJ9" s="87"/>
      <c r="HMK9" s="87"/>
      <c r="HML9" s="87"/>
      <c r="HMM9" s="87"/>
      <c r="HMN9" s="87"/>
      <c r="HMO9" s="87"/>
      <c r="HMP9" s="87"/>
      <c r="HMQ9" s="87"/>
      <c r="HMR9" s="87"/>
      <c r="HMS9" s="87"/>
      <c r="HMT9" s="87"/>
      <c r="HMU9" s="87"/>
      <c r="HMV9" s="87"/>
      <c r="HMW9" s="87"/>
      <c r="HMX9" s="87"/>
      <c r="HMY9" s="87"/>
      <c r="HMZ9" s="87"/>
      <c r="HNA9" s="87"/>
      <c r="HNB9" s="87"/>
      <c r="HNC9" s="87"/>
      <c r="HND9" s="87"/>
      <c r="HNE9" s="87"/>
      <c r="HNF9" s="87"/>
      <c r="HNG9" s="87"/>
      <c r="HNH9" s="87"/>
      <c r="HNI9" s="87"/>
      <c r="HNJ9" s="87"/>
      <c r="HNK9" s="87"/>
      <c r="HNL9" s="87"/>
      <c r="HNM9" s="87"/>
      <c r="HNN9" s="87"/>
      <c r="HNO9" s="87"/>
      <c r="HNP9" s="87"/>
      <c r="HNQ9" s="87"/>
      <c r="HNR9" s="87"/>
      <c r="HNS9" s="87"/>
      <c r="HNT9" s="87"/>
      <c r="HNU9" s="87"/>
      <c r="HNV9" s="87"/>
      <c r="HNW9" s="87"/>
      <c r="HNX9" s="87"/>
      <c r="HNY9" s="87"/>
      <c r="HNZ9" s="87"/>
      <c r="HOA9" s="87"/>
      <c r="HOB9" s="87"/>
      <c r="HOC9" s="87"/>
      <c r="HOD9" s="87"/>
      <c r="HOE9" s="87"/>
      <c r="HOF9" s="87"/>
      <c r="HOG9" s="87"/>
      <c r="HOH9" s="87"/>
      <c r="HOI9" s="87"/>
      <c r="HOJ9" s="87"/>
      <c r="HOK9" s="87"/>
      <c r="HOL9" s="87"/>
      <c r="HOM9" s="87"/>
      <c r="HON9" s="87"/>
      <c r="HOO9" s="87"/>
      <c r="HOP9" s="87"/>
      <c r="HOQ9" s="87"/>
      <c r="HOR9" s="87"/>
      <c r="HOS9" s="87"/>
      <c r="HOT9" s="87"/>
      <c r="HOU9" s="87"/>
      <c r="HOV9" s="87"/>
      <c r="HOW9" s="87"/>
      <c r="HOX9" s="87"/>
      <c r="HOY9" s="87"/>
      <c r="HOZ9" s="87"/>
      <c r="HPA9" s="87"/>
      <c r="HPB9" s="87"/>
      <c r="HPC9" s="87"/>
      <c r="HPD9" s="87"/>
      <c r="HPE9" s="87"/>
      <c r="HPF9" s="87"/>
      <c r="HPG9" s="87"/>
      <c r="HPH9" s="87"/>
      <c r="HPI9" s="87"/>
      <c r="HPJ9" s="87"/>
      <c r="HPK9" s="87"/>
      <c r="HPL9" s="87"/>
      <c r="HPM9" s="87"/>
      <c r="HPN9" s="87"/>
      <c r="HPO9" s="87"/>
      <c r="HPP9" s="87"/>
      <c r="HPQ9" s="87"/>
      <c r="HPR9" s="87"/>
      <c r="HPS9" s="87"/>
      <c r="HPT9" s="87"/>
      <c r="HPU9" s="87"/>
      <c r="HPV9" s="87"/>
      <c r="HPW9" s="87"/>
      <c r="HPX9" s="87"/>
      <c r="HPY9" s="87"/>
      <c r="HPZ9" s="87"/>
      <c r="HQA9" s="87"/>
      <c r="HQB9" s="87"/>
      <c r="HQC9" s="87"/>
      <c r="HQD9" s="87"/>
      <c r="HQE9" s="87"/>
      <c r="HQF9" s="87"/>
      <c r="HQG9" s="87"/>
      <c r="HQH9" s="87"/>
      <c r="HQI9" s="87"/>
      <c r="HQJ9" s="87"/>
      <c r="HQK9" s="87"/>
      <c r="HQL9" s="87"/>
      <c r="HQM9" s="87"/>
      <c r="HQN9" s="87"/>
      <c r="HQO9" s="87"/>
      <c r="HQP9" s="87"/>
      <c r="HQQ9" s="87"/>
      <c r="HQR9" s="87"/>
      <c r="HQS9" s="87"/>
      <c r="HQT9" s="87"/>
      <c r="HQU9" s="87"/>
      <c r="HQV9" s="87"/>
      <c r="HQW9" s="87"/>
      <c r="HQX9" s="87"/>
      <c r="HQY9" s="87"/>
      <c r="HQZ9" s="87"/>
      <c r="HRA9" s="87"/>
      <c r="HRB9" s="87"/>
      <c r="HRC9" s="87"/>
      <c r="HRD9" s="87"/>
      <c r="HRE9" s="87"/>
      <c r="HRF9" s="87"/>
      <c r="HRG9" s="87"/>
      <c r="HRH9" s="87"/>
      <c r="HRI9" s="87"/>
      <c r="HRJ9" s="87"/>
      <c r="HRK9" s="87"/>
      <c r="HRL9" s="87"/>
      <c r="HRM9" s="87"/>
      <c r="HRN9" s="87"/>
      <c r="HRO9" s="87"/>
      <c r="HRP9" s="87"/>
      <c r="HRQ9" s="87"/>
      <c r="HRR9" s="87"/>
      <c r="HRS9" s="87"/>
      <c r="HRT9" s="87"/>
      <c r="HRU9" s="87"/>
      <c r="HRV9" s="87"/>
      <c r="HRW9" s="87"/>
      <c r="HRX9" s="87"/>
      <c r="HRY9" s="87"/>
      <c r="HRZ9" s="87"/>
      <c r="HSA9" s="87"/>
      <c r="HSB9" s="87"/>
      <c r="HSC9" s="87"/>
      <c r="HSD9" s="87"/>
      <c r="HSE9" s="87"/>
      <c r="HSF9" s="87"/>
      <c r="HSG9" s="87"/>
      <c r="HSH9" s="87"/>
      <c r="HSI9" s="87"/>
      <c r="HSJ9" s="87"/>
      <c r="HSK9" s="87"/>
      <c r="HSL9" s="87"/>
      <c r="HSM9" s="87"/>
      <c r="HSN9" s="87"/>
      <c r="HSO9" s="87"/>
      <c r="HSP9" s="87"/>
      <c r="HSQ9" s="87"/>
      <c r="HSR9" s="87"/>
      <c r="HSS9" s="87"/>
      <c r="HST9" s="87"/>
      <c r="HSU9" s="87"/>
      <c r="HSV9" s="87"/>
      <c r="HSW9" s="87"/>
      <c r="HSX9" s="87"/>
      <c r="HSY9" s="87"/>
      <c r="HSZ9" s="87"/>
      <c r="HTA9" s="87"/>
      <c r="HTB9" s="87"/>
      <c r="HTC9" s="87"/>
      <c r="HTD9" s="87"/>
      <c r="HTE9" s="87"/>
      <c r="HTF9" s="87"/>
      <c r="HTG9" s="87"/>
      <c r="HTH9" s="87"/>
      <c r="HTI9" s="87"/>
      <c r="HTJ9" s="87"/>
      <c r="HTK9" s="87"/>
      <c r="HTL9" s="87"/>
      <c r="HTM9" s="87"/>
      <c r="HTN9" s="87"/>
      <c r="HTO9" s="87"/>
      <c r="HTP9" s="87"/>
      <c r="HTQ9" s="87"/>
      <c r="HTR9" s="87"/>
      <c r="HTS9" s="87"/>
      <c r="HTT9" s="87"/>
      <c r="HTU9" s="87"/>
      <c r="HTV9" s="87"/>
      <c r="HTW9" s="87"/>
      <c r="HTX9" s="87"/>
      <c r="HTY9" s="87"/>
      <c r="HTZ9" s="87"/>
      <c r="HUA9" s="87"/>
      <c r="HUB9" s="87"/>
      <c r="HUC9" s="87"/>
      <c r="HUD9" s="87"/>
      <c r="HUE9" s="87"/>
      <c r="HUF9" s="87"/>
      <c r="HUG9" s="87"/>
      <c r="HUH9" s="87"/>
      <c r="HUI9" s="87"/>
      <c r="HUJ9" s="87"/>
      <c r="HUK9" s="87"/>
      <c r="HUL9" s="87"/>
      <c r="HUM9" s="87"/>
      <c r="HUN9" s="87"/>
      <c r="HUO9" s="87"/>
      <c r="HUP9" s="87"/>
      <c r="HUQ9" s="87"/>
      <c r="HUR9" s="87"/>
      <c r="HUS9" s="87"/>
      <c r="HUT9" s="87"/>
      <c r="HUU9" s="87"/>
      <c r="HUV9" s="87"/>
      <c r="HUW9" s="87"/>
      <c r="HUX9" s="87"/>
      <c r="HUY9" s="87"/>
      <c r="HUZ9" s="87"/>
      <c r="HVA9" s="87"/>
      <c r="HVB9" s="87"/>
      <c r="HVC9" s="87"/>
      <c r="HVD9" s="87"/>
      <c r="HVE9" s="87"/>
      <c r="HVF9" s="87"/>
      <c r="HVG9" s="87"/>
      <c r="HVH9" s="87"/>
      <c r="HVI9" s="87"/>
      <c r="HVJ9" s="87"/>
      <c r="HVK9" s="87"/>
      <c r="HVL9" s="87"/>
      <c r="HVM9" s="87"/>
      <c r="HVN9" s="87"/>
      <c r="HVO9" s="87"/>
      <c r="HVP9" s="87"/>
      <c r="HVQ9" s="87"/>
      <c r="HVR9" s="87"/>
      <c r="HVS9" s="87"/>
      <c r="HVT9" s="87"/>
      <c r="HVU9" s="87"/>
      <c r="HVV9" s="87"/>
      <c r="HVW9" s="87"/>
      <c r="HVX9" s="87"/>
      <c r="HVY9" s="87"/>
      <c r="HVZ9" s="87"/>
      <c r="HWA9" s="87"/>
      <c r="HWB9" s="87"/>
      <c r="HWC9" s="87"/>
      <c r="HWD9" s="87"/>
      <c r="HWE9" s="87"/>
      <c r="HWF9" s="87"/>
      <c r="HWG9" s="87"/>
      <c r="HWH9" s="87"/>
      <c r="HWI9" s="87"/>
      <c r="HWJ9" s="87"/>
      <c r="HWK9" s="87"/>
      <c r="HWL9" s="87"/>
      <c r="HWM9" s="87"/>
      <c r="HWN9" s="87"/>
      <c r="HWO9" s="87"/>
      <c r="HWP9" s="87"/>
      <c r="HWQ9" s="87"/>
      <c r="HWR9" s="87"/>
      <c r="HWS9" s="87"/>
      <c r="HWT9" s="87"/>
      <c r="HWU9" s="87"/>
      <c r="HWV9" s="87"/>
      <c r="HWW9" s="87"/>
      <c r="HWX9" s="87"/>
      <c r="HWY9" s="87"/>
      <c r="HWZ9" s="87"/>
      <c r="HXA9" s="87"/>
      <c r="HXB9" s="87"/>
      <c r="HXC9" s="87"/>
      <c r="HXD9" s="87"/>
      <c r="HXE9" s="87"/>
      <c r="HXF9" s="87"/>
      <c r="HXG9" s="87"/>
      <c r="HXH9" s="87"/>
      <c r="HXI9" s="87"/>
      <c r="HXJ9" s="87"/>
      <c r="HXK9" s="87"/>
      <c r="HXL9" s="87"/>
      <c r="HXM9" s="87"/>
      <c r="HXN9" s="87"/>
      <c r="HXO9" s="87"/>
      <c r="HXP9" s="87"/>
      <c r="HXQ9" s="87"/>
      <c r="HXR9" s="87"/>
      <c r="HXS9" s="87"/>
      <c r="HXT9" s="87"/>
      <c r="HXU9" s="87"/>
      <c r="HXV9" s="87"/>
      <c r="HXW9" s="87"/>
      <c r="HXX9" s="87"/>
      <c r="HXY9" s="87"/>
      <c r="HXZ9" s="87"/>
      <c r="HYA9" s="87"/>
      <c r="HYB9" s="87"/>
      <c r="HYC9" s="87"/>
      <c r="HYD9" s="87"/>
      <c r="HYE9" s="87"/>
      <c r="HYF9" s="87"/>
      <c r="HYG9" s="87"/>
      <c r="HYH9" s="87"/>
      <c r="HYI9" s="87"/>
      <c r="HYJ9" s="87"/>
      <c r="HYK9" s="87"/>
      <c r="HYL9" s="87"/>
      <c r="HYM9" s="87"/>
      <c r="HYN9" s="87"/>
      <c r="HYO9" s="87"/>
      <c r="HYP9" s="87"/>
      <c r="HYQ9" s="87"/>
      <c r="HYR9" s="87"/>
      <c r="HYS9" s="87"/>
      <c r="HYT9" s="87"/>
      <c r="HYU9" s="87"/>
      <c r="HYV9" s="87"/>
      <c r="HYW9" s="87"/>
      <c r="HYX9" s="87"/>
      <c r="HYY9" s="87"/>
      <c r="HYZ9" s="87"/>
      <c r="HZA9" s="87"/>
      <c r="HZB9" s="87"/>
      <c r="HZC9" s="87"/>
      <c r="HZD9" s="87"/>
      <c r="HZE9" s="87"/>
      <c r="HZF9" s="87"/>
      <c r="HZG9" s="87"/>
      <c r="HZH9" s="87"/>
      <c r="HZI9" s="87"/>
      <c r="HZJ9" s="87"/>
      <c r="HZK9" s="87"/>
      <c r="HZL9" s="87"/>
      <c r="HZM9" s="87"/>
      <c r="HZN9" s="87"/>
      <c r="HZO9" s="87"/>
      <c r="HZP9" s="87"/>
      <c r="HZQ9" s="87"/>
      <c r="HZR9" s="87"/>
      <c r="HZS9" s="87"/>
      <c r="HZT9" s="87"/>
      <c r="HZU9" s="87"/>
      <c r="HZV9" s="87"/>
      <c r="HZW9" s="87"/>
      <c r="HZX9" s="87"/>
      <c r="HZY9" s="87"/>
      <c r="HZZ9" s="87"/>
      <c r="IAA9" s="87"/>
      <c r="IAB9" s="87"/>
      <c r="IAC9" s="87"/>
      <c r="IAD9" s="87"/>
      <c r="IAE9" s="87"/>
      <c r="IAF9" s="87"/>
      <c r="IAG9" s="87"/>
      <c r="IAH9" s="87"/>
      <c r="IAI9" s="87"/>
      <c r="IAJ9" s="87"/>
      <c r="IAK9" s="87"/>
      <c r="IAL9" s="87"/>
      <c r="IAM9" s="87"/>
      <c r="IAN9" s="87"/>
      <c r="IAO9" s="87"/>
      <c r="IAP9" s="87"/>
      <c r="IAQ9" s="87"/>
      <c r="IAR9" s="87"/>
      <c r="IAS9" s="87"/>
      <c r="IAT9" s="87"/>
      <c r="IAU9" s="87"/>
      <c r="IAV9" s="87"/>
      <c r="IAW9" s="87"/>
      <c r="IAX9" s="87"/>
      <c r="IAY9" s="87"/>
      <c r="IAZ9" s="87"/>
      <c r="IBA9" s="87"/>
      <c r="IBB9" s="87"/>
      <c r="IBC9" s="87"/>
      <c r="IBD9" s="87"/>
      <c r="IBE9" s="87"/>
      <c r="IBF9" s="87"/>
      <c r="IBG9" s="87"/>
      <c r="IBH9" s="87"/>
      <c r="IBI9" s="87"/>
      <c r="IBJ9" s="87"/>
      <c r="IBK9" s="87"/>
      <c r="IBL9" s="87"/>
      <c r="IBM9" s="87"/>
      <c r="IBN9" s="87"/>
      <c r="IBO9" s="87"/>
      <c r="IBP9" s="87"/>
      <c r="IBQ9" s="87"/>
      <c r="IBR9" s="87"/>
      <c r="IBS9" s="87"/>
      <c r="IBT9" s="87"/>
      <c r="IBU9" s="87"/>
      <c r="IBV9" s="87"/>
      <c r="IBW9" s="87"/>
      <c r="IBX9" s="87"/>
      <c r="IBY9" s="87"/>
      <c r="IBZ9" s="87"/>
      <c r="ICA9" s="87"/>
      <c r="ICB9" s="87"/>
      <c r="ICC9" s="87"/>
      <c r="ICD9" s="87"/>
      <c r="ICE9" s="87"/>
      <c r="ICF9" s="87"/>
      <c r="ICG9" s="87"/>
      <c r="ICH9" s="87"/>
      <c r="ICI9" s="87"/>
      <c r="ICJ9" s="87"/>
      <c r="ICK9" s="87"/>
      <c r="ICL9" s="87"/>
      <c r="ICM9" s="87"/>
      <c r="ICN9" s="87"/>
      <c r="ICO9" s="87"/>
      <c r="ICP9" s="87"/>
      <c r="ICQ9" s="87"/>
      <c r="ICR9" s="87"/>
      <c r="ICS9" s="87"/>
      <c r="ICT9" s="87"/>
      <c r="ICU9" s="87"/>
      <c r="ICV9" s="87"/>
      <c r="ICW9" s="87"/>
      <c r="ICX9" s="87"/>
      <c r="ICY9" s="87"/>
      <c r="ICZ9" s="87"/>
      <c r="IDA9" s="87"/>
      <c r="IDB9" s="87"/>
      <c r="IDC9" s="87"/>
      <c r="IDD9" s="87"/>
      <c r="IDE9" s="87"/>
      <c r="IDF9" s="87"/>
      <c r="IDG9" s="87"/>
      <c r="IDH9" s="87"/>
      <c r="IDI9" s="87"/>
      <c r="IDJ9" s="87"/>
      <c r="IDK9" s="87"/>
      <c r="IDL9" s="87"/>
      <c r="IDM9" s="87"/>
      <c r="IDN9" s="87"/>
      <c r="IDO9" s="87"/>
      <c r="IDP9" s="87"/>
      <c r="IDQ9" s="87"/>
      <c r="IDR9" s="87"/>
      <c r="IDS9" s="87"/>
      <c r="IDT9" s="87"/>
      <c r="IDU9" s="87"/>
      <c r="IDV9" s="87"/>
      <c r="IDW9" s="87"/>
      <c r="IDX9" s="87"/>
      <c r="IDY9" s="87"/>
      <c r="IDZ9" s="87"/>
      <c r="IEA9" s="87"/>
      <c r="IEB9" s="87"/>
      <c r="IEC9" s="87"/>
      <c r="IED9" s="87"/>
      <c r="IEE9" s="87"/>
      <c r="IEF9" s="87"/>
      <c r="IEG9" s="87"/>
      <c r="IEH9" s="87"/>
      <c r="IEI9" s="87"/>
      <c r="IEJ9" s="87"/>
      <c r="IEK9" s="87"/>
      <c r="IEL9" s="87"/>
      <c r="IEM9" s="87"/>
      <c r="IEN9" s="87"/>
      <c r="IEO9" s="87"/>
      <c r="IEP9" s="87"/>
      <c r="IEQ9" s="87"/>
      <c r="IER9" s="87"/>
      <c r="IES9" s="87"/>
      <c r="IET9" s="87"/>
      <c r="IEU9" s="87"/>
      <c r="IEV9" s="87"/>
      <c r="IEW9" s="87"/>
      <c r="IEX9" s="87"/>
      <c r="IEY9" s="87"/>
      <c r="IEZ9" s="87"/>
      <c r="IFA9" s="87"/>
      <c r="IFB9" s="87"/>
      <c r="IFC9" s="87"/>
      <c r="IFD9" s="87"/>
      <c r="IFE9" s="87"/>
      <c r="IFF9" s="87"/>
      <c r="IFG9" s="87"/>
      <c r="IFH9" s="87"/>
      <c r="IFI9" s="87"/>
      <c r="IFJ9" s="87"/>
      <c r="IFK9" s="87"/>
      <c r="IFL9" s="87"/>
      <c r="IFM9" s="87"/>
      <c r="IFN9" s="87"/>
      <c r="IFO9" s="87"/>
      <c r="IFP9" s="87"/>
      <c r="IFQ9" s="87"/>
      <c r="IFR9" s="87"/>
      <c r="IFS9" s="87"/>
      <c r="IFT9" s="87"/>
      <c r="IFU9" s="87"/>
      <c r="IFV9" s="87"/>
      <c r="IFW9" s="87"/>
      <c r="IFX9" s="87"/>
      <c r="IFY9" s="87"/>
      <c r="IFZ9" s="87"/>
      <c r="IGA9" s="87"/>
      <c r="IGB9" s="87"/>
      <c r="IGC9" s="87"/>
      <c r="IGD9" s="87"/>
      <c r="IGE9" s="87"/>
      <c r="IGF9" s="87"/>
      <c r="IGG9" s="87"/>
      <c r="IGH9" s="87"/>
      <c r="IGI9" s="87"/>
      <c r="IGJ9" s="87"/>
      <c r="IGK9" s="87"/>
      <c r="IGL9" s="87"/>
      <c r="IGM9" s="87"/>
      <c r="IGN9" s="87"/>
      <c r="IGO9" s="87"/>
      <c r="IGP9" s="87"/>
      <c r="IGQ9" s="87"/>
      <c r="IGR9" s="87"/>
      <c r="IGS9" s="87"/>
      <c r="IGT9" s="87"/>
      <c r="IGU9" s="87"/>
      <c r="IGV9" s="87"/>
      <c r="IGW9" s="87"/>
      <c r="IGX9" s="87"/>
      <c r="IGY9" s="87"/>
      <c r="IGZ9" s="87"/>
      <c r="IHA9" s="87"/>
      <c r="IHB9" s="87"/>
      <c r="IHC9" s="87"/>
      <c r="IHD9" s="87"/>
      <c r="IHE9" s="87"/>
      <c r="IHF9" s="87"/>
      <c r="IHG9" s="87"/>
      <c r="IHH9" s="87"/>
      <c r="IHI9" s="87"/>
      <c r="IHJ9" s="87"/>
      <c r="IHK9" s="87"/>
      <c r="IHL9" s="87"/>
      <c r="IHM9" s="87"/>
      <c r="IHN9" s="87"/>
      <c r="IHO9" s="87"/>
      <c r="IHP9" s="87"/>
      <c r="IHQ9" s="87"/>
      <c r="IHR9" s="87"/>
      <c r="IHS9" s="87"/>
      <c r="IHT9" s="87"/>
      <c r="IHU9" s="87"/>
      <c r="IHV9" s="87"/>
      <c r="IHW9" s="87"/>
      <c r="IHX9" s="87"/>
      <c r="IHY9" s="87"/>
      <c r="IHZ9" s="87"/>
      <c r="IIA9" s="87"/>
      <c r="IIB9" s="87"/>
      <c r="IIC9" s="87"/>
      <c r="IID9" s="87"/>
      <c r="IIE9" s="87"/>
      <c r="IIF9" s="87"/>
      <c r="IIG9" s="87"/>
      <c r="IIH9" s="87"/>
      <c r="III9" s="87"/>
      <c r="IIJ9" s="87"/>
      <c r="IIK9" s="87"/>
      <c r="IIL9" s="87"/>
      <c r="IIM9" s="87"/>
      <c r="IIN9" s="87"/>
      <c r="IIO9" s="87"/>
      <c r="IIP9" s="87"/>
      <c r="IIQ9" s="87"/>
      <c r="IIR9" s="87"/>
      <c r="IIS9" s="87"/>
      <c r="IIT9" s="87"/>
      <c r="IIU9" s="87"/>
      <c r="IIV9" s="87"/>
      <c r="IIW9" s="87"/>
      <c r="IIX9" s="87"/>
      <c r="IIY9" s="87"/>
      <c r="IIZ9" s="87"/>
      <c r="IJA9" s="87"/>
      <c r="IJB9" s="87"/>
      <c r="IJC9" s="87"/>
      <c r="IJD9" s="87"/>
      <c r="IJE9" s="87"/>
      <c r="IJF9" s="87"/>
      <c r="IJG9" s="87"/>
      <c r="IJH9" s="87"/>
      <c r="IJI9" s="87"/>
      <c r="IJJ9" s="87"/>
      <c r="IJK9" s="87"/>
      <c r="IJL9" s="87"/>
      <c r="IJM9" s="87"/>
      <c r="IJN9" s="87"/>
      <c r="IJO9" s="87"/>
      <c r="IJP9" s="87"/>
      <c r="IJQ9" s="87"/>
      <c r="IJR9" s="87"/>
      <c r="IJS9" s="87"/>
      <c r="IJT9" s="87"/>
      <c r="IJU9" s="87"/>
      <c r="IJV9" s="87"/>
      <c r="IJW9" s="87"/>
      <c r="IJX9" s="87"/>
      <c r="IJY9" s="87"/>
      <c r="IJZ9" s="87"/>
      <c r="IKA9" s="87"/>
      <c r="IKB9" s="87"/>
      <c r="IKC9" s="87"/>
      <c r="IKD9" s="87"/>
      <c r="IKE9" s="87"/>
      <c r="IKF9" s="87"/>
      <c r="IKG9" s="87"/>
      <c r="IKH9" s="87"/>
      <c r="IKI9" s="87"/>
      <c r="IKJ9" s="87"/>
      <c r="IKK9" s="87"/>
      <c r="IKL9" s="87"/>
      <c r="IKM9" s="87"/>
      <c r="IKN9" s="87"/>
      <c r="IKO9" s="87"/>
      <c r="IKP9" s="87"/>
      <c r="IKQ9" s="87"/>
      <c r="IKR9" s="87"/>
      <c r="IKS9" s="87"/>
      <c r="IKT9" s="87"/>
      <c r="IKU9" s="87"/>
      <c r="IKV9" s="87"/>
      <c r="IKW9" s="87"/>
      <c r="IKX9" s="87"/>
      <c r="IKY9" s="87"/>
      <c r="IKZ9" s="87"/>
      <c r="ILA9" s="87"/>
      <c r="ILB9" s="87"/>
      <c r="ILC9" s="87"/>
      <c r="ILD9" s="87"/>
      <c r="ILE9" s="87"/>
      <c r="ILF9" s="87"/>
      <c r="ILG9" s="87"/>
      <c r="ILH9" s="87"/>
      <c r="ILI9" s="87"/>
      <c r="ILJ9" s="87"/>
      <c r="ILK9" s="87"/>
      <c r="ILL9" s="87"/>
      <c r="ILM9" s="87"/>
      <c r="ILN9" s="87"/>
      <c r="ILO9" s="87"/>
      <c r="ILP9" s="87"/>
      <c r="ILQ9" s="87"/>
      <c r="ILR9" s="87"/>
      <c r="ILS9" s="87"/>
      <c r="ILT9" s="87"/>
      <c r="ILU9" s="87"/>
      <c r="ILV9" s="87"/>
      <c r="ILW9" s="87"/>
      <c r="ILX9" s="87"/>
      <c r="ILY9" s="87"/>
      <c r="ILZ9" s="87"/>
      <c r="IMA9" s="87"/>
      <c r="IMB9" s="87"/>
      <c r="IMC9" s="87"/>
      <c r="IMD9" s="87"/>
      <c r="IME9" s="87"/>
      <c r="IMF9" s="87"/>
      <c r="IMG9" s="87"/>
      <c r="IMH9" s="87"/>
      <c r="IMI9" s="87"/>
      <c r="IMJ9" s="87"/>
      <c r="IMK9" s="87"/>
      <c r="IML9" s="87"/>
      <c r="IMM9" s="87"/>
      <c r="IMN9" s="87"/>
      <c r="IMO9" s="87"/>
      <c r="IMP9" s="87"/>
      <c r="IMQ9" s="87"/>
      <c r="IMR9" s="87"/>
      <c r="IMS9" s="87"/>
      <c r="IMT9" s="87"/>
      <c r="IMU9" s="87"/>
      <c r="IMV9" s="87"/>
      <c r="IMW9" s="87"/>
      <c r="IMX9" s="87"/>
      <c r="IMY9" s="87"/>
      <c r="IMZ9" s="87"/>
      <c r="INA9" s="87"/>
      <c r="INB9" s="87"/>
      <c r="INC9" s="87"/>
      <c r="IND9" s="87"/>
      <c r="INE9" s="87"/>
      <c r="INF9" s="87"/>
      <c r="ING9" s="87"/>
      <c r="INH9" s="87"/>
      <c r="INI9" s="87"/>
      <c r="INJ9" s="87"/>
      <c r="INK9" s="87"/>
      <c r="INL9" s="87"/>
      <c r="INM9" s="87"/>
      <c r="INN9" s="87"/>
      <c r="INO9" s="87"/>
      <c r="INP9" s="87"/>
      <c r="INQ9" s="87"/>
      <c r="INR9" s="87"/>
      <c r="INS9" s="87"/>
      <c r="INT9" s="87"/>
      <c r="INU9" s="87"/>
      <c r="INV9" s="87"/>
      <c r="INW9" s="87"/>
      <c r="INX9" s="87"/>
      <c r="INY9" s="87"/>
      <c r="INZ9" s="87"/>
      <c r="IOA9" s="87"/>
      <c r="IOB9" s="87"/>
      <c r="IOC9" s="87"/>
      <c r="IOD9" s="87"/>
      <c r="IOE9" s="87"/>
      <c r="IOF9" s="87"/>
      <c r="IOG9" s="87"/>
      <c r="IOH9" s="87"/>
      <c r="IOI9" s="87"/>
      <c r="IOJ9" s="87"/>
      <c r="IOK9" s="87"/>
      <c r="IOL9" s="87"/>
      <c r="IOM9" s="87"/>
      <c r="ION9" s="87"/>
      <c r="IOO9" s="87"/>
      <c r="IOP9" s="87"/>
      <c r="IOQ9" s="87"/>
      <c r="IOR9" s="87"/>
      <c r="IOS9" s="87"/>
      <c r="IOT9" s="87"/>
      <c r="IOU9" s="87"/>
      <c r="IOV9" s="87"/>
      <c r="IOW9" s="87"/>
      <c r="IOX9" s="87"/>
      <c r="IOY9" s="87"/>
      <c r="IOZ9" s="87"/>
      <c r="IPA9" s="87"/>
      <c r="IPB9" s="87"/>
      <c r="IPC9" s="87"/>
      <c r="IPD9" s="87"/>
      <c r="IPE9" s="87"/>
      <c r="IPF9" s="87"/>
      <c r="IPG9" s="87"/>
      <c r="IPH9" s="87"/>
      <c r="IPI9" s="87"/>
      <c r="IPJ9" s="87"/>
      <c r="IPK9" s="87"/>
      <c r="IPL9" s="87"/>
      <c r="IPM9" s="87"/>
      <c r="IPN9" s="87"/>
      <c r="IPO9" s="87"/>
      <c r="IPP9" s="87"/>
      <c r="IPQ9" s="87"/>
      <c r="IPR9" s="87"/>
      <c r="IPS9" s="87"/>
      <c r="IPT9" s="87"/>
      <c r="IPU9" s="87"/>
      <c r="IPV9" s="87"/>
      <c r="IPW9" s="87"/>
      <c r="IPX9" s="87"/>
      <c r="IPY9" s="87"/>
      <c r="IPZ9" s="87"/>
      <c r="IQA9" s="87"/>
      <c r="IQB9" s="87"/>
      <c r="IQC9" s="87"/>
      <c r="IQD9" s="87"/>
      <c r="IQE9" s="87"/>
      <c r="IQF9" s="87"/>
      <c r="IQG9" s="87"/>
      <c r="IQH9" s="87"/>
      <c r="IQI9" s="87"/>
      <c r="IQJ9" s="87"/>
      <c r="IQK9" s="87"/>
      <c r="IQL9" s="87"/>
      <c r="IQM9" s="87"/>
      <c r="IQN9" s="87"/>
      <c r="IQO9" s="87"/>
      <c r="IQP9" s="87"/>
      <c r="IQQ9" s="87"/>
      <c r="IQR9" s="87"/>
      <c r="IQS9" s="87"/>
      <c r="IQT9" s="87"/>
      <c r="IQU9" s="87"/>
      <c r="IQV9" s="87"/>
      <c r="IQW9" s="87"/>
      <c r="IQX9" s="87"/>
      <c r="IQY9" s="87"/>
      <c r="IQZ9" s="87"/>
      <c r="IRA9" s="87"/>
      <c r="IRB9" s="87"/>
      <c r="IRC9" s="87"/>
      <c r="IRD9" s="87"/>
      <c r="IRE9" s="87"/>
      <c r="IRF9" s="87"/>
      <c r="IRG9" s="87"/>
      <c r="IRH9" s="87"/>
      <c r="IRI9" s="87"/>
      <c r="IRJ9" s="87"/>
      <c r="IRK9" s="87"/>
      <c r="IRL9" s="87"/>
      <c r="IRM9" s="87"/>
      <c r="IRN9" s="87"/>
      <c r="IRO9" s="87"/>
      <c r="IRP9" s="87"/>
      <c r="IRQ9" s="87"/>
      <c r="IRR9" s="87"/>
      <c r="IRS9" s="87"/>
      <c r="IRT9" s="87"/>
      <c r="IRU9" s="87"/>
      <c r="IRV9" s="87"/>
      <c r="IRW9" s="87"/>
      <c r="IRX9" s="87"/>
      <c r="IRY9" s="87"/>
      <c r="IRZ9" s="87"/>
      <c r="ISA9" s="87"/>
      <c r="ISB9" s="87"/>
      <c r="ISC9" s="87"/>
      <c r="ISD9" s="87"/>
      <c r="ISE9" s="87"/>
      <c r="ISF9" s="87"/>
      <c r="ISG9" s="87"/>
      <c r="ISH9" s="87"/>
      <c r="ISI9" s="87"/>
      <c r="ISJ9" s="87"/>
      <c r="ISK9" s="87"/>
      <c r="ISL9" s="87"/>
      <c r="ISM9" s="87"/>
      <c r="ISN9" s="87"/>
      <c r="ISO9" s="87"/>
      <c r="ISP9" s="87"/>
      <c r="ISQ9" s="87"/>
      <c r="ISR9" s="87"/>
      <c r="ISS9" s="87"/>
      <c r="IST9" s="87"/>
      <c r="ISU9" s="87"/>
      <c r="ISV9" s="87"/>
      <c r="ISW9" s="87"/>
      <c r="ISX9" s="87"/>
      <c r="ISY9" s="87"/>
      <c r="ISZ9" s="87"/>
      <c r="ITA9" s="87"/>
      <c r="ITB9" s="87"/>
      <c r="ITC9" s="87"/>
      <c r="ITD9" s="87"/>
      <c r="ITE9" s="87"/>
      <c r="ITF9" s="87"/>
      <c r="ITG9" s="87"/>
      <c r="ITH9" s="87"/>
      <c r="ITI9" s="87"/>
      <c r="ITJ9" s="87"/>
      <c r="ITK9" s="87"/>
      <c r="ITL9" s="87"/>
      <c r="ITM9" s="87"/>
      <c r="ITN9" s="87"/>
      <c r="ITO9" s="87"/>
      <c r="ITP9" s="87"/>
      <c r="ITQ9" s="87"/>
      <c r="ITR9" s="87"/>
      <c r="ITS9" s="87"/>
      <c r="ITT9" s="87"/>
      <c r="ITU9" s="87"/>
      <c r="ITV9" s="87"/>
      <c r="ITW9" s="87"/>
      <c r="ITX9" s="87"/>
      <c r="ITY9" s="87"/>
      <c r="ITZ9" s="87"/>
      <c r="IUA9" s="87"/>
      <c r="IUB9" s="87"/>
      <c r="IUC9" s="87"/>
      <c r="IUD9" s="87"/>
      <c r="IUE9" s="87"/>
      <c r="IUF9" s="87"/>
      <c r="IUG9" s="87"/>
      <c r="IUH9" s="87"/>
      <c r="IUI9" s="87"/>
      <c r="IUJ9" s="87"/>
      <c r="IUK9" s="87"/>
      <c r="IUL9" s="87"/>
      <c r="IUM9" s="87"/>
      <c r="IUN9" s="87"/>
      <c r="IUO9" s="87"/>
      <c r="IUP9" s="87"/>
      <c r="IUQ9" s="87"/>
      <c r="IUR9" s="87"/>
      <c r="IUS9" s="87"/>
      <c r="IUT9" s="87"/>
      <c r="IUU9" s="87"/>
      <c r="IUV9" s="87"/>
      <c r="IUW9" s="87"/>
      <c r="IUX9" s="87"/>
      <c r="IUY9" s="87"/>
      <c r="IUZ9" s="87"/>
      <c r="IVA9" s="87"/>
      <c r="IVB9" s="87"/>
      <c r="IVC9" s="87"/>
      <c r="IVD9" s="87"/>
      <c r="IVE9" s="87"/>
      <c r="IVF9" s="87"/>
      <c r="IVG9" s="87"/>
      <c r="IVH9" s="87"/>
      <c r="IVI9" s="87"/>
      <c r="IVJ9" s="87"/>
      <c r="IVK9" s="87"/>
      <c r="IVL9" s="87"/>
      <c r="IVM9" s="87"/>
      <c r="IVN9" s="87"/>
      <c r="IVO9" s="87"/>
      <c r="IVP9" s="87"/>
      <c r="IVQ9" s="87"/>
      <c r="IVR9" s="87"/>
      <c r="IVS9" s="87"/>
      <c r="IVT9" s="87"/>
      <c r="IVU9" s="87"/>
      <c r="IVV9" s="87"/>
      <c r="IVW9" s="87"/>
      <c r="IVX9" s="87"/>
      <c r="IVY9" s="87"/>
      <c r="IVZ9" s="87"/>
      <c r="IWA9" s="87"/>
      <c r="IWB9" s="87"/>
      <c r="IWC9" s="87"/>
      <c r="IWD9" s="87"/>
      <c r="IWE9" s="87"/>
      <c r="IWF9" s="87"/>
      <c r="IWG9" s="87"/>
      <c r="IWH9" s="87"/>
      <c r="IWI9" s="87"/>
      <c r="IWJ9" s="87"/>
      <c r="IWK9" s="87"/>
      <c r="IWL9" s="87"/>
      <c r="IWM9" s="87"/>
      <c r="IWN9" s="87"/>
      <c r="IWO9" s="87"/>
      <c r="IWP9" s="87"/>
      <c r="IWQ9" s="87"/>
      <c r="IWR9" s="87"/>
      <c r="IWS9" s="87"/>
      <c r="IWT9" s="87"/>
      <c r="IWU9" s="87"/>
      <c r="IWV9" s="87"/>
      <c r="IWW9" s="87"/>
      <c r="IWX9" s="87"/>
      <c r="IWY9" s="87"/>
      <c r="IWZ9" s="87"/>
      <c r="IXA9" s="87"/>
      <c r="IXB9" s="87"/>
      <c r="IXC9" s="87"/>
      <c r="IXD9" s="87"/>
      <c r="IXE9" s="87"/>
      <c r="IXF9" s="87"/>
      <c r="IXG9" s="87"/>
      <c r="IXH9" s="87"/>
      <c r="IXI9" s="87"/>
      <c r="IXJ9" s="87"/>
      <c r="IXK9" s="87"/>
      <c r="IXL9" s="87"/>
      <c r="IXM9" s="87"/>
      <c r="IXN9" s="87"/>
      <c r="IXO9" s="87"/>
      <c r="IXP9" s="87"/>
      <c r="IXQ9" s="87"/>
      <c r="IXR9" s="87"/>
      <c r="IXS9" s="87"/>
      <c r="IXT9" s="87"/>
      <c r="IXU9" s="87"/>
      <c r="IXV9" s="87"/>
      <c r="IXW9" s="87"/>
      <c r="IXX9" s="87"/>
      <c r="IXY9" s="87"/>
      <c r="IXZ9" s="87"/>
      <c r="IYA9" s="87"/>
      <c r="IYB9" s="87"/>
      <c r="IYC9" s="87"/>
      <c r="IYD9" s="87"/>
      <c r="IYE9" s="87"/>
      <c r="IYF9" s="87"/>
      <c r="IYG9" s="87"/>
      <c r="IYH9" s="87"/>
      <c r="IYI9" s="87"/>
      <c r="IYJ9" s="87"/>
      <c r="IYK9" s="87"/>
      <c r="IYL9" s="87"/>
      <c r="IYM9" s="87"/>
      <c r="IYN9" s="87"/>
      <c r="IYO9" s="87"/>
      <c r="IYP9" s="87"/>
      <c r="IYQ9" s="87"/>
      <c r="IYR9" s="87"/>
      <c r="IYS9" s="87"/>
      <c r="IYT9" s="87"/>
      <c r="IYU9" s="87"/>
      <c r="IYV9" s="87"/>
      <c r="IYW9" s="87"/>
      <c r="IYX9" s="87"/>
      <c r="IYY9" s="87"/>
      <c r="IYZ9" s="87"/>
      <c r="IZA9" s="87"/>
      <c r="IZB9" s="87"/>
      <c r="IZC9" s="87"/>
      <c r="IZD9" s="87"/>
      <c r="IZE9" s="87"/>
      <c r="IZF9" s="87"/>
      <c r="IZG9" s="87"/>
      <c r="IZH9" s="87"/>
      <c r="IZI9" s="87"/>
      <c r="IZJ9" s="87"/>
      <c r="IZK9" s="87"/>
      <c r="IZL9" s="87"/>
      <c r="IZM9" s="87"/>
      <c r="IZN9" s="87"/>
      <c r="IZO9" s="87"/>
      <c r="IZP9" s="87"/>
      <c r="IZQ9" s="87"/>
      <c r="IZR9" s="87"/>
      <c r="IZS9" s="87"/>
      <c r="IZT9" s="87"/>
      <c r="IZU9" s="87"/>
      <c r="IZV9" s="87"/>
      <c r="IZW9" s="87"/>
      <c r="IZX9" s="87"/>
      <c r="IZY9" s="87"/>
      <c r="IZZ9" s="87"/>
      <c r="JAA9" s="87"/>
      <c r="JAB9" s="87"/>
      <c r="JAC9" s="87"/>
      <c r="JAD9" s="87"/>
      <c r="JAE9" s="87"/>
      <c r="JAF9" s="87"/>
      <c r="JAG9" s="87"/>
      <c r="JAH9" s="87"/>
      <c r="JAI9" s="87"/>
      <c r="JAJ9" s="87"/>
      <c r="JAK9" s="87"/>
      <c r="JAL9" s="87"/>
      <c r="JAM9" s="87"/>
      <c r="JAN9" s="87"/>
      <c r="JAO9" s="87"/>
      <c r="JAP9" s="87"/>
      <c r="JAQ9" s="87"/>
      <c r="JAR9" s="87"/>
      <c r="JAS9" s="87"/>
      <c r="JAT9" s="87"/>
      <c r="JAU9" s="87"/>
      <c r="JAV9" s="87"/>
      <c r="JAW9" s="87"/>
      <c r="JAX9" s="87"/>
      <c r="JAY9" s="87"/>
      <c r="JAZ9" s="87"/>
      <c r="JBA9" s="87"/>
      <c r="JBB9" s="87"/>
      <c r="JBC9" s="87"/>
      <c r="JBD9" s="87"/>
      <c r="JBE9" s="87"/>
      <c r="JBF9" s="87"/>
      <c r="JBG9" s="87"/>
      <c r="JBH9" s="87"/>
      <c r="JBI9" s="87"/>
      <c r="JBJ9" s="87"/>
      <c r="JBK9" s="87"/>
      <c r="JBL9" s="87"/>
      <c r="JBM9" s="87"/>
      <c r="JBN9" s="87"/>
      <c r="JBO9" s="87"/>
      <c r="JBP9" s="87"/>
      <c r="JBQ9" s="87"/>
      <c r="JBR9" s="87"/>
      <c r="JBS9" s="87"/>
      <c r="JBT9" s="87"/>
      <c r="JBU9" s="87"/>
      <c r="JBV9" s="87"/>
      <c r="JBW9" s="87"/>
      <c r="JBX9" s="87"/>
      <c r="JBY9" s="87"/>
      <c r="JBZ9" s="87"/>
      <c r="JCA9" s="87"/>
      <c r="JCB9" s="87"/>
      <c r="JCC9" s="87"/>
      <c r="JCD9" s="87"/>
      <c r="JCE9" s="87"/>
      <c r="JCF9" s="87"/>
      <c r="JCG9" s="87"/>
      <c r="JCH9" s="87"/>
      <c r="JCI9" s="87"/>
      <c r="JCJ9" s="87"/>
      <c r="JCK9" s="87"/>
      <c r="JCL9" s="87"/>
      <c r="JCM9" s="87"/>
      <c r="JCN9" s="87"/>
      <c r="JCO9" s="87"/>
      <c r="JCP9" s="87"/>
      <c r="JCQ9" s="87"/>
      <c r="JCR9" s="87"/>
      <c r="JCS9" s="87"/>
      <c r="JCT9" s="87"/>
      <c r="JCU9" s="87"/>
      <c r="JCV9" s="87"/>
      <c r="JCW9" s="87"/>
      <c r="JCX9" s="87"/>
      <c r="JCY9" s="87"/>
      <c r="JCZ9" s="87"/>
      <c r="JDA9" s="87"/>
      <c r="JDB9" s="87"/>
      <c r="JDC9" s="87"/>
      <c r="JDD9" s="87"/>
      <c r="JDE9" s="87"/>
      <c r="JDF9" s="87"/>
      <c r="JDG9" s="87"/>
      <c r="JDH9" s="87"/>
      <c r="JDI9" s="87"/>
      <c r="JDJ9" s="87"/>
      <c r="JDK9" s="87"/>
      <c r="JDL9" s="87"/>
      <c r="JDM9" s="87"/>
      <c r="JDN9" s="87"/>
      <c r="JDO9" s="87"/>
      <c r="JDP9" s="87"/>
      <c r="JDQ9" s="87"/>
      <c r="JDR9" s="87"/>
      <c r="JDS9" s="87"/>
      <c r="JDT9" s="87"/>
      <c r="JDU9" s="87"/>
      <c r="JDV9" s="87"/>
      <c r="JDW9" s="87"/>
      <c r="JDX9" s="87"/>
      <c r="JDY9" s="87"/>
      <c r="JDZ9" s="87"/>
      <c r="JEA9" s="87"/>
      <c r="JEB9" s="87"/>
      <c r="JEC9" s="87"/>
      <c r="JED9" s="87"/>
      <c r="JEE9" s="87"/>
      <c r="JEF9" s="87"/>
      <c r="JEG9" s="87"/>
      <c r="JEH9" s="87"/>
      <c r="JEI9" s="87"/>
      <c r="JEJ9" s="87"/>
      <c r="JEK9" s="87"/>
      <c r="JEL9" s="87"/>
      <c r="JEM9" s="87"/>
      <c r="JEN9" s="87"/>
      <c r="JEO9" s="87"/>
      <c r="JEP9" s="87"/>
      <c r="JEQ9" s="87"/>
      <c r="JER9" s="87"/>
      <c r="JES9" s="87"/>
      <c r="JET9" s="87"/>
      <c r="JEU9" s="87"/>
      <c r="JEV9" s="87"/>
      <c r="JEW9" s="87"/>
      <c r="JEX9" s="87"/>
      <c r="JEY9" s="87"/>
      <c r="JEZ9" s="87"/>
      <c r="JFA9" s="87"/>
      <c r="JFB9" s="87"/>
      <c r="JFC9" s="87"/>
      <c r="JFD9" s="87"/>
      <c r="JFE9" s="87"/>
      <c r="JFF9" s="87"/>
      <c r="JFG9" s="87"/>
      <c r="JFH9" s="87"/>
      <c r="JFI9" s="87"/>
      <c r="JFJ9" s="87"/>
      <c r="JFK9" s="87"/>
      <c r="JFL9" s="87"/>
      <c r="JFM9" s="87"/>
      <c r="JFN9" s="87"/>
      <c r="JFO9" s="87"/>
      <c r="JFP9" s="87"/>
      <c r="JFQ9" s="87"/>
      <c r="JFR9" s="87"/>
      <c r="JFS9" s="87"/>
      <c r="JFT9" s="87"/>
      <c r="JFU9" s="87"/>
      <c r="JFV9" s="87"/>
      <c r="JFW9" s="87"/>
      <c r="JFX9" s="87"/>
      <c r="JFY9" s="87"/>
      <c r="JFZ9" s="87"/>
      <c r="JGA9" s="87"/>
      <c r="JGB9" s="87"/>
      <c r="JGC9" s="87"/>
      <c r="JGD9" s="87"/>
      <c r="JGE9" s="87"/>
      <c r="JGF9" s="87"/>
      <c r="JGG9" s="87"/>
      <c r="JGH9" s="87"/>
      <c r="JGI9" s="87"/>
      <c r="JGJ9" s="87"/>
      <c r="JGK9" s="87"/>
      <c r="JGL9" s="87"/>
      <c r="JGM9" s="87"/>
      <c r="JGN9" s="87"/>
      <c r="JGO9" s="87"/>
      <c r="JGP9" s="87"/>
      <c r="JGQ9" s="87"/>
      <c r="JGR9" s="87"/>
      <c r="JGS9" s="87"/>
      <c r="JGT9" s="87"/>
      <c r="JGU9" s="87"/>
      <c r="JGV9" s="87"/>
      <c r="JGW9" s="87"/>
      <c r="JGX9" s="87"/>
      <c r="JGY9" s="87"/>
      <c r="JGZ9" s="87"/>
      <c r="JHA9" s="87"/>
      <c r="JHB9" s="87"/>
      <c r="JHC9" s="87"/>
      <c r="JHD9" s="87"/>
      <c r="JHE9" s="87"/>
      <c r="JHF9" s="87"/>
      <c r="JHG9" s="87"/>
      <c r="JHH9" s="87"/>
      <c r="JHI9" s="87"/>
      <c r="JHJ9" s="87"/>
      <c r="JHK9" s="87"/>
      <c r="JHL9" s="87"/>
      <c r="JHM9" s="87"/>
      <c r="JHN9" s="87"/>
      <c r="JHO9" s="87"/>
      <c r="JHP9" s="87"/>
      <c r="JHQ9" s="87"/>
      <c r="JHR9" s="87"/>
      <c r="JHS9" s="87"/>
      <c r="JHT9" s="87"/>
      <c r="JHU9" s="87"/>
      <c r="JHV9" s="87"/>
      <c r="JHW9" s="87"/>
      <c r="JHX9" s="87"/>
      <c r="JHY9" s="87"/>
      <c r="JHZ9" s="87"/>
      <c r="JIA9" s="87"/>
      <c r="JIB9" s="87"/>
      <c r="JIC9" s="87"/>
      <c r="JID9" s="87"/>
      <c r="JIE9" s="87"/>
      <c r="JIF9" s="87"/>
      <c r="JIG9" s="87"/>
      <c r="JIH9" s="87"/>
      <c r="JII9" s="87"/>
      <c r="JIJ9" s="87"/>
      <c r="JIK9" s="87"/>
      <c r="JIL9" s="87"/>
      <c r="JIM9" s="87"/>
      <c r="JIN9" s="87"/>
      <c r="JIO9" s="87"/>
      <c r="JIP9" s="87"/>
      <c r="JIQ9" s="87"/>
      <c r="JIR9" s="87"/>
      <c r="JIS9" s="87"/>
      <c r="JIT9" s="87"/>
      <c r="JIU9" s="87"/>
      <c r="JIV9" s="87"/>
      <c r="JIW9" s="87"/>
      <c r="JIX9" s="87"/>
      <c r="JIY9" s="87"/>
      <c r="JIZ9" s="87"/>
      <c r="JJA9" s="87"/>
      <c r="JJB9" s="87"/>
      <c r="JJC9" s="87"/>
      <c r="JJD9" s="87"/>
      <c r="JJE9" s="87"/>
      <c r="JJF9" s="87"/>
      <c r="JJG9" s="87"/>
      <c r="JJH9" s="87"/>
      <c r="JJI9" s="87"/>
      <c r="JJJ9" s="87"/>
      <c r="JJK9" s="87"/>
      <c r="JJL9" s="87"/>
      <c r="JJM9" s="87"/>
      <c r="JJN9" s="87"/>
      <c r="JJO9" s="87"/>
      <c r="JJP9" s="87"/>
      <c r="JJQ9" s="87"/>
      <c r="JJR9" s="87"/>
      <c r="JJS9" s="87"/>
      <c r="JJT9" s="87"/>
      <c r="JJU9" s="87"/>
      <c r="JJV9" s="87"/>
      <c r="JJW9" s="87"/>
      <c r="JJX9" s="87"/>
      <c r="JJY9" s="87"/>
      <c r="JJZ9" s="87"/>
      <c r="JKA9" s="87"/>
      <c r="JKB9" s="87"/>
      <c r="JKC9" s="87"/>
      <c r="JKD9" s="87"/>
      <c r="JKE9" s="87"/>
      <c r="JKF9" s="87"/>
      <c r="JKG9" s="87"/>
      <c r="JKH9" s="87"/>
      <c r="JKI9" s="87"/>
      <c r="JKJ9" s="87"/>
      <c r="JKK9" s="87"/>
      <c r="JKL9" s="87"/>
      <c r="JKM9" s="87"/>
      <c r="JKN9" s="87"/>
      <c r="JKO9" s="87"/>
      <c r="JKP9" s="87"/>
      <c r="JKQ9" s="87"/>
      <c r="JKR9" s="87"/>
      <c r="JKS9" s="87"/>
      <c r="JKT9" s="87"/>
      <c r="JKU9" s="87"/>
      <c r="JKV9" s="87"/>
      <c r="JKW9" s="87"/>
      <c r="JKX9" s="87"/>
      <c r="JKY9" s="87"/>
      <c r="JKZ9" s="87"/>
      <c r="JLA9" s="87"/>
      <c r="JLB9" s="87"/>
      <c r="JLC9" s="87"/>
      <c r="JLD9" s="87"/>
      <c r="JLE9" s="87"/>
      <c r="JLF9" s="87"/>
      <c r="JLG9" s="87"/>
      <c r="JLH9" s="87"/>
      <c r="JLI9" s="87"/>
      <c r="JLJ9" s="87"/>
      <c r="JLK9" s="87"/>
      <c r="JLL9" s="87"/>
      <c r="JLM9" s="87"/>
      <c r="JLN9" s="87"/>
      <c r="JLO9" s="87"/>
      <c r="JLP9" s="87"/>
      <c r="JLQ9" s="87"/>
      <c r="JLR9" s="87"/>
      <c r="JLS9" s="87"/>
      <c r="JLT9" s="87"/>
      <c r="JLU9" s="87"/>
      <c r="JLV9" s="87"/>
      <c r="JLW9" s="87"/>
      <c r="JLX9" s="87"/>
      <c r="JLY9" s="87"/>
      <c r="JLZ9" s="87"/>
      <c r="JMA9" s="87"/>
      <c r="JMB9" s="87"/>
      <c r="JMC9" s="87"/>
      <c r="JMD9" s="87"/>
      <c r="JME9" s="87"/>
      <c r="JMF9" s="87"/>
      <c r="JMG9" s="87"/>
      <c r="JMH9" s="87"/>
      <c r="JMI9" s="87"/>
      <c r="JMJ9" s="87"/>
      <c r="JMK9" s="87"/>
      <c r="JML9" s="87"/>
      <c r="JMM9" s="87"/>
      <c r="JMN9" s="87"/>
      <c r="JMO9" s="87"/>
      <c r="JMP9" s="87"/>
      <c r="JMQ9" s="87"/>
      <c r="JMR9" s="87"/>
      <c r="JMS9" s="87"/>
      <c r="JMT9" s="87"/>
      <c r="JMU9" s="87"/>
      <c r="JMV9" s="87"/>
      <c r="JMW9" s="87"/>
      <c r="JMX9" s="87"/>
      <c r="JMY9" s="87"/>
      <c r="JMZ9" s="87"/>
      <c r="JNA9" s="87"/>
      <c r="JNB9" s="87"/>
      <c r="JNC9" s="87"/>
      <c r="JND9" s="87"/>
      <c r="JNE9" s="87"/>
      <c r="JNF9" s="87"/>
      <c r="JNG9" s="87"/>
      <c r="JNH9" s="87"/>
      <c r="JNI9" s="87"/>
      <c r="JNJ9" s="87"/>
      <c r="JNK9" s="87"/>
      <c r="JNL9" s="87"/>
      <c r="JNM9" s="87"/>
      <c r="JNN9" s="87"/>
      <c r="JNO9" s="87"/>
      <c r="JNP9" s="87"/>
      <c r="JNQ9" s="87"/>
      <c r="JNR9" s="87"/>
      <c r="JNS9" s="87"/>
      <c r="JNT9" s="87"/>
      <c r="JNU9" s="87"/>
      <c r="JNV9" s="87"/>
      <c r="JNW9" s="87"/>
      <c r="JNX9" s="87"/>
      <c r="JNY9" s="87"/>
      <c r="JNZ9" s="87"/>
      <c r="JOA9" s="87"/>
      <c r="JOB9" s="87"/>
      <c r="JOC9" s="87"/>
      <c r="JOD9" s="87"/>
      <c r="JOE9" s="87"/>
      <c r="JOF9" s="87"/>
      <c r="JOG9" s="87"/>
      <c r="JOH9" s="87"/>
      <c r="JOI9" s="87"/>
      <c r="JOJ9" s="87"/>
      <c r="JOK9" s="87"/>
      <c r="JOL9" s="87"/>
      <c r="JOM9" s="87"/>
      <c r="JON9" s="87"/>
      <c r="JOO9" s="87"/>
      <c r="JOP9" s="87"/>
      <c r="JOQ9" s="87"/>
      <c r="JOR9" s="87"/>
      <c r="JOS9" s="87"/>
      <c r="JOT9" s="87"/>
      <c r="JOU9" s="87"/>
      <c r="JOV9" s="87"/>
      <c r="JOW9" s="87"/>
      <c r="JOX9" s="87"/>
      <c r="JOY9" s="87"/>
      <c r="JOZ9" s="87"/>
      <c r="JPA9" s="87"/>
      <c r="JPB9" s="87"/>
      <c r="JPC9" s="87"/>
      <c r="JPD9" s="87"/>
      <c r="JPE9" s="87"/>
      <c r="JPF9" s="87"/>
      <c r="JPG9" s="87"/>
      <c r="JPH9" s="87"/>
      <c r="JPI9" s="87"/>
      <c r="JPJ9" s="87"/>
      <c r="JPK9" s="87"/>
      <c r="JPL9" s="87"/>
      <c r="JPM9" s="87"/>
      <c r="JPN9" s="87"/>
      <c r="JPO9" s="87"/>
      <c r="JPP9" s="87"/>
      <c r="JPQ9" s="87"/>
      <c r="JPR9" s="87"/>
      <c r="JPS9" s="87"/>
      <c r="JPT9" s="87"/>
      <c r="JPU9" s="87"/>
      <c r="JPV9" s="87"/>
      <c r="JPW9" s="87"/>
      <c r="JPX9" s="87"/>
      <c r="JPY9" s="87"/>
      <c r="JPZ9" s="87"/>
      <c r="JQA9" s="87"/>
      <c r="JQB9" s="87"/>
      <c r="JQC9" s="87"/>
      <c r="JQD9" s="87"/>
      <c r="JQE9" s="87"/>
      <c r="JQF9" s="87"/>
      <c r="JQG9" s="87"/>
      <c r="JQH9" s="87"/>
      <c r="JQI9" s="87"/>
      <c r="JQJ9" s="87"/>
      <c r="JQK9" s="87"/>
      <c r="JQL9" s="87"/>
      <c r="JQM9" s="87"/>
      <c r="JQN9" s="87"/>
      <c r="JQO9" s="87"/>
      <c r="JQP9" s="87"/>
      <c r="JQQ9" s="87"/>
      <c r="JQR9" s="87"/>
      <c r="JQS9" s="87"/>
      <c r="JQT9" s="87"/>
      <c r="JQU9" s="87"/>
      <c r="JQV9" s="87"/>
      <c r="JQW9" s="87"/>
      <c r="JQX9" s="87"/>
      <c r="JQY9" s="87"/>
      <c r="JQZ9" s="87"/>
      <c r="JRA9" s="87"/>
      <c r="JRB9" s="87"/>
      <c r="JRC9" s="87"/>
      <c r="JRD9" s="87"/>
      <c r="JRE9" s="87"/>
      <c r="JRF9" s="87"/>
      <c r="JRG9" s="87"/>
      <c r="JRH9" s="87"/>
      <c r="JRI9" s="87"/>
      <c r="JRJ9" s="87"/>
      <c r="JRK9" s="87"/>
      <c r="JRL9" s="87"/>
      <c r="JRM9" s="87"/>
      <c r="JRN9" s="87"/>
      <c r="JRO9" s="87"/>
      <c r="JRP9" s="87"/>
      <c r="JRQ9" s="87"/>
      <c r="JRR9" s="87"/>
      <c r="JRS9" s="87"/>
      <c r="JRT9" s="87"/>
      <c r="JRU9" s="87"/>
      <c r="JRV9" s="87"/>
      <c r="JRW9" s="87"/>
      <c r="JRX9" s="87"/>
      <c r="JRY9" s="87"/>
      <c r="JRZ9" s="87"/>
      <c r="JSA9" s="87"/>
      <c r="JSB9" s="87"/>
      <c r="JSC9" s="87"/>
      <c r="JSD9" s="87"/>
      <c r="JSE9" s="87"/>
      <c r="JSF9" s="87"/>
      <c r="JSG9" s="87"/>
      <c r="JSH9" s="87"/>
      <c r="JSI9" s="87"/>
      <c r="JSJ9" s="87"/>
      <c r="JSK9" s="87"/>
      <c r="JSL9" s="87"/>
      <c r="JSM9" s="87"/>
      <c r="JSN9" s="87"/>
      <c r="JSO9" s="87"/>
      <c r="JSP9" s="87"/>
      <c r="JSQ9" s="87"/>
      <c r="JSR9" s="87"/>
      <c r="JSS9" s="87"/>
      <c r="JST9" s="87"/>
      <c r="JSU9" s="87"/>
      <c r="JSV9" s="87"/>
      <c r="JSW9" s="87"/>
      <c r="JSX9" s="87"/>
      <c r="JSY9" s="87"/>
      <c r="JSZ9" s="87"/>
      <c r="JTA9" s="87"/>
      <c r="JTB9" s="87"/>
      <c r="JTC9" s="87"/>
      <c r="JTD9" s="87"/>
      <c r="JTE9" s="87"/>
      <c r="JTF9" s="87"/>
      <c r="JTG9" s="87"/>
      <c r="JTH9" s="87"/>
      <c r="JTI9" s="87"/>
      <c r="JTJ9" s="87"/>
      <c r="JTK9" s="87"/>
      <c r="JTL9" s="87"/>
      <c r="JTM9" s="87"/>
      <c r="JTN9" s="87"/>
      <c r="JTO9" s="87"/>
      <c r="JTP9" s="87"/>
      <c r="JTQ9" s="87"/>
      <c r="JTR9" s="87"/>
      <c r="JTS9" s="87"/>
      <c r="JTT9" s="87"/>
      <c r="JTU9" s="87"/>
      <c r="JTV9" s="87"/>
      <c r="JTW9" s="87"/>
      <c r="JTX9" s="87"/>
      <c r="JTY9" s="87"/>
      <c r="JTZ9" s="87"/>
      <c r="JUA9" s="87"/>
      <c r="JUB9" s="87"/>
      <c r="JUC9" s="87"/>
      <c r="JUD9" s="87"/>
      <c r="JUE9" s="87"/>
      <c r="JUF9" s="87"/>
      <c r="JUG9" s="87"/>
      <c r="JUH9" s="87"/>
      <c r="JUI9" s="87"/>
      <c r="JUJ9" s="87"/>
      <c r="JUK9" s="87"/>
      <c r="JUL9" s="87"/>
      <c r="JUM9" s="87"/>
      <c r="JUN9" s="87"/>
      <c r="JUO9" s="87"/>
      <c r="JUP9" s="87"/>
      <c r="JUQ9" s="87"/>
      <c r="JUR9" s="87"/>
      <c r="JUS9" s="87"/>
      <c r="JUT9" s="87"/>
      <c r="JUU9" s="87"/>
      <c r="JUV9" s="87"/>
      <c r="JUW9" s="87"/>
      <c r="JUX9" s="87"/>
      <c r="JUY9" s="87"/>
      <c r="JUZ9" s="87"/>
      <c r="JVA9" s="87"/>
      <c r="JVB9" s="87"/>
      <c r="JVC9" s="87"/>
      <c r="JVD9" s="87"/>
      <c r="JVE9" s="87"/>
      <c r="JVF9" s="87"/>
      <c r="JVG9" s="87"/>
      <c r="JVH9" s="87"/>
      <c r="JVI9" s="87"/>
      <c r="JVJ9" s="87"/>
      <c r="JVK9" s="87"/>
      <c r="JVL9" s="87"/>
      <c r="JVM9" s="87"/>
      <c r="JVN9" s="87"/>
      <c r="JVO9" s="87"/>
      <c r="JVP9" s="87"/>
      <c r="JVQ9" s="87"/>
      <c r="JVR9" s="87"/>
      <c r="JVS9" s="87"/>
      <c r="JVT9" s="87"/>
      <c r="JVU9" s="87"/>
      <c r="JVV9" s="87"/>
      <c r="JVW9" s="87"/>
      <c r="JVX9" s="87"/>
      <c r="JVY9" s="87"/>
      <c r="JVZ9" s="87"/>
      <c r="JWA9" s="87"/>
      <c r="JWB9" s="87"/>
      <c r="JWC9" s="87"/>
      <c r="JWD9" s="87"/>
      <c r="JWE9" s="87"/>
      <c r="JWF9" s="87"/>
      <c r="JWG9" s="87"/>
      <c r="JWH9" s="87"/>
      <c r="JWI9" s="87"/>
      <c r="JWJ9" s="87"/>
      <c r="JWK9" s="87"/>
      <c r="JWL9" s="87"/>
      <c r="JWM9" s="87"/>
      <c r="JWN9" s="87"/>
      <c r="JWO9" s="87"/>
      <c r="JWP9" s="87"/>
      <c r="JWQ9" s="87"/>
      <c r="JWR9" s="87"/>
      <c r="JWS9" s="87"/>
      <c r="JWT9" s="87"/>
      <c r="JWU9" s="87"/>
      <c r="JWV9" s="87"/>
      <c r="JWW9" s="87"/>
      <c r="JWX9" s="87"/>
      <c r="JWY9" s="87"/>
      <c r="JWZ9" s="87"/>
      <c r="JXA9" s="87"/>
      <c r="JXB9" s="87"/>
      <c r="JXC9" s="87"/>
      <c r="JXD9" s="87"/>
      <c r="JXE9" s="87"/>
      <c r="JXF9" s="87"/>
      <c r="JXG9" s="87"/>
      <c r="JXH9" s="87"/>
      <c r="JXI9" s="87"/>
      <c r="JXJ9" s="87"/>
      <c r="JXK9" s="87"/>
      <c r="JXL9" s="87"/>
      <c r="JXM9" s="87"/>
      <c r="JXN9" s="87"/>
      <c r="JXO9" s="87"/>
      <c r="JXP9" s="87"/>
      <c r="JXQ9" s="87"/>
      <c r="JXR9" s="87"/>
      <c r="JXS9" s="87"/>
      <c r="JXT9" s="87"/>
      <c r="JXU9" s="87"/>
      <c r="JXV9" s="87"/>
      <c r="JXW9" s="87"/>
      <c r="JXX9" s="87"/>
      <c r="JXY9" s="87"/>
      <c r="JXZ9" s="87"/>
      <c r="JYA9" s="87"/>
      <c r="JYB9" s="87"/>
      <c r="JYC9" s="87"/>
      <c r="JYD9" s="87"/>
      <c r="JYE9" s="87"/>
      <c r="JYF9" s="87"/>
      <c r="JYG9" s="87"/>
      <c r="JYH9" s="87"/>
      <c r="JYI9" s="87"/>
      <c r="JYJ9" s="87"/>
      <c r="JYK9" s="87"/>
      <c r="JYL9" s="87"/>
      <c r="JYM9" s="87"/>
      <c r="JYN9" s="87"/>
      <c r="JYO9" s="87"/>
      <c r="JYP9" s="87"/>
      <c r="JYQ9" s="87"/>
      <c r="JYR9" s="87"/>
      <c r="JYS9" s="87"/>
      <c r="JYT9" s="87"/>
      <c r="JYU9" s="87"/>
      <c r="JYV9" s="87"/>
      <c r="JYW9" s="87"/>
      <c r="JYX9" s="87"/>
      <c r="JYY9" s="87"/>
      <c r="JYZ9" s="87"/>
      <c r="JZA9" s="87"/>
      <c r="JZB9" s="87"/>
      <c r="JZC9" s="87"/>
      <c r="JZD9" s="87"/>
      <c r="JZE9" s="87"/>
      <c r="JZF9" s="87"/>
      <c r="JZG9" s="87"/>
      <c r="JZH9" s="87"/>
      <c r="JZI9" s="87"/>
      <c r="JZJ9" s="87"/>
      <c r="JZK9" s="87"/>
      <c r="JZL9" s="87"/>
      <c r="JZM9" s="87"/>
      <c r="JZN9" s="87"/>
      <c r="JZO9" s="87"/>
      <c r="JZP9" s="87"/>
      <c r="JZQ9" s="87"/>
      <c r="JZR9" s="87"/>
      <c r="JZS9" s="87"/>
      <c r="JZT9" s="87"/>
      <c r="JZU9" s="87"/>
      <c r="JZV9" s="87"/>
      <c r="JZW9" s="87"/>
      <c r="JZX9" s="87"/>
      <c r="JZY9" s="87"/>
      <c r="JZZ9" s="87"/>
      <c r="KAA9" s="87"/>
      <c r="KAB9" s="87"/>
      <c r="KAC9" s="87"/>
      <c r="KAD9" s="87"/>
      <c r="KAE9" s="87"/>
      <c r="KAF9" s="87"/>
      <c r="KAG9" s="87"/>
      <c r="KAH9" s="87"/>
      <c r="KAI9" s="87"/>
      <c r="KAJ9" s="87"/>
      <c r="KAK9" s="87"/>
      <c r="KAL9" s="87"/>
      <c r="KAM9" s="87"/>
      <c r="KAN9" s="87"/>
      <c r="KAO9" s="87"/>
      <c r="KAP9" s="87"/>
      <c r="KAQ9" s="87"/>
      <c r="KAR9" s="87"/>
      <c r="KAS9" s="87"/>
      <c r="KAT9" s="87"/>
      <c r="KAU9" s="87"/>
      <c r="KAV9" s="87"/>
      <c r="KAW9" s="87"/>
      <c r="KAX9" s="87"/>
      <c r="KAY9" s="87"/>
      <c r="KAZ9" s="87"/>
      <c r="KBA9" s="87"/>
      <c r="KBB9" s="87"/>
      <c r="KBC9" s="87"/>
      <c r="KBD9" s="87"/>
      <c r="KBE9" s="87"/>
      <c r="KBF9" s="87"/>
      <c r="KBG9" s="87"/>
      <c r="KBH9" s="87"/>
      <c r="KBI9" s="87"/>
      <c r="KBJ9" s="87"/>
      <c r="KBK9" s="87"/>
      <c r="KBL9" s="87"/>
      <c r="KBM9" s="87"/>
      <c r="KBN9" s="87"/>
      <c r="KBO9" s="87"/>
      <c r="KBP9" s="87"/>
      <c r="KBQ9" s="87"/>
      <c r="KBR9" s="87"/>
      <c r="KBS9" s="87"/>
      <c r="KBT9" s="87"/>
      <c r="KBU9" s="87"/>
      <c r="KBV9" s="87"/>
      <c r="KBW9" s="87"/>
      <c r="KBX9" s="87"/>
      <c r="KBY9" s="87"/>
      <c r="KBZ9" s="87"/>
      <c r="KCA9" s="87"/>
      <c r="KCB9" s="87"/>
      <c r="KCC9" s="87"/>
      <c r="KCD9" s="87"/>
      <c r="KCE9" s="87"/>
      <c r="KCF9" s="87"/>
      <c r="KCG9" s="87"/>
      <c r="KCH9" s="87"/>
      <c r="KCI9" s="87"/>
      <c r="KCJ9" s="87"/>
      <c r="KCK9" s="87"/>
      <c r="KCL9" s="87"/>
      <c r="KCM9" s="87"/>
      <c r="KCN9" s="87"/>
      <c r="KCO9" s="87"/>
      <c r="KCP9" s="87"/>
      <c r="KCQ9" s="87"/>
      <c r="KCR9" s="87"/>
      <c r="KCS9" s="87"/>
      <c r="KCT9" s="87"/>
      <c r="KCU9" s="87"/>
      <c r="KCV9" s="87"/>
      <c r="KCW9" s="87"/>
      <c r="KCX9" s="87"/>
      <c r="KCY9" s="87"/>
      <c r="KCZ9" s="87"/>
      <c r="KDA9" s="87"/>
      <c r="KDB9" s="87"/>
      <c r="KDC9" s="87"/>
      <c r="KDD9" s="87"/>
      <c r="KDE9" s="87"/>
      <c r="KDF9" s="87"/>
      <c r="KDG9" s="87"/>
      <c r="KDH9" s="87"/>
      <c r="KDI9" s="87"/>
      <c r="KDJ9" s="87"/>
      <c r="KDK9" s="87"/>
      <c r="KDL9" s="87"/>
      <c r="KDM9" s="87"/>
      <c r="KDN9" s="87"/>
      <c r="KDO9" s="87"/>
      <c r="KDP9" s="87"/>
      <c r="KDQ9" s="87"/>
      <c r="KDR9" s="87"/>
      <c r="KDS9" s="87"/>
      <c r="KDT9" s="87"/>
      <c r="KDU9" s="87"/>
      <c r="KDV9" s="87"/>
      <c r="KDW9" s="87"/>
      <c r="KDX9" s="87"/>
      <c r="KDY9" s="87"/>
      <c r="KDZ9" s="87"/>
      <c r="KEA9" s="87"/>
      <c r="KEB9" s="87"/>
      <c r="KEC9" s="87"/>
      <c r="KED9" s="87"/>
      <c r="KEE9" s="87"/>
      <c r="KEF9" s="87"/>
      <c r="KEG9" s="87"/>
      <c r="KEH9" s="87"/>
      <c r="KEI9" s="87"/>
      <c r="KEJ9" s="87"/>
      <c r="KEK9" s="87"/>
      <c r="KEL9" s="87"/>
      <c r="KEM9" s="87"/>
      <c r="KEN9" s="87"/>
      <c r="KEO9" s="87"/>
      <c r="KEP9" s="87"/>
      <c r="KEQ9" s="87"/>
      <c r="KER9" s="87"/>
      <c r="KES9" s="87"/>
      <c r="KET9" s="87"/>
      <c r="KEU9" s="87"/>
      <c r="KEV9" s="87"/>
      <c r="KEW9" s="87"/>
      <c r="KEX9" s="87"/>
      <c r="KEY9" s="87"/>
      <c r="KEZ9" s="87"/>
      <c r="KFA9" s="87"/>
      <c r="KFB9" s="87"/>
      <c r="KFC9" s="87"/>
      <c r="KFD9" s="87"/>
      <c r="KFE9" s="87"/>
      <c r="KFF9" s="87"/>
      <c r="KFG9" s="87"/>
      <c r="KFH9" s="87"/>
      <c r="KFI9" s="87"/>
      <c r="KFJ9" s="87"/>
      <c r="KFK9" s="87"/>
      <c r="KFL9" s="87"/>
      <c r="KFM9" s="87"/>
      <c r="KFN9" s="87"/>
      <c r="KFO9" s="87"/>
      <c r="KFP9" s="87"/>
      <c r="KFQ9" s="87"/>
      <c r="KFR9" s="87"/>
      <c r="KFS9" s="87"/>
      <c r="KFT9" s="87"/>
      <c r="KFU9" s="87"/>
      <c r="KFV9" s="87"/>
      <c r="KFW9" s="87"/>
      <c r="KFX9" s="87"/>
      <c r="KFY9" s="87"/>
      <c r="KFZ9" s="87"/>
      <c r="KGA9" s="87"/>
      <c r="KGB9" s="87"/>
      <c r="KGC9" s="87"/>
      <c r="KGD9" s="87"/>
      <c r="KGE9" s="87"/>
      <c r="KGF9" s="87"/>
      <c r="KGG9" s="87"/>
      <c r="KGH9" s="87"/>
      <c r="KGI9" s="87"/>
      <c r="KGJ9" s="87"/>
      <c r="KGK9" s="87"/>
      <c r="KGL9" s="87"/>
      <c r="KGM9" s="87"/>
      <c r="KGN9" s="87"/>
      <c r="KGO9" s="87"/>
      <c r="KGP9" s="87"/>
      <c r="KGQ9" s="87"/>
      <c r="KGR9" s="87"/>
      <c r="KGS9" s="87"/>
      <c r="KGT9" s="87"/>
      <c r="KGU9" s="87"/>
      <c r="KGV9" s="87"/>
      <c r="KGW9" s="87"/>
      <c r="KGX9" s="87"/>
      <c r="KGY9" s="87"/>
      <c r="KGZ9" s="87"/>
      <c r="KHA9" s="87"/>
      <c r="KHB9" s="87"/>
      <c r="KHC9" s="87"/>
      <c r="KHD9" s="87"/>
      <c r="KHE9" s="87"/>
      <c r="KHF9" s="87"/>
      <c r="KHG9" s="87"/>
      <c r="KHH9" s="87"/>
      <c r="KHI9" s="87"/>
      <c r="KHJ9" s="87"/>
      <c r="KHK9" s="87"/>
      <c r="KHL9" s="87"/>
      <c r="KHM9" s="87"/>
      <c r="KHN9" s="87"/>
      <c r="KHO9" s="87"/>
      <c r="KHP9" s="87"/>
      <c r="KHQ9" s="87"/>
      <c r="KHR9" s="87"/>
      <c r="KHS9" s="87"/>
      <c r="KHT9" s="87"/>
      <c r="KHU9" s="87"/>
      <c r="KHV9" s="87"/>
      <c r="KHW9" s="87"/>
      <c r="KHX9" s="87"/>
      <c r="KHY9" s="87"/>
      <c r="KHZ9" s="87"/>
      <c r="KIA9" s="87"/>
      <c r="KIB9" s="87"/>
      <c r="KIC9" s="87"/>
      <c r="KID9" s="87"/>
      <c r="KIE9" s="87"/>
      <c r="KIF9" s="87"/>
      <c r="KIG9" s="87"/>
      <c r="KIH9" s="87"/>
      <c r="KII9" s="87"/>
      <c r="KIJ9" s="87"/>
      <c r="KIK9" s="87"/>
      <c r="KIL9" s="87"/>
      <c r="KIM9" s="87"/>
      <c r="KIN9" s="87"/>
      <c r="KIO9" s="87"/>
      <c r="KIP9" s="87"/>
      <c r="KIQ9" s="87"/>
      <c r="KIR9" s="87"/>
      <c r="KIS9" s="87"/>
      <c r="KIT9" s="87"/>
      <c r="KIU9" s="87"/>
      <c r="KIV9" s="87"/>
      <c r="KIW9" s="87"/>
      <c r="KIX9" s="87"/>
      <c r="KIY9" s="87"/>
      <c r="KIZ9" s="87"/>
      <c r="KJA9" s="87"/>
      <c r="KJB9" s="87"/>
      <c r="KJC9" s="87"/>
      <c r="KJD9" s="87"/>
      <c r="KJE9" s="87"/>
      <c r="KJF9" s="87"/>
      <c r="KJG9" s="87"/>
      <c r="KJH9" s="87"/>
      <c r="KJI9" s="87"/>
      <c r="KJJ9" s="87"/>
      <c r="KJK9" s="87"/>
      <c r="KJL9" s="87"/>
      <c r="KJM9" s="87"/>
      <c r="KJN9" s="87"/>
      <c r="KJO9" s="87"/>
      <c r="KJP9" s="87"/>
      <c r="KJQ9" s="87"/>
      <c r="KJR9" s="87"/>
      <c r="KJS9" s="87"/>
      <c r="KJT9" s="87"/>
      <c r="KJU9" s="87"/>
      <c r="KJV9" s="87"/>
      <c r="KJW9" s="87"/>
      <c r="KJX9" s="87"/>
      <c r="KJY9" s="87"/>
      <c r="KJZ9" s="87"/>
      <c r="KKA9" s="87"/>
      <c r="KKB9" s="87"/>
      <c r="KKC9" s="87"/>
      <c r="KKD9" s="87"/>
      <c r="KKE9" s="87"/>
      <c r="KKF9" s="87"/>
      <c r="KKG9" s="87"/>
      <c r="KKH9" s="87"/>
      <c r="KKI9" s="87"/>
      <c r="KKJ9" s="87"/>
      <c r="KKK9" s="87"/>
      <c r="KKL9" s="87"/>
      <c r="KKM9" s="87"/>
      <c r="KKN9" s="87"/>
      <c r="KKO9" s="87"/>
      <c r="KKP9" s="87"/>
      <c r="KKQ9" s="87"/>
      <c r="KKR9" s="87"/>
      <c r="KKS9" s="87"/>
      <c r="KKT9" s="87"/>
      <c r="KKU9" s="87"/>
      <c r="KKV9" s="87"/>
      <c r="KKW9" s="87"/>
      <c r="KKX9" s="87"/>
      <c r="KKY9" s="87"/>
      <c r="KKZ9" s="87"/>
      <c r="KLA9" s="87"/>
      <c r="KLB9" s="87"/>
      <c r="KLC9" s="87"/>
      <c r="KLD9" s="87"/>
      <c r="KLE9" s="87"/>
      <c r="KLF9" s="87"/>
      <c r="KLG9" s="87"/>
      <c r="KLH9" s="87"/>
      <c r="KLI9" s="87"/>
      <c r="KLJ9" s="87"/>
      <c r="KLK9" s="87"/>
      <c r="KLL9" s="87"/>
      <c r="KLM9" s="87"/>
      <c r="KLN9" s="87"/>
      <c r="KLO9" s="87"/>
      <c r="KLP9" s="87"/>
      <c r="KLQ9" s="87"/>
      <c r="KLR9" s="87"/>
      <c r="KLS9" s="87"/>
      <c r="KLT9" s="87"/>
      <c r="KLU9" s="87"/>
      <c r="KLV9" s="87"/>
      <c r="KLW9" s="87"/>
      <c r="KLX9" s="87"/>
      <c r="KLY9" s="87"/>
      <c r="KLZ9" s="87"/>
      <c r="KMA9" s="87"/>
      <c r="KMB9" s="87"/>
      <c r="KMC9" s="87"/>
      <c r="KMD9" s="87"/>
      <c r="KME9" s="87"/>
      <c r="KMF9" s="87"/>
      <c r="KMG9" s="87"/>
      <c r="KMH9" s="87"/>
      <c r="KMI9" s="87"/>
      <c r="KMJ9" s="87"/>
      <c r="KMK9" s="87"/>
      <c r="KML9" s="87"/>
      <c r="KMM9" s="87"/>
      <c r="KMN9" s="87"/>
      <c r="KMO9" s="87"/>
      <c r="KMP9" s="87"/>
      <c r="KMQ9" s="87"/>
      <c r="KMR9" s="87"/>
      <c r="KMS9" s="87"/>
      <c r="KMT9" s="87"/>
      <c r="KMU9" s="87"/>
      <c r="KMV9" s="87"/>
      <c r="KMW9" s="87"/>
      <c r="KMX9" s="87"/>
      <c r="KMY9" s="87"/>
      <c r="KMZ9" s="87"/>
      <c r="KNA9" s="87"/>
      <c r="KNB9" s="87"/>
      <c r="KNC9" s="87"/>
      <c r="KND9" s="87"/>
      <c r="KNE9" s="87"/>
      <c r="KNF9" s="87"/>
      <c r="KNG9" s="87"/>
      <c r="KNH9" s="87"/>
      <c r="KNI9" s="87"/>
      <c r="KNJ9" s="87"/>
      <c r="KNK9" s="87"/>
      <c r="KNL9" s="87"/>
      <c r="KNM9" s="87"/>
      <c r="KNN9" s="87"/>
      <c r="KNO9" s="87"/>
      <c r="KNP9" s="87"/>
      <c r="KNQ9" s="87"/>
      <c r="KNR9" s="87"/>
      <c r="KNS9" s="87"/>
      <c r="KNT9" s="87"/>
      <c r="KNU9" s="87"/>
      <c r="KNV9" s="87"/>
      <c r="KNW9" s="87"/>
      <c r="KNX9" s="87"/>
      <c r="KNY9" s="87"/>
      <c r="KNZ9" s="87"/>
      <c r="KOA9" s="87"/>
      <c r="KOB9" s="87"/>
      <c r="KOC9" s="87"/>
      <c r="KOD9" s="87"/>
      <c r="KOE9" s="87"/>
      <c r="KOF9" s="87"/>
      <c r="KOG9" s="87"/>
      <c r="KOH9" s="87"/>
      <c r="KOI9" s="87"/>
      <c r="KOJ9" s="87"/>
      <c r="KOK9" s="87"/>
      <c r="KOL9" s="87"/>
      <c r="KOM9" s="87"/>
      <c r="KON9" s="87"/>
      <c r="KOO9" s="87"/>
      <c r="KOP9" s="87"/>
      <c r="KOQ9" s="87"/>
      <c r="KOR9" s="87"/>
      <c r="KOS9" s="87"/>
      <c r="KOT9" s="87"/>
      <c r="KOU9" s="87"/>
      <c r="KOV9" s="87"/>
      <c r="KOW9" s="87"/>
      <c r="KOX9" s="87"/>
      <c r="KOY9" s="87"/>
      <c r="KOZ9" s="87"/>
      <c r="KPA9" s="87"/>
      <c r="KPB9" s="87"/>
      <c r="KPC9" s="87"/>
      <c r="KPD9" s="87"/>
      <c r="KPE9" s="87"/>
      <c r="KPF9" s="87"/>
      <c r="KPG9" s="87"/>
      <c r="KPH9" s="87"/>
      <c r="KPI9" s="87"/>
      <c r="KPJ9" s="87"/>
      <c r="KPK9" s="87"/>
      <c r="KPL9" s="87"/>
      <c r="KPM9" s="87"/>
      <c r="KPN9" s="87"/>
      <c r="KPO9" s="87"/>
      <c r="KPP9" s="87"/>
      <c r="KPQ9" s="87"/>
      <c r="KPR9" s="87"/>
      <c r="KPS9" s="87"/>
      <c r="KPT9" s="87"/>
      <c r="KPU9" s="87"/>
      <c r="KPV9" s="87"/>
      <c r="KPW9" s="87"/>
      <c r="KPX9" s="87"/>
      <c r="KPY9" s="87"/>
      <c r="KPZ9" s="87"/>
      <c r="KQA9" s="87"/>
      <c r="KQB9" s="87"/>
      <c r="KQC9" s="87"/>
      <c r="KQD9" s="87"/>
      <c r="KQE9" s="87"/>
      <c r="KQF9" s="87"/>
      <c r="KQG9" s="87"/>
      <c r="KQH9" s="87"/>
      <c r="KQI9" s="87"/>
      <c r="KQJ9" s="87"/>
      <c r="KQK9" s="87"/>
      <c r="KQL9" s="87"/>
      <c r="KQM9" s="87"/>
      <c r="KQN9" s="87"/>
      <c r="KQO9" s="87"/>
      <c r="KQP9" s="87"/>
      <c r="KQQ9" s="87"/>
      <c r="KQR9" s="87"/>
      <c r="KQS9" s="87"/>
      <c r="KQT9" s="87"/>
      <c r="KQU9" s="87"/>
      <c r="KQV9" s="87"/>
      <c r="KQW9" s="87"/>
      <c r="KQX9" s="87"/>
      <c r="KQY9" s="87"/>
      <c r="KQZ9" s="87"/>
      <c r="KRA9" s="87"/>
      <c r="KRB9" s="87"/>
      <c r="KRC9" s="87"/>
      <c r="KRD9" s="87"/>
      <c r="KRE9" s="87"/>
      <c r="KRF9" s="87"/>
      <c r="KRG9" s="87"/>
      <c r="KRH9" s="87"/>
      <c r="KRI9" s="87"/>
      <c r="KRJ9" s="87"/>
      <c r="KRK9" s="87"/>
      <c r="KRL9" s="87"/>
      <c r="KRM9" s="87"/>
      <c r="KRN9" s="87"/>
      <c r="KRO9" s="87"/>
      <c r="KRP9" s="87"/>
      <c r="KRQ9" s="87"/>
      <c r="KRR9" s="87"/>
      <c r="KRS9" s="87"/>
      <c r="KRT9" s="87"/>
      <c r="KRU9" s="87"/>
      <c r="KRV9" s="87"/>
      <c r="KRW9" s="87"/>
      <c r="KRX9" s="87"/>
      <c r="KRY9" s="87"/>
      <c r="KRZ9" s="87"/>
      <c r="KSA9" s="87"/>
      <c r="KSB9" s="87"/>
      <c r="KSC9" s="87"/>
      <c r="KSD9" s="87"/>
      <c r="KSE9" s="87"/>
      <c r="KSF9" s="87"/>
      <c r="KSG9" s="87"/>
      <c r="KSH9" s="87"/>
      <c r="KSI9" s="87"/>
      <c r="KSJ9" s="87"/>
      <c r="KSK9" s="87"/>
      <c r="KSL9" s="87"/>
      <c r="KSM9" s="87"/>
      <c r="KSN9" s="87"/>
      <c r="KSO9" s="87"/>
      <c r="KSP9" s="87"/>
      <c r="KSQ9" s="87"/>
      <c r="KSR9" s="87"/>
      <c r="KSS9" s="87"/>
      <c r="KST9" s="87"/>
      <c r="KSU9" s="87"/>
      <c r="KSV9" s="87"/>
      <c r="KSW9" s="87"/>
      <c r="KSX9" s="87"/>
      <c r="KSY9" s="87"/>
      <c r="KSZ9" s="87"/>
      <c r="KTA9" s="87"/>
      <c r="KTB9" s="87"/>
      <c r="KTC9" s="87"/>
      <c r="KTD9" s="87"/>
      <c r="KTE9" s="87"/>
      <c r="KTF9" s="87"/>
      <c r="KTG9" s="87"/>
      <c r="KTH9" s="87"/>
      <c r="KTI9" s="87"/>
      <c r="KTJ9" s="87"/>
      <c r="KTK9" s="87"/>
      <c r="KTL9" s="87"/>
      <c r="KTM9" s="87"/>
      <c r="KTN9" s="87"/>
      <c r="KTO9" s="87"/>
      <c r="KTP9" s="87"/>
      <c r="KTQ9" s="87"/>
      <c r="KTR9" s="87"/>
      <c r="KTS9" s="87"/>
      <c r="KTT9" s="87"/>
      <c r="KTU9" s="87"/>
      <c r="KTV9" s="87"/>
      <c r="KTW9" s="87"/>
      <c r="KTX9" s="87"/>
      <c r="KTY9" s="87"/>
      <c r="KTZ9" s="87"/>
      <c r="KUA9" s="87"/>
      <c r="KUB9" s="87"/>
      <c r="KUC9" s="87"/>
      <c r="KUD9" s="87"/>
      <c r="KUE9" s="87"/>
      <c r="KUF9" s="87"/>
      <c r="KUG9" s="87"/>
      <c r="KUH9" s="87"/>
      <c r="KUI9" s="87"/>
      <c r="KUJ9" s="87"/>
      <c r="KUK9" s="87"/>
      <c r="KUL9" s="87"/>
      <c r="KUM9" s="87"/>
      <c r="KUN9" s="87"/>
      <c r="KUO9" s="87"/>
      <c r="KUP9" s="87"/>
      <c r="KUQ9" s="87"/>
      <c r="KUR9" s="87"/>
      <c r="KUS9" s="87"/>
      <c r="KUT9" s="87"/>
      <c r="KUU9" s="87"/>
      <c r="KUV9" s="87"/>
      <c r="KUW9" s="87"/>
      <c r="KUX9" s="87"/>
      <c r="KUY9" s="87"/>
      <c r="KUZ9" s="87"/>
      <c r="KVA9" s="87"/>
      <c r="KVB9" s="87"/>
      <c r="KVC9" s="87"/>
      <c r="KVD9" s="87"/>
      <c r="KVE9" s="87"/>
      <c r="KVF9" s="87"/>
      <c r="KVG9" s="87"/>
      <c r="KVH9" s="87"/>
      <c r="KVI9" s="87"/>
      <c r="KVJ9" s="87"/>
      <c r="KVK9" s="87"/>
      <c r="KVL9" s="87"/>
      <c r="KVM9" s="87"/>
      <c r="KVN9" s="87"/>
      <c r="KVO9" s="87"/>
      <c r="KVP9" s="87"/>
      <c r="KVQ9" s="87"/>
      <c r="KVR9" s="87"/>
      <c r="KVS9" s="87"/>
      <c r="KVT9" s="87"/>
      <c r="KVU9" s="87"/>
      <c r="KVV9" s="87"/>
      <c r="KVW9" s="87"/>
      <c r="KVX9" s="87"/>
      <c r="KVY9" s="87"/>
      <c r="KVZ9" s="87"/>
      <c r="KWA9" s="87"/>
      <c r="KWB9" s="87"/>
      <c r="KWC9" s="87"/>
      <c r="KWD9" s="87"/>
      <c r="KWE9" s="87"/>
      <c r="KWF9" s="87"/>
      <c r="KWG9" s="87"/>
      <c r="KWH9" s="87"/>
      <c r="KWI9" s="87"/>
      <c r="KWJ9" s="87"/>
      <c r="KWK9" s="87"/>
      <c r="KWL9" s="87"/>
      <c r="KWM9" s="87"/>
      <c r="KWN9" s="87"/>
      <c r="KWO9" s="87"/>
      <c r="KWP9" s="87"/>
      <c r="KWQ9" s="87"/>
      <c r="KWR9" s="87"/>
      <c r="KWS9" s="87"/>
      <c r="KWT9" s="87"/>
      <c r="KWU9" s="87"/>
      <c r="KWV9" s="87"/>
      <c r="KWW9" s="87"/>
      <c r="KWX9" s="87"/>
      <c r="KWY9" s="87"/>
      <c r="KWZ9" s="87"/>
      <c r="KXA9" s="87"/>
      <c r="KXB9" s="87"/>
      <c r="KXC9" s="87"/>
      <c r="KXD9" s="87"/>
      <c r="KXE9" s="87"/>
      <c r="KXF9" s="87"/>
      <c r="KXG9" s="87"/>
      <c r="KXH9" s="87"/>
      <c r="KXI9" s="87"/>
      <c r="KXJ9" s="87"/>
      <c r="KXK9" s="87"/>
      <c r="KXL9" s="87"/>
      <c r="KXM9" s="87"/>
      <c r="KXN9" s="87"/>
      <c r="KXO9" s="87"/>
      <c r="KXP9" s="87"/>
      <c r="KXQ9" s="87"/>
      <c r="KXR9" s="87"/>
      <c r="KXS9" s="87"/>
      <c r="KXT9" s="87"/>
      <c r="KXU9" s="87"/>
      <c r="KXV9" s="87"/>
      <c r="KXW9" s="87"/>
      <c r="KXX9" s="87"/>
      <c r="KXY9" s="87"/>
      <c r="KXZ9" s="87"/>
      <c r="KYA9" s="87"/>
      <c r="KYB9" s="87"/>
      <c r="KYC9" s="87"/>
      <c r="KYD9" s="87"/>
      <c r="KYE9" s="87"/>
      <c r="KYF9" s="87"/>
      <c r="KYG9" s="87"/>
      <c r="KYH9" s="87"/>
      <c r="KYI9" s="87"/>
      <c r="KYJ9" s="87"/>
      <c r="KYK9" s="87"/>
      <c r="KYL9" s="87"/>
      <c r="KYM9" s="87"/>
      <c r="KYN9" s="87"/>
      <c r="KYO9" s="87"/>
      <c r="KYP9" s="87"/>
      <c r="KYQ9" s="87"/>
      <c r="KYR9" s="87"/>
      <c r="KYS9" s="87"/>
      <c r="KYT9" s="87"/>
      <c r="KYU9" s="87"/>
      <c r="KYV9" s="87"/>
      <c r="KYW9" s="87"/>
      <c r="KYX9" s="87"/>
      <c r="KYY9" s="87"/>
      <c r="KYZ9" s="87"/>
      <c r="KZA9" s="87"/>
      <c r="KZB9" s="87"/>
      <c r="KZC9" s="87"/>
      <c r="KZD9" s="87"/>
      <c r="KZE9" s="87"/>
      <c r="KZF9" s="87"/>
      <c r="KZG9" s="87"/>
      <c r="KZH9" s="87"/>
      <c r="KZI9" s="87"/>
      <c r="KZJ9" s="87"/>
      <c r="KZK9" s="87"/>
      <c r="KZL9" s="87"/>
      <c r="KZM9" s="87"/>
      <c r="KZN9" s="87"/>
      <c r="KZO9" s="87"/>
      <c r="KZP9" s="87"/>
      <c r="KZQ9" s="87"/>
      <c r="KZR9" s="87"/>
      <c r="KZS9" s="87"/>
      <c r="KZT9" s="87"/>
      <c r="KZU9" s="87"/>
      <c r="KZV9" s="87"/>
      <c r="KZW9" s="87"/>
      <c r="KZX9" s="87"/>
      <c r="KZY9" s="87"/>
      <c r="KZZ9" s="87"/>
      <c r="LAA9" s="87"/>
      <c r="LAB9" s="87"/>
      <c r="LAC9" s="87"/>
      <c r="LAD9" s="87"/>
      <c r="LAE9" s="87"/>
      <c r="LAF9" s="87"/>
      <c r="LAG9" s="87"/>
      <c r="LAH9" s="87"/>
      <c r="LAI9" s="87"/>
      <c r="LAJ9" s="87"/>
      <c r="LAK9" s="87"/>
      <c r="LAL9" s="87"/>
      <c r="LAM9" s="87"/>
      <c r="LAN9" s="87"/>
      <c r="LAO9" s="87"/>
      <c r="LAP9" s="87"/>
      <c r="LAQ9" s="87"/>
      <c r="LAR9" s="87"/>
      <c r="LAS9" s="87"/>
      <c r="LAT9" s="87"/>
      <c r="LAU9" s="87"/>
      <c r="LAV9" s="87"/>
      <c r="LAW9" s="87"/>
      <c r="LAX9" s="87"/>
      <c r="LAY9" s="87"/>
      <c r="LAZ9" s="87"/>
      <c r="LBA9" s="87"/>
      <c r="LBB9" s="87"/>
      <c r="LBC9" s="87"/>
      <c r="LBD9" s="87"/>
      <c r="LBE9" s="87"/>
      <c r="LBF9" s="87"/>
      <c r="LBG9" s="87"/>
      <c r="LBH9" s="87"/>
      <c r="LBI9" s="87"/>
      <c r="LBJ9" s="87"/>
      <c r="LBK9" s="87"/>
      <c r="LBL9" s="87"/>
      <c r="LBM9" s="87"/>
      <c r="LBN9" s="87"/>
      <c r="LBO9" s="87"/>
      <c r="LBP9" s="87"/>
      <c r="LBQ9" s="87"/>
      <c r="LBR9" s="87"/>
      <c r="LBS9" s="87"/>
      <c r="LBT9" s="87"/>
      <c r="LBU9" s="87"/>
      <c r="LBV9" s="87"/>
      <c r="LBW9" s="87"/>
      <c r="LBX9" s="87"/>
      <c r="LBY9" s="87"/>
      <c r="LBZ9" s="87"/>
      <c r="LCA9" s="87"/>
      <c r="LCB9" s="87"/>
      <c r="LCC9" s="87"/>
      <c r="LCD9" s="87"/>
      <c r="LCE9" s="87"/>
      <c r="LCF9" s="87"/>
      <c r="LCG9" s="87"/>
      <c r="LCH9" s="87"/>
      <c r="LCI9" s="87"/>
      <c r="LCJ9" s="87"/>
      <c r="LCK9" s="87"/>
      <c r="LCL9" s="87"/>
      <c r="LCM9" s="87"/>
      <c r="LCN9" s="87"/>
      <c r="LCO9" s="87"/>
      <c r="LCP9" s="87"/>
      <c r="LCQ9" s="87"/>
      <c r="LCR9" s="87"/>
      <c r="LCS9" s="87"/>
      <c r="LCT9" s="87"/>
      <c r="LCU9" s="87"/>
      <c r="LCV9" s="87"/>
      <c r="LCW9" s="87"/>
      <c r="LCX9" s="87"/>
      <c r="LCY9" s="87"/>
      <c r="LCZ9" s="87"/>
      <c r="LDA9" s="87"/>
      <c r="LDB9" s="87"/>
      <c r="LDC9" s="87"/>
      <c r="LDD9" s="87"/>
      <c r="LDE9" s="87"/>
      <c r="LDF9" s="87"/>
      <c r="LDG9" s="87"/>
      <c r="LDH9" s="87"/>
      <c r="LDI9" s="87"/>
      <c r="LDJ9" s="87"/>
      <c r="LDK9" s="87"/>
      <c r="LDL9" s="87"/>
      <c r="LDM9" s="87"/>
      <c r="LDN9" s="87"/>
      <c r="LDO9" s="87"/>
      <c r="LDP9" s="87"/>
      <c r="LDQ9" s="87"/>
      <c r="LDR9" s="87"/>
      <c r="LDS9" s="87"/>
      <c r="LDT9" s="87"/>
      <c r="LDU9" s="87"/>
      <c r="LDV9" s="87"/>
      <c r="LDW9" s="87"/>
      <c r="LDX9" s="87"/>
      <c r="LDY9" s="87"/>
      <c r="LDZ9" s="87"/>
      <c r="LEA9" s="87"/>
      <c r="LEB9" s="87"/>
      <c r="LEC9" s="87"/>
      <c r="LED9" s="87"/>
      <c r="LEE9" s="87"/>
      <c r="LEF9" s="87"/>
      <c r="LEG9" s="87"/>
      <c r="LEH9" s="87"/>
      <c r="LEI9" s="87"/>
      <c r="LEJ9" s="87"/>
      <c r="LEK9" s="87"/>
      <c r="LEL9" s="87"/>
      <c r="LEM9" s="87"/>
      <c r="LEN9" s="87"/>
      <c r="LEO9" s="87"/>
      <c r="LEP9" s="87"/>
      <c r="LEQ9" s="87"/>
      <c r="LER9" s="87"/>
      <c r="LES9" s="87"/>
      <c r="LET9" s="87"/>
      <c r="LEU9" s="87"/>
      <c r="LEV9" s="87"/>
      <c r="LEW9" s="87"/>
      <c r="LEX9" s="87"/>
      <c r="LEY9" s="87"/>
      <c r="LEZ9" s="87"/>
      <c r="LFA9" s="87"/>
      <c r="LFB9" s="87"/>
      <c r="LFC9" s="87"/>
      <c r="LFD9" s="87"/>
      <c r="LFE9" s="87"/>
      <c r="LFF9" s="87"/>
      <c r="LFG9" s="87"/>
      <c r="LFH9" s="87"/>
      <c r="LFI9" s="87"/>
      <c r="LFJ9" s="87"/>
      <c r="LFK9" s="87"/>
      <c r="LFL9" s="87"/>
      <c r="LFM9" s="87"/>
      <c r="LFN9" s="87"/>
      <c r="LFO9" s="87"/>
      <c r="LFP9" s="87"/>
      <c r="LFQ9" s="87"/>
      <c r="LFR9" s="87"/>
      <c r="LFS9" s="87"/>
      <c r="LFT9" s="87"/>
      <c r="LFU9" s="87"/>
      <c r="LFV9" s="87"/>
      <c r="LFW9" s="87"/>
      <c r="LFX9" s="87"/>
      <c r="LFY9" s="87"/>
      <c r="LFZ9" s="87"/>
      <c r="LGA9" s="87"/>
      <c r="LGB9" s="87"/>
      <c r="LGC9" s="87"/>
      <c r="LGD9" s="87"/>
      <c r="LGE9" s="87"/>
      <c r="LGF9" s="87"/>
      <c r="LGG9" s="87"/>
      <c r="LGH9" s="87"/>
      <c r="LGI9" s="87"/>
      <c r="LGJ9" s="87"/>
      <c r="LGK9" s="87"/>
      <c r="LGL9" s="87"/>
      <c r="LGM9" s="87"/>
      <c r="LGN9" s="87"/>
      <c r="LGO9" s="87"/>
      <c r="LGP9" s="87"/>
      <c r="LGQ9" s="87"/>
      <c r="LGR9" s="87"/>
      <c r="LGS9" s="87"/>
      <c r="LGT9" s="87"/>
      <c r="LGU9" s="87"/>
      <c r="LGV9" s="87"/>
      <c r="LGW9" s="87"/>
      <c r="LGX9" s="87"/>
      <c r="LGY9" s="87"/>
      <c r="LGZ9" s="87"/>
      <c r="LHA9" s="87"/>
      <c r="LHB9" s="87"/>
      <c r="LHC9" s="87"/>
      <c r="LHD9" s="87"/>
      <c r="LHE9" s="87"/>
      <c r="LHF9" s="87"/>
      <c r="LHG9" s="87"/>
      <c r="LHH9" s="87"/>
      <c r="LHI9" s="87"/>
      <c r="LHJ9" s="87"/>
      <c r="LHK9" s="87"/>
      <c r="LHL9" s="87"/>
      <c r="LHM9" s="87"/>
      <c r="LHN9" s="87"/>
      <c r="LHO9" s="87"/>
      <c r="LHP9" s="87"/>
      <c r="LHQ9" s="87"/>
      <c r="LHR9" s="87"/>
      <c r="LHS9" s="87"/>
      <c r="LHT9" s="87"/>
      <c r="LHU9" s="87"/>
      <c r="LHV9" s="87"/>
      <c r="LHW9" s="87"/>
      <c r="LHX9" s="87"/>
      <c r="LHY9" s="87"/>
      <c r="LHZ9" s="87"/>
      <c r="LIA9" s="87"/>
      <c r="LIB9" s="87"/>
      <c r="LIC9" s="87"/>
      <c r="LID9" s="87"/>
      <c r="LIE9" s="87"/>
      <c r="LIF9" s="87"/>
      <c r="LIG9" s="87"/>
      <c r="LIH9" s="87"/>
      <c r="LII9" s="87"/>
      <c r="LIJ9" s="87"/>
      <c r="LIK9" s="87"/>
      <c r="LIL9" s="87"/>
      <c r="LIM9" s="87"/>
      <c r="LIN9" s="87"/>
      <c r="LIO9" s="87"/>
      <c r="LIP9" s="87"/>
      <c r="LIQ9" s="87"/>
      <c r="LIR9" s="87"/>
      <c r="LIS9" s="87"/>
      <c r="LIT9" s="87"/>
      <c r="LIU9" s="87"/>
      <c r="LIV9" s="87"/>
      <c r="LIW9" s="87"/>
      <c r="LIX9" s="87"/>
      <c r="LIY9" s="87"/>
      <c r="LIZ9" s="87"/>
      <c r="LJA9" s="87"/>
      <c r="LJB9" s="87"/>
      <c r="LJC9" s="87"/>
      <c r="LJD9" s="87"/>
      <c r="LJE9" s="87"/>
      <c r="LJF9" s="87"/>
      <c r="LJG9" s="87"/>
      <c r="LJH9" s="87"/>
      <c r="LJI9" s="87"/>
      <c r="LJJ9" s="87"/>
      <c r="LJK9" s="87"/>
      <c r="LJL9" s="87"/>
      <c r="LJM9" s="87"/>
      <c r="LJN9" s="87"/>
      <c r="LJO9" s="87"/>
      <c r="LJP9" s="87"/>
      <c r="LJQ9" s="87"/>
      <c r="LJR9" s="87"/>
      <c r="LJS9" s="87"/>
      <c r="LJT9" s="87"/>
      <c r="LJU9" s="87"/>
      <c r="LJV9" s="87"/>
      <c r="LJW9" s="87"/>
      <c r="LJX9" s="87"/>
      <c r="LJY9" s="87"/>
      <c r="LJZ9" s="87"/>
      <c r="LKA9" s="87"/>
      <c r="LKB9" s="87"/>
      <c r="LKC9" s="87"/>
      <c r="LKD9" s="87"/>
      <c r="LKE9" s="87"/>
      <c r="LKF9" s="87"/>
      <c r="LKG9" s="87"/>
      <c r="LKH9" s="87"/>
      <c r="LKI9" s="87"/>
      <c r="LKJ9" s="87"/>
      <c r="LKK9" s="87"/>
      <c r="LKL9" s="87"/>
      <c r="LKM9" s="87"/>
      <c r="LKN9" s="87"/>
      <c r="LKO9" s="87"/>
      <c r="LKP9" s="87"/>
      <c r="LKQ9" s="87"/>
      <c r="LKR9" s="87"/>
      <c r="LKS9" s="87"/>
      <c r="LKT9" s="87"/>
      <c r="LKU9" s="87"/>
      <c r="LKV9" s="87"/>
      <c r="LKW9" s="87"/>
      <c r="LKX9" s="87"/>
      <c r="LKY9" s="87"/>
      <c r="LKZ9" s="87"/>
      <c r="LLA9" s="87"/>
      <c r="LLB9" s="87"/>
      <c r="LLC9" s="87"/>
      <c r="LLD9" s="87"/>
      <c r="LLE9" s="87"/>
      <c r="LLF9" s="87"/>
      <c r="LLG9" s="87"/>
      <c r="LLH9" s="87"/>
      <c r="LLI9" s="87"/>
      <c r="LLJ9" s="87"/>
      <c r="LLK9" s="87"/>
      <c r="LLL9" s="87"/>
      <c r="LLM9" s="87"/>
      <c r="LLN9" s="87"/>
      <c r="LLO9" s="87"/>
      <c r="LLP9" s="87"/>
      <c r="LLQ9" s="87"/>
      <c r="LLR9" s="87"/>
      <c r="LLS9" s="87"/>
      <c r="LLT9" s="87"/>
      <c r="LLU9" s="87"/>
      <c r="LLV9" s="87"/>
      <c r="LLW9" s="87"/>
      <c r="LLX9" s="87"/>
      <c r="LLY9" s="87"/>
      <c r="LLZ9" s="87"/>
      <c r="LMA9" s="87"/>
      <c r="LMB9" s="87"/>
      <c r="LMC9" s="87"/>
      <c r="LMD9" s="87"/>
      <c r="LME9" s="87"/>
      <c r="LMF9" s="87"/>
      <c r="LMG9" s="87"/>
      <c r="LMH9" s="87"/>
      <c r="LMI9" s="87"/>
      <c r="LMJ9" s="87"/>
      <c r="LMK9" s="87"/>
      <c r="LML9" s="87"/>
      <c r="LMM9" s="87"/>
      <c r="LMN9" s="87"/>
      <c r="LMO9" s="87"/>
      <c r="LMP9" s="87"/>
      <c r="LMQ9" s="87"/>
      <c r="LMR9" s="87"/>
      <c r="LMS9" s="87"/>
      <c r="LMT9" s="87"/>
      <c r="LMU9" s="87"/>
      <c r="LMV9" s="87"/>
      <c r="LMW9" s="87"/>
      <c r="LMX9" s="87"/>
      <c r="LMY9" s="87"/>
      <c r="LMZ9" s="87"/>
      <c r="LNA9" s="87"/>
      <c r="LNB9" s="87"/>
      <c r="LNC9" s="87"/>
      <c r="LND9" s="87"/>
      <c r="LNE9" s="87"/>
      <c r="LNF9" s="87"/>
      <c r="LNG9" s="87"/>
      <c r="LNH9" s="87"/>
      <c r="LNI9" s="87"/>
      <c r="LNJ9" s="87"/>
      <c r="LNK9" s="87"/>
      <c r="LNL9" s="87"/>
      <c r="LNM9" s="87"/>
      <c r="LNN9" s="87"/>
      <c r="LNO9" s="87"/>
      <c r="LNP9" s="87"/>
      <c r="LNQ9" s="87"/>
      <c r="LNR9" s="87"/>
      <c r="LNS9" s="87"/>
      <c r="LNT9" s="87"/>
      <c r="LNU9" s="87"/>
      <c r="LNV9" s="87"/>
      <c r="LNW9" s="87"/>
      <c r="LNX9" s="87"/>
      <c r="LNY9" s="87"/>
      <c r="LNZ9" s="87"/>
      <c r="LOA9" s="87"/>
      <c r="LOB9" s="87"/>
      <c r="LOC9" s="87"/>
      <c r="LOD9" s="87"/>
      <c r="LOE9" s="87"/>
      <c r="LOF9" s="87"/>
      <c r="LOG9" s="87"/>
      <c r="LOH9" s="87"/>
      <c r="LOI9" s="87"/>
      <c r="LOJ9" s="87"/>
      <c r="LOK9" s="87"/>
      <c r="LOL9" s="87"/>
      <c r="LOM9" s="87"/>
      <c r="LON9" s="87"/>
      <c r="LOO9" s="87"/>
      <c r="LOP9" s="87"/>
      <c r="LOQ9" s="87"/>
      <c r="LOR9" s="87"/>
      <c r="LOS9" s="87"/>
      <c r="LOT9" s="87"/>
      <c r="LOU9" s="87"/>
      <c r="LOV9" s="87"/>
      <c r="LOW9" s="87"/>
      <c r="LOX9" s="87"/>
      <c r="LOY9" s="87"/>
      <c r="LOZ9" s="87"/>
      <c r="LPA9" s="87"/>
      <c r="LPB9" s="87"/>
      <c r="LPC9" s="87"/>
      <c r="LPD9" s="87"/>
      <c r="LPE9" s="87"/>
      <c r="LPF9" s="87"/>
      <c r="LPG9" s="87"/>
      <c r="LPH9" s="87"/>
      <c r="LPI9" s="87"/>
      <c r="LPJ9" s="87"/>
      <c r="LPK9" s="87"/>
      <c r="LPL9" s="87"/>
      <c r="LPM9" s="87"/>
      <c r="LPN9" s="87"/>
      <c r="LPO9" s="87"/>
      <c r="LPP9" s="87"/>
      <c r="LPQ9" s="87"/>
      <c r="LPR9" s="87"/>
      <c r="LPS9" s="87"/>
      <c r="LPT9" s="87"/>
      <c r="LPU9" s="87"/>
      <c r="LPV9" s="87"/>
      <c r="LPW9" s="87"/>
      <c r="LPX9" s="87"/>
      <c r="LPY9" s="87"/>
      <c r="LPZ9" s="87"/>
      <c r="LQA9" s="87"/>
      <c r="LQB9" s="87"/>
      <c r="LQC9" s="87"/>
      <c r="LQD9" s="87"/>
      <c r="LQE9" s="87"/>
      <c r="LQF9" s="87"/>
      <c r="LQG9" s="87"/>
      <c r="LQH9" s="87"/>
      <c r="LQI9" s="87"/>
      <c r="LQJ9" s="87"/>
      <c r="LQK9" s="87"/>
      <c r="LQL9" s="87"/>
      <c r="LQM9" s="87"/>
      <c r="LQN9" s="87"/>
      <c r="LQO9" s="87"/>
      <c r="LQP9" s="87"/>
      <c r="LQQ9" s="87"/>
      <c r="LQR9" s="87"/>
      <c r="LQS9" s="87"/>
      <c r="LQT9" s="87"/>
      <c r="LQU9" s="87"/>
      <c r="LQV9" s="87"/>
      <c r="LQW9" s="87"/>
      <c r="LQX9" s="87"/>
      <c r="LQY9" s="87"/>
      <c r="LQZ9" s="87"/>
      <c r="LRA9" s="87"/>
      <c r="LRB9" s="87"/>
      <c r="LRC9" s="87"/>
      <c r="LRD9" s="87"/>
      <c r="LRE9" s="87"/>
      <c r="LRF9" s="87"/>
      <c r="LRG9" s="87"/>
      <c r="LRH9" s="87"/>
      <c r="LRI9" s="87"/>
      <c r="LRJ9" s="87"/>
      <c r="LRK9" s="87"/>
      <c r="LRL9" s="87"/>
      <c r="LRM9" s="87"/>
      <c r="LRN9" s="87"/>
      <c r="LRO9" s="87"/>
      <c r="LRP9" s="87"/>
      <c r="LRQ9" s="87"/>
      <c r="LRR9" s="87"/>
      <c r="LRS9" s="87"/>
      <c r="LRT9" s="87"/>
      <c r="LRU9" s="87"/>
      <c r="LRV9" s="87"/>
      <c r="LRW9" s="87"/>
      <c r="LRX9" s="87"/>
      <c r="LRY9" s="87"/>
      <c r="LRZ9" s="87"/>
      <c r="LSA9" s="87"/>
      <c r="LSB9" s="87"/>
      <c r="LSC9" s="87"/>
      <c r="LSD9" s="87"/>
      <c r="LSE9" s="87"/>
      <c r="LSF9" s="87"/>
      <c r="LSG9" s="87"/>
      <c r="LSH9" s="87"/>
      <c r="LSI9" s="87"/>
      <c r="LSJ9" s="87"/>
      <c r="LSK9" s="87"/>
      <c r="LSL9" s="87"/>
      <c r="LSM9" s="87"/>
      <c r="LSN9" s="87"/>
      <c r="LSO9" s="87"/>
      <c r="LSP9" s="87"/>
      <c r="LSQ9" s="87"/>
      <c r="LSR9" s="87"/>
      <c r="LSS9" s="87"/>
      <c r="LST9" s="87"/>
      <c r="LSU9" s="87"/>
      <c r="LSV9" s="87"/>
      <c r="LSW9" s="87"/>
      <c r="LSX9" s="87"/>
      <c r="LSY9" s="87"/>
      <c r="LSZ9" s="87"/>
      <c r="LTA9" s="87"/>
      <c r="LTB9" s="87"/>
      <c r="LTC9" s="87"/>
      <c r="LTD9" s="87"/>
      <c r="LTE9" s="87"/>
      <c r="LTF9" s="87"/>
      <c r="LTG9" s="87"/>
      <c r="LTH9" s="87"/>
      <c r="LTI9" s="87"/>
      <c r="LTJ9" s="87"/>
      <c r="LTK9" s="87"/>
      <c r="LTL9" s="87"/>
      <c r="LTM9" s="87"/>
      <c r="LTN9" s="87"/>
      <c r="LTO9" s="87"/>
      <c r="LTP9" s="87"/>
      <c r="LTQ9" s="87"/>
      <c r="LTR9" s="87"/>
      <c r="LTS9" s="87"/>
      <c r="LTT9" s="87"/>
      <c r="LTU9" s="87"/>
      <c r="LTV9" s="87"/>
      <c r="LTW9" s="87"/>
      <c r="LTX9" s="87"/>
      <c r="LTY9" s="87"/>
      <c r="LTZ9" s="87"/>
      <c r="LUA9" s="87"/>
      <c r="LUB9" s="87"/>
      <c r="LUC9" s="87"/>
      <c r="LUD9" s="87"/>
      <c r="LUE9" s="87"/>
      <c r="LUF9" s="87"/>
      <c r="LUG9" s="87"/>
      <c r="LUH9" s="87"/>
      <c r="LUI9" s="87"/>
      <c r="LUJ9" s="87"/>
      <c r="LUK9" s="87"/>
      <c r="LUL9" s="87"/>
      <c r="LUM9" s="87"/>
      <c r="LUN9" s="87"/>
      <c r="LUO9" s="87"/>
      <c r="LUP9" s="87"/>
      <c r="LUQ9" s="87"/>
      <c r="LUR9" s="87"/>
      <c r="LUS9" s="87"/>
      <c r="LUT9" s="87"/>
      <c r="LUU9" s="87"/>
      <c r="LUV9" s="87"/>
      <c r="LUW9" s="87"/>
      <c r="LUX9" s="87"/>
      <c r="LUY9" s="87"/>
      <c r="LUZ9" s="87"/>
      <c r="LVA9" s="87"/>
      <c r="LVB9" s="87"/>
      <c r="LVC9" s="87"/>
      <c r="LVD9" s="87"/>
      <c r="LVE9" s="87"/>
      <c r="LVF9" s="87"/>
      <c r="LVG9" s="87"/>
      <c r="LVH9" s="87"/>
      <c r="LVI9" s="87"/>
      <c r="LVJ9" s="87"/>
      <c r="LVK9" s="87"/>
      <c r="LVL9" s="87"/>
      <c r="LVM9" s="87"/>
      <c r="LVN9" s="87"/>
      <c r="LVO9" s="87"/>
      <c r="LVP9" s="87"/>
      <c r="LVQ9" s="87"/>
      <c r="LVR9" s="87"/>
      <c r="LVS9" s="87"/>
      <c r="LVT9" s="87"/>
      <c r="LVU9" s="87"/>
      <c r="LVV9" s="87"/>
      <c r="LVW9" s="87"/>
      <c r="LVX9" s="87"/>
      <c r="LVY9" s="87"/>
      <c r="LVZ9" s="87"/>
      <c r="LWA9" s="87"/>
      <c r="LWB9" s="87"/>
      <c r="LWC9" s="87"/>
      <c r="LWD9" s="87"/>
      <c r="LWE9" s="87"/>
      <c r="LWF9" s="87"/>
      <c r="LWG9" s="87"/>
      <c r="LWH9" s="87"/>
      <c r="LWI9" s="87"/>
      <c r="LWJ9" s="87"/>
      <c r="LWK9" s="87"/>
      <c r="LWL9" s="87"/>
      <c r="LWM9" s="87"/>
      <c r="LWN9" s="87"/>
      <c r="LWO9" s="87"/>
      <c r="LWP9" s="87"/>
      <c r="LWQ9" s="87"/>
      <c r="LWR9" s="87"/>
      <c r="LWS9" s="87"/>
      <c r="LWT9" s="87"/>
      <c r="LWU9" s="87"/>
      <c r="LWV9" s="87"/>
      <c r="LWW9" s="87"/>
      <c r="LWX9" s="87"/>
      <c r="LWY9" s="87"/>
      <c r="LWZ9" s="87"/>
      <c r="LXA9" s="87"/>
      <c r="LXB9" s="87"/>
      <c r="LXC9" s="87"/>
      <c r="LXD9" s="87"/>
      <c r="LXE9" s="87"/>
      <c r="LXF9" s="87"/>
      <c r="LXG9" s="87"/>
      <c r="LXH9" s="87"/>
      <c r="LXI9" s="87"/>
      <c r="LXJ9" s="87"/>
      <c r="LXK9" s="87"/>
      <c r="LXL9" s="87"/>
      <c r="LXM9" s="87"/>
      <c r="LXN9" s="87"/>
      <c r="LXO9" s="87"/>
      <c r="LXP9" s="87"/>
      <c r="LXQ9" s="87"/>
      <c r="LXR9" s="87"/>
      <c r="LXS9" s="87"/>
      <c r="LXT9" s="87"/>
      <c r="LXU9" s="87"/>
      <c r="LXV9" s="87"/>
      <c r="LXW9" s="87"/>
      <c r="LXX9" s="87"/>
      <c r="LXY9" s="87"/>
      <c r="LXZ9" s="87"/>
      <c r="LYA9" s="87"/>
      <c r="LYB9" s="87"/>
      <c r="LYC9" s="87"/>
      <c r="LYD9" s="87"/>
      <c r="LYE9" s="87"/>
      <c r="LYF9" s="87"/>
      <c r="LYG9" s="87"/>
      <c r="LYH9" s="87"/>
      <c r="LYI9" s="87"/>
      <c r="LYJ9" s="87"/>
      <c r="LYK9" s="87"/>
      <c r="LYL9" s="87"/>
      <c r="LYM9" s="87"/>
      <c r="LYN9" s="87"/>
      <c r="LYO9" s="87"/>
      <c r="LYP9" s="87"/>
      <c r="LYQ9" s="87"/>
      <c r="LYR9" s="87"/>
      <c r="LYS9" s="87"/>
      <c r="LYT9" s="87"/>
      <c r="LYU9" s="87"/>
      <c r="LYV9" s="87"/>
      <c r="LYW9" s="87"/>
      <c r="LYX9" s="87"/>
      <c r="LYY9" s="87"/>
      <c r="LYZ9" s="87"/>
      <c r="LZA9" s="87"/>
      <c r="LZB9" s="87"/>
      <c r="LZC9" s="87"/>
      <c r="LZD9" s="87"/>
      <c r="LZE9" s="87"/>
      <c r="LZF9" s="87"/>
      <c r="LZG9" s="87"/>
      <c r="LZH9" s="87"/>
      <c r="LZI9" s="87"/>
      <c r="LZJ9" s="87"/>
      <c r="LZK9" s="87"/>
      <c r="LZL9" s="87"/>
      <c r="LZM9" s="87"/>
      <c r="LZN9" s="87"/>
      <c r="LZO9" s="87"/>
      <c r="LZP9" s="87"/>
      <c r="LZQ9" s="87"/>
      <c r="LZR9" s="87"/>
      <c r="LZS9" s="87"/>
      <c r="LZT9" s="87"/>
      <c r="LZU9" s="87"/>
      <c r="LZV9" s="87"/>
      <c r="LZW9" s="87"/>
      <c r="LZX9" s="87"/>
      <c r="LZY9" s="87"/>
      <c r="LZZ9" s="87"/>
      <c r="MAA9" s="87"/>
      <c r="MAB9" s="87"/>
      <c r="MAC9" s="87"/>
      <c r="MAD9" s="87"/>
      <c r="MAE9" s="87"/>
      <c r="MAF9" s="87"/>
      <c r="MAG9" s="87"/>
      <c r="MAH9" s="87"/>
      <c r="MAI9" s="87"/>
      <c r="MAJ9" s="87"/>
      <c r="MAK9" s="87"/>
      <c r="MAL9" s="87"/>
      <c r="MAM9" s="87"/>
      <c r="MAN9" s="87"/>
      <c r="MAO9" s="87"/>
      <c r="MAP9" s="87"/>
      <c r="MAQ9" s="87"/>
      <c r="MAR9" s="87"/>
      <c r="MAS9" s="87"/>
      <c r="MAT9" s="87"/>
      <c r="MAU9" s="87"/>
      <c r="MAV9" s="87"/>
      <c r="MAW9" s="87"/>
      <c r="MAX9" s="87"/>
      <c r="MAY9" s="87"/>
      <c r="MAZ9" s="87"/>
      <c r="MBA9" s="87"/>
      <c r="MBB9" s="87"/>
      <c r="MBC9" s="87"/>
      <c r="MBD9" s="87"/>
      <c r="MBE9" s="87"/>
      <c r="MBF9" s="87"/>
      <c r="MBG9" s="87"/>
      <c r="MBH9" s="87"/>
      <c r="MBI9" s="87"/>
      <c r="MBJ9" s="87"/>
      <c r="MBK9" s="87"/>
      <c r="MBL9" s="87"/>
      <c r="MBM9" s="87"/>
      <c r="MBN9" s="87"/>
      <c r="MBO9" s="87"/>
      <c r="MBP9" s="87"/>
      <c r="MBQ9" s="87"/>
      <c r="MBR9" s="87"/>
      <c r="MBS9" s="87"/>
      <c r="MBT9" s="87"/>
      <c r="MBU9" s="87"/>
      <c r="MBV9" s="87"/>
      <c r="MBW9" s="87"/>
      <c r="MBX9" s="87"/>
      <c r="MBY9" s="87"/>
      <c r="MBZ9" s="87"/>
      <c r="MCA9" s="87"/>
      <c r="MCB9" s="87"/>
      <c r="MCC9" s="87"/>
      <c r="MCD9" s="87"/>
      <c r="MCE9" s="87"/>
      <c r="MCF9" s="87"/>
      <c r="MCG9" s="87"/>
      <c r="MCH9" s="87"/>
      <c r="MCI9" s="87"/>
      <c r="MCJ9" s="87"/>
      <c r="MCK9" s="87"/>
      <c r="MCL9" s="87"/>
      <c r="MCM9" s="87"/>
      <c r="MCN9" s="87"/>
      <c r="MCO9" s="87"/>
      <c r="MCP9" s="87"/>
      <c r="MCQ9" s="87"/>
      <c r="MCR9" s="87"/>
      <c r="MCS9" s="87"/>
      <c r="MCT9" s="87"/>
      <c r="MCU9" s="87"/>
      <c r="MCV9" s="87"/>
      <c r="MCW9" s="87"/>
      <c r="MCX9" s="87"/>
      <c r="MCY9" s="87"/>
      <c r="MCZ9" s="87"/>
      <c r="MDA9" s="87"/>
      <c r="MDB9" s="87"/>
      <c r="MDC9" s="87"/>
      <c r="MDD9" s="87"/>
      <c r="MDE9" s="87"/>
      <c r="MDF9" s="87"/>
      <c r="MDG9" s="87"/>
      <c r="MDH9" s="87"/>
      <c r="MDI9" s="87"/>
      <c r="MDJ9" s="87"/>
      <c r="MDK9" s="87"/>
      <c r="MDL9" s="87"/>
      <c r="MDM9" s="87"/>
      <c r="MDN9" s="87"/>
      <c r="MDO9" s="87"/>
      <c r="MDP9" s="87"/>
      <c r="MDQ9" s="87"/>
      <c r="MDR9" s="87"/>
      <c r="MDS9" s="87"/>
      <c r="MDT9" s="87"/>
      <c r="MDU9" s="87"/>
      <c r="MDV9" s="87"/>
      <c r="MDW9" s="87"/>
      <c r="MDX9" s="87"/>
      <c r="MDY9" s="87"/>
      <c r="MDZ9" s="87"/>
      <c r="MEA9" s="87"/>
      <c r="MEB9" s="87"/>
      <c r="MEC9" s="87"/>
      <c r="MED9" s="87"/>
      <c r="MEE9" s="87"/>
      <c r="MEF9" s="87"/>
      <c r="MEG9" s="87"/>
      <c r="MEH9" s="87"/>
      <c r="MEI9" s="87"/>
      <c r="MEJ9" s="87"/>
      <c r="MEK9" s="87"/>
      <c r="MEL9" s="87"/>
      <c r="MEM9" s="87"/>
      <c r="MEN9" s="87"/>
      <c r="MEO9" s="87"/>
      <c r="MEP9" s="87"/>
      <c r="MEQ9" s="87"/>
      <c r="MER9" s="87"/>
      <c r="MES9" s="87"/>
      <c r="MET9" s="87"/>
      <c r="MEU9" s="87"/>
      <c r="MEV9" s="87"/>
      <c r="MEW9" s="87"/>
      <c r="MEX9" s="87"/>
      <c r="MEY9" s="87"/>
      <c r="MEZ9" s="87"/>
      <c r="MFA9" s="87"/>
      <c r="MFB9" s="87"/>
      <c r="MFC9" s="87"/>
      <c r="MFD9" s="87"/>
      <c r="MFE9" s="87"/>
      <c r="MFF9" s="87"/>
      <c r="MFG9" s="87"/>
      <c r="MFH9" s="87"/>
      <c r="MFI9" s="87"/>
      <c r="MFJ9" s="87"/>
      <c r="MFK9" s="87"/>
      <c r="MFL9" s="87"/>
      <c r="MFM9" s="87"/>
      <c r="MFN9" s="87"/>
      <c r="MFO9" s="87"/>
      <c r="MFP9" s="87"/>
      <c r="MFQ9" s="87"/>
      <c r="MFR9" s="87"/>
      <c r="MFS9" s="87"/>
      <c r="MFT9" s="87"/>
      <c r="MFU9" s="87"/>
      <c r="MFV9" s="87"/>
      <c r="MFW9" s="87"/>
      <c r="MFX9" s="87"/>
      <c r="MFY9" s="87"/>
      <c r="MFZ9" s="87"/>
      <c r="MGA9" s="87"/>
      <c r="MGB9" s="87"/>
      <c r="MGC9" s="87"/>
      <c r="MGD9" s="87"/>
      <c r="MGE9" s="87"/>
      <c r="MGF9" s="87"/>
      <c r="MGG9" s="87"/>
      <c r="MGH9" s="87"/>
      <c r="MGI9" s="87"/>
      <c r="MGJ9" s="87"/>
      <c r="MGK9" s="87"/>
      <c r="MGL9" s="87"/>
      <c r="MGM9" s="87"/>
      <c r="MGN9" s="87"/>
      <c r="MGO9" s="87"/>
      <c r="MGP9" s="87"/>
      <c r="MGQ9" s="87"/>
      <c r="MGR9" s="87"/>
      <c r="MGS9" s="87"/>
      <c r="MGT9" s="87"/>
      <c r="MGU9" s="87"/>
      <c r="MGV9" s="87"/>
      <c r="MGW9" s="87"/>
      <c r="MGX9" s="87"/>
      <c r="MGY9" s="87"/>
      <c r="MGZ9" s="87"/>
      <c r="MHA9" s="87"/>
      <c r="MHB9" s="87"/>
      <c r="MHC9" s="87"/>
      <c r="MHD9" s="87"/>
      <c r="MHE9" s="87"/>
      <c r="MHF9" s="87"/>
      <c r="MHG9" s="87"/>
      <c r="MHH9" s="87"/>
      <c r="MHI9" s="87"/>
      <c r="MHJ9" s="87"/>
      <c r="MHK9" s="87"/>
      <c r="MHL9" s="87"/>
      <c r="MHM9" s="87"/>
      <c r="MHN9" s="87"/>
      <c r="MHO9" s="87"/>
      <c r="MHP9" s="87"/>
      <c r="MHQ9" s="87"/>
      <c r="MHR9" s="87"/>
      <c r="MHS9" s="87"/>
      <c r="MHT9" s="87"/>
      <c r="MHU9" s="87"/>
      <c r="MHV9" s="87"/>
      <c r="MHW9" s="87"/>
      <c r="MHX9" s="87"/>
      <c r="MHY9" s="87"/>
      <c r="MHZ9" s="87"/>
      <c r="MIA9" s="87"/>
      <c r="MIB9" s="87"/>
      <c r="MIC9" s="87"/>
      <c r="MID9" s="87"/>
      <c r="MIE9" s="87"/>
      <c r="MIF9" s="87"/>
      <c r="MIG9" s="87"/>
      <c r="MIH9" s="87"/>
      <c r="MII9" s="87"/>
      <c r="MIJ9" s="87"/>
      <c r="MIK9" s="87"/>
      <c r="MIL9" s="87"/>
      <c r="MIM9" s="87"/>
      <c r="MIN9" s="87"/>
      <c r="MIO9" s="87"/>
      <c r="MIP9" s="87"/>
      <c r="MIQ9" s="87"/>
      <c r="MIR9" s="87"/>
      <c r="MIS9" s="87"/>
      <c r="MIT9" s="87"/>
      <c r="MIU9" s="87"/>
      <c r="MIV9" s="87"/>
      <c r="MIW9" s="87"/>
      <c r="MIX9" s="87"/>
      <c r="MIY9" s="87"/>
      <c r="MIZ9" s="87"/>
      <c r="MJA9" s="87"/>
      <c r="MJB9" s="87"/>
      <c r="MJC9" s="87"/>
      <c r="MJD9" s="87"/>
      <c r="MJE9" s="87"/>
      <c r="MJF9" s="87"/>
      <c r="MJG9" s="87"/>
      <c r="MJH9" s="87"/>
      <c r="MJI9" s="87"/>
      <c r="MJJ9" s="87"/>
      <c r="MJK9" s="87"/>
      <c r="MJL9" s="87"/>
      <c r="MJM9" s="87"/>
      <c r="MJN9" s="87"/>
      <c r="MJO9" s="87"/>
      <c r="MJP9" s="87"/>
      <c r="MJQ9" s="87"/>
      <c r="MJR9" s="87"/>
      <c r="MJS9" s="87"/>
      <c r="MJT9" s="87"/>
      <c r="MJU9" s="87"/>
      <c r="MJV9" s="87"/>
      <c r="MJW9" s="87"/>
      <c r="MJX9" s="87"/>
      <c r="MJY9" s="87"/>
      <c r="MJZ9" s="87"/>
      <c r="MKA9" s="87"/>
      <c r="MKB9" s="87"/>
      <c r="MKC9" s="87"/>
      <c r="MKD9" s="87"/>
      <c r="MKE9" s="87"/>
      <c r="MKF9" s="87"/>
      <c r="MKG9" s="87"/>
      <c r="MKH9" s="87"/>
      <c r="MKI9" s="87"/>
      <c r="MKJ9" s="87"/>
      <c r="MKK9" s="87"/>
      <c r="MKL9" s="87"/>
      <c r="MKM9" s="87"/>
      <c r="MKN9" s="87"/>
      <c r="MKO9" s="87"/>
      <c r="MKP9" s="87"/>
      <c r="MKQ9" s="87"/>
      <c r="MKR9" s="87"/>
      <c r="MKS9" s="87"/>
      <c r="MKT9" s="87"/>
      <c r="MKU9" s="87"/>
      <c r="MKV9" s="87"/>
      <c r="MKW9" s="87"/>
      <c r="MKX9" s="87"/>
      <c r="MKY9" s="87"/>
      <c r="MKZ9" s="87"/>
      <c r="MLA9" s="87"/>
      <c r="MLB9" s="87"/>
      <c r="MLC9" s="87"/>
      <c r="MLD9" s="87"/>
      <c r="MLE9" s="87"/>
      <c r="MLF9" s="87"/>
      <c r="MLG9" s="87"/>
      <c r="MLH9" s="87"/>
      <c r="MLI9" s="87"/>
      <c r="MLJ9" s="87"/>
      <c r="MLK9" s="87"/>
      <c r="MLL9" s="87"/>
      <c r="MLM9" s="87"/>
      <c r="MLN9" s="87"/>
      <c r="MLO9" s="87"/>
      <c r="MLP9" s="87"/>
      <c r="MLQ9" s="87"/>
      <c r="MLR9" s="87"/>
      <c r="MLS9" s="87"/>
      <c r="MLT9" s="87"/>
      <c r="MLU9" s="87"/>
      <c r="MLV9" s="87"/>
      <c r="MLW9" s="87"/>
      <c r="MLX9" s="87"/>
      <c r="MLY9" s="87"/>
      <c r="MLZ9" s="87"/>
      <c r="MMA9" s="87"/>
      <c r="MMB9" s="87"/>
      <c r="MMC9" s="87"/>
      <c r="MMD9" s="87"/>
      <c r="MME9" s="87"/>
      <c r="MMF9" s="87"/>
      <c r="MMG9" s="87"/>
      <c r="MMH9" s="87"/>
      <c r="MMI9" s="87"/>
      <c r="MMJ9" s="87"/>
      <c r="MMK9" s="87"/>
      <c r="MML9" s="87"/>
      <c r="MMM9" s="87"/>
      <c r="MMN9" s="87"/>
      <c r="MMO9" s="87"/>
      <c r="MMP9" s="87"/>
      <c r="MMQ9" s="87"/>
      <c r="MMR9" s="87"/>
      <c r="MMS9" s="87"/>
      <c r="MMT9" s="87"/>
      <c r="MMU9" s="87"/>
      <c r="MMV9" s="87"/>
      <c r="MMW9" s="87"/>
      <c r="MMX9" s="87"/>
      <c r="MMY9" s="87"/>
      <c r="MMZ9" s="87"/>
      <c r="MNA9" s="87"/>
      <c r="MNB9" s="87"/>
      <c r="MNC9" s="87"/>
      <c r="MND9" s="87"/>
      <c r="MNE9" s="87"/>
      <c r="MNF9" s="87"/>
      <c r="MNG9" s="87"/>
      <c r="MNH9" s="87"/>
      <c r="MNI9" s="87"/>
      <c r="MNJ9" s="87"/>
      <c r="MNK9" s="87"/>
      <c r="MNL9" s="87"/>
      <c r="MNM9" s="87"/>
      <c r="MNN9" s="87"/>
      <c r="MNO9" s="87"/>
      <c r="MNP9" s="87"/>
      <c r="MNQ9" s="87"/>
      <c r="MNR9" s="87"/>
      <c r="MNS9" s="87"/>
      <c r="MNT9" s="87"/>
      <c r="MNU9" s="87"/>
      <c r="MNV9" s="87"/>
      <c r="MNW9" s="87"/>
      <c r="MNX9" s="87"/>
      <c r="MNY9" s="87"/>
      <c r="MNZ9" s="87"/>
      <c r="MOA9" s="87"/>
      <c r="MOB9" s="87"/>
      <c r="MOC9" s="87"/>
      <c r="MOD9" s="87"/>
      <c r="MOE9" s="87"/>
      <c r="MOF9" s="87"/>
      <c r="MOG9" s="87"/>
      <c r="MOH9" s="87"/>
      <c r="MOI9" s="87"/>
      <c r="MOJ9" s="87"/>
      <c r="MOK9" s="87"/>
      <c r="MOL9" s="87"/>
      <c r="MOM9" s="87"/>
      <c r="MON9" s="87"/>
      <c r="MOO9" s="87"/>
      <c r="MOP9" s="87"/>
      <c r="MOQ9" s="87"/>
      <c r="MOR9" s="87"/>
      <c r="MOS9" s="87"/>
      <c r="MOT9" s="87"/>
      <c r="MOU9" s="87"/>
      <c r="MOV9" s="87"/>
      <c r="MOW9" s="87"/>
      <c r="MOX9" s="87"/>
      <c r="MOY9" s="87"/>
      <c r="MOZ9" s="87"/>
      <c r="MPA9" s="87"/>
      <c r="MPB9" s="87"/>
      <c r="MPC9" s="87"/>
      <c r="MPD9" s="87"/>
      <c r="MPE9" s="87"/>
      <c r="MPF9" s="87"/>
      <c r="MPG9" s="87"/>
      <c r="MPH9" s="87"/>
      <c r="MPI9" s="87"/>
      <c r="MPJ9" s="87"/>
      <c r="MPK9" s="87"/>
      <c r="MPL9" s="87"/>
      <c r="MPM9" s="87"/>
      <c r="MPN9" s="87"/>
      <c r="MPO9" s="87"/>
      <c r="MPP9" s="87"/>
      <c r="MPQ9" s="87"/>
      <c r="MPR9" s="87"/>
      <c r="MPS9" s="87"/>
      <c r="MPT9" s="87"/>
      <c r="MPU9" s="87"/>
      <c r="MPV9" s="87"/>
      <c r="MPW9" s="87"/>
      <c r="MPX9" s="87"/>
      <c r="MPY9" s="87"/>
      <c r="MPZ9" s="87"/>
      <c r="MQA9" s="87"/>
      <c r="MQB9" s="87"/>
      <c r="MQC9" s="87"/>
      <c r="MQD9" s="87"/>
      <c r="MQE9" s="87"/>
      <c r="MQF9" s="87"/>
      <c r="MQG9" s="87"/>
      <c r="MQH9" s="87"/>
      <c r="MQI9" s="87"/>
      <c r="MQJ9" s="87"/>
      <c r="MQK9" s="87"/>
      <c r="MQL9" s="87"/>
      <c r="MQM9" s="87"/>
      <c r="MQN9" s="87"/>
      <c r="MQO9" s="87"/>
      <c r="MQP9" s="87"/>
      <c r="MQQ9" s="87"/>
      <c r="MQR9" s="87"/>
      <c r="MQS9" s="87"/>
      <c r="MQT9" s="87"/>
      <c r="MQU9" s="87"/>
      <c r="MQV9" s="87"/>
      <c r="MQW9" s="87"/>
      <c r="MQX9" s="87"/>
      <c r="MQY9" s="87"/>
      <c r="MQZ9" s="87"/>
      <c r="MRA9" s="87"/>
      <c r="MRB9" s="87"/>
      <c r="MRC9" s="87"/>
      <c r="MRD9" s="87"/>
      <c r="MRE9" s="87"/>
      <c r="MRF9" s="87"/>
      <c r="MRG9" s="87"/>
      <c r="MRH9" s="87"/>
      <c r="MRI9" s="87"/>
      <c r="MRJ9" s="87"/>
      <c r="MRK9" s="87"/>
      <c r="MRL9" s="87"/>
      <c r="MRM9" s="87"/>
      <c r="MRN9" s="87"/>
      <c r="MRO9" s="87"/>
      <c r="MRP9" s="87"/>
      <c r="MRQ9" s="87"/>
      <c r="MRR9" s="87"/>
      <c r="MRS9" s="87"/>
      <c r="MRT9" s="87"/>
      <c r="MRU9" s="87"/>
      <c r="MRV9" s="87"/>
      <c r="MRW9" s="87"/>
      <c r="MRX9" s="87"/>
      <c r="MRY9" s="87"/>
      <c r="MRZ9" s="87"/>
      <c r="MSA9" s="87"/>
      <c r="MSB9" s="87"/>
      <c r="MSC9" s="87"/>
      <c r="MSD9" s="87"/>
      <c r="MSE9" s="87"/>
      <c r="MSF9" s="87"/>
      <c r="MSG9" s="87"/>
      <c r="MSH9" s="87"/>
      <c r="MSI9" s="87"/>
      <c r="MSJ9" s="87"/>
      <c r="MSK9" s="87"/>
      <c r="MSL9" s="87"/>
      <c r="MSM9" s="87"/>
      <c r="MSN9" s="87"/>
      <c r="MSO9" s="87"/>
      <c r="MSP9" s="87"/>
      <c r="MSQ9" s="87"/>
      <c r="MSR9" s="87"/>
      <c r="MSS9" s="87"/>
      <c r="MST9" s="87"/>
      <c r="MSU9" s="87"/>
      <c r="MSV9" s="87"/>
      <c r="MSW9" s="87"/>
      <c r="MSX9" s="87"/>
      <c r="MSY9" s="87"/>
      <c r="MSZ9" s="87"/>
      <c r="MTA9" s="87"/>
      <c r="MTB9" s="87"/>
      <c r="MTC9" s="87"/>
      <c r="MTD9" s="87"/>
      <c r="MTE9" s="87"/>
      <c r="MTF9" s="87"/>
      <c r="MTG9" s="87"/>
      <c r="MTH9" s="87"/>
      <c r="MTI9" s="87"/>
      <c r="MTJ9" s="87"/>
      <c r="MTK9" s="87"/>
      <c r="MTL9" s="87"/>
      <c r="MTM9" s="87"/>
      <c r="MTN9" s="87"/>
      <c r="MTO9" s="87"/>
      <c r="MTP9" s="87"/>
      <c r="MTQ9" s="87"/>
      <c r="MTR9" s="87"/>
      <c r="MTS9" s="87"/>
      <c r="MTT9" s="87"/>
      <c r="MTU9" s="87"/>
      <c r="MTV9" s="87"/>
      <c r="MTW9" s="87"/>
      <c r="MTX9" s="87"/>
      <c r="MTY9" s="87"/>
      <c r="MTZ9" s="87"/>
      <c r="MUA9" s="87"/>
      <c r="MUB9" s="87"/>
      <c r="MUC9" s="87"/>
      <c r="MUD9" s="87"/>
      <c r="MUE9" s="87"/>
      <c r="MUF9" s="87"/>
      <c r="MUG9" s="87"/>
      <c r="MUH9" s="87"/>
      <c r="MUI9" s="87"/>
      <c r="MUJ9" s="87"/>
      <c r="MUK9" s="87"/>
      <c r="MUL9" s="87"/>
      <c r="MUM9" s="87"/>
      <c r="MUN9" s="87"/>
      <c r="MUO9" s="87"/>
      <c r="MUP9" s="87"/>
      <c r="MUQ9" s="87"/>
      <c r="MUR9" s="87"/>
      <c r="MUS9" s="87"/>
      <c r="MUT9" s="87"/>
      <c r="MUU9" s="87"/>
      <c r="MUV9" s="87"/>
      <c r="MUW9" s="87"/>
      <c r="MUX9" s="87"/>
      <c r="MUY9" s="87"/>
      <c r="MUZ9" s="87"/>
      <c r="MVA9" s="87"/>
      <c r="MVB9" s="87"/>
      <c r="MVC9" s="87"/>
      <c r="MVD9" s="87"/>
      <c r="MVE9" s="87"/>
      <c r="MVF9" s="87"/>
      <c r="MVG9" s="87"/>
      <c r="MVH9" s="87"/>
      <c r="MVI9" s="87"/>
      <c r="MVJ9" s="87"/>
      <c r="MVK9" s="87"/>
      <c r="MVL9" s="87"/>
      <c r="MVM9" s="87"/>
      <c r="MVN9" s="87"/>
      <c r="MVO9" s="87"/>
      <c r="MVP9" s="87"/>
      <c r="MVQ9" s="87"/>
      <c r="MVR9" s="87"/>
      <c r="MVS9" s="87"/>
      <c r="MVT9" s="87"/>
      <c r="MVU9" s="87"/>
      <c r="MVV9" s="87"/>
      <c r="MVW9" s="87"/>
      <c r="MVX9" s="87"/>
      <c r="MVY9" s="87"/>
      <c r="MVZ9" s="87"/>
      <c r="MWA9" s="87"/>
      <c r="MWB9" s="87"/>
      <c r="MWC9" s="87"/>
      <c r="MWD9" s="87"/>
      <c r="MWE9" s="87"/>
      <c r="MWF9" s="87"/>
      <c r="MWG9" s="87"/>
      <c r="MWH9" s="87"/>
      <c r="MWI9" s="87"/>
      <c r="MWJ9" s="87"/>
      <c r="MWK9" s="87"/>
      <c r="MWL9" s="87"/>
      <c r="MWM9" s="87"/>
      <c r="MWN9" s="87"/>
      <c r="MWO9" s="87"/>
      <c r="MWP9" s="87"/>
      <c r="MWQ9" s="87"/>
      <c r="MWR9" s="87"/>
      <c r="MWS9" s="87"/>
      <c r="MWT9" s="87"/>
      <c r="MWU9" s="87"/>
      <c r="MWV9" s="87"/>
      <c r="MWW9" s="87"/>
      <c r="MWX9" s="87"/>
      <c r="MWY9" s="87"/>
      <c r="MWZ9" s="87"/>
      <c r="MXA9" s="87"/>
      <c r="MXB9" s="87"/>
      <c r="MXC9" s="87"/>
      <c r="MXD9" s="87"/>
      <c r="MXE9" s="87"/>
      <c r="MXF9" s="87"/>
      <c r="MXG9" s="87"/>
      <c r="MXH9" s="87"/>
      <c r="MXI9" s="87"/>
      <c r="MXJ9" s="87"/>
      <c r="MXK9" s="87"/>
      <c r="MXL9" s="87"/>
      <c r="MXM9" s="87"/>
      <c r="MXN9" s="87"/>
      <c r="MXO9" s="87"/>
      <c r="MXP9" s="87"/>
      <c r="MXQ9" s="87"/>
      <c r="MXR9" s="87"/>
      <c r="MXS9" s="87"/>
      <c r="MXT9" s="87"/>
      <c r="MXU9" s="87"/>
      <c r="MXV9" s="87"/>
      <c r="MXW9" s="87"/>
      <c r="MXX9" s="87"/>
      <c r="MXY9" s="87"/>
      <c r="MXZ9" s="87"/>
      <c r="MYA9" s="87"/>
      <c r="MYB9" s="87"/>
      <c r="MYC9" s="87"/>
      <c r="MYD9" s="87"/>
      <c r="MYE9" s="87"/>
      <c r="MYF9" s="87"/>
      <c r="MYG9" s="87"/>
      <c r="MYH9" s="87"/>
      <c r="MYI9" s="87"/>
      <c r="MYJ9" s="87"/>
      <c r="MYK9" s="87"/>
      <c r="MYL9" s="87"/>
      <c r="MYM9" s="87"/>
      <c r="MYN9" s="87"/>
      <c r="MYO9" s="87"/>
      <c r="MYP9" s="87"/>
      <c r="MYQ9" s="87"/>
      <c r="MYR9" s="87"/>
      <c r="MYS9" s="87"/>
      <c r="MYT9" s="87"/>
      <c r="MYU9" s="87"/>
      <c r="MYV9" s="87"/>
      <c r="MYW9" s="87"/>
      <c r="MYX9" s="87"/>
      <c r="MYY9" s="87"/>
      <c r="MYZ9" s="87"/>
      <c r="MZA9" s="87"/>
      <c r="MZB9" s="87"/>
      <c r="MZC9" s="87"/>
      <c r="MZD9" s="87"/>
      <c r="MZE9" s="87"/>
      <c r="MZF9" s="87"/>
      <c r="MZG9" s="87"/>
      <c r="MZH9" s="87"/>
      <c r="MZI9" s="87"/>
      <c r="MZJ9" s="87"/>
      <c r="MZK9" s="87"/>
      <c r="MZL9" s="87"/>
      <c r="MZM9" s="87"/>
      <c r="MZN9" s="87"/>
      <c r="MZO9" s="87"/>
      <c r="MZP9" s="87"/>
      <c r="MZQ9" s="87"/>
      <c r="MZR9" s="87"/>
      <c r="MZS9" s="87"/>
      <c r="MZT9" s="87"/>
      <c r="MZU9" s="87"/>
      <c r="MZV9" s="87"/>
      <c r="MZW9" s="87"/>
      <c r="MZX9" s="87"/>
      <c r="MZY9" s="87"/>
      <c r="MZZ9" s="87"/>
      <c r="NAA9" s="87"/>
      <c r="NAB9" s="87"/>
      <c r="NAC9" s="87"/>
      <c r="NAD9" s="87"/>
      <c r="NAE9" s="87"/>
      <c r="NAF9" s="87"/>
      <c r="NAG9" s="87"/>
      <c r="NAH9" s="87"/>
      <c r="NAI9" s="87"/>
      <c r="NAJ9" s="87"/>
      <c r="NAK9" s="87"/>
      <c r="NAL9" s="87"/>
      <c r="NAM9" s="87"/>
      <c r="NAN9" s="87"/>
      <c r="NAO9" s="87"/>
      <c r="NAP9" s="87"/>
      <c r="NAQ9" s="87"/>
      <c r="NAR9" s="87"/>
      <c r="NAS9" s="87"/>
      <c r="NAT9" s="87"/>
      <c r="NAU9" s="87"/>
      <c r="NAV9" s="87"/>
      <c r="NAW9" s="87"/>
      <c r="NAX9" s="87"/>
      <c r="NAY9" s="87"/>
      <c r="NAZ9" s="87"/>
      <c r="NBA9" s="87"/>
      <c r="NBB9" s="87"/>
      <c r="NBC9" s="87"/>
      <c r="NBD9" s="87"/>
      <c r="NBE9" s="87"/>
      <c r="NBF9" s="87"/>
      <c r="NBG9" s="87"/>
      <c r="NBH9" s="87"/>
      <c r="NBI9" s="87"/>
      <c r="NBJ9" s="87"/>
      <c r="NBK9" s="87"/>
      <c r="NBL9" s="87"/>
      <c r="NBM9" s="87"/>
      <c r="NBN9" s="87"/>
      <c r="NBO9" s="87"/>
      <c r="NBP9" s="87"/>
      <c r="NBQ9" s="87"/>
      <c r="NBR9" s="87"/>
      <c r="NBS9" s="87"/>
      <c r="NBT9" s="87"/>
      <c r="NBU9" s="87"/>
      <c r="NBV9" s="87"/>
      <c r="NBW9" s="87"/>
      <c r="NBX9" s="87"/>
      <c r="NBY9" s="87"/>
      <c r="NBZ9" s="87"/>
      <c r="NCA9" s="87"/>
      <c r="NCB9" s="87"/>
      <c r="NCC9" s="87"/>
      <c r="NCD9" s="87"/>
      <c r="NCE9" s="87"/>
      <c r="NCF9" s="87"/>
      <c r="NCG9" s="87"/>
      <c r="NCH9" s="87"/>
      <c r="NCI9" s="87"/>
      <c r="NCJ9" s="87"/>
      <c r="NCK9" s="87"/>
      <c r="NCL9" s="87"/>
      <c r="NCM9" s="87"/>
      <c r="NCN9" s="87"/>
      <c r="NCO9" s="87"/>
      <c r="NCP9" s="87"/>
      <c r="NCQ9" s="87"/>
      <c r="NCR9" s="87"/>
      <c r="NCS9" s="87"/>
      <c r="NCT9" s="87"/>
      <c r="NCU9" s="87"/>
      <c r="NCV9" s="87"/>
      <c r="NCW9" s="87"/>
      <c r="NCX9" s="87"/>
      <c r="NCY9" s="87"/>
      <c r="NCZ9" s="87"/>
      <c r="NDA9" s="87"/>
      <c r="NDB9" s="87"/>
      <c r="NDC9" s="87"/>
      <c r="NDD9" s="87"/>
      <c r="NDE9" s="87"/>
      <c r="NDF9" s="87"/>
      <c r="NDG9" s="87"/>
      <c r="NDH9" s="87"/>
      <c r="NDI9" s="87"/>
      <c r="NDJ9" s="87"/>
      <c r="NDK9" s="87"/>
      <c r="NDL9" s="87"/>
      <c r="NDM9" s="87"/>
      <c r="NDN9" s="87"/>
      <c r="NDO9" s="87"/>
      <c r="NDP9" s="87"/>
      <c r="NDQ9" s="87"/>
      <c r="NDR9" s="87"/>
      <c r="NDS9" s="87"/>
      <c r="NDT9" s="87"/>
      <c r="NDU9" s="87"/>
      <c r="NDV9" s="87"/>
      <c r="NDW9" s="87"/>
      <c r="NDX9" s="87"/>
      <c r="NDY9" s="87"/>
      <c r="NDZ9" s="87"/>
      <c r="NEA9" s="87"/>
      <c r="NEB9" s="87"/>
      <c r="NEC9" s="87"/>
      <c r="NED9" s="87"/>
      <c r="NEE9" s="87"/>
      <c r="NEF9" s="87"/>
      <c r="NEG9" s="87"/>
      <c r="NEH9" s="87"/>
      <c r="NEI9" s="87"/>
      <c r="NEJ9" s="87"/>
      <c r="NEK9" s="87"/>
      <c r="NEL9" s="87"/>
      <c r="NEM9" s="87"/>
      <c r="NEN9" s="87"/>
      <c r="NEO9" s="87"/>
      <c r="NEP9" s="87"/>
      <c r="NEQ9" s="87"/>
      <c r="NER9" s="87"/>
      <c r="NES9" s="87"/>
      <c r="NET9" s="87"/>
      <c r="NEU9" s="87"/>
      <c r="NEV9" s="87"/>
      <c r="NEW9" s="87"/>
      <c r="NEX9" s="87"/>
      <c r="NEY9" s="87"/>
      <c r="NEZ9" s="87"/>
      <c r="NFA9" s="87"/>
      <c r="NFB9" s="87"/>
      <c r="NFC9" s="87"/>
      <c r="NFD9" s="87"/>
      <c r="NFE9" s="87"/>
      <c r="NFF9" s="87"/>
      <c r="NFG9" s="87"/>
      <c r="NFH9" s="87"/>
      <c r="NFI9" s="87"/>
      <c r="NFJ9" s="87"/>
      <c r="NFK9" s="87"/>
      <c r="NFL9" s="87"/>
      <c r="NFM9" s="87"/>
      <c r="NFN9" s="87"/>
      <c r="NFO9" s="87"/>
      <c r="NFP9" s="87"/>
      <c r="NFQ9" s="87"/>
      <c r="NFR9" s="87"/>
      <c r="NFS9" s="87"/>
      <c r="NFT9" s="87"/>
      <c r="NFU9" s="87"/>
      <c r="NFV9" s="87"/>
      <c r="NFW9" s="87"/>
      <c r="NFX9" s="87"/>
      <c r="NFY9" s="87"/>
      <c r="NFZ9" s="87"/>
      <c r="NGA9" s="87"/>
      <c r="NGB9" s="87"/>
      <c r="NGC9" s="87"/>
      <c r="NGD9" s="87"/>
      <c r="NGE9" s="87"/>
      <c r="NGF9" s="87"/>
      <c r="NGG9" s="87"/>
      <c r="NGH9" s="87"/>
      <c r="NGI9" s="87"/>
      <c r="NGJ9" s="87"/>
      <c r="NGK9" s="87"/>
      <c r="NGL9" s="87"/>
      <c r="NGM9" s="87"/>
      <c r="NGN9" s="87"/>
      <c r="NGO9" s="87"/>
      <c r="NGP9" s="87"/>
      <c r="NGQ9" s="87"/>
      <c r="NGR9" s="87"/>
      <c r="NGS9" s="87"/>
      <c r="NGT9" s="87"/>
      <c r="NGU9" s="87"/>
      <c r="NGV9" s="87"/>
      <c r="NGW9" s="87"/>
      <c r="NGX9" s="87"/>
      <c r="NGY9" s="87"/>
      <c r="NGZ9" s="87"/>
      <c r="NHA9" s="87"/>
      <c r="NHB9" s="87"/>
      <c r="NHC9" s="87"/>
      <c r="NHD9" s="87"/>
      <c r="NHE9" s="87"/>
      <c r="NHF9" s="87"/>
      <c r="NHG9" s="87"/>
      <c r="NHH9" s="87"/>
      <c r="NHI9" s="87"/>
      <c r="NHJ9" s="87"/>
      <c r="NHK9" s="87"/>
      <c r="NHL9" s="87"/>
      <c r="NHM9" s="87"/>
      <c r="NHN9" s="87"/>
      <c r="NHO9" s="87"/>
      <c r="NHP9" s="87"/>
      <c r="NHQ9" s="87"/>
      <c r="NHR9" s="87"/>
      <c r="NHS9" s="87"/>
      <c r="NHT9" s="87"/>
      <c r="NHU9" s="87"/>
      <c r="NHV9" s="87"/>
      <c r="NHW9" s="87"/>
      <c r="NHX9" s="87"/>
      <c r="NHY9" s="87"/>
      <c r="NHZ9" s="87"/>
      <c r="NIA9" s="87"/>
      <c r="NIB9" s="87"/>
      <c r="NIC9" s="87"/>
      <c r="NID9" s="87"/>
      <c r="NIE9" s="87"/>
      <c r="NIF9" s="87"/>
      <c r="NIG9" s="87"/>
      <c r="NIH9" s="87"/>
      <c r="NII9" s="87"/>
      <c r="NIJ9" s="87"/>
      <c r="NIK9" s="87"/>
      <c r="NIL9" s="87"/>
      <c r="NIM9" s="87"/>
      <c r="NIN9" s="87"/>
      <c r="NIO9" s="87"/>
      <c r="NIP9" s="87"/>
      <c r="NIQ9" s="87"/>
      <c r="NIR9" s="87"/>
      <c r="NIS9" s="87"/>
      <c r="NIT9" s="87"/>
      <c r="NIU9" s="87"/>
      <c r="NIV9" s="87"/>
      <c r="NIW9" s="87"/>
      <c r="NIX9" s="87"/>
      <c r="NIY9" s="87"/>
      <c r="NIZ9" s="87"/>
      <c r="NJA9" s="87"/>
      <c r="NJB9" s="87"/>
      <c r="NJC9" s="87"/>
      <c r="NJD9" s="87"/>
      <c r="NJE9" s="87"/>
      <c r="NJF9" s="87"/>
      <c r="NJG9" s="87"/>
      <c r="NJH9" s="87"/>
      <c r="NJI9" s="87"/>
      <c r="NJJ9" s="87"/>
      <c r="NJK9" s="87"/>
      <c r="NJL9" s="87"/>
      <c r="NJM9" s="87"/>
      <c r="NJN9" s="87"/>
      <c r="NJO9" s="87"/>
      <c r="NJP9" s="87"/>
      <c r="NJQ9" s="87"/>
      <c r="NJR9" s="87"/>
      <c r="NJS9" s="87"/>
      <c r="NJT9" s="87"/>
      <c r="NJU9" s="87"/>
      <c r="NJV9" s="87"/>
      <c r="NJW9" s="87"/>
      <c r="NJX9" s="87"/>
      <c r="NJY9" s="87"/>
      <c r="NJZ9" s="87"/>
      <c r="NKA9" s="87"/>
      <c r="NKB9" s="87"/>
      <c r="NKC9" s="87"/>
      <c r="NKD9" s="87"/>
      <c r="NKE9" s="87"/>
      <c r="NKF9" s="87"/>
      <c r="NKG9" s="87"/>
      <c r="NKH9" s="87"/>
      <c r="NKI9" s="87"/>
      <c r="NKJ9" s="87"/>
      <c r="NKK9" s="87"/>
      <c r="NKL9" s="87"/>
      <c r="NKM9" s="87"/>
      <c r="NKN9" s="87"/>
      <c r="NKO9" s="87"/>
      <c r="NKP9" s="87"/>
      <c r="NKQ9" s="87"/>
      <c r="NKR9" s="87"/>
      <c r="NKS9" s="87"/>
      <c r="NKT9" s="87"/>
      <c r="NKU9" s="87"/>
      <c r="NKV9" s="87"/>
      <c r="NKW9" s="87"/>
      <c r="NKX9" s="87"/>
      <c r="NKY9" s="87"/>
      <c r="NKZ9" s="87"/>
      <c r="NLA9" s="87"/>
      <c r="NLB9" s="87"/>
      <c r="NLC9" s="87"/>
      <c r="NLD9" s="87"/>
      <c r="NLE9" s="87"/>
      <c r="NLF9" s="87"/>
      <c r="NLG9" s="87"/>
      <c r="NLH9" s="87"/>
      <c r="NLI9" s="87"/>
      <c r="NLJ9" s="87"/>
      <c r="NLK9" s="87"/>
      <c r="NLL9" s="87"/>
      <c r="NLM9" s="87"/>
      <c r="NLN9" s="87"/>
      <c r="NLO9" s="87"/>
      <c r="NLP9" s="87"/>
      <c r="NLQ9" s="87"/>
      <c r="NLR9" s="87"/>
      <c r="NLS9" s="87"/>
      <c r="NLT9" s="87"/>
      <c r="NLU9" s="87"/>
      <c r="NLV9" s="87"/>
      <c r="NLW9" s="87"/>
      <c r="NLX9" s="87"/>
      <c r="NLY9" s="87"/>
      <c r="NLZ9" s="87"/>
      <c r="NMA9" s="87"/>
      <c r="NMB9" s="87"/>
      <c r="NMC9" s="87"/>
      <c r="NMD9" s="87"/>
      <c r="NME9" s="87"/>
      <c r="NMF9" s="87"/>
      <c r="NMG9" s="87"/>
      <c r="NMH9" s="87"/>
      <c r="NMI9" s="87"/>
      <c r="NMJ9" s="87"/>
      <c r="NMK9" s="87"/>
      <c r="NML9" s="87"/>
      <c r="NMM9" s="87"/>
      <c r="NMN9" s="87"/>
      <c r="NMO9" s="87"/>
      <c r="NMP9" s="87"/>
      <c r="NMQ9" s="87"/>
      <c r="NMR9" s="87"/>
      <c r="NMS9" s="87"/>
      <c r="NMT9" s="87"/>
      <c r="NMU9" s="87"/>
      <c r="NMV9" s="87"/>
      <c r="NMW9" s="87"/>
      <c r="NMX9" s="87"/>
      <c r="NMY9" s="87"/>
      <c r="NMZ9" s="87"/>
      <c r="NNA9" s="87"/>
      <c r="NNB9" s="87"/>
      <c r="NNC9" s="87"/>
      <c r="NND9" s="87"/>
      <c r="NNE9" s="87"/>
      <c r="NNF9" s="87"/>
      <c r="NNG9" s="87"/>
      <c r="NNH9" s="87"/>
      <c r="NNI9" s="87"/>
      <c r="NNJ9" s="87"/>
      <c r="NNK9" s="87"/>
      <c r="NNL9" s="87"/>
      <c r="NNM9" s="87"/>
      <c r="NNN9" s="87"/>
      <c r="NNO9" s="87"/>
      <c r="NNP9" s="87"/>
      <c r="NNQ9" s="87"/>
      <c r="NNR9" s="87"/>
      <c r="NNS9" s="87"/>
      <c r="NNT9" s="87"/>
      <c r="NNU9" s="87"/>
      <c r="NNV9" s="87"/>
      <c r="NNW9" s="87"/>
      <c r="NNX9" s="87"/>
      <c r="NNY9" s="87"/>
      <c r="NNZ9" s="87"/>
      <c r="NOA9" s="87"/>
      <c r="NOB9" s="87"/>
      <c r="NOC9" s="87"/>
      <c r="NOD9" s="87"/>
      <c r="NOE9" s="87"/>
      <c r="NOF9" s="87"/>
      <c r="NOG9" s="87"/>
      <c r="NOH9" s="87"/>
      <c r="NOI9" s="87"/>
      <c r="NOJ9" s="87"/>
      <c r="NOK9" s="87"/>
      <c r="NOL9" s="87"/>
      <c r="NOM9" s="87"/>
      <c r="NON9" s="87"/>
      <c r="NOO9" s="87"/>
      <c r="NOP9" s="87"/>
      <c r="NOQ9" s="87"/>
      <c r="NOR9" s="87"/>
      <c r="NOS9" s="87"/>
      <c r="NOT9" s="87"/>
      <c r="NOU9" s="87"/>
      <c r="NOV9" s="87"/>
      <c r="NOW9" s="87"/>
      <c r="NOX9" s="87"/>
      <c r="NOY9" s="87"/>
      <c r="NOZ9" s="87"/>
      <c r="NPA9" s="87"/>
      <c r="NPB9" s="87"/>
      <c r="NPC9" s="87"/>
      <c r="NPD9" s="87"/>
      <c r="NPE9" s="87"/>
      <c r="NPF9" s="87"/>
      <c r="NPG9" s="87"/>
      <c r="NPH9" s="87"/>
      <c r="NPI9" s="87"/>
      <c r="NPJ9" s="87"/>
      <c r="NPK9" s="87"/>
      <c r="NPL9" s="87"/>
      <c r="NPM9" s="87"/>
      <c r="NPN9" s="87"/>
      <c r="NPO9" s="87"/>
      <c r="NPP9" s="87"/>
      <c r="NPQ9" s="87"/>
      <c r="NPR9" s="87"/>
      <c r="NPS9" s="87"/>
      <c r="NPT9" s="87"/>
      <c r="NPU9" s="87"/>
      <c r="NPV9" s="87"/>
      <c r="NPW9" s="87"/>
      <c r="NPX9" s="87"/>
      <c r="NPY9" s="87"/>
      <c r="NPZ9" s="87"/>
      <c r="NQA9" s="87"/>
      <c r="NQB9" s="87"/>
      <c r="NQC9" s="87"/>
      <c r="NQD9" s="87"/>
      <c r="NQE9" s="87"/>
      <c r="NQF9" s="87"/>
      <c r="NQG9" s="87"/>
      <c r="NQH9" s="87"/>
      <c r="NQI9" s="87"/>
      <c r="NQJ9" s="87"/>
      <c r="NQK9" s="87"/>
      <c r="NQL9" s="87"/>
      <c r="NQM9" s="87"/>
      <c r="NQN9" s="87"/>
      <c r="NQO9" s="87"/>
      <c r="NQP9" s="87"/>
      <c r="NQQ9" s="87"/>
      <c r="NQR9" s="87"/>
      <c r="NQS9" s="87"/>
      <c r="NQT9" s="87"/>
      <c r="NQU9" s="87"/>
      <c r="NQV9" s="87"/>
      <c r="NQW9" s="87"/>
      <c r="NQX9" s="87"/>
      <c r="NQY9" s="87"/>
      <c r="NQZ9" s="87"/>
      <c r="NRA9" s="87"/>
      <c r="NRB9" s="87"/>
      <c r="NRC9" s="87"/>
      <c r="NRD9" s="87"/>
      <c r="NRE9" s="87"/>
      <c r="NRF9" s="87"/>
      <c r="NRG9" s="87"/>
      <c r="NRH9" s="87"/>
      <c r="NRI9" s="87"/>
      <c r="NRJ9" s="87"/>
      <c r="NRK9" s="87"/>
      <c r="NRL9" s="87"/>
      <c r="NRM9" s="87"/>
      <c r="NRN9" s="87"/>
      <c r="NRO9" s="87"/>
      <c r="NRP9" s="87"/>
      <c r="NRQ9" s="87"/>
      <c r="NRR9" s="87"/>
      <c r="NRS9" s="87"/>
      <c r="NRT9" s="87"/>
      <c r="NRU9" s="87"/>
      <c r="NRV9" s="87"/>
      <c r="NRW9" s="87"/>
      <c r="NRX9" s="87"/>
      <c r="NRY9" s="87"/>
      <c r="NRZ9" s="87"/>
      <c r="NSA9" s="87"/>
      <c r="NSB9" s="87"/>
      <c r="NSC9" s="87"/>
      <c r="NSD9" s="87"/>
      <c r="NSE9" s="87"/>
      <c r="NSF9" s="87"/>
      <c r="NSG9" s="87"/>
      <c r="NSH9" s="87"/>
      <c r="NSI9" s="87"/>
      <c r="NSJ9" s="87"/>
      <c r="NSK9" s="87"/>
      <c r="NSL9" s="87"/>
      <c r="NSM9" s="87"/>
      <c r="NSN9" s="87"/>
      <c r="NSO9" s="87"/>
      <c r="NSP9" s="87"/>
      <c r="NSQ9" s="87"/>
      <c r="NSR9" s="87"/>
      <c r="NSS9" s="87"/>
      <c r="NST9" s="87"/>
      <c r="NSU9" s="87"/>
      <c r="NSV9" s="87"/>
      <c r="NSW9" s="87"/>
      <c r="NSX9" s="87"/>
      <c r="NSY9" s="87"/>
      <c r="NSZ9" s="87"/>
      <c r="NTA9" s="87"/>
      <c r="NTB9" s="87"/>
      <c r="NTC9" s="87"/>
      <c r="NTD9" s="87"/>
      <c r="NTE9" s="87"/>
      <c r="NTF9" s="87"/>
      <c r="NTG9" s="87"/>
      <c r="NTH9" s="87"/>
      <c r="NTI9" s="87"/>
      <c r="NTJ9" s="87"/>
      <c r="NTK9" s="87"/>
      <c r="NTL9" s="87"/>
      <c r="NTM9" s="87"/>
      <c r="NTN9" s="87"/>
      <c r="NTO9" s="87"/>
      <c r="NTP9" s="87"/>
      <c r="NTQ9" s="87"/>
      <c r="NTR9" s="87"/>
      <c r="NTS9" s="87"/>
      <c r="NTT9" s="87"/>
      <c r="NTU9" s="87"/>
      <c r="NTV9" s="87"/>
      <c r="NTW9" s="87"/>
      <c r="NTX9" s="87"/>
      <c r="NTY9" s="87"/>
      <c r="NTZ9" s="87"/>
      <c r="NUA9" s="87"/>
      <c r="NUB9" s="87"/>
      <c r="NUC9" s="87"/>
      <c r="NUD9" s="87"/>
      <c r="NUE9" s="87"/>
      <c r="NUF9" s="87"/>
      <c r="NUG9" s="87"/>
      <c r="NUH9" s="87"/>
      <c r="NUI9" s="87"/>
      <c r="NUJ9" s="87"/>
      <c r="NUK9" s="87"/>
      <c r="NUL9" s="87"/>
      <c r="NUM9" s="87"/>
      <c r="NUN9" s="87"/>
      <c r="NUO9" s="87"/>
      <c r="NUP9" s="87"/>
      <c r="NUQ9" s="87"/>
      <c r="NUR9" s="87"/>
      <c r="NUS9" s="87"/>
      <c r="NUT9" s="87"/>
      <c r="NUU9" s="87"/>
      <c r="NUV9" s="87"/>
      <c r="NUW9" s="87"/>
      <c r="NUX9" s="87"/>
      <c r="NUY9" s="87"/>
      <c r="NUZ9" s="87"/>
      <c r="NVA9" s="87"/>
      <c r="NVB9" s="87"/>
      <c r="NVC9" s="87"/>
      <c r="NVD9" s="87"/>
      <c r="NVE9" s="87"/>
      <c r="NVF9" s="87"/>
      <c r="NVG9" s="87"/>
      <c r="NVH9" s="87"/>
      <c r="NVI9" s="87"/>
      <c r="NVJ9" s="87"/>
      <c r="NVK9" s="87"/>
      <c r="NVL9" s="87"/>
      <c r="NVM9" s="87"/>
      <c r="NVN9" s="87"/>
      <c r="NVO9" s="87"/>
      <c r="NVP9" s="87"/>
      <c r="NVQ9" s="87"/>
      <c r="NVR9" s="87"/>
      <c r="NVS9" s="87"/>
      <c r="NVT9" s="87"/>
      <c r="NVU9" s="87"/>
      <c r="NVV9" s="87"/>
      <c r="NVW9" s="87"/>
      <c r="NVX9" s="87"/>
      <c r="NVY9" s="87"/>
      <c r="NVZ9" s="87"/>
      <c r="NWA9" s="87"/>
      <c r="NWB9" s="87"/>
      <c r="NWC9" s="87"/>
      <c r="NWD9" s="87"/>
      <c r="NWE9" s="87"/>
      <c r="NWF9" s="87"/>
      <c r="NWG9" s="87"/>
      <c r="NWH9" s="87"/>
      <c r="NWI9" s="87"/>
      <c r="NWJ9" s="87"/>
      <c r="NWK9" s="87"/>
      <c r="NWL9" s="87"/>
      <c r="NWM9" s="87"/>
      <c r="NWN9" s="87"/>
      <c r="NWO9" s="87"/>
      <c r="NWP9" s="87"/>
      <c r="NWQ9" s="87"/>
      <c r="NWR9" s="87"/>
      <c r="NWS9" s="87"/>
      <c r="NWT9" s="87"/>
      <c r="NWU9" s="87"/>
      <c r="NWV9" s="87"/>
      <c r="NWW9" s="87"/>
      <c r="NWX9" s="87"/>
      <c r="NWY9" s="87"/>
      <c r="NWZ9" s="87"/>
      <c r="NXA9" s="87"/>
      <c r="NXB9" s="87"/>
      <c r="NXC9" s="87"/>
      <c r="NXD9" s="87"/>
      <c r="NXE9" s="87"/>
      <c r="NXF9" s="87"/>
      <c r="NXG9" s="87"/>
      <c r="NXH9" s="87"/>
      <c r="NXI9" s="87"/>
      <c r="NXJ9" s="87"/>
      <c r="NXK9" s="87"/>
      <c r="NXL9" s="87"/>
      <c r="NXM9" s="87"/>
      <c r="NXN9" s="87"/>
      <c r="NXO9" s="87"/>
      <c r="NXP9" s="87"/>
      <c r="NXQ9" s="87"/>
      <c r="NXR9" s="87"/>
      <c r="NXS9" s="87"/>
      <c r="NXT9" s="87"/>
      <c r="NXU9" s="87"/>
      <c r="NXV9" s="87"/>
      <c r="NXW9" s="87"/>
      <c r="NXX9" s="87"/>
      <c r="NXY9" s="87"/>
      <c r="NXZ9" s="87"/>
      <c r="NYA9" s="87"/>
      <c r="NYB9" s="87"/>
      <c r="NYC9" s="87"/>
      <c r="NYD9" s="87"/>
      <c r="NYE9" s="87"/>
      <c r="NYF9" s="87"/>
      <c r="NYG9" s="87"/>
      <c r="NYH9" s="87"/>
      <c r="NYI9" s="87"/>
      <c r="NYJ9" s="87"/>
      <c r="NYK9" s="87"/>
      <c r="NYL9" s="87"/>
      <c r="NYM9" s="87"/>
      <c r="NYN9" s="87"/>
      <c r="NYO9" s="87"/>
      <c r="NYP9" s="87"/>
      <c r="NYQ9" s="87"/>
      <c r="NYR9" s="87"/>
      <c r="NYS9" s="87"/>
      <c r="NYT9" s="87"/>
      <c r="NYU9" s="87"/>
      <c r="NYV9" s="87"/>
      <c r="NYW9" s="87"/>
      <c r="NYX9" s="87"/>
      <c r="NYY9" s="87"/>
      <c r="NYZ9" s="87"/>
      <c r="NZA9" s="87"/>
      <c r="NZB9" s="87"/>
      <c r="NZC9" s="87"/>
      <c r="NZD9" s="87"/>
      <c r="NZE9" s="87"/>
      <c r="NZF9" s="87"/>
      <c r="NZG9" s="87"/>
      <c r="NZH9" s="87"/>
      <c r="NZI9" s="87"/>
      <c r="NZJ9" s="87"/>
      <c r="NZK9" s="87"/>
      <c r="NZL9" s="87"/>
      <c r="NZM9" s="87"/>
      <c r="NZN9" s="87"/>
      <c r="NZO9" s="87"/>
      <c r="NZP9" s="87"/>
      <c r="NZQ9" s="87"/>
      <c r="NZR9" s="87"/>
      <c r="NZS9" s="87"/>
      <c r="NZT9" s="87"/>
      <c r="NZU9" s="87"/>
      <c r="NZV9" s="87"/>
      <c r="NZW9" s="87"/>
      <c r="NZX9" s="87"/>
      <c r="NZY9" s="87"/>
      <c r="NZZ9" s="87"/>
      <c r="OAA9" s="87"/>
      <c r="OAB9" s="87"/>
      <c r="OAC9" s="87"/>
      <c r="OAD9" s="87"/>
      <c r="OAE9" s="87"/>
      <c r="OAF9" s="87"/>
      <c r="OAG9" s="87"/>
      <c r="OAH9" s="87"/>
      <c r="OAI9" s="87"/>
      <c r="OAJ9" s="87"/>
      <c r="OAK9" s="87"/>
      <c r="OAL9" s="87"/>
      <c r="OAM9" s="87"/>
      <c r="OAN9" s="87"/>
      <c r="OAO9" s="87"/>
      <c r="OAP9" s="87"/>
      <c r="OAQ9" s="87"/>
      <c r="OAR9" s="87"/>
      <c r="OAS9" s="87"/>
      <c r="OAT9" s="87"/>
      <c r="OAU9" s="87"/>
      <c r="OAV9" s="87"/>
      <c r="OAW9" s="87"/>
      <c r="OAX9" s="87"/>
      <c r="OAY9" s="87"/>
      <c r="OAZ9" s="87"/>
      <c r="OBA9" s="87"/>
      <c r="OBB9" s="87"/>
      <c r="OBC9" s="87"/>
      <c r="OBD9" s="87"/>
      <c r="OBE9" s="87"/>
      <c r="OBF9" s="87"/>
      <c r="OBG9" s="87"/>
      <c r="OBH9" s="87"/>
      <c r="OBI9" s="87"/>
      <c r="OBJ9" s="87"/>
      <c r="OBK9" s="87"/>
      <c r="OBL9" s="87"/>
      <c r="OBM9" s="87"/>
      <c r="OBN9" s="87"/>
      <c r="OBO9" s="87"/>
      <c r="OBP9" s="87"/>
      <c r="OBQ9" s="87"/>
      <c r="OBR9" s="87"/>
      <c r="OBS9" s="87"/>
      <c r="OBT9" s="87"/>
      <c r="OBU9" s="87"/>
      <c r="OBV9" s="87"/>
      <c r="OBW9" s="87"/>
      <c r="OBX9" s="87"/>
      <c r="OBY9" s="87"/>
      <c r="OBZ9" s="87"/>
      <c r="OCA9" s="87"/>
      <c r="OCB9" s="87"/>
      <c r="OCC9" s="87"/>
      <c r="OCD9" s="87"/>
      <c r="OCE9" s="87"/>
      <c r="OCF9" s="87"/>
      <c r="OCG9" s="87"/>
      <c r="OCH9" s="87"/>
      <c r="OCI9" s="87"/>
      <c r="OCJ9" s="87"/>
      <c r="OCK9" s="87"/>
      <c r="OCL9" s="87"/>
      <c r="OCM9" s="87"/>
      <c r="OCN9" s="87"/>
      <c r="OCO9" s="87"/>
      <c r="OCP9" s="87"/>
      <c r="OCQ9" s="87"/>
      <c r="OCR9" s="87"/>
      <c r="OCS9" s="87"/>
      <c r="OCT9" s="87"/>
      <c r="OCU9" s="87"/>
      <c r="OCV9" s="87"/>
      <c r="OCW9" s="87"/>
      <c r="OCX9" s="87"/>
      <c r="OCY9" s="87"/>
      <c r="OCZ9" s="87"/>
      <c r="ODA9" s="87"/>
      <c r="ODB9" s="87"/>
      <c r="ODC9" s="87"/>
      <c r="ODD9" s="87"/>
      <c r="ODE9" s="87"/>
      <c r="ODF9" s="87"/>
      <c r="ODG9" s="87"/>
      <c r="ODH9" s="87"/>
      <c r="ODI9" s="87"/>
      <c r="ODJ9" s="87"/>
      <c r="ODK9" s="87"/>
      <c r="ODL9" s="87"/>
      <c r="ODM9" s="87"/>
      <c r="ODN9" s="87"/>
      <c r="ODO9" s="87"/>
      <c r="ODP9" s="87"/>
      <c r="ODQ9" s="87"/>
      <c r="ODR9" s="87"/>
      <c r="ODS9" s="87"/>
      <c r="ODT9" s="87"/>
      <c r="ODU9" s="87"/>
      <c r="ODV9" s="87"/>
      <c r="ODW9" s="87"/>
      <c r="ODX9" s="87"/>
      <c r="ODY9" s="87"/>
      <c r="ODZ9" s="87"/>
      <c r="OEA9" s="87"/>
      <c r="OEB9" s="87"/>
      <c r="OEC9" s="87"/>
      <c r="OED9" s="87"/>
      <c r="OEE9" s="87"/>
      <c r="OEF9" s="87"/>
      <c r="OEG9" s="87"/>
      <c r="OEH9" s="87"/>
      <c r="OEI9" s="87"/>
      <c r="OEJ9" s="87"/>
      <c r="OEK9" s="87"/>
      <c r="OEL9" s="87"/>
      <c r="OEM9" s="87"/>
      <c r="OEN9" s="87"/>
      <c r="OEO9" s="87"/>
      <c r="OEP9" s="87"/>
      <c r="OEQ9" s="87"/>
      <c r="OER9" s="87"/>
      <c r="OES9" s="87"/>
      <c r="OET9" s="87"/>
      <c r="OEU9" s="87"/>
      <c r="OEV9" s="87"/>
      <c r="OEW9" s="87"/>
      <c r="OEX9" s="87"/>
      <c r="OEY9" s="87"/>
      <c r="OEZ9" s="87"/>
      <c r="OFA9" s="87"/>
      <c r="OFB9" s="87"/>
      <c r="OFC9" s="87"/>
      <c r="OFD9" s="87"/>
      <c r="OFE9" s="87"/>
      <c r="OFF9" s="87"/>
      <c r="OFG9" s="87"/>
      <c r="OFH9" s="87"/>
      <c r="OFI9" s="87"/>
      <c r="OFJ9" s="87"/>
      <c r="OFK9" s="87"/>
      <c r="OFL9" s="87"/>
      <c r="OFM9" s="87"/>
      <c r="OFN9" s="87"/>
      <c r="OFO9" s="87"/>
      <c r="OFP9" s="87"/>
      <c r="OFQ9" s="87"/>
      <c r="OFR9" s="87"/>
      <c r="OFS9" s="87"/>
      <c r="OFT9" s="87"/>
      <c r="OFU9" s="87"/>
      <c r="OFV9" s="87"/>
      <c r="OFW9" s="87"/>
      <c r="OFX9" s="87"/>
      <c r="OFY9" s="87"/>
      <c r="OFZ9" s="87"/>
      <c r="OGA9" s="87"/>
      <c r="OGB9" s="87"/>
      <c r="OGC9" s="87"/>
      <c r="OGD9" s="87"/>
      <c r="OGE9" s="87"/>
      <c r="OGF9" s="87"/>
      <c r="OGG9" s="87"/>
      <c r="OGH9" s="87"/>
      <c r="OGI9" s="87"/>
      <c r="OGJ9" s="87"/>
      <c r="OGK9" s="87"/>
      <c r="OGL9" s="87"/>
      <c r="OGM9" s="87"/>
      <c r="OGN9" s="87"/>
      <c r="OGO9" s="87"/>
      <c r="OGP9" s="87"/>
      <c r="OGQ9" s="87"/>
      <c r="OGR9" s="87"/>
      <c r="OGS9" s="87"/>
      <c r="OGT9" s="87"/>
      <c r="OGU9" s="87"/>
      <c r="OGV9" s="87"/>
      <c r="OGW9" s="87"/>
      <c r="OGX9" s="87"/>
      <c r="OGY9" s="87"/>
      <c r="OGZ9" s="87"/>
      <c r="OHA9" s="87"/>
      <c r="OHB9" s="87"/>
      <c r="OHC9" s="87"/>
      <c r="OHD9" s="87"/>
      <c r="OHE9" s="87"/>
      <c r="OHF9" s="87"/>
      <c r="OHG9" s="87"/>
      <c r="OHH9" s="87"/>
      <c r="OHI9" s="87"/>
      <c r="OHJ9" s="87"/>
      <c r="OHK9" s="87"/>
      <c r="OHL9" s="87"/>
      <c r="OHM9" s="87"/>
      <c r="OHN9" s="87"/>
      <c r="OHO9" s="87"/>
      <c r="OHP9" s="87"/>
      <c r="OHQ9" s="87"/>
      <c r="OHR9" s="87"/>
      <c r="OHS9" s="87"/>
      <c r="OHT9" s="87"/>
      <c r="OHU9" s="87"/>
      <c r="OHV9" s="87"/>
      <c r="OHW9" s="87"/>
      <c r="OHX9" s="87"/>
      <c r="OHY9" s="87"/>
      <c r="OHZ9" s="87"/>
      <c r="OIA9" s="87"/>
      <c r="OIB9" s="87"/>
      <c r="OIC9" s="87"/>
      <c r="OID9" s="87"/>
      <c r="OIE9" s="87"/>
      <c r="OIF9" s="87"/>
      <c r="OIG9" s="87"/>
      <c r="OIH9" s="87"/>
      <c r="OII9" s="87"/>
      <c r="OIJ9" s="87"/>
      <c r="OIK9" s="87"/>
      <c r="OIL9" s="87"/>
      <c r="OIM9" s="87"/>
      <c r="OIN9" s="87"/>
      <c r="OIO9" s="87"/>
      <c r="OIP9" s="87"/>
      <c r="OIQ9" s="87"/>
      <c r="OIR9" s="87"/>
      <c r="OIS9" s="87"/>
      <c r="OIT9" s="87"/>
      <c r="OIU9" s="87"/>
      <c r="OIV9" s="87"/>
      <c r="OIW9" s="87"/>
      <c r="OIX9" s="87"/>
      <c r="OIY9" s="87"/>
      <c r="OIZ9" s="87"/>
      <c r="OJA9" s="87"/>
      <c r="OJB9" s="87"/>
      <c r="OJC9" s="87"/>
      <c r="OJD9" s="87"/>
      <c r="OJE9" s="87"/>
      <c r="OJF9" s="87"/>
      <c r="OJG9" s="87"/>
      <c r="OJH9" s="87"/>
      <c r="OJI9" s="87"/>
      <c r="OJJ9" s="87"/>
      <c r="OJK9" s="87"/>
      <c r="OJL9" s="87"/>
      <c r="OJM9" s="87"/>
      <c r="OJN9" s="87"/>
      <c r="OJO9" s="87"/>
      <c r="OJP9" s="87"/>
      <c r="OJQ9" s="87"/>
      <c r="OJR9" s="87"/>
      <c r="OJS9" s="87"/>
      <c r="OJT9" s="87"/>
      <c r="OJU9" s="87"/>
      <c r="OJV9" s="87"/>
      <c r="OJW9" s="87"/>
      <c r="OJX9" s="87"/>
      <c r="OJY9" s="87"/>
      <c r="OJZ9" s="87"/>
      <c r="OKA9" s="87"/>
      <c r="OKB9" s="87"/>
      <c r="OKC9" s="87"/>
      <c r="OKD9" s="87"/>
      <c r="OKE9" s="87"/>
      <c r="OKF9" s="87"/>
      <c r="OKG9" s="87"/>
      <c r="OKH9" s="87"/>
      <c r="OKI9" s="87"/>
      <c r="OKJ9" s="87"/>
      <c r="OKK9" s="87"/>
      <c r="OKL9" s="87"/>
      <c r="OKM9" s="87"/>
      <c r="OKN9" s="87"/>
      <c r="OKO9" s="87"/>
      <c r="OKP9" s="87"/>
      <c r="OKQ9" s="87"/>
      <c r="OKR9" s="87"/>
      <c r="OKS9" s="87"/>
      <c r="OKT9" s="87"/>
      <c r="OKU9" s="87"/>
      <c r="OKV9" s="87"/>
      <c r="OKW9" s="87"/>
      <c r="OKX9" s="87"/>
      <c r="OKY9" s="87"/>
      <c r="OKZ9" s="87"/>
      <c r="OLA9" s="87"/>
      <c r="OLB9" s="87"/>
      <c r="OLC9" s="87"/>
      <c r="OLD9" s="87"/>
      <c r="OLE9" s="87"/>
      <c r="OLF9" s="87"/>
      <c r="OLG9" s="87"/>
      <c r="OLH9" s="87"/>
      <c r="OLI9" s="87"/>
      <c r="OLJ9" s="87"/>
      <c r="OLK9" s="87"/>
      <c r="OLL9" s="87"/>
      <c r="OLM9" s="87"/>
      <c r="OLN9" s="87"/>
      <c r="OLO9" s="87"/>
      <c r="OLP9" s="87"/>
      <c r="OLQ9" s="87"/>
      <c r="OLR9" s="87"/>
      <c r="OLS9" s="87"/>
      <c r="OLT9" s="87"/>
      <c r="OLU9" s="87"/>
      <c r="OLV9" s="87"/>
      <c r="OLW9" s="87"/>
      <c r="OLX9" s="87"/>
      <c r="OLY9" s="87"/>
      <c r="OLZ9" s="87"/>
      <c r="OMA9" s="87"/>
      <c r="OMB9" s="87"/>
      <c r="OMC9" s="87"/>
      <c r="OMD9" s="87"/>
      <c r="OME9" s="87"/>
      <c r="OMF9" s="87"/>
      <c r="OMG9" s="87"/>
      <c r="OMH9" s="87"/>
      <c r="OMI9" s="87"/>
      <c r="OMJ9" s="87"/>
      <c r="OMK9" s="87"/>
      <c r="OML9" s="87"/>
      <c r="OMM9" s="87"/>
      <c r="OMN9" s="87"/>
      <c r="OMO9" s="87"/>
      <c r="OMP9" s="87"/>
      <c r="OMQ9" s="87"/>
      <c r="OMR9" s="87"/>
      <c r="OMS9" s="87"/>
      <c r="OMT9" s="87"/>
      <c r="OMU9" s="87"/>
      <c r="OMV9" s="87"/>
      <c r="OMW9" s="87"/>
      <c r="OMX9" s="87"/>
      <c r="OMY9" s="87"/>
      <c r="OMZ9" s="87"/>
      <c r="ONA9" s="87"/>
      <c r="ONB9" s="87"/>
      <c r="ONC9" s="87"/>
      <c r="OND9" s="87"/>
      <c r="ONE9" s="87"/>
      <c r="ONF9" s="87"/>
      <c r="ONG9" s="87"/>
      <c r="ONH9" s="87"/>
      <c r="ONI9" s="87"/>
      <c r="ONJ9" s="87"/>
      <c r="ONK9" s="87"/>
      <c r="ONL9" s="87"/>
      <c r="ONM9" s="87"/>
      <c r="ONN9" s="87"/>
      <c r="ONO9" s="87"/>
      <c r="ONP9" s="87"/>
      <c r="ONQ9" s="87"/>
      <c r="ONR9" s="87"/>
      <c r="ONS9" s="87"/>
      <c r="ONT9" s="87"/>
      <c r="ONU9" s="87"/>
      <c r="ONV9" s="87"/>
      <c r="ONW9" s="87"/>
      <c r="ONX9" s="87"/>
      <c r="ONY9" s="87"/>
      <c r="ONZ9" s="87"/>
      <c r="OOA9" s="87"/>
      <c r="OOB9" s="87"/>
      <c r="OOC9" s="87"/>
      <c r="OOD9" s="87"/>
      <c r="OOE9" s="87"/>
      <c r="OOF9" s="87"/>
      <c r="OOG9" s="87"/>
      <c r="OOH9" s="87"/>
      <c r="OOI9" s="87"/>
      <c r="OOJ9" s="87"/>
      <c r="OOK9" s="87"/>
      <c r="OOL9" s="87"/>
      <c r="OOM9" s="87"/>
      <c r="OON9" s="87"/>
      <c r="OOO9" s="87"/>
      <c r="OOP9" s="87"/>
      <c r="OOQ9" s="87"/>
      <c r="OOR9" s="87"/>
      <c r="OOS9" s="87"/>
      <c r="OOT9" s="87"/>
      <c r="OOU9" s="87"/>
      <c r="OOV9" s="87"/>
      <c r="OOW9" s="87"/>
      <c r="OOX9" s="87"/>
      <c r="OOY9" s="87"/>
      <c r="OOZ9" s="87"/>
      <c r="OPA9" s="87"/>
      <c r="OPB9" s="87"/>
      <c r="OPC9" s="87"/>
      <c r="OPD9" s="87"/>
      <c r="OPE9" s="87"/>
      <c r="OPF9" s="87"/>
      <c r="OPG9" s="87"/>
      <c r="OPH9" s="87"/>
      <c r="OPI9" s="87"/>
      <c r="OPJ9" s="87"/>
      <c r="OPK9" s="87"/>
      <c r="OPL9" s="87"/>
      <c r="OPM9" s="87"/>
      <c r="OPN9" s="87"/>
      <c r="OPO9" s="87"/>
      <c r="OPP9" s="87"/>
      <c r="OPQ9" s="87"/>
      <c r="OPR9" s="87"/>
      <c r="OPS9" s="87"/>
      <c r="OPT9" s="87"/>
      <c r="OPU9" s="87"/>
      <c r="OPV9" s="87"/>
      <c r="OPW9" s="87"/>
      <c r="OPX9" s="87"/>
      <c r="OPY9" s="87"/>
      <c r="OPZ9" s="87"/>
      <c r="OQA9" s="87"/>
      <c r="OQB9" s="87"/>
      <c r="OQC9" s="87"/>
      <c r="OQD9" s="87"/>
      <c r="OQE9" s="87"/>
      <c r="OQF9" s="87"/>
      <c r="OQG9" s="87"/>
      <c r="OQH9" s="87"/>
      <c r="OQI9" s="87"/>
      <c r="OQJ9" s="87"/>
      <c r="OQK9" s="87"/>
      <c r="OQL9" s="87"/>
      <c r="OQM9" s="87"/>
      <c r="OQN9" s="87"/>
      <c r="OQO9" s="87"/>
      <c r="OQP9" s="87"/>
      <c r="OQQ9" s="87"/>
      <c r="OQR9" s="87"/>
      <c r="OQS9" s="87"/>
      <c r="OQT9" s="87"/>
      <c r="OQU9" s="87"/>
      <c r="OQV9" s="87"/>
      <c r="OQW9" s="87"/>
      <c r="OQX9" s="87"/>
      <c r="OQY9" s="87"/>
      <c r="OQZ9" s="87"/>
      <c r="ORA9" s="87"/>
      <c r="ORB9" s="87"/>
      <c r="ORC9" s="87"/>
      <c r="ORD9" s="87"/>
      <c r="ORE9" s="87"/>
      <c r="ORF9" s="87"/>
      <c r="ORG9" s="87"/>
      <c r="ORH9" s="87"/>
      <c r="ORI9" s="87"/>
      <c r="ORJ9" s="87"/>
      <c r="ORK9" s="87"/>
      <c r="ORL9" s="87"/>
      <c r="ORM9" s="87"/>
      <c r="ORN9" s="87"/>
      <c r="ORO9" s="87"/>
      <c r="ORP9" s="87"/>
      <c r="ORQ9" s="87"/>
      <c r="ORR9" s="87"/>
      <c r="ORS9" s="87"/>
      <c r="ORT9" s="87"/>
      <c r="ORU9" s="87"/>
      <c r="ORV9" s="87"/>
      <c r="ORW9" s="87"/>
      <c r="ORX9" s="87"/>
      <c r="ORY9" s="87"/>
      <c r="ORZ9" s="87"/>
      <c r="OSA9" s="87"/>
      <c r="OSB9" s="87"/>
      <c r="OSC9" s="87"/>
      <c r="OSD9" s="87"/>
      <c r="OSE9" s="87"/>
      <c r="OSF9" s="87"/>
      <c r="OSG9" s="87"/>
      <c r="OSH9" s="87"/>
      <c r="OSI9" s="87"/>
      <c r="OSJ9" s="87"/>
      <c r="OSK9" s="87"/>
      <c r="OSL9" s="87"/>
      <c r="OSM9" s="87"/>
      <c r="OSN9" s="87"/>
      <c r="OSO9" s="87"/>
      <c r="OSP9" s="87"/>
      <c r="OSQ9" s="87"/>
      <c r="OSR9" s="87"/>
      <c r="OSS9" s="87"/>
      <c r="OST9" s="87"/>
      <c r="OSU9" s="87"/>
      <c r="OSV9" s="87"/>
      <c r="OSW9" s="87"/>
      <c r="OSX9" s="87"/>
      <c r="OSY9" s="87"/>
      <c r="OSZ9" s="87"/>
      <c r="OTA9" s="87"/>
      <c r="OTB9" s="87"/>
      <c r="OTC9" s="87"/>
      <c r="OTD9" s="87"/>
      <c r="OTE9" s="87"/>
      <c r="OTF9" s="87"/>
      <c r="OTG9" s="87"/>
      <c r="OTH9" s="87"/>
      <c r="OTI9" s="87"/>
      <c r="OTJ9" s="87"/>
      <c r="OTK9" s="87"/>
      <c r="OTL9" s="87"/>
      <c r="OTM9" s="87"/>
      <c r="OTN9" s="87"/>
      <c r="OTO9" s="87"/>
      <c r="OTP9" s="87"/>
      <c r="OTQ9" s="87"/>
      <c r="OTR9" s="87"/>
      <c r="OTS9" s="87"/>
      <c r="OTT9" s="87"/>
      <c r="OTU9" s="87"/>
      <c r="OTV9" s="87"/>
      <c r="OTW9" s="87"/>
      <c r="OTX9" s="87"/>
      <c r="OTY9" s="87"/>
      <c r="OTZ9" s="87"/>
      <c r="OUA9" s="87"/>
      <c r="OUB9" s="87"/>
      <c r="OUC9" s="87"/>
      <c r="OUD9" s="87"/>
      <c r="OUE9" s="87"/>
      <c r="OUF9" s="87"/>
      <c r="OUG9" s="87"/>
      <c r="OUH9" s="87"/>
      <c r="OUI9" s="87"/>
      <c r="OUJ9" s="87"/>
      <c r="OUK9" s="87"/>
      <c r="OUL9" s="87"/>
      <c r="OUM9" s="87"/>
      <c r="OUN9" s="87"/>
      <c r="OUO9" s="87"/>
      <c r="OUP9" s="87"/>
      <c r="OUQ9" s="87"/>
      <c r="OUR9" s="87"/>
      <c r="OUS9" s="87"/>
      <c r="OUT9" s="87"/>
      <c r="OUU9" s="87"/>
      <c r="OUV9" s="87"/>
      <c r="OUW9" s="87"/>
      <c r="OUX9" s="87"/>
      <c r="OUY9" s="87"/>
      <c r="OUZ9" s="87"/>
      <c r="OVA9" s="87"/>
      <c r="OVB9" s="87"/>
      <c r="OVC9" s="87"/>
      <c r="OVD9" s="87"/>
      <c r="OVE9" s="87"/>
      <c r="OVF9" s="87"/>
      <c r="OVG9" s="87"/>
      <c r="OVH9" s="87"/>
      <c r="OVI9" s="87"/>
      <c r="OVJ9" s="87"/>
      <c r="OVK9" s="87"/>
      <c r="OVL9" s="87"/>
      <c r="OVM9" s="87"/>
      <c r="OVN9" s="87"/>
      <c r="OVO9" s="87"/>
      <c r="OVP9" s="87"/>
      <c r="OVQ9" s="87"/>
      <c r="OVR9" s="87"/>
      <c r="OVS9" s="87"/>
      <c r="OVT9" s="87"/>
      <c r="OVU9" s="87"/>
      <c r="OVV9" s="87"/>
      <c r="OVW9" s="87"/>
      <c r="OVX9" s="87"/>
      <c r="OVY9" s="87"/>
      <c r="OVZ9" s="87"/>
      <c r="OWA9" s="87"/>
      <c r="OWB9" s="87"/>
      <c r="OWC9" s="87"/>
      <c r="OWD9" s="87"/>
      <c r="OWE9" s="87"/>
      <c r="OWF9" s="87"/>
      <c r="OWG9" s="87"/>
      <c r="OWH9" s="87"/>
      <c r="OWI9" s="87"/>
      <c r="OWJ9" s="87"/>
      <c r="OWK9" s="87"/>
      <c r="OWL9" s="87"/>
      <c r="OWM9" s="87"/>
      <c r="OWN9" s="87"/>
      <c r="OWO9" s="87"/>
      <c r="OWP9" s="87"/>
      <c r="OWQ9" s="87"/>
      <c r="OWR9" s="87"/>
      <c r="OWS9" s="87"/>
      <c r="OWT9" s="87"/>
      <c r="OWU9" s="87"/>
      <c r="OWV9" s="87"/>
      <c r="OWW9" s="87"/>
      <c r="OWX9" s="87"/>
      <c r="OWY9" s="87"/>
      <c r="OWZ9" s="87"/>
      <c r="OXA9" s="87"/>
      <c r="OXB9" s="87"/>
      <c r="OXC9" s="87"/>
      <c r="OXD9" s="87"/>
      <c r="OXE9" s="87"/>
      <c r="OXF9" s="87"/>
      <c r="OXG9" s="87"/>
      <c r="OXH9" s="87"/>
      <c r="OXI9" s="87"/>
      <c r="OXJ9" s="87"/>
      <c r="OXK9" s="87"/>
      <c r="OXL9" s="87"/>
      <c r="OXM9" s="87"/>
      <c r="OXN9" s="87"/>
      <c r="OXO9" s="87"/>
      <c r="OXP9" s="87"/>
      <c r="OXQ9" s="87"/>
      <c r="OXR9" s="87"/>
      <c r="OXS9" s="87"/>
      <c r="OXT9" s="87"/>
      <c r="OXU9" s="87"/>
      <c r="OXV9" s="87"/>
      <c r="OXW9" s="87"/>
      <c r="OXX9" s="87"/>
      <c r="OXY9" s="87"/>
      <c r="OXZ9" s="87"/>
      <c r="OYA9" s="87"/>
      <c r="OYB9" s="87"/>
      <c r="OYC9" s="87"/>
      <c r="OYD9" s="87"/>
      <c r="OYE9" s="87"/>
      <c r="OYF9" s="87"/>
      <c r="OYG9" s="87"/>
      <c r="OYH9" s="87"/>
      <c r="OYI9" s="87"/>
      <c r="OYJ9" s="87"/>
      <c r="OYK9" s="87"/>
      <c r="OYL9" s="87"/>
      <c r="OYM9" s="87"/>
      <c r="OYN9" s="87"/>
      <c r="OYO9" s="87"/>
      <c r="OYP9" s="87"/>
      <c r="OYQ9" s="87"/>
      <c r="OYR9" s="87"/>
      <c r="OYS9" s="87"/>
      <c r="OYT9" s="87"/>
      <c r="OYU9" s="87"/>
      <c r="OYV9" s="87"/>
      <c r="OYW9" s="87"/>
      <c r="OYX9" s="87"/>
      <c r="OYY9" s="87"/>
      <c r="OYZ9" s="87"/>
      <c r="OZA9" s="87"/>
      <c r="OZB9" s="87"/>
      <c r="OZC9" s="87"/>
      <c r="OZD9" s="87"/>
      <c r="OZE9" s="87"/>
      <c r="OZF9" s="87"/>
      <c r="OZG9" s="87"/>
      <c r="OZH9" s="87"/>
      <c r="OZI9" s="87"/>
      <c r="OZJ9" s="87"/>
      <c r="OZK9" s="87"/>
      <c r="OZL9" s="87"/>
      <c r="OZM9" s="87"/>
      <c r="OZN9" s="87"/>
      <c r="OZO9" s="87"/>
      <c r="OZP9" s="87"/>
      <c r="OZQ9" s="87"/>
      <c r="OZR9" s="87"/>
      <c r="OZS9" s="87"/>
      <c r="OZT9" s="87"/>
      <c r="OZU9" s="87"/>
      <c r="OZV9" s="87"/>
      <c r="OZW9" s="87"/>
      <c r="OZX9" s="87"/>
      <c r="OZY9" s="87"/>
      <c r="OZZ9" s="87"/>
      <c r="PAA9" s="87"/>
      <c r="PAB9" s="87"/>
      <c r="PAC9" s="87"/>
      <c r="PAD9" s="87"/>
      <c r="PAE9" s="87"/>
      <c r="PAF9" s="87"/>
      <c r="PAG9" s="87"/>
      <c r="PAH9" s="87"/>
      <c r="PAI9" s="87"/>
      <c r="PAJ9" s="87"/>
      <c r="PAK9" s="87"/>
      <c r="PAL9" s="87"/>
      <c r="PAM9" s="87"/>
      <c r="PAN9" s="87"/>
      <c r="PAO9" s="87"/>
      <c r="PAP9" s="87"/>
      <c r="PAQ9" s="87"/>
      <c r="PAR9" s="87"/>
      <c r="PAS9" s="87"/>
      <c r="PAT9" s="87"/>
      <c r="PAU9" s="87"/>
      <c r="PAV9" s="87"/>
      <c r="PAW9" s="87"/>
      <c r="PAX9" s="87"/>
      <c r="PAY9" s="87"/>
      <c r="PAZ9" s="87"/>
      <c r="PBA9" s="87"/>
      <c r="PBB9" s="87"/>
      <c r="PBC9" s="87"/>
      <c r="PBD9" s="87"/>
      <c r="PBE9" s="87"/>
      <c r="PBF9" s="87"/>
      <c r="PBG9" s="87"/>
      <c r="PBH9" s="87"/>
      <c r="PBI9" s="87"/>
      <c r="PBJ9" s="87"/>
      <c r="PBK9" s="87"/>
      <c r="PBL9" s="87"/>
      <c r="PBM9" s="87"/>
      <c r="PBN9" s="87"/>
      <c r="PBO9" s="87"/>
      <c r="PBP9" s="87"/>
      <c r="PBQ9" s="87"/>
      <c r="PBR9" s="87"/>
      <c r="PBS9" s="87"/>
      <c r="PBT9" s="87"/>
      <c r="PBU9" s="87"/>
      <c r="PBV9" s="87"/>
      <c r="PBW9" s="87"/>
      <c r="PBX9" s="87"/>
      <c r="PBY9" s="87"/>
      <c r="PBZ9" s="87"/>
      <c r="PCA9" s="87"/>
      <c r="PCB9" s="87"/>
      <c r="PCC9" s="87"/>
      <c r="PCD9" s="87"/>
      <c r="PCE9" s="87"/>
      <c r="PCF9" s="87"/>
      <c r="PCG9" s="87"/>
      <c r="PCH9" s="87"/>
      <c r="PCI9" s="87"/>
      <c r="PCJ9" s="87"/>
      <c r="PCK9" s="87"/>
      <c r="PCL9" s="87"/>
      <c r="PCM9" s="87"/>
      <c r="PCN9" s="87"/>
      <c r="PCO9" s="87"/>
      <c r="PCP9" s="87"/>
      <c r="PCQ9" s="87"/>
      <c r="PCR9" s="87"/>
      <c r="PCS9" s="87"/>
      <c r="PCT9" s="87"/>
      <c r="PCU9" s="87"/>
      <c r="PCV9" s="87"/>
      <c r="PCW9" s="87"/>
      <c r="PCX9" s="87"/>
      <c r="PCY9" s="87"/>
      <c r="PCZ9" s="87"/>
      <c r="PDA9" s="87"/>
      <c r="PDB9" s="87"/>
      <c r="PDC9" s="87"/>
      <c r="PDD9" s="87"/>
      <c r="PDE9" s="87"/>
      <c r="PDF9" s="87"/>
      <c r="PDG9" s="87"/>
      <c r="PDH9" s="87"/>
      <c r="PDI9" s="87"/>
      <c r="PDJ9" s="87"/>
      <c r="PDK9" s="87"/>
      <c r="PDL9" s="87"/>
      <c r="PDM9" s="87"/>
      <c r="PDN9" s="87"/>
      <c r="PDO9" s="87"/>
      <c r="PDP9" s="87"/>
      <c r="PDQ9" s="87"/>
      <c r="PDR9" s="87"/>
      <c r="PDS9" s="87"/>
      <c r="PDT9" s="87"/>
      <c r="PDU9" s="87"/>
      <c r="PDV9" s="87"/>
      <c r="PDW9" s="87"/>
      <c r="PDX9" s="87"/>
      <c r="PDY9" s="87"/>
      <c r="PDZ9" s="87"/>
      <c r="PEA9" s="87"/>
      <c r="PEB9" s="87"/>
      <c r="PEC9" s="87"/>
      <c r="PED9" s="87"/>
      <c r="PEE9" s="87"/>
      <c r="PEF9" s="87"/>
      <c r="PEG9" s="87"/>
      <c r="PEH9" s="87"/>
      <c r="PEI9" s="87"/>
      <c r="PEJ9" s="87"/>
      <c r="PEK9" s="87"/>
      <c r="PEL9" s="87"/>
      <c r="PEM9" s="87"/>
      <c r="PEN9" s="87"/>
      <c r="PEO9" s="87"/>
      <c r="PEP9" s="87"/>
      <c r="PEQ9" s="87"/>
      <c r="PER9" s="87"/>
      <c r="PES9" s="87"/>
      <c r="PET9" s="87"/>
      <c r="PEU9" s="87"/>
      <c r="PEV9" s="87"/>
      <c r="PEW9" s="87"/>
      <c r="PEX9" s="87"/>
      <c r="PEY9" s="87"/>
      <c r="PEZ9" s="87"/>
      <c r="PFA9" s="87"/>
      <c r="PFB9" s="87"/>
      <c r="PFC9" s="87"/>
      <c r="PFD9" s="87"/>
      <c r="PFE9" s="87"/>
      <c r="PFF9" s="87"/>
      <c r="PFG9" s="87"/>
      <c r="PFH9" s="87"/>
      <c r="PFI9" s="87"/>
      <c r="PFJ9" s="87"/>
      <c r="PFK9" s="87"/>
      <c r="PFL9" s="87"/>
      <c r="PFM9" s="87"/>
      <c r="PFN9" s="87"/>
      <c r="PFO9" s="87"/>
      <c r="PFP9" s="87"/>
      <c r="PFQ9" s="87"/>
      <c r="PFR9" s="87"/>
      <c r="PFS9" s="87"/>
      <c r="PFT9" s="87"/>
      <c r="PFU9" s="87"/>
      <c r="PFV9" s="87"/>
      <c r="PFW9" s="87"/>
      <c r="PFX9" s="87"/>
      <c r="PFY9" s="87"/>
      <c r="PFZ9" s="87"/>
      <c r="PGA9" s="87"/>
      <c r="PGB9" s="87"/>
      <c r="PGC9" s="87"/>
      <c r="PGD9" s="87"/>
      <c r="PGE9" s="87"/>
      <c r="PGF9" s="87"/>
      <c r="PGG9" s="87"/>
      <c r="PGH9" s="87"/>
      <c r="PGI9" s="87"/>
      <c r="PGJ9" s="87"/>
      <c r="PGK9" s="87"/>
      <c r="PGL9" s="87"/>
      <c r="PGM9" s="87"/>
      <c r="PGN9" s="87"/>
      <c r="PGO9" s="87"/>
      <c r="PGP9" s="87"/>
      <c r="PGQ9" s="87"/>
      <c r="PGR9" s="87"/>
      <c r="PGS9" s="87"/>
      <c r="PGT9" s="87"/>
      <c r="PGU9" s="87"/>
      <c r="PGV9" s="87"/>
      <c r="PGW9" s="87"/>
      <c r="PGX9" s="87"/>
      <c r="PGY9" s="87"/>
      <c r="PGZ9" s="87"/>
      <c r="PHA9" s="87"/>
      <c r="PHB9" s="87"/>
      <c r="PHC9" s="87"/>
      <c r="PHD9" s="87"/>
      <c r="PHE9" s="87"/>
      <c r="PHF9" s="87"/>
      <c r="PHG9" s="87"/>
      <c r="PHH9" s="87"/>
      <c r="PHI9" s="87"/>
      <c r="PHJ9" s="87"/>
      <c r="PHK9" s="87"/>
      <c r="PHL9" s="87"/>
      <c r="PHM9" s="87"/>
      <c r="PHN9" s="87"/>
      <c r="PHO9" s="87"/>
      <c r="PHP9" s="87"/>
      <c r="PHQ9" s="87"/>
      <c r="PHR9" s="87"/>
      <c r="PHS9" s="87"/>
      <c r="PHT9" s="87"/>
      <c r="PHU9" s="87"/>
      <c r="PHV9" s="87"/>
      <c r="PHW9" s="87"/>
      <c r="PHX9" s="87"/>
      <c r="PHY9" s="87"/>
      <c r="PHZ9" s="87"/>
      <c r="PIA9" s="87"/>
      <c r="PIB9" s="87"/>
      <c r="PIC9" s="87"/>
      <c r="PID9" s="87"/>
      <c r="PIE9" s="87"/>
      <c r="PIF9" s="87"/>
      <c r="PIG9" s="87"/>
      <c r="PIH9" s="87"/>
      <c r="PII9" s="87"/>
      <c r="PIJ9" s="87"/>
      <c r="PIK9" s="87"/>
      <c r="PIL9" s="87"/>
      <c r="PIM9" s="87"/>
      <c r="PIN9" s="87"/>
      <c r="PIO9" s="87"/>
      <c r="PIP9" s="87"/>
      <c r="PIQ9" s="87"/>
      <c r="PIR9" s="87"/>
      <c r="PIS9" s="87"/>
      <c r="PIT9" s="87"/>
      <c r="PIU9" s="87"/>
      <c r="PIV9" s="87"/>
      <c r="PIW9" s="87"/>
      <c r="PIX9" s="87"/>
      <c r="PIY9" s="87"/>
      <c r="PIZ9" s="87"/>
      <c r="PJA9" s="87"/>
      <c r="PJB9" s="87"/>
      <c r="PJC9" s="87"/>
      <c r="PJD9" s="87"/>
      <c r="PJE9" s="87"/>
      <c r="PJF9" s="87"/>
      <c r="PJG9" s="87"/>
      <c r="PJH9" s="87"/>
      <c r="PJI9" s="87"/>
      <c r="PJJ9" s="87"/>
      <c r="PJK9" s="87"/>
      <c r="PJL9" s="87"/>
      <c r="PJM9" s="87"/>
      <c r="PJN9" s="87"/>
      <c r="PJO9" s="87"/>
      <c r="PJP9" s="87"/>
      <c r="PJQ9" s="87"/>
      <c r="PJR9" s="87"/>
      <c r="PJS9" s="87"/>
      <c r="PJT9" s="87"/>
      <c r="PJU9" s="87"/>
      <c r="PJV9" s="87"/>
      <c r="PJW9" s="87"/>
      <c r="PJX9" s="87"/>
      <c r="PJY9" s="87"/>
      <c r="PJZ9" s="87"/>
      <c r="PKA9" s="87"/>
      <c r="PKB9" s="87"/>
      <c r="PKC9" s="87"/>
      <c r="PKD9" s="87"/>
      <c r="PKE9" s="87"/>
      <c r="PKF9" s="87"/>
      <c r="PKG9" s="87"/>
      <c r="PKH9" s="87"/>
      <c r="PKI9" s="87"/>
      <c r="PKJ9" s="87"/>
      <c r="PKK9" s="87"/>
      <c r="PKL9" s="87"/>
      <c r="PKM9" s="87"/>
      <c r="PKN9" s="87"/>
      <c r="PKO9" s="87"/>
      <c r="PKP9" s="87"/>
      <c r="PKQ9" s="87"/>
      <c r="PKR9" s="87"/>
      <c r="PKS9" s="87"/>
      <c r="PKT9" s="87"/>
      <c r="PKU9" s="87"/>
      <c r="PKV9" s="87"/>
      <c r="PKW9" s="87"/>
      <c r="PKX9" s="87"/>
      <c r="PKY9" s="87"/>
      <c r="PKZ9" s="87"/>
      <c r="PLA9" s="87"/>
      <c r="PLB9" s="87"/>
      <c r="PLC9" s="87"/>
      <c r="PLD9" s="87"/>
      <c r="PLE9" s="87"/>
      <c r="PLF9" s="87"/>
      <c r="PLG9" s="87"/>
      <c r="PLH9" s="87"/>
      <c r="PLI9" s="87"/>
      <c r="PLJ9" s="87"/>
      <c r="PLK9" s="87"/>
      <c r="PLL9" s="87"/>
      <c r="PLM9" s="87"/>
      <c r="PLN9" s="87"/>
      <c r="PLO9" s="87"/>
      <c r="PLP9" s="87"/>
      <c r="PLQ9" s="87"/>
      <c r="PLR9" s="87"/>
      <c r="PLS9" s="87"/>
      <c r="PLT9" s="87"/>
      <c r="PLU9" s="87"/>
      <c r="PLV9" s="87"/>
      <c r="PLW9" s="87"/>
      <c r="PLX9" s="87"/>
      <c r="PLY9" s="87"/>
      <c r="PLZ9" s="87"/>
      <c r="PMA9" s="87"/>
      <c r="PMB9" s="87"/>
      <c r="PMC9" s="87"/>
      <c r="PMD9" s="87"/>
      <c r="PME9" s="87"/>
      <c r="PMF9" s="87"/>
      <c r="PMG9" s="87"/>
      <c r="PMH9" s="87"/>
      <c r="PMI9" s="87"/>
      <c r="PMJ9" s="87"/>
      <c r="PMK9" s="87"/>
      <c r="PML9" s="87"/>
      <c r="PMM9" s="87"/>
      <c r="PMN9" s="87"/>
      <c r="PMO9" s="87"/>
      <c r="PMP9" s="87"/>
      <c r="PMQ9" s="87"/>
      <c r="PMR9" s="87"/>
      <c r="PMS9" s="87"/>
      <c r="PMT9" s="87"/>
      <c r="PMU9" s="87"/>
      <c r="PMV9" s="87"/>
      <c r="PMW9" s="87"/>
      <c r="PMX9" s="87"/>
      <c r="PMY9" s="87"/>
      <c r="PMZ9" s="87"/>
      <c r="PNA9" s="87"/>
      <c r="PNB9" s="87"/>
      <c r="PNC9" s="87"/>
      <c r="PND9" s="87"/>
      <c r="PNE9" s="87"/>
      <c r="PNF9" s="87"/>
      <c r="PNG9" s="87"/>
      <c r="PNH9" s="87"/>
      <c r="PNI9" s="87"/>
      <c r="PNJ9" s="87"/>
      <c r="PNK9" s="87"/>
      <c r="PNL9" s="87"/>
      <c r="PNM9" s="87"/>
      <c r="PNN9" s="87"/>
      <c r="PNO9" s="87"/>
      <c r="PNP9" s="87"/>
      <c r="PNQ9" s="87"/>
      <c r="PNR9" s="87"/>
      <c r="PNS9" s="87"/>
      <c r="PNT9" s="87"/>
      <c r="PNU9" s="87"/>
      <c r="PNV9" s="87"/>
      <c r="PNW9" s="87"/>
      <c r="PNX9" s="87"/>
      <c r="PNY9" s="87"/>
      <c r="PNZ9" s="87"/>
      <c r="POA9" s="87"/>
      <c r="POB9" s="87"/>
      <c r="POC9" s="87"/>
      <c r="POD9" s="87"/>
      <c r="POE9" s="87"/>
      <c r="POF9" s="87"/>
      <c r="POG9" s="87"/>
      <c r="POH9" s="87"/>
      <c r="POI9" s="87"/>
      <c r="POJ9" s="87"/>
      <c r="POK9" s="87"/>
      <c r="POL9" s="87"/>
      <c r="POM9" s="87"/>
      <c r="PON9" s="87"/>
      <c r="POO9" s="87"/>
      <c r="POP9" s="87"/>
      <c r="POQ9" s="87"/>
      <c r="POR9" s="87"/>
      <c r="POS9" s="87"/>
      <c r="POT9" s="87"/>
      <c r="POU9" s="87"/>
      <c r="POV9" s="87"/>
      <c r="POW9" s="87"/>
      <c r="POX9" s="87"/>
      <c r="POY9" s="87"/>
      <c r="POZ9" s="87"/>
      <c r="PPA9" s="87"/>
      <c r="PPB9" s="87"/>
      <c r="PPC9" s="87"/>
      <c r="PPD9" s="87"/>
      <c r="PPE9" s="87"/>
      <c r="PPF9" s="87"/>
      <c r="PPG9" s="87"/>
      <c r="PPH9" s="87"/>
      <c r="PPI9" s="87"/>
      <c r="PPJ9" s="87"/>
      <c r="PPK9" s="87"/>
      <c r="PPL9" s="87"/>
      <c r="PPM9" s="87"/>
      <c r="PPN9" s="87"/>
      <c r="PPO9" s="87"/>
      <c r="PPP9" s="87"/>
      <c r="PPQ9" s="87"/>
      <c r="PPR9" s="87"/>
      <c r="PPS9" s="87"/>
      <c r="PPT9" s="87"/>
      <c r="PPU9" s="87"/>
      <c r="PPV9" s="87"/>
      <c r="PPW9" s="87"/>
      <c r="PPX9" s="87"/>
      <c r="PPY9" s="87"/>
      <c r="PPZ9" s="87"/>
      <c r="PQA9" s="87"/>
      <c r="PQB9" s="87"/>
      <c r="PQC9" s="87"/>
      <c r="PQD9" s="87"/>
      <c r="PQE9" s="87"/>
      <c r="PQF9" s="87"/>
      <c r="PQG9" s="87"/>
      <c r="PQH9" s="87"/>
      <c r="PQI9" s="87"/>
      <c r="PQJ9" s="87"/>
      <c r="PQK9" s="87"/>
      <c r="PQL9" s="87"/>
      <c r="PQM9" s="87"/>
      <c r="PQN9" s="87"/>
      <c r="PQO9" s="87"/>
      <c r="PQP9" s="87"/>
      <c r="PQQ9" s="87"/>
      <c r="PQR9" s="87"/>
      <c r="PQS9" s="87"/>
      <c r="PQT9" s="87"/>
      <c r="PQU9" s="87"/>
      <c r="PQV9" s="87"/>
      <c r="PQW9" s="87"/>
      <c r="PQX9" s="87"/>
      <c r="PQY9" s="87"/>
      <c r="PQZ9" s="87"/>
      <c r="PRA9" s="87"/>
      <c r="PRB9" s="87"/>
      <c r="PRC9" s="87"/>
      <c r="PRD9" s="87"/>
      <c r="PRE9" s="87"/>
      <c r="PRF9" s="87"/>
      <c r="PRG9" s="87"/>
      <c r="PRH9" s="87"/>
      <c r="PRI9" s="87"/>
      <c r="PRJ9" s="87"/>
      <c r="PRK9" s="87"/>
      <c r="PRL9" s="87"/>
      <c r="PRM9" s="87"/>
      <c r="PRN9" s="87"/>
      <c r="PRO9" s="87"/>
      <c r="PRP9" s="87"/>
      <c r="PRQ9" s="87"/>
      <c r="PRR9" s="87"/>
      <c r="PRS9" s="87"/>
      <c r="PRT9" s="87"/>
      <c r="PRU9" s="87"/>
      <c r="PRV9" s="87"/>
      <c r="PRW9" s="87"/>
      <c r="PRX9" s="87"/>
      <c r="PRY9" s="87"/>
      <c r="PRZ9" s="87"/>
      <c r="PSA9" s="87"/>
      <c r="PSB9" s="87"/>
      <c r="PSC9" s="87"/>
      <c r="PSD9" s="87"/>
      <c r="PSE9" s="87"/>
      <c r="PSF9" s="87"/>
      <c r="PSG9" s="87"/>
      <c r="PSH9" s="87"/>
      <c r="PSI9" s="87"/>
      <c r="PSJ9" s="87"/>
      <c r="PSK9" s="87"/>
      <c r="PSL9" s="87"/>
      <c r="PSM9" s="87"/>
      <c r="PSN9" s="87"/>
      <c r="PSO9" s="87"/>
      <c r="PSP9" s="87"/>
      <c r="PSQ9" s="87"/>
      <c r="PSR9" s="87"/>
      <c r="PSS9" s="87"/>
      <c r="PST9" s="87"/>
      <c r="PSU9" s="87"/>
      <c r="PSV9" s="87"/>
      <c r="PSW9" s="87"/>
      <c r="PSX9" s="87"/>
      <c r="PSY9" s="87"/>
      <c r="PSZ9" s="87"/>
      <c r="PTA9" s="87"/>
      <c r="PTB9" s="87"/>
      <c r="PTC9" s="87"/>
      <c r="PTD9" s="87"/>
      <c r="PTE9" s="87"/>
      <c r="PTF9" s="87"/>
      <c r="PTG9" s="87"/>
      <c r="PTH9" s="87"/>
      <c r="PTI9" s="87"/>
      <c r="PTJ9" s="87"/>
      <c r="PTK9" s="87"/>
      <c r="PTL9" s="87"/>
      <c r="PTM9" s="87"/>
      <c r="PTN9" s="87"/>
      <c r="PTO9" s="87"/>
      <c r="PTP9" s="87"/>
      <c r="PTQ9" s="87"/>
      <c r="PTR9" s="87"/>
      <c r="PTS9" s="87"/>
      <c r="PTT9" s="87"/>
      <c r="PTU9" s="87"/>
      <c r="PTV9" s="87"/>
      <c r="PTW9" s="87"/>
      <c r="PTX9" s="87"/>
      <c r="PTY9" s="87"/>
      <c r="PTZ9" s="87"/>
      <c r="PUA9" s="87"/>
      <c r="PUB9" s="87"/>
      <c r="PUC9" s="87"/>
      <c r="PUD9" s="87"/>
      <c r="PUE9" s="87"/>
      <c r="PUF9" s="87"/>
      <c r="PUG9" s="87"/>
      <c r="PUH9" s="87"/>
      <c r="PUI9" s="87"/>
      <c r="PUJ9" s="87"/>
      <c r="PUK9" s="87"/>
      <c r="PUL9" s="87"/>
      <c r="PUM9" s="87"/>
      <c r="PUN9" s="87"/>
      <c r="PUO9" s="87"/>
      <c r="PUP9" s="87"/>
      <c r="PUQ9" s="87"/>
      <c r="PUR9" s="87"/>
      <c r="PUS9" s="87"/>
      <c r="PUT9" s="87"/>
      <c r="PUU9" s="87"/>
      <c r="PUV9" s="87"/>
      <c r="PUW9" s="87"/>
      <c r="PUX9" s="87"/>
      <c r="PUY9" s="87"/>
      <c r="PUZ9" s="87"/>
      <c r="PVA9" s="87"/>
      <c r="PVB9" s="87"/>
      <c r="PVC9" s="87"/>
      <c r="PVD9" s="87"/>
      <c r="PVE9" s="87"/>
      <c r="PVF9" s="87"/>
      <c r="PVG9" s="87"/>
      <c r="PVH9" s="87"/>
      <c r="PVI9" s="87"/>
      <c r="PVJ9" s="87"/>
      <c r="PVK9" s="87"/>
      <c r="PVL9" s="87"/>
      <c r="PVM9" s="87"/>
      <c r="PVN9" s="87"/>
      <c r="PVO9" s="87"/>
      <c r="PVP9" s="87"/>
      <c r="PVQ9" s="87"/>
      <c r="PVR9" s="87"/>
      <c r="PVS9" s="87"/>
      <c r="PVT9" s="87"/>
      <c r="PVU9" s="87"/>
      <c r="PVV9" s="87"/>
      <c r="PVW9" s="87"/>
      <c r="PVX9" s="87"/>
      <c r="PVY9" s="87"/>
      <c r="PVZ9" s="87"/>
      <c r="PWA9" s="87"/>
      <c r="PWB9" s="87"/>
      <c r="PWC9" s="87"/>
      <c r="PWD9" s="87"/>
      <c r="PWE9" s="87"/>
      <c r="PWF9" s="87"/>
      <c r="PWG9" s="87"/>
      <c r="PWH9" s="87"/>
      <c r="PWI9" s="87"/>
      <c r="PWJ9" s="87"/>
      <c r="PWK9" s="87"/>
      <c r="PWL9" s="87"/>
      <c r="PWM9" s="87"/>
      <c r="PWN9" s="87"/>
      <c r="PWO9" s="87"/>
      <c r="PWP9" s="87"/>
      <c r="PWQ9" s="87"/>
      <c r="PWR9" s="87"/>
      <c r="PWS9" s="87"/>
      <c r="PWT9" s="87"/>
      <c r="PWU9" s="87"/>
      <c r="PWV9" s="87"/>
      <c r="PWW9" s="87"/>
      <c r="PWX9" s="87"/>
      <c r="PWY9" s="87"/>
      <c r="PWZ9" s="87"/>
      <c r="PXA9" s="87"/>
      <c r="PXB9" s="87"/>
      <c r="PXC9" s="87"/>
      <c r="PXD9" s="87"/>
      <c r="PXE9" s="87"/>
      <c r="PXF9" s="87"/>
      <c r="PXG9" s="87"/>
      <c r="PXH9" s="87"/>
      <c r="PXI9" s="87"/>
      <c r="PXJ9" s="87"/>
      <c r="PXK9" s="87"/>
      <c r="PXL9" s="87"/>
      <c r="PXM9" s="87"/>
      <c r="PXN9" s="87"/>
      <c r="PXO9" s="87"/>
      <c r="PXP9" s="87"/>
      <c r="PXQ9" s="87"/>
      <c r="PXR9" s="87"/>
      <c r="PXS9" s="87"/>
      <c r="PXT9" s="87"/>
      <c r="PXU9" s="87"/>
      <c r="PXV9" s="87"/>
      <c r="PXW9" s="87"/>
      <c r="PXX9" s="87"/>
      <c r="PXY9" s="87"/>
      <c r="PXZ9" s="87"/>
      <c r="PYA9" s="87"/>
      <c r="PYB9" s="87"/>
      <c r="PYC9" s="87"/>
      <c r="PYD9" s="87"/>
      <c r="PYE9" s="87"/>
      <c r="PYF9" s="87"/>
      <c r="PYG9" s="87"/>
      <c r="PYH9" s="87"/>
      <c r="PYI9" s="87"/>
      <c r="PYJ9" s="87"/>
      <c r="PYK9" s="87"/>
      <c r="PYL9" s="87"/>
      <c r="PYM9" s="87"/>
      <c r="PYN9" s="87"/>
      <c r="PYO9" s="87"/>
      <c r="PYP9" s="87"/>
      <c r="PYQ9" s="87"/>
      <c r="PYR9" s="87"/>
      <c r="PYS9" s="87"/>
      <c r="PYT9" s="87"/>
      <c r="PYU9" s="87"/>
      <c r="PYV9" s="87"/>
      <c r="PYW9" s="87"/>
      <c r="PYX9" s="87"/>
      <c r="PYY9" s="87"/>
      <c r="PYZ9" s="87"/>
      <c r="PZA9" s="87"/>
      <c r="PZB9" s="87"/>
      <c r="PZC9" s="87"/>
      <c r="PZD9" s="87"/>
      <c r="PZE9" s="87"/>
      <c r="PZF9" s="87"/>
      <c r="PZG9" s="87"/>
      <c r="PZH9" s="87"/>
      <c r="PZI9" s="87"/>
      <c r="PZJ9" s="87"/>
      <c r="PZK9" s="87"/>
      <c r="PZL9" s="87"/>
      <c r="PZM9" s="87"/>
      <c r="PZN9" s="87"/>
      <c r="PZO9" s="87"/>
      <c r="PZP9" s="87"/>
      <c r="PZQ9" s="87"/>
      <c r="PZR9" s="87"/>
      <c r="PZS9" s="87"/>
      <c r="PZT9" s="87"/>
      <c r="PZU9" s="87"/>
      <c r="PZV9" s="87"/>
      <c r="PZW9" s="87"/>
      <c r="PZX9" s="87"/>
      <c r="PZY9" s="87"/>
      <c r="PZZ9" s="87"/>
      <c r="QAA9" s="87"/>
      <c r="QAB9" s="87"/>
      <c r="QAC9" s="87"/>
      <c r="QAD9" s="87"/>
      <c r="QAE9" s="87"/>
      <c r="QAF9" s="87"/>
      <c r="QAG9" s="87"/>
      <c r="QAH9" s="87"/>
      <c r="QAI9" s="87"/>
      <c r="QAJ9" s="87"/>
      <c r="QAK9" s="87"/>
      <c r="QAL9" s="87"/>
      <c r="QAM9" s="87"/>
      <c r="QAN9" s="87"/>
      <c r="QAO9" s="87"/>
      <c r="QAP9" s="87"/>
      <c r="QAQ9" s="87"/>
      <c r="QAR9" s="87"/>
      <c r="QAS9" s="87"/>
      <c r="QAT9" s="87"/>
      <c r="QAU9" s="87"/>
      <c r="QAV9" s="87"/>
      <c r="QAW9" s="87"/>
      <c r="QAX9" s="87"/>
      <c r="QAY9" s="87"/>
      <c r="QAZ9" s="87"/>
      <c r="QBA9" s="87"/>
      <c r="QBB9" s="87"/>
      <c r="QBC9" s="87"/>
      <c r="QBD9" s="87"/>
      <c r="QBE9" s="87"/>
      <c r="QBF9" s="87"/>
      <c r="QBG9" s="87"/>
      <c r="QBH9" s="87"/>
      <c r="QBI9" s="87"/>
      <c r="QBJ9" s="87"/>
      <c r="QBK9" s="87"/>
      <c r="QBL9" s="87"/>
      <c r="QBM9" s="87"/>
      <c r="QBN9" s="87"/>
      <c r="QBO9" s="87"/>
      <c r="QBP9" s="87"/>
      <c r="QBQ9" s="87"/>
      <c r="QBR9" s="87"/>
      <c r="QBS9" s="87"/>
      <c r="QBT9" s="87"/>
      <c r="QBU9" s="87"/>
      <c r="QBV9" s="87"/>
      <c r="QBW9" s="87"/>
      <c r="QBX9" s="87"/>
      <c r="QBY9" s="87"/>
      <c r="QBZ9" s="87"/>
      <c r="QCA9" s="87"/>
      <c r="QCB9" s="87"/>
      <c r="QCC9" s="87"/>
      <c r="QCD9" s="87"/>
      <c r="QCE9" s="87"/>
      <c r="QCF9" s="87"/>
      <c r="QCG9" s="87"/>
      <c r="QCH9" s="87"/>
      <c r="QCI9" s="87"/>
      <c r="QCJ9" s="87"/>
      <c r="QCK9" s="87"/>
      <c r="QCL9" s="87"/>
      <c r="QCM9" s="87"/>
      <c r="QCN9" s="87"/>
      <c r="QCO9" s="87"/>
      <c r="QCP9" s="87"/>
      <c r="QCQ9" s="87"/>
      <c r="QCR9" s="87"/>
      <c r="QCS9" s="87"/>
      <c r="QCT9" s="87"/>
      <c r="QCU9" s="87"/>
      <c r="QCV9" s="87"/>
      <c r="QCW9" s="87"/>
      <c r="QCX9" s="87"/>
      <c r="QCY9" s="87"/>
      <c r="QCZ9" s="87"/>
      <c r="QDA9" s="87"/>
      <c r="QDB9" s="87"/>
      <c r="QDC9" s="87"/>
      <c r="QDD9" s="87"/>
      <c r="QDE9" s="87"/>
      <c r="QDF9" s="87"/>
      <c r="QDG9" s="87"/>
      <c r="QDH9" s="87"/>
      <c r="QDI9" s="87"/>
      <c r="QDJ9" s="87"/>
      <c r="QDK9" s="87"/>
      <c r="QDL9" s="87"/>
      <c r="QDM9" s="87"/>
      <c r="QDN9" s="87"/>
      <c r="QDO9" s="87"/>
      <c r="QDP9" s="87"/>
      <c r="QDQ9" s="87"/>
      <c r="QDR9" s="87"/>
      <c r="QDS9" s="87"/>
      <c r="QDT9" s="87"/>
      <c r="QDU9" s="87"/>
      <c r="QDV9" s="87"/>
      <c r="QDW9" s="87"/>
      <c r="QDX9" s="87"/>
      <c r="QDY9" s="87"/>
      <c r="QDZ9" s="87"/>
      <c r="QEA9" s="87"/>
      <c r="QEB9" s="87"/>
      <c r="QEC9" s="87"/>
      <c r="QED9" s="87"/>
      <c r="QEE9" s="87"/>
      <c r="QEF9" s="87"/>
      <c r="QEG9" s="87"/>
      <c r="QEH9" s="87"/>
      <c r="QEI9" s="87"/>
      <c r="QEJ9" s="87"/>
      <c r="QEK9" s="87"/>
      <c r="QEL9" s="87"/>
      <c r="QEM9" s="87"/>
      <c r="QEN9" s="87"/>
      <c r="QEO9" s="87"/>
      <c r="QEP9" s="87"/>
      <c r="QEQ9" s="87"/>
      <c r="QER9" s="87"/>
      <c r="QES9" s="87"/>
      <c r="QET9" s="87"/>
      <c r="QEU9" s="87"/>
      <c r="QEV9" s="87"/>
      <c r="QEW9" s="87"/>
      <c r="QEX9" s="87"/>
      <c r="QEY9" s="87"/>
      <c r="QEZ9" s="87"/>
      <c r="QFA9" s="87"/>
      <c r="QFB9" s="87"/>
      <c r="QFC9" s="87"/>
      <c r="QFD9" s="87"/>
      <c r="QFE9" s="87"/>
      <c r="QFF9" s="87"/>
      <c r="QFG9" s="87"/>
      <c r="QFH9" s="87"/>
      <c r="QFI9" s="87"/>
      <c r="QFJ9" s="87"/>
      <c r="QFK9" s="87"/>
      <c r="QFL9" s="87"/>
      <c r="QFM9" s="87"/>
      <c r="QFN9" s="87"/>
      <c r="QFO9" s="87"/>
      <c r="QFP9" s="87"/>
      <c r="QFQ9" s="87"/>
      <c r="QFR9" s="87"/>
      <c r="QFS9" s="87"/>
      <c r="QFT9" s="87"/>
      <c r="QFU9" s="87"/>
      <c r="QFV9" s="87"/>
      <c r="QFW9" s="87"/>
      <c r="QFX9" s="87"/>
      <c r="QFY9" s="87"/>
      <c r="QFZ9" s="87"/>
      <c r="QGA9" s="87"/>
      <c r="QGB9" s="87"/>
      <c r="QGC9" s="87"/>
      <c r="QGD9" s="87"/>
      <c r="QGE9" s="87"/>
      <c r="QGF9" s="87"/>
      <c r="QGG9" s="87"/>
      <c r="QGH9" s="87"/>
      <c r="QGI9" s="87"/>
      <c r="QGJ9" s="87"/>
      <c r="QGK9" s="87"/>
      <c r="QGL9" s="87"/>
      <c r="QGM9" s="87"/>
      <c r="QGN9" s="87"/>
      <c r="QGO9" s="87"/>
      <c r="QGP9" s="87"/>
      <c r="QGQ9" s="87"/>
      <c r="QGR9" s="87"/>
      <c r="QGS9" s="87"/>
      <c r="QGT9" s="87"/>
      <c r="QGU9" s="87"/>
      <c r="QGV9" s="87"/>
      <c r="QGW9" s="87"/>
      <c r="QGX9" s="87"/>
      <c r="QGY9" s="87"/>
      <c r="QGZ9" s="87"/>
      <c r="QHA9" s="87"/>
      <c r="QHB9" s="87"/>
      <c r="QHC9" s="87"/>
      <c r="QHD9" s="87"/>
      <c r="QHE9" s="87"/>
      <c r="QHF9" s="87"/>
      <c r="QHG9" s="87"/>
      <c r="QHH9" s="87"/>
      <c r="QHI9" s="87"/>
      <c r="QHJ9" s="87"/>
      <c r="QHK9" s="87"/>
      <c r="QHL9" s="87"/>
      <c r="QHM9" s="87"/>
      <c r="QHN9" s="87"/>
      <c r="QHO9" s="87"/>
      <c r="QHP9" s="87"/>
      <c r="QHQ9" s="87"/>
      <c r="QHR9" s="87"/>
      <c r="QHS9" s="87"/>
      <c r="QHT9" s="87"/>
      <c r="QHU9" s="87"/>
      <c r="QHV9" s="87"/>
      <c r="QHW9" s="87"/>
      <c r="QHX9" s="87"/>
      <c r="QHY9" s="87"/>
      <c r="QHZ9" s="87"/>
      <c r="QIA9" s="87"/>
      <c r="QIB9" s="87"/>
      <c r="QIC9" s="87"/>
      <c r="QID9" s="87"/>
      <c r="QIE9" s="87"/>
      <c r="QIF9" s="87"/>
      <c r="QIG9" s="87"/>
      <c r="QIH9" s="87"/>
      <c r="QII9" s="87"/>
      <c r="QIJ9" s="87"/>
      <c r="QIK9" s="87"/>
      <c r="QIL9" s="87"/>
      <c r="QIM9" s="87"/>
      <c r="QIN9" s="87"/>
      <c r="QIO9" s="87"/>
      <c r="QIP9" s="87"/>
      <c r="QIQ9" s="87"/>
      <c r="QIR9" s="87"/>
      <c r="QIS9" s="87"/>
      <c r="QIT9" s="87"/>
      <c r="QIU9" s="87"/>
      <c r="QIV9" s="87"/>
      <c r="QIW9" s="87"/>
      <c r="QIX9" s="87"/>
      <c r="QIY9" s="87"/>
      <c r="QIZ9" s="87"/>
      <c r="QJA9" s="87"/>
      <c r="QJB9" s="87"/>
      <c r="QJC9" s="87"/>
      <c r="QJD9" s="87"/>
      <c r="QJE9" s="87"/>
      <c r="QJF9" s="87"/>
      <c r="QJG9" s="87"/>
      <c r="QJH9" s="87"/>
      <c r="QJI9" s="87"/>
      <c r="QJJ9" s="87"/>
      <c r="QJK9" s="87"/>
      <c r="QJL9" s="87"/>
      <c r="QJM9" s="87"/>
      <c r="QJN9" s="87"/>
      <c r="QJO9" s="87"/>
      <c r="QJP9" s="87"/>
      <c r="QJQ9" s="87"/>
      <c r="QJR9" s="87"/>
      <c r="QJS9" s="87"/>
      <c r="QJT9" s="87"/>
      <c r="QJU9" s="87"/>
      <c r="QJV9" s="87"/>
      <c r="QJW9" s="87"/>
      <c r="QJX9" s="87"/>
      <c r="QJY9" s="87"/>
      <c r="QJZ9" s="87"/>
      <c r="QKA9" s="87"/>
      <c r="QKB9" s="87"/>
      <c r="QKC9" s="87"/>
      <c r="QKD9" s="87"/>
      <c r="QKE9" s="87"/>
      <c r="QKF9" s="87"/>
      <c r="QKG9" s="87"/>
      <c r="QKH9" s="87"/>
      <c r="QKI9" s="87"/>
      <c r="QKJ9" s="87"/>
      <c r="QKK9" s="87"/>
      <c r="QKL9" s="87"/>
      <c r="QKM9" s="87"/>
      <c r="QKN9" s="87"/>
      <c r="QKO9" s="87"/>
      <c r="QKP9" s="87"/>
      <c r="QKQ9" s="87"/>
      <c r="QKR9" s="87"/>
      <c r="QKS9" s="87"/>
      <c r="QKT9" s="87"/>
      <c r="QKU9" s="87"/>
      <c r="QKV9" s="87"/>
      <c r="QKW9" s="87"/>
      <c r="QKX9" s="87"/>
      <c r="QKY9" s="87"/>
      <c r="QKZ9" s="87"/>
      <c r="QLA9" s="87"/>
      <c r="QLB9" s="87"/>
      <c r="QLC9" s="87"/>
      <c r="QLD9" s="87"/>
      <c r="QLE9" s="87"/>
      <c r="QLF9" s="87"/>
      <c r="QLG9" s="87"/>
      <c r="QLH9" s="87"/>
      <c r="QLI9" s="87"/>
      <c r="QLJ9" s="87"/>
      <c r="QLK9" s="87"/>
      <c r="QLL9" s="87"/>
      <c r="QLM9" s="87"/>
      <c r="QLN9" s="87"/>
      <c r="QLO9" s="87"/>
      <c r="QLP9" s="87"/>
      <c r="QLQ9" s="87"/>
      <c r="QLR9" s="87"/>
      <c r="QLS9" s="87"/>
      <c r="QLT9" s="87"/>
      <c r="QLU9" s="87"/>
      <c r="QLV9" s="87"/>
      <c r="QLW9" s="87"/>
      <c r="QLX9" s="87"/>
      <c r="QLY9" s="87"/>
      <c r="QLZ9" s="87"/>
      <c r="QMA9" s="87"/>
      <c r="QMB9" s="87"/>
      <c r="QMC9" s="87"/>
      <c r="QMD9" s="87"/>
      <c r="QME9" s="87"/>
      <c r="QMF9" s="87"/>
      <c r="QMG9" s="87"/>
      <c r="QMH9" s="87"/>
      <c r="QMI9" s="87"/>
      <c r="QMJ9" s="87"/>
      <c r="QMK9" s="87"/>
      <c r="QML9" s="87"/>
      <c r="QMM9" s="87"/>
      <c r="QMN9" s="87"/>
      <c r="QMO9" s="87"/>
      <c r="QMP9" s="87"/>
      <c r="QMQ9" s="87"/>
      <c r="QMR9" s="87"/>
      <c r="QMS9" s="87"/>
      <c r="QMT9" s="87"/>
      <c r="QMU9" s="87"/>
      <c r="QMV9" s="87"/>
      <c r="QMW9" s="87"/>
      <c r="QMX9" s="87"/>
      <c r="QMY9" s="87"/>
      <c r="QMZ9" s="87"/>
      <c r="QNA9" s="87"/>
      <c r="QNB9" s="87"/>
      <c r="QNC9" s="87"/>
      <c r="QND9" s="87"/>
      <c r="QNE9" s="87"/>
      <c r="QNF9" s="87"/>
      <c r="QNG9" s="87"/>
      <c r="QNH9" s="87"/>
      <c r="QNI9" s="87"/>
      <c r="QNJ9" s="87"/>
      <c r="QNK9" s="87"/>
      <c r="QNL9" s="87"/>
      <c r="QNM9" s="87"/>
      <c r="QNN9" s="87"/>
      <c r="QNO9" s="87"/>
      <c r="QNP9" s="87"/>
      <c r="QNQ9" s="87"/>
      <c r="QNR9" s="87"/>
      <c r="QNS9" s="87"/>
      <c r="QNT9" s="87"/>
      <c r="QNU9" s="87"/>
      <c r="QNV9" s="87"/>
      <c r="QNW9" s="87"/>
      <c r="QNX9" s="87"/>
      <c r="QNY9" s="87"/>
      <c r="QNZ9" s="87"/>
      <c r="QOA9" s="87"/>
      <c r="QOB9" s="87"/>
      <c r="QOC9" s="87"/>
      <c r="QOD9" s="87"/>
      <c r="QOE9" s="87"/>
      <c r="QOF9" s="87"/>
      <c r="QOG9" s="87"/>
      <c r="QOH9" s="87"/>
      <c r="QOI9" s="87"/>
      <c r="QOJ9" s="87"/>
      <c r="QOK9" s="87"/>
      <c r="QOL9" s="87"/>
      <c r="QOM9" s="87"/>
      <c r="QON9" s="87"/>
      <c r="QOO9" s="87"/>
      <c r="QOP9" s="87"/>
      <c r="QOQ9" s="87"/>
      <c r="QOR9" s="87"/>
      <c r="QOS9" s="87"/>
      <c r="QOT9" s="87"/>
      <c r="QOU9" s="87"/>
      <c r="QOV9" s="87"/>
      <c r="QOW9" s="87"/>
      <c r="QOX9" s="87"/>
      <c r="QOY9" s="87"/>
      <c r="QOZ9" s="87"/>
      <c r="QPA9" s="87"/>
      <c r="QPB9" s="87"/>
      <c r="QPC9" s="87"/>
      <c r="QPD9" s="87"/>
      <c r="QPE9" s="87"/>
      <c r="QPF9" s="87"/>
      <c r="QPG9" s="87"/>
      <c r="QPH9" s="87"/>
      <c r="QPI9" s="87"/>
      <c r="QPJ9" s="87"/>
      <c r="QPK9" s="87"/>
      <c r="QPL9" s="87"/>
      <c r="QPM9" s="87"/>
      <c r="QPN9" s="87"/>
      <c r="QPO9" s="87"/>
      <c r="QPP9" s="87"/>
      <c r="QPQ9" s="87"/>
      <c r="QPR9" s="87"/>
      <c r="QPS9" s="87"/>
      <c r="QPT9" s="87"/>
      <c r="QPU9" s="87"/>
      <c r="QPV9" s="87"/>
      <c r="QPW9" s="87"/>
      <c r="QPX9" s="87"/>
      <c r="QPY9" s="87"/>
      <c r="QPZ9" s="87"/>
      <c r="QQA9" s="87"/>
      <c r="QQB9" s="87"/>
      <c r="QQC9" s="87"/>
      <c r="QQD9" s="87"/>
      <c r="QQE9" s="87"/>
      <c r="QQF9" s="87"/>
      <c r="QQG9" s="87"/>
      <c r="QQH9" s="87"/>
      <c r="QQI9" s="87"/>
      <c r="QQJ9" s="87"/>
      <c r="QQK9" s="87"/>
      <c r="QQL9" s="87"/>
      <c r="QQM9" s="87"/>
      <c r="QQN9" s="87"/>
      <c r="QQO9" s="87"/>
      <c r="QQP9" s="87"/>
      <c r="QQQ9" s="87"/>
      <c r="QQR9" s="87"/>
      <c r="QQS9" s="87"/>
      <c r="QQT9" s="87"/>
      <c r="QQU9" s="87"/>
      <c r="QQV9" s="87"/>
      <c r="QQW9" s="87"/>
      <c r="QQX9" s="87"/>
      <c r="QQY9" s="87"/>
      <c r="QQZ9" s="87"/>
      <c r="QRA9" s="87"/>
      <c r="QRB9" s="87"/>
      <c r="QRC9" s="87"/>
      <c r="QRD9" s="87"/>
      <c r="QRE9" s="87"/>
      <c r="QRF9" s="87"/>
      <c r="QRG9" s="87"/>
      <c r="QRH9" s="87"/>
      <c r="QRI9" s="87"/>
      <c r="QRJ9" s="87"/>
      <c r="QRK9" s="87"/>
      <c r="QRL9" s="87"/>
      <c r="QRM9" s="87"/>
      <c r="QRN9" s="87"/>
      <c r="QRO9" s="87"/>
      <c r="QRP9" s="87"/>
      <c r="QRQ9" s="87"/>
      <c r="QRR9" s="87"/>
      <c r="QRS9" s="87"/>
      <c r="QRT9" s="87"/>
      <c r="QRU9" s="87"/>
      <c r="QRV9" s="87"/>
      <c r="QRW9" s="87"/>
      <c r="QRX9" s="87"/>
      <c r="QRY9" s="87"/>
      <c r="QRZ9" s="87"/>
      <c r="QSA9" s="87"/>
      <c r="QSB9" s="87"/>
      <c r="QSC9" s="87"/>
      <c r="QSD9" s="87"/>
      <c r="QSE9" s="87"/>
      <c r="QSF9" s="87"/>
      <c r="QSG9" s="87"/>
      <c r="QSH9" s="87"/>
      <c r="QSI9" s="87"/>
      <c r="QSJ9" s="87"/>
      <c r="QSK9" s="87"/>
      <c r="QSL9" s="87"/>
      <c r="QSM9" s="87"/>
      <c r="QSN9" s="87"/>
      <c r="QSO9" s="87"/>
      <c r="QSP9" s="87"/>
      <c r="QSQ9" s="87"/>
      <c r="QSR9" s="87"/>
      <c r="QSS9" s="87"/>
      <c r="QST9" s="87"/>
      <c r="QSU9" s="87"/>
      <c r="QSV9" s="87"/>
      <c r="QSW9" s="87"/>
      <c r="QSX9" s="87"/>
      <c r="QSY9" s="87"/>
      <c r="QSZ9" s="87"/>
      <c r="QTA9" s="87"/>
      <c r="QTB9" s="87"/>
      <c r="QTC9" s="87"/>
      <c r="QTD9" s="87"/>
      <c r="QTE9" s="87"/>
      <c r="QTF9" s="87"/>
      <c r="QTG9" s="87"/>
      <c r="QTH9" s="87"/>
      <c r="QTI9" s="87"/>
      <c r="QTJ9" s="87"/>
      <c r="QTK9" s="87"/>
      <c r="QTL9" s="87"/>
      <c r="QTM9" s="87"/>
      <c r="QTN9" s="87"/>
      <c r="QTO9" s="87"/>
      <c r="QTP9" s="87"/>
      <c r="QTQ9" s="87"/>
      <c r="QTR9" s="87"/>
      <c r="QTS9" s="87"/>
      <c r="QTT9" s="87"/>
      <c r="QTU9" s="87"/>
      <c r="QTV9" s="87"/>
      <c r="QTW9" s="87"/>
      <c r="QTX9" s="87"/>
      <c r="QTY9" s="87"/>
      <c r="QTZ9" s="87"/>
      <c r="QUA9" s="87"/>
      <c r="QUB9" s="87"/>
      <c r="QUC9" s="87"/>
      <c r="QUD9" s="87"/>
      <c r="QUE9" s="87"/>
      <c r="QUF9" s="87"/>
      <c r="QUG9" s="87"/>
      <c r="QUH9" s="87"/>
      <c r="QUI9" s="87"/>
      <c r="QUJ9" s="87"/>
      <c r="QUK9" s="87"/>
      <c r="QUL9" s="87"/>
      <c r="QUM9" s="87"/>
      <c r="QUN9" s="87"/>
      <c r="QUO9" s="87"/>
      <c r="QUP9" s="87"/>
      <c r="QUQ9" s="87"/>
      <c r="QUR9" s="87"/>
      <c r="QUS9" s="87"/>
      <c r="QUT9" s="87"/>
      <c r="QUU9" s="87"/>
      <c r="QUV9" s="87"/>
      <c r="QUW9" s="87"/>
      <c r="QUX9" s="87"/>
      <c r="QUY9" s="87"/>
      <c r="QUZ9" s="87"/>
      <c r="QVA9" s="87"/>
      <c r="QVB9" s="87"/>
      <c r="QVC9" s="87"/>
      <c r="QVD9" s="87"/>
      <c r="QVE9" s="87"/>
      <c r="QVF9" s="87"/>
      <c r="QVG9" s="87"/>
      <c r="QVH9" s="87"/>
      <c r="QVI9" s="87"/>
      <c r="QVJ9" s="87"/>
      <c r="QVK9" s="87"/>
      <c r="QVL9" s="87"/>
      <c r="QVM9" s="87"/>
      <c r="QVN9" s="87"/>
      <c r="QVO9" s="87"/>
      <c r="QVP9" s="87"/>
      <c r="QVQ9" s="87"/>
      <c r="QVR9" s="87"/>
      <c r="QVS9" s="87"/>
      <c r="QVT9" s="87"/>
      <c r="QVU9" s="87"/>
      <c r="QVV9" s="87"/>
      <c r="QVW9" s="87"/>
      <c r="QVX9" s="87"/>
      <c r="QVY9" s="87"/>
      <c r="QVZ9" s="87"/>
      <c r="QWA9" s="87"/>
      <c r="QWB9" s="87"/>
      <c r="QWC9" s="87"/>
      <c r="QWD9" s="87"/>
      <c r="QWE9" s="87"/>
      <c r="QWF9" s="87"/>
      <c r="QWG9" s="87"/>
      <c r="QWH9" s="87"/>
      <c r="QWI9" s="87"/>
      <c r="QWJ9" s="87"/>
      <c r="QWK9" s="87"/>
      <c r="QWL9" s="87"/>
      <c r="QWM9" s="87"/>
      <c r="QWN9" s="87"/>
      <c r="QWO9" s="87"/>
      <c r="QWP9" s="87"/>
      <c r="QWQ9" s="87"/>
      <c r="QWR9" s="87"/>
      <c r="QWS9" s="87"/>
      <c r="QWT9" s="87"/>
      <c r="QWU9" s="87"/>
      <c r="QWV9" s="87"/>
      <c r="QWW9" s="87"/>
      <c r="QWX9" s="87"/>
      <c r="QWY9" s="87"/>
      <c r="QWZ9" s="87"/>
      <c r="QXA9" s="87"/>
      <c r="QXB9" s="87"/>
      <c r="QXC9" s="87"/>
      <c r="QXD9" s="87"/>
      <c r="QXE9" s="87"/>
      <c r="QXF9" s="87"/>
      <c r="QXG9" s="87"/>
      <c r="QXH9" s="87"/>
      <c r="QXI9" s="87"/>
      <c r="QXJ9" s="87"/>
      <c r="QXK9" s="87"/>
      <c r="QXL9" s="87"/>
      <c r="QXM9" s="87"/>
      <c r="QXN9" s="87"/>
      <c r="QXO9" s="87"/>
      <c r="QXP9" s="87"/>
      <c r="QXQ9" s="87"/>
      <c r="QXR9" s="87"/>
      <c r="QXS9" s="87"/>
      <c r="QXT9" s="87"/>
      <c r="QXU9" s="87"/>
      <c r="QXV9" s="87"/>
      <c r="QXW9" s="87"/>
      <c r="QXX9" s="87"/>
      <c r="QXY9" s="87"/>
      <c r="QXZ9" s="87"/>
      <c r="QYA9" s="87"/>
      <c r="QYB9" s="87"/>
      <c r="QYC9" s="87"/>
      <c r="QYD9" s="87"/>
      <c r="QYE9" s="87"/>
      <c r="QYF9" s="87"/>
      <c r="QYG9" s="87"/>
      <c r="QYH9" s="87"/>
      <c r="QYI9" s="87"/>
      <c r="QYJ9" s="87"/>
      <c r="QYK9" s="87"/>
      <c r="QYL9" s="87"/>
      <c r="QYM9" s="87"/>
      <c r="QYN9" s="87"/>
      <c r="QYO9" s="87"/>
      <c r="QYP9" s="87"/>
      <c r="QYQ9" s="87"/>
      <c r="QYR9" s="87"/>
      <c r="QYS9" s="87"/>
      <c r="QYT9" s="87"/>
      <c r="QYU9" s="87"/>
      <c r="QYV9" s="87"/>
      <c r="QYW9" s="87"/>
      <c r="QYX9" s="87"/>
      <c r="QYY9" s="87"/>
      <c r="QYZ9" s="87"/>
      <c r="QZA9" s="87"/>
      <c r="QZB9" s="87"/>
      <c r="QZC9" s="87"/>
      <c r="QZD9" s="87"/>
      <c r="QZE9" s="87"/>
      <c r="QZF9" s="87"/>
      <c r="QZG9" s="87"/>
      <c r="QZH9" s="87"/>
      <c r="QZI9" s="87"/>
      <c r="QZJ9" s="87"/>
      <c r="QZK9" s="87"/>
      <c r="QZL9" s="87"/>
      <c r="QZM9" s="87"/>
      <c r="QZN9" s="87"/>
      <c r="QZO9" s="87"/>
      <c r="QZP9" s="87"/>
      <c r="QZQ9" s="87"/>
      <c r="QZR9" s="87"/>
      <c r="QZS9" s="87"/>
      <c r="QZT9" s="87"/>
      <c r="QZU9" s="87"/>
      <c r="QZV9" s="87"/>
      <c r="QZW9" s="87"/>
      <c r="QZX9" s="87"/>
      <c r="QZY9" s="87"/>
      <c r="QZZ9" s="87"/>
      <c r="RAA9" s="87"/>
      <c r="RAB9" s="87"/>
      <c r="RAC9" s="87"/>
      <c r="RAD9" s="87"/>
      <c r="RAE9" s="87"/>
      <c r="RAF9" s="87"/>
      <c r="RAG9" s="87"/>
      <c r="RAH9" s="87"/>
      <c r="RAI9" s="87"/>
      <c r="RAJ9" s="87"/>
      <c r="RAK9" s="87"/>
      <c r="RAL9" s="87"/>
      <c r="RAM9" s="87"/>
      <c r="RAN9" s="87"/>
      <c r="RAO9" s="87"/>
      <c r="RAP9" s="87"/>
      <c r="RAQ9" s="87"/>
      <c r="RAR9" s="87"/>
      <c r="RAS9" s="87"/>
      <c r="RAT9" s="87"/>
      <c r="RAU9" s="87"/>
      <c r="RAV9" s="87"/>
      <c r="RAW9" s="87"/>
      <c r="RAX9" s="87"/>
      <c r="RAY9" s="87"/>
      <c r="RAZ9" s="87"/>
      <c r="RBA9" s="87"/>
      <c r="RBB9" s="87"/>
      <c r="RBC9" s="87"/>
      <c r="RBD9" s="87"/>
      <c r="RBE9" s="87"/>
      <c r="RBF9" s="87"/>
      <c r="RBG9" s="87"/>
      <c r="RBH9" s="87"/>
      <c r="RBI9" s="87"/>
      <c r="RBJ9" s="87"/>
      <c r="RBK9" s="87"/>
      <c r="RBL9" s="87"/>
      <c r="RBM9" s="87"/>
      <c r="RBN9" s="87"/>
      <c r="RBO9" s="87"/>
      <c r="RBP9" s="87"/>
      <c r="RBQ9" s="87"/>
      <c r="RBR9" s="87"/>
      <c r="RBS9" s="87"/>
      <c r="RBT9" s="87"/>
      <c r="RBU9" s="87"/>
      <c r="RBV9" s="87"/>
      <c r="RBW9" s="87"/>
      <c r="RBX9" s="87"/>
      <c r="RBY9" s="87"/>
      <c r="RBZ9" s="87"/>
      <c r="RCA9" s="87"/>
      <c r="RCB9" s="87"/>
      <c r="RCC9" s="87"/>
      <c r="RCD9" s="87"/>
      <c r="RCE9" s="87"/>
      <c r="RCF9" s="87"/>
      <c r="RCG9" s="87"/>
      <c r="RCH9" s="87"/>
      <c r="RCI9" s="87"/>
      <c r="RCJ9" s="87"/>
      <c r="RCK9" s="87"/>
      <c r="RCL9" s="87"/>
      <c r="RCM9" s="87"/>
      <c r="RCN9" s="87"/>
      <c r="RCO9" s="87"/>
      <c r="RCP9" s="87"/>
      <c r="RCQ9" s="87"/>
      <c r="RCR9" s="87"/>
      <c r="RCS9" s="87"/>
      <c r="RCT9" s="87"/>
      <c r="RCU9" s="87"/>
      <c r="RCV9" s="87"/>
      <c r="RCW9" s="87"/>
      <c r="RCX9" s="87"/>
      <c r="RCY9" s="87"/>
      <c r="RCZ9" s="87"/>
      <c r="RDA9" s="87"/>
      <c r="RDB9" s="87"/>
      <c r="RDC9" s="87"/>
      <c r="RDD9" s="87"/>
      <c r="RDE9" s="87"/>
      <c r="RDF9" s="87"/>
      <c r="RDG9" s="87"/>
      <c r="RDH9" s="87"/>
      <c r="RDI9" s="87"/>
      <c r="RDJ9" s="87"/>
      <c r="RDK9" s="87"/>
      <c r="RDL9" s="87"/>
      <c r="RDM9" s="87"/>
      <c r="RDN9" s="87"/>
      <c r="RDO9" s="87"/>
      <c r="RDP9" s="87"/>
      <c r="RDQ9" s="87"/>
      <c r="RDR9" s="87"/>
      <c r="RDS9" s="87"/>
      <c r="RDT9" s="87"/>
      <c r="RDU9" s="87"/>
      <c r="RDV9" s="87"/>
      <c r="RDW9" s="87"/>
      <c r="RDX9" s="87"/>
      <c r="RDY9" s="87"/>
      <c r="RDZ9" s="87"/>
      <c r="REA9" s="87"/>
      <c r="REB9" s="87"/>
      <c r="REC9" s="87"/>
      <c r="RED9" s="87"/>
      <c r="REE9" s="87"/>
      <c r="REF9" s="87"/>
      <c r="REG9" s="87"/>
      <c r="REH9" s="87"/>
      <c r="REI9" s="87"/>
      <c r="REJ9" s="87"/>
      <c r="REK9" s="87"/>
      <c r="REL9" s="87"/>
      <c r="REM9" s="87"/>
      <c r="REN9" s="87"/>
      <c r="REO9" s="87"/>
      <c r="REP9" s="87"/>
      <c r="REQ9" s="87"/>
      <c r="RER9" s="87"/>
      <c r="RES9" s="87"/>
      <c r="RET9" s="87"/>
      <c r="REU9" s="87"/>
      <c r="REV9" s="87"/>
      <c r="REW9" s="87"/>
      <c r="REX9" s="87"/>
      <c r="REY9" s="87"/>
      <c r="REZ9" s="87"/>
      <c r="RFA9" s="87"/>
      <c r="RFB9" s="87"/>
      <c r="RFC9" s="87"/>
      <c r="RFD9" s="87"/>
      <c r="RFE9" s="87"/>
      <c r="RFF9" s="87"/>
      <c r="RFG9" s="87"/>
      <c r="RFH9" s="87"/>
      <c r="RFI9" s="87"/>
      <c r="RFJ9" s="87"/>
      <c r="RFK9" s="87"/>
      <c r="RFL9" s="87"/>
      <c r="RFM9" s="87"/>
      <c r="RFN9" s="87"/>
      <c r="RFO9" s="87"/>
      <c r="RFP9" s="87"/>
      <c r="RFQ9" s="87"/>
      <c r="RFR9" s="87"/>
      <c r="RFS9" s="87"/>
      <c r="RFT9" s="87"/>
      <c r="RFU9" s="87"/>
      <c r="RFV9" s="87"/>
      <c r="RFW9" s="87"/>
      <c r="RFX9" s="87"/>
      <c r="RFY9" s="87"/>
      <c r="RFZ9" s="87"/>
      <c r="RGA9" s="87"/>
      <c r="RGB9" s="87"/>
      <c r="RGC9" s="87"/>
      <c r="RGD9" s="87"/>
      <c r="RGE9" s="87"/>
      <c r="RGF9" s="87"/>
      <c r="RGG9" s="87"/>
      <c r="RGH9" s="87"/>
      <c r="RGI9" s="87"/>
      <c r="RGJ9" s="87"/>
      <c r="RGK9" s="87"/>
      <c r="RGL9" s="87"/>
      <c r="RGM9" s="87"/>
      <c r="RGN9" s="87"/>
      <c r="RGO9" s="87"/>
      <c r="RGP9" s="87"/>
      <c r="RGQ9" s="87"/>
      <c r="RGR9" s="87"/>
      <c r="RGS9" s="87"/>
      <c r="RGT9" s="87"/>
      <c r="RGU9" s="87"/>
      <c r="RGV9" s="87"/>
      <c r="RGW9" s="87"/>
      <c r="RGX9" s="87"/>
      <c r="RGY9" s="87"/>
      <c r="RGZ9" s="87"/>
      <c r="RHA9" s="87"/>
      <c r="RHB9" s="87"/>
      <c r="RHC9" s="87"/>
      <c r="RHD9" s="87"/>
      <c r="RHE9" s="87"/>
      <c r="RHF9" s="87"/>
      <c r="RHG9" s="87"/>
      <c r="RHH9" s="87"/>
      <c r="RHI9" s="87"/>
      <c r="RHJ9" s="87"/>
      <c r="RHK9" s="87"/>
      <c r="RHL9" s="87"/>
      <c r="RHM9" s="87"/>
      <c r="RHN9" s="87"/>
      <c r="RHO9" s="87"/>
      <c r="RHP9" s="87"/>
      <c r="RHQ9" s="87"/>
      <c r="RHR9" s="87"/>
      <c r="RHS9" s="87"/>
      <c r="RHT9" s="87"/>
      <c r="RHU9" s="87"/>
      <c r="RHV9" s="87"/>
      <c r="RHW9" s="87"/>
      <c r="RHX9" s="87"/>
      <c r="RHY9" s="87"/>
      <c r="RHZ9" s="87"/>
      <c r="RIA9" s="87"/>
      <c r="RIB9" s="87"/>
      <c r="RIC9" s="87"/>
      <c r="RID9" s="87"/>
      <c r="RIE9" s="87"/>
      <c r="RIF9" s="87"/>
      <c r="RIG9" s="87"/>
      <c r="RIH9" s="87"/>
      <c r="RII9" s="87"/>
      <c r="RIJ9" s="87"/>
      <c r="RIK9" s="87"/>
      <c r="RIL9" s="87"/>
      <c r="RIM9" s="87"/>
      <c r="RIN9" s="87"/>
      <c r="RIO9" s="87"/>
      <c r="RIP9" s="87"/>
      <c r="RIQ9" s="87"/>
      <c r="RIR9" s="87"/>
      <c r="RIS9" s="87"/>
      <c r="RIT9" s="87"/>
      <c r="RIU9" s="87"/>
      <c r="RIV9" s="87"/>
      <c r="RIW9" s="87"/>
      <c r="RIX9" s="87"/>
      <c r="RIY9" s="87"/>
      <c r="RIZ9" s="87"/>
      <c r="RJA9" s="87"/>
      <c r="RJB9" s="87"/>
      <c r="RJC9" s="87"/>
      <c r="RJD9" s="87"/>
      <c r="RJE9" s="87"/>
      <c r="RJF9" s="87"/>
      <c r="RJG9" s="87"/>
      <c r="RJH9" s="87"/>
      <c r="RJI9" s="87"/>
      <c r="RJJ9" s="87"/>
      <c r="RJK9" s="87"/>
      <c r="RJL9" s="87"/>
      <c r="RJM9" s="87"/>
      <c r="RJN9" s="87"/>
      <c r="RJO9" s="87"/>
      <c r="RJP9" s="87"/>
      <c r="RJQ9" s="87"/>
      <c r="RJR9" s="87"/>
      <c r="RJS9" s="87"/>
      <c r="RJT9" s="87"/>
      <c r="RJU9" s="87"/>
      <c r="RJV9" s="87"/>
      <c r="RJW9" s="87"/>
      <c r="RJX9" s="87"/>
      <c r="RJY9" s="87"/>
      <c r="RJZ9" s="87"/>
      <c r="RKA9" s="87"/>
      <c r="RKB9" s="87"/>
      <c r="RKC9" s="87"/>
      <c r="RKD9" s="87"/>
      <c r="RKE9" s="87"/>
      <c r="RKF9" s="87"/>
      <c r="RKG9" s="87"/>
      <c r="RKH9" s="87"/>
      <c r="RKI9" s="87"/>
      <c r="RKJ9" s="87"/>
      <c r="RKK9" s="87"/>
      <c r="RKL9" s="87"/>
      <c r="RKM9" s="87"/>
      <c r="RKN9" s="87"/>
      <c r="RKO9" s="87"/>
      <c r="RKP9" s="87"/>
      <c r="RKQ9" s="87"/>
      <c r="RKR9" s="87"/>
      <c r="RKS9" s="87"/>
      <c r="RKT9" s="87"/>
      <c r="RKU9" s="87"/>
      <c r="RKV9" s="87"/>
      <c r="RKW9" s="87"/>
      <c r="RKX9" s="87"/>
      <c r="RKY9" s="87"/>
      <c r="RKZ9" s="87"/>
      <c r="RLA9" s="87"/>
      <c r="RLB9" s="87"/>
      <c r="RLC9" s="87"/>
      <c r="RLD9" s="87"/>
      <c r="RLE9" s="87"/>
      <c r="RLF9" s="87"/>
      <c r="RLG9" s="87"/>
      <c r="RLH9" s="87"/>
      <c r="RLI9" s="87"/>
      <c r="RLJ9" s="87"/>
      <c r="RLK9" s="87"/>
      <c r="RLL9" s="87"/>
      <c r="RLM9" s="87"/>
      <c r="RLN9" s="87"/>
      <c r="RLO9" s="87"/>
      <c r="RLP9" s="87"/>
      <c r="RLQ9" s="87"/>
      <c r="RLR9" s="87"/>
      <c r="RLS9" s="87"/>
      <c r="RLT9" s="87"/>
      <c r="RLU9" s="87"/>
      <c r="RLV9" s="87"/>
      <c r="RLW9" s="87"/>
      <c r="RLX9" s="87"/>
      <c r="RLY9" s="87"/>
      <c r="RLZ9" s="87"/>
      <c r="RMA9" s="87"/>
      <c r="RMB9" s="87"/>
      <c r="RMC9" s="87"/>
      <c r="RMD9" s="87"/>
      <c r="RME9" s="87"/>
      <c r="RMF9" s="87"/>
      <c r="RMG9" s="87"/>
      <c r="RMH9" s="87"/>
      <c r="RMI9" s="87"/>
      <c r="RMJ9" s="87"/>
      <c r="RMK9" s="87"/>
      <c r="RML9" s="87"/>
      <c r="RMM9" s="87"/>
      <c r="RMN9" s="87"/>
      <c r="RMO9" s="87"/>
      <c r="RMP9" s="87"/>
      <c r="RMQ9" s="87"/>
      <c r="RMR9" s="87"/>
      <c r="RMS9" s="87"/>
      <c r="RMT9" s="87"/>
      <c r="RMU9" s="87"/>
      <c r="RMV9" s="87"/>
      <c r="RMW9" s="87"/>
      <c r="RMX9" s="87"/>
      <c r="RMY9" s="87"/>
      <c r="RMZ9" s="87"/>
      <c r="RNA9" s="87"/>
      <c r="RNB9" s="87"/>
      <c r="RNC9" s="87"/>
      <c r="RND9" s="87"/>
      <c r="RNE9" s="87"/>
      <c r="RNF9" s="87"/>
      <c r="RNG9" s="87"/>
      <c r="RNH9" s="87"/>
      <c r="RNI9" s="87"/>
      <c r="RNJ9" s="87"/>
      <c r="RNK9" s="87"/>
      <c r="RNL9" s="87"/>
      <c r="RNM9" s="87"/>
      <c r="RNN9" s="87"/>
      <c r="RNO9" s="87"/>
      <c r="RNP9" s="87"/>
      <c r="RNQ9" s="87"/>
      <c r="RNR9" s="87"/>
      <c r="RNS9" s="87"/>
      <c r="RNT9" s="87"/>
      <c r="RNU9" s="87"/>
      <c r="RNV9" s="87"/>
      <c r="RNW9" s="87"/>
      <c r="RNX9" s="87"/>
      <c r="RNY9" s="87"/>
      <c r="RNZ9" s="87"/>
      <c r="ROA9" s="87"/>
      <c r="ROB9" s="87"/>
      <c r="ROC9" s="87"/>
      <c r="ROD9" s="87"/>
      <c r="ROE9" s="87"/>
      <c r="ROF9" s="87"/>
      <c r="ROG9" s="87"/>
      <c r="ROH9" s="87"/>
      <c r="ROI9" s="87"/>
      <c r="ROJ9" s="87"/>
      <c r="ROK9" s="87"/>
      <c r="ROL9" s="87"/>
      <c r="ROM9" s="87"/>
      <c r="RON9" s="87"/>
      <c r="ROO9" s="87"/>
      <c r="ROP9" s="87"/>
      <c r="ROQ9" s="87"/>
      <c r="ROR9" s="87"/>
      <c r="ROS9" s="87"/>
      <c r="ROT9" s="87"/>
      <c r="ROU9" s="87"/>
      <c r="ROV9" s="87"/>
      <c r="ROW9" s="87"/>
      <c r="ROX9" s="87"/>
      <c r="ROY9" s="87"/>
      <c r="ROZ9" s="87"/>
      <c r="RPA9" s="87"/>
      <c r="RPB9" s="87"/>
      <c r="RPC9" s="87"/>
      <c r="RPD9" s="87"/>
      <c r="RPE9" s="87"/>
      <c r="RPF9" s="87"/>
      <c r="RPG9" s="87"/>
      <c r="RPH9" s="87"/>
      <c r="RPI9" s="87"/>
      <c r="RPJ9" s="87"/>
      <c r="RPK9" s="87"/>
      <c r="RPL9" s="87"/>
      <c r="RPM9" s="87"/>
      <c r="RPN9" s="87"/>
      <c r="RPO9" s="87"/>
      <c r="RPP9" s="87"/>
      <c r="RPQ9" s="87"/>
      <c r="RPR9" s="87"/>
      <c r="RPS9" s="87"/>
      <c r="RPT9" s="87"/>
      <c r="RPU9" s="87"/>
      <c r="RPV9" s="87"/>
      <c r="RPW9" s="87"/>
      <c r="RPX9" s="87"/>
      <c r="RPY9" s="87"/>
      <c r="RPZ9" s="87"/>
      <c r="RQA9" s="87"/>
      <c r="RQB9" s="87"/>
      <c r="RQC9" s="87"/>
      <c r="RQD9" s="87"/>
      <c r="RQE9" s="87"/>
      <c r="RQF9" s="87"/>
      <c r="RQG9" s="87"/>
      <c r="RQH9" s="87"/>
      <c r="RQI9" s="87"/>
      <c r="RQJ9" s="87"/>
      <c r="RQK9" s="87"/>
      <c r="RQL9" s="87"/>
      <c r="RQM9" s="87"/>
      <c r="RQN9" s="87"/>
      <c r="RQO9" s="87"/>
      <c r="RQP9" s="87"/>
      <c r="RQQ9" s="87"/>
      <c r="RQR9" s="87"/>
      <c r="RQS9" s="87"/>
      <c r="RQT9" s="87"/>
      <c r="RQU9" s="87"/>
      <c r="RQV9" s="87"/>
      <c r="RQW9" s="87"/>
      <c r="RQX9" s="87"/>
      <c r="RQY9" s="87"/>
      <c r="RQZ9" s="87"/>
      <c r="RRA9" s="87"/>
      <c r="RRB9" s="87"/>
      <c r="RRC9" s="87"/>
      <c r="RRD9" s="87"/>
      <c r="RRE9" s="87"/>
      <c r="RRF9" s="87"/>
      <c r="RRG9" s="87"/>
      <c r="RRH9" s="87"/>
      <c r="RRI9" s="87"/>
      <c r="RRJ9" s="87"/>
      <c r="RRK9" s="87"/>
      <c r="RRL9" s="87"/>
      <c r="RRM9" s="87"/>
      <c r="RRN9" s="87"/>
      <c r="RRO9" s="87"/>
      <c r="RRP9" s="87"/>
      <c r="RRQ9" s="87"/>
      <c r="RRR9" s="87"/>
      <c r="RRS9" s="87"/>
      <c r="RRT9" s="87"/>
      <c r="RRU9" s="87"/>
      <c r="RRV9" s="87"/>
      <c r="RRW9" s="87"/>
      <c r="RRX9" s="87"/>
      <c r="RRY9" s="87"/>
      <c r="RRZ9" s="87"/>
      <c r="RSA9" s="87"/>
      <c r="RSB9" s="87"/>
      <c r="RSC9" s="87"/>
      <c r="RSD9" s="87"/>
      <c r="RSE9" s="87"/>
      <c r="RSF9" s="87"/>
      <c r="RSG9" s="87"/>
      <c r="RSH9" s="87"/>
      <c r="RSI9" s="87"/>
      <c r="RSJ9" s="87"/>
      <c r="RSK9" s="87"/>
      <c r="RSL9" s="87"/>
      <c r="RSM9" s="87"/>
      <c r="RSN9" s="87"/>
      <c r="RSO9" s="87"/>
      <c r="RSP9" s="87"/>
      <c r="RSQ9" s="87"/>
      <c r="RSR9" s="87"/>
      <c r="RSS9" s="87"/>
      <c r="RST9" s="87"/>
      <c r="RSU9" s="87"/>
      <c r="RSV9" s="87"/>
      <c r="RSW9" s="87"/>
      <c r="RSX9" s="87"/>
      <c r="RSY9" s="87"/>
      <c r="RSZ9" s="87"/>
      <c r="RTA9" s="87"/>
      <c r="RTB9" s="87"/>
      <c r="RTC9" s="87"/>
      <c r="RTD9" s="87"/>
      <c r="RTE9" s="87"/>
      <c r="RTF9" s="87"/>
      <c r="RTG9" s="87"/>
      <c r="RTH9" s="87"/>
      <c r="RTI9" s="87"/>
      <c r="RTJ9" s="87"/>
      <c r="RTK9" s="87"/>
      <c r="RTL9" s="87"/>
      <c r="RTM9" s="87"/>
      <c r="RTN9" s="87"/>
      <c r="RTO9" s="87"/>
      <c r="RTP9" s="87"/>
      <c r="RTQ9" s="87"/>
      <c r="RTR9" s="87"/>
      <c r="RTS9" s="87"/>
      <c r="RTT9" s="87"/>
      <c r="RTU9" s="87"/>
      <c r="RTV9" s="87"/>
      <c r="RTW9" s="87"/>
      <c r="RTX9" s="87"/>
      <c r="RTY9" s="87"/>
      <c r="RTZ9" s="87"/>
      <c r="RUA9" s="87"/>
      <c r="RUB9" s="87"/>
      <c r="RUC9" s="87"/>
      <c r="RUD9" s="87"/>
      <c r="RUE9" s="87"/>
      <c r="RUF9" s="87"/>
      <c r="RUG9" s="87"/>
      <c r="RUH9" s="87"/>
      <c r="RUI9" s="87"/>
      <c r="RUJ9" s="87"/>
      <c r="RUK9" s="87"/>
      <c r="RUL9" s="87"/>
      <c r="RUM9" s="87"/>
      <c r="RUN9" s="87"/>
      <c r="RUO9" s="87"/>
      <c r="RUP9" s="87"/>
      <c r="RUQ9" s="87"/>
      <c r="RUR9" s="87"/>
      <c r="RUS9" s="87"/>
      <c r="RUT9" s="87"/>
      <c r="RUU9" s="87"/>
      <c r="RUV9" s="87"/>
      <c r="RUW9" s="87"/>
      <c r="RUX9" s="87"/>
      <c r="RUY9" s="87"/>
      <c r="RUZ9" s="87"/>
      <c r="RVA9" s="87"/>
      <c r="RVB9" s="87"/>
      <c r="RVC9" s="87"/>
      <c r="RVD9" s="87"/>
      <c r="RVE9" s="87"/>
      <c r="RVF9" s="87"/>
      <c r="RVG9" s="87"/>
      <c r="RVH9" s="87"/>
      <c r="RVI9" s="87"/>
      <c r="RVJ9" s="87"/>
      <c r="RVK9" s="87"/>
      <c r="RVL9" s="87"/>
      <c r="RVM9" s="87"/>
      <c r="RVN9" s="87"/>
      <c r="RVO9" s="87"/>
      <c r="RVP9" s="87"/>
      <c r="RVQ9" s="87"/>
      <c r="RVR9" s="87"/>
      <c r="RVS9" s="87"/>
      <c r="RVT9" s="87"/>
      <c r="RVU9" s="87"/>
      <c r="RVV9" s="87"/>
      <c r="RVW9" s="87"/>
      <c r="RVX9" s="87"/>
      <c r="RVY9" s="87"/>
      <c r="RVZ9" s="87"/>
      <c r="RWA9" s="87"/>
      <c r="RWB9" s="87"/>
      <c r="RWC9" s="87"/>
      <c r="RWD9" s="87"/>
      <c r="RWE9" s="87"/>
      <c r="RWF9" s="87"/>
      <c r="RWG9" s="87"/>
      <c r="RWH9" s="87"/>
      <c r="RWI9" s="87"/>
      <c r="RWJ9" s="87"/>
      <c r="RWK9" s="87"/>
      <c r="RWL9" s="87"/>
      <c r="RWM9" s="87"/>
      <c r="RWN9" s="87"/>
      <c r="RWO9" s="87"/>
      <c r="RWP9" s="87"/>
      <c r="RWQ9" s="87"/>
      <c r="RWR9" s="87"/>
      <c r="RWS9" s="87"/>
      <c r="RWT9" s="87"/>
      <c r="RWU9" s="87"/>
      <c r="RWV9" s="87"/>
      <c r="RWW9" s="87"/>
      <c r="RWX9" s="87"/>
      <c r="RWY9" s="87"/>
      <c r="RWZ9" s="87"/>
      <c r="RXA9" s="87"/>
      <c r="RXB9" s="87"/>
      <c r="RXC9" s="87"/>
      <c r="RXD9" s="87"/>
      <c r="RXE9" s="87"/>
      <c r="RXF9" s="87"/>
      <c r="RXG9" s="87"/>
      <c r="RXH9" s="87"/>
      <c r="RXI9" s="87"/>
      <c r="RXJ9" s="87"/>
      <c r="RXK9" s="87"/>
      <c r="RXL9" s="87"/>
      <c r="RXM9" s="87"/>
      <c r="RXN9" s="87"/>
      <c r="RXO9" s="87"/>
      <c r="RXP9" s="87"/>
      <c r="RXQ9" s="87"/>
      <c r="RXR9" s="87"/>
      <c r="RXS9" s="87"/>
      <c r="RXT9" s="87"/>
      <c r="RXU9" s="87"/>
      <c r="RXV9" s="87"/>
      <c r="RXW9" s="87"/>
      <c r="RXX9" s="87"/>
      <c r="RXY9" s="87"/>
      <c r="RXZ9" s="87"/>
      <c r="RYA9" s="87"/>
      <c r="RYB9" s="87"/>
      <c r="RYC9" s="87"/>
      <c r="RYD9" s="87"/>
      <c r="RYE9" s="87"/>
      <c r="RYF9" s="87"/>
      <c r="RYG9" s="87"/>
      <c r="RYH9" s="87"/>
      <c r="RYI9" s="87"/>
      <c r="RYJ9" s="87"/>
      <c r="RYK9" s="87"/>
      <c r="RYL9" s="87"/>
      <c r="RYM9" s="87"/>
      <c r="RYN9" s="87"/>
      <c r="RYO9" s="87"/>
      <c r="RYP9" s="87"/>
      <c r="RYQ9" s="87"/>
      <c r="RYR9" s="87"/>
      <c r="RYS9" s="87"/>
      <c r="RYT9" s="87"/>
      <c r="RYU9" s="87"/>
      <c r="RYV9" s="87"/>
      <c r="RYW9" s="87"/>
      <c r="RYX9" s="87"/>
      <c r="RYY9" s="87"/>
      <c r="RYZ9" s="87"/>
      <c r="RZA9" s="87"/>
      <c r="RZB9" s="87"/>
      <c r="RZC9" s="87"/>
      <c r="RZD9" s="87"/>
      <c r="RZE9" s="87"/>
      <c r="RZF9" s="87"/>
      <c r="RZG9" s="87"/>
      <c r="RZH9" s="87"/>
      <c r="RZI9" s="87"/>
      <c r="RZJ9" s="87"/>
      <c r="RZK9" s="87"/>
      <c r="RZL9" s="87"/>
      <c r="RZM9" s="87"/>
      <c r="RZN9" s="87"/>
      <c r="RZO9" s="87"/>
      <c r="RZP9" s="87"/>
      <c r="RZQ9" s="87"/>
      <c r="RZR9" s="87"/>
      <c r="RZS9" s="87"/>
      <c r="RZT9" s="87"/>
      <c r="RZU9" s="87"/>
      <c r="RZV9" s="87"/>
      <c r="RZW9" s="87"/>
      <c r="RZX9" s="87"/>
      <c r="RZY9" s="87"/>
      <c r="RZZ9" s="87"/>
      <c r="SAA9" s="87"/>
      <c r="SAB9" s="87"/>
      <c r="SAC9" s="87"/>
      <c r="SAD9" s="87"/>
      <c r="SAE9" s="87"/>
      <c r="SAF9" s="87"/>
      <c r="SAG9" s="87"/>
      <c r="SAH9" s="87"/>
      <c r="SAI9" s="87"/>
      <c r="SAJ9" s="87"/>
      <c r="SAK9" s="87"/>
      <c r="SAL9" s="87"/>
      <c r="SAM9" s="87"/>
      <c r="SAN9" s="87"/>
      <c r="SAO9" s="87"/>
      <c r="SAP9" s="87"/>
      <c r="SAQ9" s="87"/>
      <c r="SAR9" s="87"/>
      <c r="SAS9" s="87"/>
      <c r="SAT9" s="87"/>
      <c r="SAU9" s="87"/>
      <c r="SAV9" s="87"/>
      <c r="SAW9" s="87"/>
      <c r="SAX9" s="87"/>
      <c r="SAY9" s="87"/>
      <c r="SAZ9" s="87"/>
      <c r="SBA9" s="87"/>
      <c r="SBB9" s="87"/>
      <c r="SBC9" s="87"/>
      <c r="SBD9" s="87"/>
      <c r="SBE9" s="87"/>
      <c r="SBF9" s="87"/>
      <c r="SBG9" s="87"/>
      <c r="SBH9" s="87"/>
      <c r="SBI9" s="87"/>
      <c r="SBJ9" s="87"/>
      <c r="SBK9" s="87"/>
      <c r="SBL9" s="87"/>
      <c r="SBM9" s="87"/>
      <c r="SBN9" s="87"/>
      <c r="SBO9" s="87"/>
      <c r="SBP9" s="87"/>
      <c r="SBQ9" s="87"/>
      <c r="SBR9" s="87"/>
      <c r="SBS9" s="87"/>
      <c r="SBT9" s="87"/>
      <c r="SBU9" s="87"/>
      <c r="SBV9" s="87"/>
      <c r="SBW9" s="87"/>
      <c r="SBX9" s="87"/>
      <c r="SBY9" s="87"/>
      <c r="SBZ9" s="87"/>
      <c r="SCA9" s="87"/>
      <c r="SCB9" s="87"/>
      <c r="SCC9" s="87"/>
      <c r="SCD9" s="87"/>
      <c r="SCE9" s="87"/>
      <c r="SCF9" s="87"/>
      <c r="SCG9" s="87"/>
      <c r="SCH9" s="87"/>
      <c r="SCI9" s="87"/>
      <c r="SCJ9" s="87"/>
      <c r="SCK9" s="87"/>
      <c r="SCL9" s="87"/>
      <c r="SCM9" s="87"/>
      <c r="SCN9" s="87"/>
      <c r="SCO9" s="87"/>
      <c r="SCP9" s="87"/>
      <c r="SCQ9" s="87"/>
      <c r="SCR9" s="87"/>
      <c r="SCS9" s="87"/>
      <c r="SCT9" s="87"/>
      <c r="SCU9" s="87"/>
      <c r="SCV9" s="87"/>
      <c r="SCW9" s="87"/>
      <c r="SCX9" s="87"/>
      <c r="SCY9" s="87"/>
      <c r="SCZ9" s="87"/>
      <c r="SDA9" s="87"/>
      <c r="SDB9" s="87"/>
      <c r="SDC9" s="87"/>
      <c r="SDD9" s="87"/>
      <c r="SDE9" s="87"/>
      <c r="SDF9" s="87"/>
      <c r="SDG9" s="87"/>
      <c r="SDH9" s="87"/>
      <c r="SDI9" s="87"/>
      <c r="SDJ9" s="87"/>
      <c r="SDK9" s="87"/>
      <c r="SDL9" s="87"/>
      <c r="SDM9" s="87"/>
      <c r="SDN9" s="87"/>
      <c r="SDO9" s="87"/>
      <c r="SDP9" s="87"/>
      <c r="SDQ9" s="87"/>
      <c r="SDR9" s="87"/>
      <c r="SDS9" s="87"/>
      <c r="SDT9" s="87"/>
      <c r="SDU9" s="87"/>
      <c r="SDV9" s="87"/>
      <c r="SDW9" s="87"/>
      <c r="SDX9" s="87"/>
      <c r="SDY9" s="87"/>
      <c r="SDZ9" s="87"/>
      <c r="SEA9" s="87"/>
      <c r="SEB9" s="87"/>
      <c r="SEC9" s="87"/>
      <c r="SED9" s="87"/>
      <c r="SEE9" s="87"/>
      <c r="SEF9" s="87"/>
      <c r="SEG9" s="87"/>
      <c r="SEH9" s="87"/>
      <c r="SEI9" s="87"/>
      <c r="SEJ9" s="87"/>
      <c r="SEK9" s="87"/>
      <c r="SEL9" s="87"/>
      <c r="SEM9" s="87"/>
      <c r="SEN9" s="87"/>
      <c r="SEO9" s="87"/>
      <c r="SEP9" s="87"/>
      <c r="SEQ9" s="87"/>
      <c r="SER9" s="87"/>
      <c r="SES9" s="87"/>
      <c r="SET9" s="87"/>
      <c r="SEU9" s="87"/>
      <c r="SEV9" s="87"/>
      <c r="SEW9" s="87"/>
      <c r="SEX9" s="87"/>
      <c r="SEY9" s="87"/>
      <c r="SEZ9" s="87"/>
      <c r="SFA9" s="87"/>
      <c r="SFB9" s="87"/>
      <c r="SFC9" s="87"/>
      <c r="SFD9" s="87"/>
      <c r="SFE9" s="87"/>
      <c r="SFF9" s="87"/>
      <c r="SFG9" s="87"/>
      <c r="SFH9" s="87"/>
      <c r="SFI9" s="87"/>
      <c r="SFJ9" s="87"/>
      <c r="SFK9" s="87"/>
      <c r="SFL9" s="87"/>
      <c r="SFM9" s="87"/>
      <c r="SFN9" s="87"/>
      <c r="SFO9" s="87"/>
      <c r="SFP9" s="87"/>
      <c r="SFQ9" s="87"/>
      <c r="SFR9" s="87"/>
      <c r="SFS9" s="87"/>
      <c r="SFT9" s="87"/>
      <c r="SFU9" s="87"/>
      <c r="SFV9" s="87"/>
      <c r="SFW9" s="87"/>
      <c r="SFX9" s="87"/>
      <c r="SFY9" s="87"/>
      <c r="SFZ9" s="87"/>
      <c r="SGA9" s="87"/>
      <c r="SGB9" s="87"/>
      <c r="SGC9" s="87"/>
      <c r="SGD9" s="87"/>
      <c r="SGE9" s="87"/>
      <c r="SGF9" s="87"/>
      <c r="SGG9" s="87"/>
      <c r="SGH9" s="87"/>
      <c r="SGI9" s="87"/>
      <c r="SGJ9" s="87"/>
      <c r="SGK9" s="87"/>
      <c r="SGL9" s="87"/>
      <c r="SGM9" s="87"/>
      <c r="SGN9" s="87"/>
      <c r="SGO9" s="87"/>
      <c r="SGP9" s="87"/>
      <c r="SGQ9" s="87"/>
      <c r="SGR9" s="87"/>
      <c r="SGS9" s="87"/>
      <c r="SGT9" s="87"/>
      <c r="SGU9" s="87"/>
      <c r="SGV9" s="87"/>
      <c r="SGW9" s="87"/>
      <c r="SGX9" s="87"/>
      <c r="SGY9" s="87"/>
      <c r="SGZ9" s="87"/>
      <c r="SHA9" s="87"/>
      <c r="SHB9" s="87"/>
      <c r="SHC9" s="87"/>
      <c r="SHD9" s="87"/>
      <c r="SHE9" s="87"/>
      <c r="SHF9" s="87"/>
      <c r="SHG9" s="87"/>
      <c r="SHH9" s="87"/>
      <c r="SHI9" s="87"/>
      <c r="SHJ9" s="87"/>
      <c r="SHK9" s="87"/>
      <c r="SHL9" s="87"/>
      <c r="SHM9" s="87"/>
      <c r="SHN9" s="87"/>
      <c r="SHO9" s="87"/>
      <c r="SHP9" s="87"/>
      <c r="SHQ9" s="87"/>
      <c r="SHR9" s="87"/>
      <c r="SHS9" s="87"/>
      <c r="SHT9" s="87"/>
      <c r="SHU9" s="87"/>
      <c r="SHV9" s="87"/>
      <c r="SHW9" s="87"/>
      <c r="SHX9" s="87"/>
      <c r="SHY9" s="87"/>
      <c r="SHZ9" s="87"/>
      <c r="SIA9" s="87"/>
      <c r="SIB9" s="87"/>
      <c r="SIC9" s="87"/>
      <c r="SID9" s="87"/>
      <c r="SIE9" s="87"/>
      <c r="SIF9" s="87"/>
      <c r="SIG9" s="87"/>
      <c r="SIH9" s="87"/>
      <c r="SII9" s="87"/>
      <c r="SIJ9" s="87"/>
      <c r="SIK9" s="87"/>
      <c r="SIL9" s="87"/>
      <c r="SIM9" s="87"/>
      <c r="SIN9" s="87"/>
      <c r="SIO9" s="87"/>
      <c r="SIP9" s="87"/>
      <c r="SIQ9" s="87"/>
      <c r="SIR9" s="87"/>
      <c r="SIS9" s="87"/>
      <c r="SIT9" s="87"/>
      <c r="SIU9" s="87"/>
      <c r="SIV9" s="87"/>
      <c r="SIW9" s="87"/>
      <c r="SIX9" s="87"/>
      <c r="SIY9" s="87"/>
      <c r="SIZ9" s="87"/>
      <c r="SJA9" s="87"/>
      <c r="SJB9" s="87"/>
      <c r="SJC9" s="87"/>
      <c r="SJD9" s="87"/>
      <c r="SJE9" s="87"/>
      <c r="SJF9" s="87"/>
      <c r="SJG9" s="87"/>
      <c r="SJH9" s="87"/>
      <c r="SJI9" s="87"/>
      <c r="SJJ9" s="87"/>
      <c r="SJK9" s="87"/>
      <c r="SJL9" s="87"/>
      <c r="SJM9" s="87"/>
      <c r="SJN9" s="87"/>
      <c r="SJO9" s="87"/>
      <c r="SJP9" s="87"/>
      <c r="SJQ9" s="87"/>
      <c r="SJR9" s="87"/>
      <c r="SJS9" s="87"/>
      <c r="SJT9" s="87"/>
      <c r="SJU9" s="87"/>
      <c r="SJV9" s="87"/>
      <c r="SJW9" s="87"/>
      <c r="SJX9" s="87"/>
      <c r="SJY9" s="87"/>
      <c r="SJZ9" s="87"/>
      <c r="SKA9" s="87"/>
      <c r="SKB9" s="87"/>
      <c r="SKC9" s="87"/>
      <c r="SKD9" s="87"/>
      <c r="SKE9" s="87"/>
      <c r="SKF9" s="87"/>
      <c r="SKG9" s="87"/>
      <c r="SKH9" s="87"/>
      <c r="SKI9" s="87"/>
      <c r="SKJ9" s="87"/>
      <c r="SKK9" s="87"/>
      <c r="SKL9" s="87"/>
      <c r="SKM9" s="87"/>
      <c r="SKN9" s="87"/>
      <c r="SKO9" s="87"/>
      <c r="SKP9" s="87"/>
      <c r="SKQ9" s="87"/>
      <c r="SKR9" s="87"/>
      <c r="SKS9" s="87"/>
      <c r="SKT9" s="87"/>
      <c r="SKU9" s="87"/>
      <c r="SKV9" s="87"/>
      <c r="SKW9" s="87"/>
      <c r="SKX9" s="87"/>
      <c r="SKY9" s="87"/>
      <c r="SKZ9" s="87"/>
      <c r="SLA9" s="87"/>
      <c r="SLB9" s="87"/>
      <c r="SLC9" s="87"/>
      <c r="SLD9" s="87"/>
      <c r="SLE9" s="87"/>
      <c r="SLF9" s="87"/>
      <c r="SLG9" s="87"/>
      <c r="SLH9" s="87"/>
      <c r="SLI9" s="87"/>
      <c r="SLJ9" s="87"/>
      <c r="SLK9" s="87"/>
      <c r="SLL9" s="87"/>
      <c r="SLM9" s="87"/>
      <c r="SLN9" s="87"/>
      <c r="SLO9" s="87"/>
      <c r="SLP9" s="87"/>
      <c r="SLQ9" s="87"/>
      <c r="SLR9" s="87"/>
      <c r="SLS9" s="87"/>
      <c r="SLT9" s="87"/>
      <c r="SLU9" s="87"/>
      <c r="SLV9" s="87"/>
      <c r="SLW9" s="87"/>
      <c r="SLX9" s="87"/>
      <c r="SLY9" s="87"/>
      <c r="SLZ9" s="87"/>
      <c r="SMA9" s="87"/>
      <c r="SMB9" s="87"/>
      <c r="SMC9" s="87"/>
      <c r="SMD9" s="87"/>
      <c r="SME9" s="87"/>
      <c r="SMF9" s="87"/>
      <c r="SMG9" s="87"/>
      <c r="SMH9" s="87"/>
      <c r="SMI9" s="87"/>
      <c r="SMJ9" s="87"/>
      <c r="SMK9" s="87"/>
      <c r="SML9" s="87"/>
      <c r="SMM9" s="87"/>
      <c r="SMN9" s="87"/>
      <c r="SMO9" s="87"/>
      <c r="SMP9" s="87"/>
      <c r="SMQ9" s="87"/>
      <c r="SMR9" s="87"/>
      <c r="SMS9" s="87"/>
      <c r="SMT9" s="87"/>
      <c r="SMU9" s="87"/>
      <c r="SMV9" s="87"/>
      <c r="SMW9" s="87"/>
      <c r="SMX9" s="87"/>
      <c r="SMY9" s="87"/>
      <c r="SMZ9" s="87"/>
      <c r="SNA9" s="87"/>
      <c r="SNB9" s="87"/>
      <c r="SNC9" s="87"/>
      <c r="SND9" s="87"/>
      <c r="SNE9" s="87"/>
      <c r="SNF9" s="87"/>
      <c r="SNG9" s="87"/>
      <c r="SNH9" s="87"/>
      <c r="SNI9" s="87"/>
      <c r="SNJ9" s="87"/>
      <c r="SNK9" s="87"/>
      <c r="SNL9" s="87"/>
      <c r="SNM9" s="87"/>
      <c r="SNN9" s="87"/>
      <c r="SNO9" s="87"/>
      <c r="SNP9" s="87"/>
      <c r="SNQ9" s="87"/>
      <c r="SNR9" s="87"/>
      <c r="SNS9" s="87"/>
      <c r="SNT9" s="87"/>
      <c r="SNU9" s="87"/>
      <c r="SNV9" s="87"/>
      <c r="SNW9" s="87"/>
      <c r="SNX9" s="87"/>
      <c r="SNY9" s="87"/>
      <c r="SNZ9" s="87"/>
      <c r="SOA9" s="87"/>
      <c r="SOB9" s="87"/>
      <c r="SOC9" s="87"/>
      <c r="SOD9" s="87"/>
      <c r="SOE9" s="87"/>
      <c r="SOF9" s="87"/>
      <c r="SOG9" s="87"/>
      <c r="SOH9" s="87"/>
      <c r="SOI9" s="87"/>
      <c r="SOJ9" s="87"/>
      <c r="SOK9" s="87"/>
      <c r="SOL9" s="87"/>
      <c r="SOM9" s="87"/>
      <c r="SON9" s="87"/>
      <c r="SOO9" s="87"/>
      <c r="SOP9" s="87"/>
      <c r="SOQ9" s="87"/>
      <c r="SOR9" s="87"/>
      <c r="SOS9" s="87"/>
      <c r="SOT9" s="87"/>
      <c r="SOU9" s="87"/>
      <c r="SOV9" s="87"/>
      <c r="SOW9" s="87"/>
      <c r="SOX9" s="87"/>
      <c r="SOY9" s="87"/>
      <c r="SOZ9" s="87"/>
      <c r="SPA9" s="87"/>
      <c r="SPB9" s="87"/>
      <c r="SPC9" s="87"/>
      <c r="SPD9" s="87"/>
      <c r="SPE9" s="87"/>
      <c r="SPF9" s="87"/>
      <c r="SPG9" s="87"/>
      <c r="SPH9" s="87"/>
      <c r="SPI9" s="87"/>
      <c r="SPJ9" s="87"/>
      <c r="SPK9" s="87"/>
      <c r="SPL9" s="87"/>
      <c r="SPM9" s="87"/>
      <c r="SPN9" s="87"/>
      <c r="SPO9" s="87"/>
      <c r="SPP9" s="87"/>
      <c r="SPQ9" s="87"/>
      <c r="SPR9" s="87"/>
      <c r="SPS9" s="87"/>
      <c r="SPT9" s="87"/>
      <c r="SPU9" s="87"/>
      <c r="SPV9" s="87"/>
      <c r="SPW9" s="87"/>
      <c r="SPX9" s="87"/>
      <c r="SPY9" s="87"/>
      <c r="SPZ9" s="87"/>
      <c r="SQA9" s="87"/>
      <c r="SQB9" s="87"/>
      <c r="SQC9" s="87"/>
      <c r="SQD9" s="87"/>
      <c r="SQE9" s="87"/>
      <c r="SQF9" s="87"/>
      <c r="SQG9" s="87"/>
      <c r="SQH9" s="87"/>
      <c r="SQI9" s="87"/>
      <c r="SQJ9" s="87"/>
      <c r="SQK9" s="87"/>
      <c r="SQL9" s="87"/>
      <c r="SQM9" s="87"/>
      <c r="SQN9" s="87"/>
      <c r="SQO9" s="87"/>
      <c r="SQP9" s="87"/>
      <c r="SQQ9" s="87"/>
      <c r="SQR9" s="87"/>
      <c r="SQS9" s="87"/>
      <c r="SQT9" s="87"/>
      <c r="SQU9" s="87"/>
      <c r="SQV9" s="87"/>
      <c r="SQW9" s="87"/>
      <c r="SQX9" s="87"/>
      <c r="SQY9" s="87"/>
      <c r="SQZ9" s="87"/>
      <c r="SRA9" s="87"/>
      <c r="SRB9" s="87"/>
      <c r="SRC9" s="87"/>
      <c r="SRD9" s="87"/>
      <c r="SRE9" s="87"/>
      <c r="SRF9" s="87"/>
      <c r="SRG9" s="87"/>
      <c r="SRH9" s="87"/>
      <c r="SRI9" s="87"/>
      <c r="SRJ9" s="87"/>
      <c r="SRK9" s="87"/>
      <c r="SRL9" s="87"/>
      <c r="SRM9" s="87"/>
      <c r="SRN9" s="87"/>
      <c r="SRO9" s="87"/>
      <c r="SRP9" s="87"/>
      <c r="SRQ9" s="87"/>
      <c r="SRR9" s="87"/>
      <c r="SRS9" s="87"/>
      <c r="SRT9" s="87"/>
      <c r="SRU9" s="87"/>
      <c r="SRV9" s="87"/>
      <c r="SRW9" s="87"/>
      <c r="SRX9" s="87"/>
      <c r="SRY9" s="87"/>
      <c r="SRZ9" s="87"/>
      <c r="SSA9" s="87"/>
      <c r="SSB9" s="87"/>
      <c r="SSC9" s="87"/>
      <c r="SSD9" s="87"/>
      <c r="SSE9" s="87"/>
      <c r="SSF9" s="87"/>
      <c r="SSG9" s="87"/>
      <c r="SSH9" s="87"/>
      <c r="SSI9" s="87"/>
      <c r="SSJ9" s="87"/>
      <c r="SSK9" s="87"/>
      <c r="SSL9" s="87"/>
      <c r="SSM9" s="87"/>
      <c r="SSN9" s="87"/>
      <c r="SSO9" s="87"/>
      <c r="SSP9" s="87"/>
      <c r="SSQ9" s="87"/>
      <c r="SSR9" s="87"/>
      <c r="SSS9" s="87"/>
      <c r="SST9" s="87"/>
      <c r="SSU9" s="87"/>
      <c r="SSV9" s="87"/>
      <c r="SSW9" s="87"/>
      <c r="SSX9" s="87"/>
      <c r="SSY9" s="87"/>
      <c r="SSZ9" s="87"/>
      <c r="STA9" s="87"/>
      <c r="STB9" s="87"/>
      <c r="STC9" s="87"/>
      <c r="STD9" s="87"/>
      <c r="STE9" s="87"/>
      <c r="STF9" s="87"/>
      <c r="STG9" s="87"/>
      <c r="STH9" s="87"/>
      <c r="STI9" s="87"/>
      <c r="STJ9" s="87"/>
      <c r="STK9" s="87"/>
      <c r="STL9" s="87"/>
      <c r="STM9" s="87"/>
      <c r="STN9" s="87"/>
      <c r="STO9" s="87"/>
      <c r="STP9" s="87"/>
      <c r="STQ9" s="87"/>
      <c r="STR9" s="87"/>
      <c r="STS9" s="87"/>
      <c r="STT9" s="87"/>
      <c r="STU9" s="87"/>
      <c r="STV9" s="87"/>
      <c r="STW9" s="87"/>
      <c r="STX9" s="87"/>
      <c r="STY9" s="87"/>
      <c r="STZ9" s="87"/>
      <c r="SUA9" s="87"/>
      <c r="SUB9" s="87"/>
      <c r="SUC9" s="87"/>
      <c r="SUD9" s="87"/>
      <c r="SUE9" s="87"/>
      <c r="SUF9" s="87"/>
      <c r="SUG9" s="87"/>
      <c r="SUH9" s="87"/>
      <c r="SUI9" s="87"/>
      <c r="SUJ9" s="87"/>
      <c r="SUK9" s="87"/>
      <c r="SUL9" s="87"/>
      <c r="SUM9" s="87"/>
      <c r="SUN9" s="87"/>
      <c r="SUO9" s="87"/>
      <c r="SUP9" s="87"/>
      <c r="SUQ9" s="87"/>
      <c r="SUR9" s="87"/>
      <c r="SUS9" s="87"/>
      <c r="SUT9" s="87"/>
      <c r="SUU9" s="87"/>
      <c r="SUV9" s="87"/>
      <c r="SUW9" s="87"/>
      <c r="SUX9" s="87"/>
      <c r="SUY9" s="87"/>
      <c r="SUZ9" s="87"/>
      <c r="SVA9" s="87"/>
      <c r="SVB9" s="87"/>
      <c r="SVC9" s="87"/>
      <c r="SVD9" s="87"/>
      <c r="SVE9" s="87"/>
      <c r="SVF9" s="87"/>
      <c r="SVG9" s="87"/>
      <c r="SVH9" s="87"/>
      <c r="SVI9" s="87"/>
      <c r="SVJ9" s="87"/>
      <c r="SVK9" s="87"/>
      <c r="SVL9" s="87"/>
      <c r="SVM9" s="87"/>
      <c r="SVN9" s="87"/>
      <c r="SVO9" s="87"/>
      <c r="SVP9" s="87"/>
      <c r="SVQ9" s="87"/>
      <c r="SVR9" s="87"/>
      <c r="SVS9" s="87"/>
      <c r="SVT9" s="87"/>
      <c r="SVU9" s="87"/>
      <c r="SVV9" s="87"/>
      <c r="SVW9" s="87"/>
      <c r="SVX9" s="87"/>
      <c r="SVY9" s="87"/>
      <c r="SVZ9" s="87"/>
      <c r="SWA9" s="87"/>
      <c r="SWB9" s="87"/>
      <c r="SWC9" s="87"/>
      <c r="SWD9" s="87"/>
      <c r="SWE9" s="87"/>
      <c r="SWF9" s="87"/>
      <c r="SWG9" s="87"/>
      <c r="SWH9" s="87"/>
      <c r="SWI9" s="87"/>
      <c r="SWJ9" s="87"/>
      <c r="SWK9" s="87"/>
      <c r="SWL9" s="87"/>
      <c r="SWM9" s="87"/>
      <c r="SWN9" s="87"/>
      <c r="SWO9" s="87"/>
      <c r="SWP9" s="87"/>
      <c r="SWQ9" s="87"/>
      <c r="SWR9" s="87"/>
      <c r="SWS9" s="87"/>
      <c r="SWT9" s="87"/>
      <c r="SWU9" s="87"/>
      <c r="SWV9" s="87"/>
      <c r="SWW9" s="87"/>
      <c r="SWX9" s="87"/>
      <c r="SWY9" s="87"/>
      <c r="SWZ9" s="87"/>
      <c r="SXA9" s="87"/>
      <c r="SXB9" s="87"/>
      <c r="SXC9" s="87"/>
      <c r="SXD9" s="87"/>
      <c r="SXE9" s="87"/>
      <c r="SXF9" s="87"/>
      <c r="SXG9" s="87"/>
      <c r="SXH9" s="87"/>
      <c r="SXI9" s="87"/>
      <c r="SXJ9" s="87"/>
      <c r="SXK9" s="87"/>
      <c r="SXL9" s="87"/>
      <c r="SXM9" s="87"/>
      <c r="SXN9" s="87"/>
      <c r="SXO9" s="87"/>
      <c r="SXP9" s="87"/>
      <c r="SXQ9" s="87"/>
      <c r="SXR9" s="87"/>
      <c r="SXS9" s="87"/>
      <c r="SXT9" s="87"/>
      <c r="SXU9" s="87"/>
      <c r="SXV9" s="87"/>
      <c r="SXW9" s="87"/>
      <c r="SXX9" s="87"/>
      <c r="SXY9" s="87"/>
      <c r="SXZ9" s="87"/>
      <c r="SYA9" s="87"/>
      <c r="SYB9" s="87"/>
      <c r="SYC9" s="87"/>
      <c r="SYD9" s="87"/>
      <c r="SYE9" s="87"/>
      <c r="SYF9" s="87"/>
      <c r="SYG9" s="87"/>
      <c r="SYH9" s="87"/>
      <c r="SYI9" s="87"/>
      <c r="SYJ9" s="87"/>
      <c r="SYK9" s="87"/>
      <c r="SYL9" s="87"/>
      <c r="SYM9" s="87"/>
      <c r="SYN9" s="87"/>
      <c r="SYO9" s="87"/>
      <c r="SYP9" s="87"/>
      <c r="SYQ9" s="87"/>
      <c r="SYR9" s="87"/>
      <c r="SYS9" s="87"/>
      <c r="SYT9" s="87"/>
      <c r="SYU9" s="87"/>
      <c r="SYV9" s="87"/>
      <c r="SYW9" s="87"/>
      <c r="SYX9" s="87"/>
      <c r="SYY9" s="87"/>
      <c r="SYZ9" s="87"/>
      <c r="SZA9" s="87"/>
      <c r="SZB9" s="87"/>
      <c r="SZC9" s="87"/>
      <c r="SZD9" s="87"/>
      <c r="SZE9" s="87"/>
      <c r="SZF9" s="87"/>
      <c r="SZG9" s="87"/>
      <c r="SZH9" s="87"/>
      <c r="SZI9" s="87"/>
      <c r="SZJ9" s="87"/>
      <c r="SZK9" s="87"/>
      <c r="SZL9" s="87"/>
      <c r="SZM9" s="87"/>
      <c r="SZN9" s="87"/>
      <c r="SZO9" s="87"/>
      <c r="SZP9" s="87"/>
      <c r="SZQ9" s="87"/>
      <c r="SZR9" s="87"/>
      <c r="SZS9" s="87"/>
      <c r="SZT9" s="87"/>
      <c r="SZU9" s="87"/>
      <c r="SZV9" s="87"/>
      <c r="SZW9" s="87"/>
      <c r="SZX9" s="87"/>
      <c r="SZY9" s="87"/>
      <c r="SZZ9" s="87"/>
      <c r="TAA9" s="87"/>
      <c r="TAB9" s="87"/>
      <c r="TAC9" s="87"/>
      <c r="TAD9" s="87"/>
      <c r="TAE9" s="87"/>
      <c r="TAF9" s="87"/>
      <c r="TAG9" s="87"/>
      <c r="TAH9" s="87"/>
      <c r="TAI9" s="87"/>
      <c r="TAJ9" s="87"/>
      <c r="TAK9" s="87"/>
      <c r="TAL9" s="87"/>
      <c r="TAM9" s="87"/>
      <c r="TAN9" s="87"/>
      <c r="TAO9" s="87"/>
      <c r="TAP9" s="87"/>
      <c r="TAQ9" s="87"/>
      <c r="TAR9" s="87"/>
      <c r="TAS9" s="87"/>
      <c r="TAT9" s="87"/>
      <c r="TAU9" s="87"/>
      <c r="TAV9" s="87"/>
      <c r="TAW9" s="87"/>
      <c r="TAX9" s="87"/>
      <c r="TAY9" s="87"/>
      <c r="TAZ9" s="87"/>
      <c r="TBA9" s="87"/>
      <c r="TBB9" s="87"/>
      <c r="TBC9" s="87"/>
      <c r="TBD9" s="87"/>
      <c r="TBE9" s="87"/>
      <c r="TBF9" s="87"/>
      <c r="TBG9" s="87"/>
      <c r="TBH9" s="87"/>
      <c r="TBI9" s="87"/>
      <c r="TBJ9" s="87"/>
      <c r="TBK9" s="87"/>
      <c r="TBL9" s="87"/>
      <c r="TBM9" s="87"/>
      <c r="TBN9" s="87"/>
      <c r="TBO9" s="87"/>
      <c r="TBP9" s="87"/>
      <c r="TBQ9" s="87"/>
      <c r="TBR9" s="87"/>
      <c r="TBS9" s="87"/>
      <c r="TBT9" s="87"/>
      <c r="TBU9" s="87"/>
      <c r="TBV9" s="87"/>
      <c r="TBW9" s="87"/>
      <c r="TBX9" s="87"/>
      <c r="TBY9" s="87"/>
      <c r="TBZ9" s="87"/>
      <c r="TCA9" s="87"/>
      <c r="TCB9" s="87"/>
      <c r="TCC9" s="87"/>
      <c r="TCD9" s="87"/>
      <c r="TCE9" s="87"/>
      <c r="TCF9" s="87"/>
      <c r="TCG9" s="87"/>
      <c r="TCH9" s="87"/>
      <c r="TCI9" s="87"/>
      <c r="TCJ9" s="87"/>
      <c r="TCK9" s="87"/>
      <c r="TCL9" s="87"/>
      <c r="TCM9" s="87"/>
      <c r="TCN9" s="87"/>
      <c r="TCO9" s="87"/>
      <c r="TCP9" s="87"/>
      <c r="TCQ9" s="87"/>
      <c r="TCR9" s="87"/>
      <c r="TCS9" s="87"/>
      <c r="TCT9" s="87"/>
      <c r="TCU9" s="87"/>
      <c r="TCV9" s="87"/>
      <c r="TCW9" s="87"/>
      <c r="TCX9" s="87"/>
      <c r="TCY9" s="87"/>
      <c r="TCZ9" s="87"/>
      <c r="TDA9" s="87"/>
      <c r="TDB9" s="87"/>
      <c r="TDC9" s="87"/>
      <c r="TDD9" s="87"/>
      <c r="TDE9" s="87"/>
      <c r="TDF9" s="87"/>
      <c r="TDG9" s="87"/>
      <c r="TDH9" s="87"/>
      <c r="TDI9" s="87"/>
      <c r="TDJ9" s="87"/>
      <c r="TDK9" s="87"/>
      <c r="TDL9" s="87"/>
      <c r="TDM9" s="87"/>
      <c r="TDN9" s="87"/>
      <c r="TDO9" s="87"/>
      <c r="TDP9" s="87"/>
      <c r="TDQ9" s="87"/>
      <c r="TDR9" s="87"/>
      <c r="TDS9" s="87"/>
      <c r="TDT9" s="87"/>
      <c r="TDU9" s="87"/>
      <c r="TDV9" s="87"/>
      <c r="TDW9" s="87"/>
      <c r="TDX9" s="87"/>
      <c r="TDY9" s="87"/>
      <c r="TDZ9" s="87"/>
      <c r="TEA9" s="87"/>
      <c r="TEB9" s="87"/>
      <c r="TEC9" s="87"/>
      <c r="TED9" s="87"/>
      <c r="TEE9" s="87"/>
      <c r="TEF9" s="87"/>
      <c r="TEG9" s="87"/>
      <c r="TEH9" s="87"/>
      <c r="TEI9" s="87"/>
      <c r="TEJ9" s="87"/>
      <c r="TEK9" s="87"/>
      <c r="TEL9" s="87"/>
      <c r="TEM9" s="87"/>
      <c r="TEN9" s="87"/>
      <c r="TEO9" s="87"/>
      <c r="TEP9" s="87"/>
      <c r="TEQ9" s="87"/>
      <c r="TER9" s="87"/>
      <c r="TES9" s="87"/>
      <c r="TET9" s="87"/>
      <c r="TEU9" s="87"/>
      <c r="TEV9" s="87"/>
      <c r="TEW9" s="87"/>
      <c r="TEX9" s="87"/>
      <c r="TEY9" s="87"/>
      <c r="TEZ9" s="87"/>
      <c r="TFA9" s="87"/>
      <c r="TFB9" s="87"/>
      <c r="TFC9" s="87"/>
      <c r="TFD9" s="87"/>
      <c r="TFE9" s="87"/>
      <c r="TFF9" s="87"/>
      <c r="TFG9" s="87"/>
      <c r="TFH9" s="87"/>
      <c r="TFI9" s="87"/>
      <c r="TFJ9" s="87"/>
      <c r="TFK9" s="87"/>
      <c r="TFL9" s="87"/>
      <c r="TFM9" s="87"/>
      <c r="TFN9" s="87"/>
      <c r="TFO9" s="87"/>
      <c r="TFP9" s="87"/>
      <c r="TFQ9" s="87"/>
      <c r="TFR9" s="87"/>
      <c r="TFS9" s="87"/>
      <c r="TFT9" s="87"/>
      <c r="TFU9" s="87"/>
      <c r="TFV9" s="87"/>
      <c r="TFW9" s="87"/>
      <c r="TFX9" s="87"/>
      <c r="TFY9" s="87"/>
      <c r="TFZ9" s="87"/>
      <c r="TGA9" s="87"/>
      <c r="TGB9" s="87"/>
      <c r="TGC9" s="87"/>
      <c r="TGD9" s="87"/>
      <c r="TGE9" s="87"/>
      <c r="TGF9" s="87"/>
      <c r="TGG9" s="87"/>
      <c r="TGH9" s="87"/>
      <c r="TGI9" s="87"/>
      <c r="TGJ9" s="87"/>
      <c r="TGK9" s="87"/>
      <c r="TGL9" s="87"/>
      <c r="TGM9" s="87"/>
      <c r="TGN9" s="87"/>
      <c r="TGO9" s="87"/>
      <c r="TGP9" s="87"/>
      <c r="TGQ9" s="87"/>
      <c r="TGR9" s="87"/>
      <c r="TGS9" s="87"/>
      <c r="TGT9" s="87"/>
      <c r="TGU9" s="87"/>
      <c r="TGV9" s="87"/>
      <c r="TGW9" s="87"/>
      <c r="TGX9" s="87"/>
      <c r="TGY9" s="87"/>
      <c r="TGZ9" s="87"/>
      <c r="THA9" s="87"/>
      <c r="THB9" s="87"/>
      <c r="THC9" s="87"/>
      <c r="THD9" s="87"/>
      <c r="THE9" s="87"/>
      <c r="THF9" s="87"/>
      <c r="THG9" s="87"/>
      <c r="THH9" s="87"/>
      <c r="THI9" s="87"/>
      <c r="THJ9" s="87"/>
      <c r="THK9" s="87"/>
      <c r="THL9" s="87"/>
      <c r="THM9" s="87"/>
      <c r="THN9" s="87"/>
      <c r="THO9" s="87"/>
      <c r="THP9" s="87"/>
      <c r="THQ9" s="87"/>
      <c r="THR9" s="87"/>
      <c r="THS9" s="87"/>
      <c r="THT9" s="87"/>
      <c r="THU9" s="87"/>
      <c r="THV9" s="87"/>
      <c r="THW9" s="87"/>
      <c r="THX9" s="87"/>
      <c r="THY9" s="87"/>
      <c r="THZ9" s="87"/>
      <c r="TIA9" s="87"/>
      <c r="TIB9" s="87"/>
      <c r="TIC9" s="87"/>
      <c r="TID9" s="87"/>
      <c r="TIE9" s="87"/>
      <c r="TIF9" s="87"/>
      <c r="TIG9" s="87"/>
      <c r="TIH9" s="87"/>
      <c r="TII9" s="87"/>
      <c r="TIJ9" s="87"/>
      <c r="TIK9" s="87"/>
      <c r="TIL9" s="87"/>
      <c r="TIM9" s="87"/>
      <c r="TIN9" s="87"/>
      <c r="TIO9" s="87"/>
      <c r="TIP9" s="87"/>
      <c r="TIQ9" s="87"/>
      <c r="TIR9" s="87"/>
      <c r="TIS9" s="87"/>
      <c r="TIT9" s="87"/>
      <c r="TIU9" s="87"/>
      <c r="TIV9" s="87"/>
      <c r="TIW9" s="87"/>
      <c r="TIX9" s="87"/>
      <c r="TIY9" s="87"/>
      <c r="TIZ9" s="87"/>
      <c r="TJA9" s="87"/>
      <c r="TJB9" s="87"/>
      <c r="TJC9" s="87"/>
      <c r="TJD9" s="87"/>
      <c r="TJE9" s="87"/>
      <c r="TJF9" s="87"/>
      <c r="TJG9" s="87"/>
      <c r="TJH9" s="87"/>
      <c r="TJI9" s="87"/>
      <c r="TJJ9" s="87"/>
      <c r="TJK9" s="87"/>
      <c r="TJL9" s="87"/>
      <c r="TJM9" s="87"/>
      <c r="TJN9" s="87"/>
      <c r="TJO9" s="87"/>
      <c r="TJP9" s="87"/>
      <c r="TJQ9" s="87"/>
      <c r="TJR9" s="87"/>
      <c r="TJS9" s="87"/>
      <c r="TJT9" s="87"/>
      <c r="TJU9" s="87"/>
      <c r="TJV9" s="87"/>
      <c r="TJW9" s="87"/>
      <c r="TJX9" s="87"/>
      <c r="TJY9" s="87"/>
      <c r="TJZ9" s="87"/>
      <c r="TKA9" s="87"/>
      <c r="TKB9" s="87"/>
      <c r="TKC9" s="87"/>
      <c r="TKD9" s="87"/>
      <c r="TKE9" s="87"/>
      <c r="TKF9" s="87"/>
      <c r="TKG9" s="87"/>
      <c r="TKH9" s="87"/>
      <c r="TKI9" s="87"/>
      <c r="TKJ9" s="87"/>
      <c r="TKK9" s="87"/>
      <c r="TKL9" s="87"/>
      <c r="TKM9" s="87"/>
      <c r="TKN9" s="87"/>
      <c r="TKO9" s="87"/>
      <c r="TKP9" s="87"/>
      <c r="TKQ9" s="87"/>
      <c r="TKR9" s="87"/>
      <c r="TKS9" s="87"/>
      <c r="TKT9" s="87"/>
      <c r="TKU9" s="87"/>
      <c r="TKV9" s="87"/>
      <c r="TKW9" s="87"/>
      <c r="TKX9" s="87"/>
      <c r="TKY9" s="87"/>
      <c r="TKZ9" s="87"/>
      <c r="TLA9" s="87"/>
      <c r="TLB9" s="87"/>
      <c r="TLC9" s="87"/>
      <c r="TLD9" s="87"/>
      <c r="TLE9" s="87"/>
      <c r="TLF9" s="87"/>
      <c r="TLG9" s="87"/>
      <c r="TLH9" s="87"/>
      <c r="TLI9" s="87"/>
      <c r="TLJ9" s="87"/>
      <c r="TLK9" s="87"/>
      <c r="TLL9" s="87"/>
      <c r="TLM9" s="87"/>
      <c r="TLN9" s="87"/>
      <c r="TLO9" s="87"/>
      <c r="TLP9" s="87"/>
      <c r="TLQ9" s="87"/>
      <c r="TLR9" s="87"/>
      <c r="TLS9" s="87"/>
      <c r="TLT9" s="87"/>
      <c r="TLU9" s="87"/>
      <c r="TLV9" s="87"/>
      <c r="TLW9" s="87"/>
      <c r="TLX9" s="87"/>
      <c r="TLY9" s="87"/>
      <c r="TLZ9" s="87"/>
      <c r="TMA9" s="87"/>
      <c r="TMB9" s="87"/>
      <c r="TMC9" s="87"/>
      <c r="TMD9" s="87"/>
      <c r="TME9" s="87"/>
      <c r="TMF9" s="87"/>
      <c r="TMG9" s="87"/>
      <c r="TMH9" s="87"/>
      <c r="TMI9" s="87"/>
      <c r="TMJ9" s="87"/>
      <c r="TMK9" s="87"/>
      <c r="TML9" s="87"/>
      <c r="TMM9" s="87"/>
      <c r="TMN9" s="87"/>
      <c r="TMO9" s="87"/>
      <c r="TMP9" s="87"/>
      <c r="TMQ9" s="87"/>
      <c r="TMR9" s="87"/>
      <c r="TMS9" s="87"/>
      <c r="TMT9" s="87"/>
      <c r="TMU9" s="87"/>
      <c r="TMV9" s="87"/>
      <c r="TMW9" s="87"/>
      <c r="TMX9" s="87"/>
      <c r="TMY9" s="87"/>
      <c r="TMZ9" s="87"/>
      <c r="TNA9" s="87"/>
      <c r="TNB9" s="87"/>
      <c r="TNC9" s="87"/>
      <c r="TND9" s="87"/>
      <c r="TNE9" s="87"/>
      <c r="TNF9" s="87"/>
      <c r="TNG9" s="87"/>
      <c r="TNH9" s="87"/>
      <c r="TNI9" s="87"/>
      <c r="TNJ9" s="87"/>
      <c r="TNK9" s="87"/>
      <c r="TNL9" s="87"/>
      <c r="TNM9" s="87"/>
      <c r="TNN9" s="87"/>
      <c r="TNO9" s="87"/>
      <c r="TNP9" s="87"/>
      <c r="TNQ9" s="87"/>
      <c r="TNR9" s="87"/>
      <c r="TNS9" s="87"/>
      <c r="TNT9" s="87"/>
      <c r="TNU9" s="87"/>
      <c r="TNV9" s="87"/>
      <c r="TNW9" s="87"/>
      <c r="TNX9" s="87"/>
      <c r="TNY9" s="87"/>
      <c r="TNZ9" s="87"/>
      <c r="TOA9" s="87"/>
      <c r="TOB9" s="87"/>
      <c r="TOC9" s="87"/>
      <c r="TOD9" s="87"/>
      <c r="TOE9" s="87"/>
      <c r="TOF9" s="87"/>
      <c r="TOG9" s="87"/>
      <c r="TOH9" s="87"/>
      <c r="TOI9" s="87"/>
      <c r="TOJ9" s="87"/>
      <c r="TOK9" s="87"/>
      <c r="TOL9" s="87"/>
      <c r="TOM9" s="87"/>
      <c r="TON9" s="87"/>
      <c r="TOO9" s="87"/>
      <c r="TOP9" s="87"/>
      <c r="TOQ9" s="87"/>
      <c r="TOR9" s="87"/>
      <c r="TOS9" s="87"/>
      <c r="TOT9" s="87"/>
      <c r="TOU9" s="87"/>
      <c r="TOV9" s="87"/>
      <c r="TOW9" s="87"/>
      <c r="TOX9" s="87"/>
      <c r="TOY9" s="87"/>
      <c r="TOZ9" s="87"/>
      <c r="TPA9" s="87"/>
      <c r="TPB9" s="87"/>
      <c r="TPC9" s="87"/>
      <c r="TPD9" s="87"/>
      <c r="TPE9" s="87"/>
      <c r="TPF9" s="87"/>
      <c r="TPG9" s="87"/>
      <c r="TPH9" s="87"/>
      <c r="TPI9" s="87"/>
      <c r="TPJ9" s="87"/>
      <c r="TPK9" s="87"/>
      <c r="TPL9" s="87"/>
      <c r="TPM9" s="87"/>
      <c r="TPN9" s="87"/>
      <c r="TPO9" s="87"/>
      <c r="TPP9" s="87"/>
      <c r="TPQ9" s="87"/>
      <c r="TPR9" s="87"/>
      <c r="TPS9" s="87"/>
      <c r="TPT9" s="87"/>
      <c r="TPU9" s="87"/>
      <c r="TPV9" s="87"/>
      <c r="TPW9" s="87"/>
      <c r="TPX9" s="87"/>
      <c r="TPY9" s="87"/>
      <c r="TPZ9" s="87"/>
      <c r="TQA9" s="87"/>
      <c r="TQB9" s="87"/>
      <c r="TQC9" s="87"/>
      <c r="TQD9" s="87"/>
      <c r="TQE9" s="87"/>
      <c r="TQF9" s="87"/>
      <c r="TQG9" s="87"/>
      <c r="TQH9" s="87"/>
      <c r="TQI9" s="87"/>
      <c r="TQJ9" s="87"/>
      <c r="TQK9" s="87"/>
      <c r="TQL9" s="87"/>
      <c r="TQM9" s="87"/>
      <c r="TQN9" s="87"/>
      <c r="TQO9" s="87"/>
      <c r="TQP9" s="87"/>
      <c r="TQQ9" s="87"/>
      <c r="TQR9" s="87"/>
      <c r="TQS9" s="87"/>
      <c r="TQT9" s="87"/>
      <c r="TQU9" s="87"/>
      <c r="TQV9" s="87"/>
      <c r="TQW9" s="87"/>
      <c r="TQX9" s="87"/>
      <c r="TQY9" s="87"/>
      <c r="TQZ9" s="87"/>
      <c r="TRA9" s="87"/>
      <c r="TRB9" s="87"/>
      <c r="TRC9" s="87"/>
      <c r="TRD9" s="87"/>
      <c r="TRE9" s="87"/>
      <c r="TRF9" s="87"/>
      <c r="TRG9" s="87"/>
      <c r="TRH9" s="87"/>
      <c r="TRI9" s="87"/>
      <c r="TRJ9" s="87"/>
      <c r="TRK9" s="87"/>
      <c r="TRL9" s="87"/>
      <c r="TRM9" s="87"/>
      <c r="TRN9" s="87"/>
      <c r="TRO9" s="87"/>
      <c r="TRP9" s="87"/>
      <c r="TRQ9" s="87"/>
      <c r="TRR9" s="87"/>
      <c r="TRS9" s="87"/>
      <c r="TRT9" s="87"/>
      <c r="TRU9" s="87"/>
      <c r="TRV9" s="87"/>
      <c r="TRW9" s="87"/>
      <c r="TRX9" s="87"/>
      <c r="TRY9" s="87"/>
      <c r="TRZ9" s="87"/>
      <c r="TSA9" s="87"/>
      <c r="TSB9" s="87"/>
      <c r="TSC9" s="87"/>
      <c r="TSD9" s="87"/>
      <c r="TSE9" s="87"/>
      <c r="TSF9" s="87"/>
      <c r="TSG9" s="87"/>
      <c r="TSH9" s="87"/>
      <c r="TSI9" s="87"/>
      <c r="TSJ9" s="87"/>
      <c r="TSK9" s="87"/>
      <c r="TSL9" s="87"/>
      <c r="TSM9" s="87"/>
      <c r="TSN9" s="87"/>
      <c r="TSO9" s="87"/>
      <c r="TSP9" s="87"/>
      <c r="TSQ9" s="87"/>
      <c r="TSR9" s="87"/>
      <c r="TSS9" s="87"/>
      <c r="TST9" s="87"/>
      <c r="TSU9" s="87"/>
      <c r="TSV9" s="87"/>
      <c r="TSW9" s="87"/>
      <c r="TSX9" s="87"/>
      <c r="TSY9" s="87"/>
      <c r="TSZ9" s="87"/>
      <c r="TTA9" s="87"/>
      <c r="TTB9" s="87"/>
      <c r="TTC9" s="87"/>
      <c r="TTD9" s="87"/>
      <c r="TTE9" s="87"/>
      <c r="TTF9" s="87"/>
      <c r="TTG9" s="87"/>
      <c r="TTH9" s="87"/>
      <c r="TTI9" s="87"/>
      <c r="TTJ9" s="87"/>
      <c r="TTK9" s="87"/>
      <c r="TTL9" s="87"/>
      <c r="TTM9" s="87"/>
      <c r="TTN9" s="87"/>
      <c r="TTO9" s="87"/>
      <c r="TTP9" s="87"/>
      <c r="TTQ9" s="87"/>
      <c r="TTR9" s="87"/>
      <c r="TTS9" s="87"/>
      <c r="TTT9" s="87"/>
      <c r="TTU9" s="87"/>
      <c r="TTV9" s="87"/>
      <c r="TTW9" s="87"/>
      <c r="TTX9" s="87"/>
      <c r="TTY9" s="87"/>
      <c r="TTZ9" s="87"/>
      <c r="TUA9" s="87"/>
      <c r="TUB9" s="87"/>
      <c r="TUC9" s="87"/>
      <c r="TUD9" s="87"/>
      <c r="TUE9" s="87"/>
      <c r="TUF9" s="87"/>
      <c r="TUG9" s="87"/>
      <c r="TUH9" s="87"/>
      <c r="TUI9" s="87"/>
      <c r="TUJ9" s="87"/>
      <c r="TUK9" s="87"/>
      <c r="TUL9" s="87"/>
      <c r="TUM9" s="87"/>
      <c r="TUN9" s="87"/>
      <c r="TUO9" s="87"/>
      <c r="TUP9" s="87"/>
      <c r="TUQ9" s="87"/>
      <c r="TUR9" s="87"/>
      <c r="TUS9" s="87"/>
      <c r="TUT9" s="87"/>
      <c r="TUU9" s="87"/>
      <c r="TUV9" s="87"/>
      <c r="TUW9" s="87"/>
      <c r="TUX9" s="87"/>
      <c r="TUY9" s="87"/>
      <c r="TUZ9" s="87"/>
      <c r="TVA9" s="87"/>
      <c r="TVB9" s="87"/>
      <c r="TVC9" s="87"/>
      <c r="TVD9" s="87"/>
      <c r="TVE9" s="87"/>
      <c r="TVF9" s="87"/>
      <c r="TVG9" s="87"/>
      <c r="TVH9" s="87"/>
      <c r="TVI9" s="87"/>
      <c r="TVJ9" s="87"/>
      <c r="TVK9" s="87"/>
      <c r="TVL9" s="87"/>
      <c r="TVM9" s="87"/>
      <c r="TVN9" s="87"/>
      <c r="TVO9" s="87"/>
      <c r="TVP9" s="87"/>
      <c r="TVQ9" s="87"/>
      <c r="TVR9" s="87"/>
      <c r="TVS9" s="87"/>
      <c r="TVT9" s="87"/>
      <c r="TVU9" s="87"/>
      <c r="TVV9" s="87"/>
      <c r="TVW9" s="87"/>
      <c r="TVX9" s="87"/>
      <c r="TVY9" s="87"/>
      <c r="TVZ9" s="87"/>
      <c r="TWA9" s="87"/>
      <c r="TWB9" s="87"/>
      <c r="TWC9" s="87"/>
      <c r="TWD9" s="87"/>
      <c r="TWE9" s="87"/>
      <c r="TWF9" s="87"/>
      <c r="TWG9" s="87"/>
      <c r="TWH9" s="87"/>
      <c r="TWI9" s="87"/>
      <c r="TWJ9" s="87"/>
      <c r="TWK9" s="87"/>
      <c r="TWL9" s="87"/>
      <c r="TWM9" s="87"/>
      <c r="TWN9" s="87"/>
      <c r="TWO9" s="87"/>
      <c r="TWP9" s="87"/>
      <c r="TWQ9" s="87"/>
      <c r="TWR9" s="87"/>
      <c r="TWS9" s="87"/>
      <c r="TWT9" s="87"/>
      <c r="TWU9" s="87"/>
      <c r="TWV9" s="87"/>
      <c r="TWW9" s="87"/>
      <c r="TWX9" s="87"/>
      <c r="TWY9" s="87"/>
      <c r="TWZ9" s="87"/>
      <c r="TXA9" s="87"/>
      <c r="TXB9" s="87"/>
      <c r="TXC9" s="87"/>
      <c r="TXD9" s="87"/>
      <c r="TXE9" s="87"/>
      <c r="TXF9" s="87"/>
      <c r="TXG9" s="87"/>
      <c r="TXH9" s="87"/>
      <c r="TXI9" s="87"/>
      <c r="TXJ9" s="87"/>
      <c r="TXK9" s="87"/>
      <c r="TXL9" s="87"/>
      <c r="TXM9" s="87"/>
      <c r="TXN9" s="87"/>
      <c r="TXO9" s="87"/>
      <c r="TXP9" s="87"/>
      <c r="TXQ9" s="87"/>
      <c r="TXR9" s="87"/>
      <c r="TXS9" s="87"/>
      <c r="TXT9" s="87"/>
      <c r="TXU9" s="87"/>
      <c r="TXV9" s="87"/>
      <c r="TXW9" s="87"/>
      <c r="TXX9" s="87"/>
      <c r="TXY9" s="87"/>
      <c r="TXZ9" s="87"/>
      <c r="TYA9" s="87"/>
      <c r="TYB9" s="87"/>
      <c r="TYC9" s="87"/>
      <c r="TYD9" s="87"/>
      <c r="TYE9" s="87"/>
      <c r="TYF9" s="87"/>
      <c r="TYG9" s="87"/>
      <c r="TYH9" s="87"/>
      <c r="TYI9" s="87"/>
      <c r="TYJ9" s="87"/>
      <c r="TYK9" s="87"/>
      <c r="TYL9" s="87"/>
      <c r="TYM9" s="87"/>
      <c r="TYN9" s="87"/>
      <c r="TYO9" s="87"/>
      <c r="TYP9" s="87"/>
      <c r="TYQ9" s="87"/>
      <c r="TYR9" s="87"/>
      <c r="TYS9" s="87"/>
      <c r="TYT9" s="87"/>
      <c r="TYU9" s="87"/>
      <c r="TYV9" s="87"/>
      <c r="TYW9" s="87"/>
      <c r="TYX9" s="87"/>
      <c r="TYY9" s="87"/>
      <c r="TYZ9" s="87"/>
      <c r="TZA9" s="87"/>
      <c r="TZB9" s="87"/>
      <c r="TZC9" s="87"/>
      <c r="TZD9" s="87"/>
      <c r="TZE9" s="87"/>
      <c r="TZF9" s="87"/>
      <c r="TZG9" s="87"/>
      <c r="TZH9" s="87"/>
      <c r="TZI9" s="87"/>
      <c r="TZJ9" s="87"/>
      <c r="TZK9" s="87"/>
      <c r="TZL9" s="87"/>
      <c r="TZM9" s="87"/>
      <c r="TZN9" s="87"/>
      <c r="TZO9" s="87"/>
      <c r="TZP9" s="87"/>
      <c r="TZQ9" s="87"/>
      <c r="TZR9" s="87"/>
      <c r="TZS9" s="87"/>
      <c r="TZT9" s="87"/>
      <c r="TZU9" s="87"/>
      <c r="TZV9" s="87"/>
      <c r="TZW9" s="87"/>
      <c r="TZX9" s="87"/>
      <c r="TZY9" s="87"/>
      <c r="TZZ9" s="87"/>
      <c r="UAA9" s="87"/>
      <c r="UAB9" s="87"/>
      <c r="UAC9" s="87"/>
      <c r="UAD9" s="87"/>
      <c r="UAE9" s="87"/>
      <c r="UAF9" s="87"/>
      <c r="UAG9" s="87"/>
      <c r="UAH9" s="87"/>
      <c r="UAI9" s="87"/>
      <c r="UAJ9" s="87"/>
      <c r="UAK9" s="87"/>
      <c r="UAL9" s="87"/>
      <c r="UAM9" s="87"/>
      <c r="UAN9" s="87"/>
      <c r="UAO9" s="87"/>
      <c r="UAP9" s="87"/>
      <c r="UAQ9" s="87"/>
      <c r="UAR9" s="87"/>
      <c r="UAS9" s="87"/>
      <c r="UAT9" s="87"/>
      <c r="UAU9" s="87"/>
      <c r="UAV9" s="87"/>
      <c r="UAW9" s="87"/>
      <c r="UAX9" s="87"/>
      <c r="UAY9" s="87"/>
      <c r="UAZ9" s="87"/>
      <c r="UBA9" s="87"/>
      <c r="UBB9" s="87"/>
      <c r="UBC9" s="87"/>
      <c r="UBD9" s="87"/>
      <c r="UBE9" s="87"/>
      <c r="UBF9" s="87"/>
      <c r="UBG9" s="87"/>
      <c r="UBH9" s="87"/>
      <c r="UBI9" s="87"/>
      <c r="UBJ9" s="87"/>
      <c r="UBK9" s="87"/>
      <c r="UBL9" s="87"/>
      <c r="UBM9" s="87"/>
      <c r="UBN9" s="87"/>
      <c r="UBO9" s="87"/>
      <c r="UBP9" s="87"/>
      <c r="UBQ9" s="87"/>
      <c r="UBR9" s="87"/>
      <c r="UBS9" s="87"/>
      <c r="UBT9" s="87"/>
      <c r="UBU9" s="87"/>
      <c r="UBV9" s="87"/>
      <c r="UBW9" s="87"/>
      <c r="UBX9" s="87"/>
      <c r="UBY9" s="87"/>
      <c r="UBZ9" s="87"/>
      <c r="UCA9" s="87"/>
      <c r="UCB9" s="87"/>
      <c r="UCC9" s="87"/>
      <c r="UCD9" s="87"/>
      <c r="UCE9" s="87"/>
      <c r="UCF9" s="87"/>
      <c r="UCG9" s="87"/>
      <c r="UCH9" s="87"/>
      <c r="UCI9" s="87"/>
      <c r="UCJ9" s="87"/>
      <c r="UCK9" s="87"/>
      <c r="UCL9" s="87"/>
      <c r="UCM9" s="87"/>
      <c r="UCN9" s="87"/>
      <c r="UCO9" s="87"/>
      <c r="UCP9" s="87"/>
      <c r="UCQ9" s="87"/>
      <c r="UCR9" s="87"/>
      <c r="UCS9" s="87"/>
      <c r="UCT9" s="87"/>
      <c r="UCU9" s="87"/>
      <c r="UCV9" s="87"/>
      <c r="UCW9" s="87"/>
      <c r="UCX9" s="87"/>
      <c r="UCY9" s="87"/>
      <c r="UCZ9" s="87"/>
      <c r="UDA9" s="87"/>
      <c r="UDB9" s="87"/>
      <c r="UDC9" s="87"/>
      <c r="UDD9" s="87"/>
      <c r="UDE9" s="87"/>
      <c r="UDF9" s="87"/>
      <c r="UDG9" s="87"/>
      <c r="UDH9" s="87"/>
      <c r="UDI9" s="87"/>
      <c r="UDJ9" s="87"/>
      <c r="UDK9" s="87"/>
      <c r="UDL9" s="87"/>
      <c r="UDM9" s="87"/>
      <c r="UDN9" s="87"/>
      <c r="UDO9" s="87"/>
      <c r="UDP9" s="87"/>
      <c r="UDQ9" s="87"/>
      <c r="UDR9" s="87"/>
      <c r="UDS9" s="87"/>
      <c r="UDT9" s="87"/>
      <c r="UDU9" s="87"/>
      <c r="UDV9" s="87"/>
      <c r="UDW9" s="87"/>
      <c r="UDX9" s="87"/>
      <c r="UDY9" s="87"/>
      <c r="UDZ9" s="87"/>
      <c r="UEA9" s="87"/>
      <c r="UEB9" s="87"/>
      <c r="UEC9" s="87"/>
      <c r="UED9" s="87"/>
      <c r="UEE9" s="87"/>
      <c r="UEF9" s="87"/>
      <c r="UEG9" s="87"/>
      <c r="UEH9" s="87"/>
      <c r="UEI9" s="87"/>
      <c r="UEJ9" s="87"/>
      <c r="UEK9" s="87"/>
      <c r="UEL9" s="87"/>
      <c r="UEM9" s="87"/>
      <c r="UEN9" s="87"/>
      <c r="UEO9" s="87"/>
      <c r="UEP9" s="87"/>
      <c r="UEQ9" s="87"/>
      <c r="UER9" s="87"/>
      <c r="UES9" s="87"/>
      <c r="UET9" s="87"/>
      <c r="UEU9" s="87"/>
      <c r="UEV9" s="87"/>
      <c r="UEW9" s="87"/>
      <c r="UEX9" s="87"/>
      <c r="UEY9" s="87"/>
      <c r="UEZ9" s="87"/>
      <c r="UFA9" s="87"/>
      <c r="UFB9" s="87"/>
      <c r="UFC9" s="87"/>
      <c r="UFD9" s="87"/>
      <c r="UFE9" s="87"/>
      <c r="UFF9" s="87"/>
      <c r="UFG9" s="87"/>
      <c r="UFH9" s="87"/>
      <c r="UFI9" s="87"/>
      <c r="UFJ9" s="87"/>
      <c r="UFK9" s="87"/>
      <c r="UFL9" s="87"/>
      <c r="UFM9" s="87"/>
      <c r="UFN9" s="87"/>
      <c r="UFO9" s="87"/>
      <c r="UFP9" s="87"/>
      <c r="UFQ9" s="87"/>
      <c r="UFR9" s="87"/>
      <c r="UFS9" s="87"/>
      <c r="UFT9" s="87"/>
      <c r="UFU9" s="87"/>
      <c r="UFV9" s="87"/>
      <c r="UFW9" s="87"/>
      <c r="UFX9" s="87"/>
      <c r="UFY9" s="87"/>
      <c r="UFZ9" s="87"/>
      <c r="UGA9" s="87"/>
      <c r="UGB9" s="87"/>
      <c r="UGC9" s="87"/>
      <c r="UGD9" s="87"/>
      <c r="UGE9" s="87"/>
      <c r="UGF9" s="87"/>
      <c r="UGG9" s="87"/>
      <c r="UGH9" s="87"/>
      <c r="UGI9" s="87"/>
      <c r="UGJ9" s="87"/>
      <c r="UGK9" s="87"/>
      <c r="UGL9" s="87"/>
      <c r="UGM9" s="87"/>
      <c r="UGN9" s="87"/>
      <c r="UGO9" s="87"/>
      <c r="UGP9" s="87"/>
      <c r="UGQ9" s="87"/>
      <c r="UGR9" s="87"/>
      <c r="UGS9" s="87"/>
      <c r="UGT9" s="87"/>
      <c r="UGU9" s="87"/>
      <c r="UGV9" s="87"/>
      <c r="UGW9" s="87"/>
      <c r="UGX9" s="87"/>
      <c r="UGY9" s="87"/>
      <c r="UGZ9" s="87"/>
      <c r="UHA9" s="87"/>
      <c r="UHB9" s="87"/>
      <c r="UHC9" s="87"/>
      <c r="UHD9" s="87"/>
      <c r="UHE9" s="87"/>
      <c r="UHF9" s="87"/>
      <c r="UHG9" s="87"/>
      <c r="UHH9" s="87"/>
      <c r="UHI9" s="87"/>
      <c r="UHJ9" s="87"/>
      <c r="UHK9" s="87"/>
      <c r="UHL9" s="87"/>
      <c r="UHM9" s="87"/>
      <c r="UHN9" s="87"/>
      <c r="UHO9" s="87"/>
      <c r="UHP9" s="87"/>
      <c r="UHQ9" s="87"/>
      <c r="UHR9" s="87"/>
      <c r="UHS9" s="87"/>
      <c r="UHT9" s="87"/>
      <c r="UHU9" s="87"/>
      <c r="UHV9" s="87"/>
      <c r="UHW9" s="87"/>
      <c r="UHX9" s="87"/>
      <c r="UHY9" s="87"/>
      <c r="UHZ9" s="87"/>
      <c r="UIA9" s="87"/>
      <c r="UIB9" s="87"/>
      <c r="UIC9" s="87"/>
      <c r="UID9" s="87"/>
      <c r="UIE9" s="87"/>
      <c r="UIF9" s="87"/>
      <c r="UIG9" s="87"/>
      <c r="UIH9" s="87"/>
      <c r="UII9" s="87"/>
      <c r="UIJ9" s="87"/>
      <c r="UIK9" s="87"/>
      <c r="UIL9" s="87"/>
      <c r="UIM9" s="87"/>
      <c r="UIN9" s="87"/>
      <c r="UIO9" s="87"/>
      <c r="UIP9" s="87"/>
      <c r="UIQ9" s="87"/>
      <c r="UIR9" s="87"/>
      <c r="UIS9" s="87"/>
      <c r="UIT9" s="87"/>
      <c r="UIU9" s="87"/>
      <c r="UIV9" s="87"/>
      <c r="UIW9" s="87"/>
      <c r="UIX9" s="87"/>
      <c r="UIY9" s="87"/>
      <c r="UIZ9" s="87"/>
      <c r="UJA9" s="87"/>
      <c r="UJB9" s="87"/>
      <c r="UJC9" s="87"/>
      <c r="UJD9" s="87"/>
      <c r="UJE9" s="87"/>
      <c r="UJF9" s="87"/>
      <c r="UJG9" s="87"/>
      <c r="UJH9" s="87"/>
      <c r="UJI9" s="87"/>
      <c r="UJJ9" s="87"/>
      <c r="UJK9" s="87"/>
      <c r="UJL9" s="87"/>
      <c r="UJM9" s="87"/>
      <c r="UJN9" s="87"/>
      <c r="UJO9" s="87"/>
      <c r="UJP9" s="87"/>
      <c r="UJQ9" s="87"/>
      <c r="UJR9" s="87"/>
      <c r="UJS9" s="87"/>
      <c r="UJT9" s="87"/>
      <c r="UJU9" s="87"/>
      <c r="UJV9" s="87"/>
      <c r="UJW9" s="87"/>
      <c r="UJX9" s="87"/>
      <c r="UJY9" s="87"/>
      <c r="UJZ9" s="87"/>
      <c r="UKA9" s="87"/>
      <c r="UKB9" s="87"/>
      <c r="UKC9" s="87"/>
      <c r="UKD9" s="87"/>
      <c r="UKE9" s="87"/>
      <c r="UKF9" s="87"/>
      <c r="UKG9" s="87"/>
      <c r="UKH9" s="87"/>
      <c r="UKI9" s="87"/>
      <c r="UKJ9" s="87"/>
      <c r="UKK9" s="87"/>
      <c r="UKL9" s="87"/>
      <c r="UKM9" s="87"/>
      <c r="UKN9" s="87"/>
      <c r="UKO9" s="87"/>
      <c r="UKP9" s="87"/>
      <c r="UKQ9" s="87"/>
      <c r="UKR9" s="87"/>
      <c r="UKS9" s="87"/>
      <c r="UKT9" s="87"/>
      <c r="UKU9" s="87"/>
      <c r="UKV9" s="87"/>
      <c r="UKW9" s="87"/>
      <c r="UKX9" s="87"/>
      <c r="UKY9" s="87"/>
      <c r="UKZ9" s="87"/>
      <c r="ULA9" s="87"/>
      <c r="ULB9" s="87"/>
      <c r="ULC9" s="87"/>
      <c r="ULD9" s="87"/>
      <c r="ULE9" s="87"/>
      <c r="ULF9" s="87"/>
      <c r="ULG9" s="87"/>
      <c r="ULH9" s="87"/>
      <c r="ULI9" s="87"/>
      <c r="ULJ9" s="87"/>
      <c r="ULK9" s="87"/>
      <c r="ULL9" s="87"/>
      <c r="ULM9" s="87"/>
      <c r="ULN9" s="87"/>
      <c r="ULO9" s="87"/>
      <c r="ULP9" s="87"/>
      <c r="ULQ9" s="87"/>
      <c r="ULR9" s="87"/>
      <c r="ULS9" s="87"/>
      <c r="ULT9" s="87"/>
      <c r="ULU9" s="87"/>
      <c r="ULV9" s="87"/>
      <c r="ULW9" s="87"/>
      <c r="ULX9" s="87"/>
      <c r="ULY9" s="87"/>
      <c r="ULZ9" s="87"/>
      <c r="UMA9" s="87"/>
      <c r="UMB9" s="87"/>
      <c r="UMC9" s="87"/>
      <c r="UMD9" s="87"/>
      <c r="UME9" s="87"/>
      <c r="UMF9" s="87"/>
      <c r="UMG9" s="87"/>
      <c r="UMH9" s="87"/>
      <c r="UMI9" s="87"/>
      <c r="UMJ9" s="87"/>
      <c r="UMK9" s="87"/>
      <c r="UML9" s="87"/>
      <c r="UMM9" s="87"/>
      <c r="UMN9" s="87"/>
      <c r="UMO9" s="87"/>
      <c r="UMP9" s="87"/>
      <c r="UMQ9" s="87"/>
      <c r="UMR9" s="87"/>
      <c r="UMS9" s="87"/>
      <c r="UMT9" s="87"/>
      <c r="UMU9" s="87"/>
      <c r="UMV9" s="87"/>
      <c r="UMW9" s="87"/>
      <c r="UMX9" s="87"/>
      <c r="UMY9" s="87"/>
      <c r="UMZ9" s="87"/>
      <c r="UNA9" s="87"/>
      <c r="UNB9" s="87"/>
      <c r="UNC9" s="87"/>
      <c r="UND9" s="87"/>
      <c r="UNE9" s="87"/>
      <c r="UNF9" s="87"/>
      <c r="UNG9" s="87"/>
      <c r="UNH9" s="87"/>
      <c r="UNI9" s="87"/>
      <c r="UNJ9" s="87"/>
      <c r="UNK9" s="87"/>
      <c r="UNL9" s="87"/>
      <c r="UNM9" s="87"/>
      <c r="UNN9" s="87"/>
      <c r="UNO9" s="87"/>
      <c r="UNP9" s="87"/>
      <c r="UNQ9" s="87"/>
      <c r="UNR9" s="87"/>
      <c r="UNS9" s="87"/>
      <c r="UNT9" s="87"/>
      <c r="UNU9" s="87"/>
      <c r="UNV9" s="87"/>
      <c r="UNW9" s="87"/>
      <c r="UNX9" s="87"/>
      <c r="UNY9" s="87"/>
      <c r="UNZ9" s="87"/>
      <c r="UOA9" s="87"/>
      <c r="UOB9" s="87"/>
      <c r="UOC9" s="87"/>
      <c r="UOD9" s="87"/>
      <c r="UOE9" s="87"/>
      <c r="UOF9" s="87"/>
      <c r="UOG9" s="87"/>
      <c r="UOH9" s="87"/>
      <c r="UOI9" s="87"/>
      <c r="UOJ9" s="87"/>
      <c r="UOK9" s="87"/>
      <c r="UOL9" s="87"/>
      <c r="UOM9" s="87"/>
      <c r="UON9" s="87"/>
      <c r="UOO9" s="87"/>
      <c r="UOP9" s="87"/>
      <c r="UOQ9" s="87"/>
      <c r="UOR9" s="87"/>
      <c r="UOS9" s="87"/>
      <c r="UOT9" s="87"/>
      <c r="UOU9" s="87"/>
      <c r="UOV9" s="87"/>
      <c r="UOW9" s="87"/>
      <c r="UOX9" s="87"/>
      <c r="UOY9" s="87"/>
      <c r="UOZ9" s="87"/>
      <c r="UPA9" s="87"/>
      <c r="UPB9" s="87"/>
      <c r="UPC9" s="87"/>
      <c r="UPD9" s="87"/>
      <c r="UPE9" s="87"/>
      <c r="UPF9" s="87"/>
      <c r="UPG9" s="87"/>
      <c r="UPH9" s="87"/>
      <c r="UPI9" s="87"/>
      <c r="UPJ9" s="87"/>
      <c r="UPK9" s="87"/>
      <c r="UPL9" s="87"/>
      <c r="UPM9" s="87"/>
      <c r="UPN9" s="87"/>
      <c r="UPO9" s="87"/>
      <c r="UPP9" s="87"/>
      <c r="UPQ9" s="87"/>
      <c r="UPR9" s="87"/>
      <c r="UPS9" s="87"/>
      <c r="UPT9" s="87"/>
      <c r="UPU9" s="87"/>
      <c r="UPV9" s="87"/>
      <c r="UPW9" s="87"/>
      <c r="UPX9" s="87"/>
      <c r="UPY9" s="87"/>
      <c r="UPZ9" s="87"/>
      <c r="UQA9" s="87"/>
      <c r="UQB9" s="87"/>
      <c r="UQC9" s="87"/>
      <c r="UQD9" s="87"/>
      <c r="UQE9" s="87"/>
      <c r="UQF9" s="87"/>
      <c r="UQG9" s="87"/>
      <c r="UQH9" s="87"/>
      <c r="UQI9" s="87"/>
      <c r="UQJ9" s="87"/>
      <c r="UQK9" s="87"/>
      <c r="UQL9" s="87"/>
      <c r="UQM9" s="87"/>
      <c r="UQN9" s="87"/>
      <c r="UQO9" s="87"/>
      <c r="UQP9" s="87"/>
      <c r="UQQ9" s="87"/>
      <c r="UQR9" s="87"/>
      <c r="UQS9" s="87"/>
      <c r="UQT9" s="87"/>
      <c r="UQU9" s="87"/>
      <c r="UQV9" s="87"/>
      <c r="UQW9" s="87"/>
      <c r="UQX9" s="87"/>
      <c r="UQY9" s="87"/>
      <c r="UQZ9" s="87"/>
      <c r="URA9" s="87"/>
      <c r="URB9" s="87"/>
      <c r="URC9" s="87"/>
      <c r="URD9" s="87"/>
      <c r="URE9" s="87"/>
      <c r="URF9" s="87"/>
      <c r="URG9" s="87"/>
      <c r="URH9" s="87"/>
      <c r="URI9" s="87"/>
      <c r="URJ9" s="87"/>
      <c r="URK9" s="87"/>
      <c r="URL9" s="87"/>
      <c r="URM9" s="87"/>
      <c r="URN9" s="87"/>
      <c r="URO9" s="87"/>
      <c r="URP9" s="87"/>
      <c r="URQ9" s="87"/>
      <c r="URR9" s="87"/>
      <c r="URS9" s="87"/>
      <c r="URT9" s="87"/>
      <c r="URU9" s="87"/>
      <c r="URV9" s="87"/>
      <c r="URW9" s="87"/>
      <c r="URX9" s="87"/>
      <c r="URY9" s="87"/>
      <c r="URZ9" s="87"/>
      <c r="USA9" s="87"/>
      <c r="USB9" s="87"/>
      <c r="USC9" s="87"/>
      <c r="USD9" s="87"/>
      <c r="USE9" s="87"/>
      <c r="USF9" s="87"/>
      <c r="USG9" s="87"/>
      <c r="USH9" s="87"/>
      <c r="USI9" s="87"/>
      <c r="USJ9" s="87"/>
      <c r="USK9" s="87"/>
      <c r="USL9" s="87"/>
      <c r="USM9" s="87"/>
      <c r="USN9" s="87"/>
      <c r="USO9" s="87"/>
      <c r="USP9" s="87"/>
      <c r="USQ9" s="87"/>
      <c r="USR9" s="87"/>
      <c r="USS9" s="87"/>
      <c r="UST9" s="87"/>
      <c r="USU9" s="87"/>
      <c r="USV9" s="87"/>
      <c r="USW9" s="87"/>
      <c r="USX9" s="87"/>
      <c r="USY9" s="87"/>
      <c r="USZ9" s="87"/>
      <c r="UTA9" s="87"/>
      <c r="UTB9" s="87"/>
      <c r="UTC9" s="87"/>
      <c r="UTD9" s="87"/>
      <c r="UTE9" s="87"/>
      <c r="UTF9" s="87"/>
      <c r="UTG9" s="87"/>
      <c r="UTH9" s="87"/>
      <c r="UTI9" s="87"/>
      <c r="UTJ9" s="87"/>
      <c r="UTK9" s="87"/>
      <c r="UTL9" s="87"/>
      <c r="UTM9" s="87"/>
      <c r="UTN9" s="87"/>
      <c r="UTO9" s="87"/>
      <c r="UTP9" s="87"/>
      <c r="UTQ9" s="87"/>
      <c r="UTR9" s="87"/>
      <c r="UTS9" s="87"/>
      <c r="UTT9" s="87"/>
      <c r="UTU9" s="87"/>
      <c r="UTV9" s="87"/>
      <c r="UTW9" s="87"/>
      <c r="UTX9" s="87"/>
      <c r="UTY9" s="87"/>
      <c r="UTZ9" s="87"/>
      <c r="UUA9" s="87"/>
      <c r="UUB9" s="87"/>
      <c r="UUC9" s="87"/>
      <c r="UUD9" s="87"/>
      <c r="UUE9" s="87"/>
      <c r="UUF9" s="87"/>
      <c r="UUG9" s="87"/>
      <c r="UUH9" s="87"/>
      <c r="UUI9" s="87"/>
      <c r="UUJ9" s="87"/>
      <c r="UUK9" s="87"/>
      <c r="UUL9" s="87"/>
      <c r="UUM9" s="87"/>
      <c r="UUN9" s="87"/>
      <c r="UUO9" s="87"/>
      <c r="UUP9" s="87"/>
      <c r="UUQ9" s="87"/>
      <c r="UUR9" s="87"/>
      <c r="UUS9" s="87"/>
      <c r="UUT9" s="87"/>
      <c r="UUU9" s="87"/>
      <c r="UUV9" s="87"/>
      <c r="UUW9" s="87"/>
      <c r="UUX9" s="87"/>
      <c r="UUY9" s="87"/>
      <c r="UUZ9" s="87"/>
      <c r="UVA9" s="87"/>
      <c r="UVB9" s="87"/>
      <c r="UVC9" s="87"/>
      <c r="UVD9" s="87"/>
      <c r="UVE9" s="87"/>
      <c r="UVF9" s="87"/>
      <c r="UVG9" s="87"/>
      <c r="UVH9" s="87"/>
      <c r="UVI9" s="87"/>
      <c r="UVJ9" s="87"/>
      <c r="UVK9" s="87"/>
      <c r="UVL9" s="87"/>
      <c r="UVM9" s="87"/>
      <c r="UVN9" s="87"/>
      <c r="UVO9" s="87"/>
      <c r="UVP9" s="87"/>
      <c r="UVQ9" s="87"/>
      <c r="UVR9" s="87"/>
      <c r="UVS9" s="87"/>
      <c r="UVT9" s="87"/>
      <c r="UVU9" s="87"/>
      <c r="UVV9" s="87"/>
      <c r="UVW9" s="87"/>
      <c r="UVX9" s="87"/>
      <c r="UVY9" s="87"/>
      <c r="UVZ9" s="87"/>
      <c r="UWA9" s="87"/>
      <c r="UWB9" s="87"/>
      <c r="UWC9" s="87"/>
      <c r="UWD9" s="87"/>
      <c r="UWE9" s="87"/>
      <c r="UWF9" s="87"/>
      <c r="UWG9" s="87"/>
      <c r="UWH9" s="87"/>
      <c r="UWI9" s="87"/>
      <c r="UWJ9" s="87"/>
      <c r="UWK9" s="87"/>
      <c r="UWL9" s="87"/>
      <c r="UWM9" s="87"/>
      <c r="UWN9" s="87"/>
      <c r="UWO9" s="87"/>
      <c r="UWP9" s="87"/>
      <c r="UWQ9" s="87"/>
      <c r="UWR9" s="87"/>
      <c r="UWS9" s="87"/>
      <c r="UWT9" s="87"/>
      <c r="UWU9" s="87"/>
      <c r="UWV9" s="87"/>
      <c r="UWW9" s="87"/>
      <c r="UWX9" s="87"/>
      <c r="UWY9" s="87"/>
      <c r="UWZ9" s="87"/>
      <c r="UXA9" s="87"/>
      <c r="UXB9" s="87"/>
      <c r="UXC9" s="87"/>
      <c r="UXD9" s="87"/>
      <c r="UXE9" s="87"/>
      <c r="UXF9" s="87"/>
      <c r="UXG9" s="87"/>
      <c r="UXH9" s="87"/>
      <c r="UXI9" s="87"/>
      <c r="UXJ9" s="87"/>
      <c r="UXK9" s="87"/>
      <c r="UXL9" s="87"/>
      <c r="UXM9" s="87"/>
      <c r="UXN9" s="87"/>
      <c r="UXO9" s="87"/>
      <c r="UXP9" s="87"/>
      <c r="UXQ9" s="87"/>
      <c r="UXR9" s="87"/>
      <c r="UXS9" s="87"/>
      <c r="UXT9" s="87"/>
      <c r="UXU9" s="87"/>
      <c r="UXV9" s="87"/>
      <c r="UXW9" s="87"/>
      <c r="UXX9" s="87"/>
      <c r="UXY9" s="87"/>
      <c r="UXZ9" s="87"/>
      <c r="UYA9" s="87"/>
      <c r="UYB9" s="87"/>
      <c r="UYC9" s="87"/>
      <c r="UYD9" s="87"/>
      <c r="UYE9" s="87"/>
      <c r="UYF9" s="87"/>
      <c r="UYG9" s="87"/>
      <c r="UYH9" s="87"/>
      <c r="UYI9" s="87"/>
      <c r="UYJ9" s="87"/>
      <c r="UYK9" s="87"/>
      <c r="UYL9" s="87"/>
      <c r="UYM9" s="87"/>
      <c r="UYN9" s="87"/>
      <c r="UYO9" s="87"/>
      <c r="UYP9" s="87"/>
      <c r="UYQ9" s="87"/>
      <c r="UYR9" s="87"/>
      <c r="UYS9" s="87"/>
      <c r="UYT9" s="87"/>
      <c r="UYU9" s="87"/>
      <c r="UYV9" s="87"/>
      <c r="UYW9" s="87"/>
      <c r="UYX9" s="87"/>
      <c r="UYY9" s="87"/>
      <c r="UYZ9" s="87"/>
      <c r="UZA9" s="87"/>
      <c r="UZB9" s="87"/>
      <c r="UZC9" s="87"/>
      <c r="UZD9" s="87"/>
      <c r="UZE9" s="87"/>
      <c r="UZF9" s="87"/>
      <c r="UZG9" s="87"/>
      <c r="UZH9" s="87"/>
      <c r="UZI9" s="87"/>
      <c r="UZJ9" s="87"/>
      <c r="UZK9" s="87"/>
      <c r="UZL9" s="87"/>
      <c r="UZM9" s="87"/>
      <c r="UZN9" s="87"/>
      <c r="UZO9" s="87"/>
      <c r="UZP9" s="87"/>
      <c r="UZQ9" s="87"/>
      <c r="UZR9" s="87"/>
      <c r="UZS9" s="87"/>
      <c r="UZT9" s="87"/>
      <c r="UZU9" s="87"/>
      <c r="UZV9" s="87"/>
      <c r="UZW9" s="87"/>
      <c r="UZX9" s="87"/>
      <c r="UZY9" s="87"/>
      <c r="UZZ9" s="87"/>
      <c r="VAA9" s="87"/>
      <c r="VAB9" s="87"/>
      <c r="VAC9" s="87"/>
      <c r="VAD9" s="87"/>
      <c r="VAE9" s="87"/>
      <c r="VAF9" s="87"/>
      <c r="VAG9" s="87"/>
      <c r="VAH9" s="87"/>
      <c r="VAI9" s="87"/>
      <c r="VAJ9" s="87"/>
      <c r="VAK9" s="87"/>
      <c r="VAL9" s="87"/>
      <c r="VAM9" s="87"/>
      <c r="VAN9" s="87"/>
      <c r="VAO9" s="87"/>
      <c r="VAP9" s="87"/>
      <c r="VAQ9" s="87"/>
      <c r="VAR9" s="87"/>
      <c r="VAS9" s="87"/>
      <c r="VAT9" s="87"/>
      <c r="VAU9" s="87"/>
      <c r="VAV9" s="87"/>
      <c r="VAW9" s="87"/>
      <c r="VAX9" s="87"/>
      <c r="VAY9" s="87"/>
      <c r="VAZ9" s="87"/>
      <c r="VBA9" s="87"/>
      <c r="VBB9" s="87"/>
      <c r="VBC9" s="87"/>
      <c r="VBD9" s="87"/>
      <c r="VBE9" s="87"/>
      <c r="VBF9" s="87"/>
      <c r="VBG9" s="87"/>
      <c r="VBH9" s="87"/>
      <c r="VBI9" s="87"/>
      <c r="VBJ9" s="87"/>
      <c r="VBK9" s="87"/>
      <c r="VBL9" s="87"/>
      <c r="VBM9" s="87"/>
      <c r="VBN9" s="87"/>
      <c r="VBO9" s="87"/>
      <c r="VBP9" s="87"/>
      <c r="VBQ9" s="87"/>
      <c r="VBR9" s="87"/>
      <c r="VBS9" s="87"/>
      <c r="VBT9" s="87"/>
      <c r="VBU9" s="87"/>
      <c r="VBV9" s="87"/>
      <c r="VBW9" s="87"/>
      <c r="VBX9" s="87"/>
      <c r="VBY9" s="87"/>
      <c r="VBZ9" s="87"/>
      <c r="VCA9" s="87"/>
      <c r="VCB9" s="87"/>
      <c r="VCC9" s="87"/>
      <c r="VCD9" s="87"/>
      <c r="VCE9" s="87"/>
      <c r="VCF9" s="87"/>
      <c r="VCG9" s="87"/>
      <c r="VCH9" s="87"/>
      <c r="VCI9" s="87"/>
      <c r="VCJ9" s="87"/>
      <c r="VCK9" s="87"/>
      <c r="VCL9" s="87"/>
      <c r="VCM9" s="87"/>
      <c r="VCN9" s="87"/>
      <c r="VCO9" s="87"/>
      <c r="VCP9" s="87"/>
      <c r="VCQ9" s="87"/>
      <c r="VCR9" s="87"/>
      <c r="VCS9" s="87"/>
      <c r="VCT9" s="87"/>
      <c r="VCU9" s="87"/>
      <c r="VCV9" s="87"/>
      <c r="VCW9" s="87"/>
      <c r="VCX9" s="87"/>
      <c r="VCY9" s="87"/>
      <c r="VCZ9" s="87"/>
      <c r="VDA9" s="87"/>
      <c r="VDB9" s="87"/>
      <c r="VDC9" s="87"/>
      <c r="VDD9" s="87"/>
      <c r="VDE9" s="87"/>
      <c r="VDF9" s="87"/>
      <c r="VDG9" s="87"/>
      <c r="VDH9" s="87"/>
      <c r="VDI9" s="87"/>
      <c r="VDJ9" s="87"/>
      <c r="VDK9" s="87"/>
      <c r="VDL9" s="87"/>
      <c r="VDM9" s="87"/>
      <c r="VDN9" s="87"/>
      <c r="VDO9" s="87"/>
      <c r="VDP9" s="87"/>
      <c r="VDQ9" s="87"/>
      <c r="VDR9" s="87"/>
      <c r="VDS9" s="87"/>
      <c r="VDT9" s="87"/>
      <c r="VDU9" s="87"/>
      <c r="VDV9" s="87"/>
      <c r="VDW9" s="87"/>
      <c r="VDX9" s="87"/>
      <c r="VDY9" s="87"/>
      <c r="VDZ9" s="87"/>
      <c r="VEA9" s="87"/>
      <c r="VEB9" s="87"/>
      <c r="VEC9" s="87"/>
      <c r="VED9" s="87"/>
      <c r="VEE9" s="87"/>
      <c r="VEF9" s="87"/>
      <c r="VEG9" s="87"/>
      <c r="VEH9" s="87"/>
      <c r="VEI9" s="87"/>
      <c r="VEJ9" s="87"/>
      <c r="VEK9" s="87"/>
      <c r="VEL9" s="87"/>
      <c r="VEM9" s="87"/>
      <c r="VEN9" s="87"/>
      <c r="VEO9" s="87"/>
      <c r="VEP9" s="87"/>
      <c r="VEQ9" s="87"/>
      <c r="VER9" s="87"/>
      <c r="VES9" s="87"/>
      <c r="VET9" s="87"/>
      <c r="VEU9" s="87"/>
      <c r="VEV9" s="87"/>
      <c r="VEW9" s="87"/>
      <c r="VEX9" s="87"/>
      <c r="VEY9" s="87"/>
      <c r="VEZ9" s="87"/>
      <c r="VFA9" s="87"/>
      <c r="VFB9" s="87"/>
      <c r="VFC9" s="87"/>
      <c r="VFD9" s="87"/>
      <c r="VFE9" s="87"/>
      <c r="VFF9" s="87"/>
      <c r="VFG9" s="87"/>
      <c r="VFH9" s="87"/>
      <c r="VFI9" s="87"/>
      <c r="VFJ9" s="87"/>
      <c r="VFK9" s="87"/>
      <c r="VFL9" s="87"/>
      <c r="VFM9" s="87"/>
      <c r="VFN9" s="87"/>
      <c r="VFO9" s="87"/>
      <c r="VFP9" s="87"/>
      <c r="VFQ9" s="87"/>
      <c r="VFR9" s="87"/>
      <c r="VFS9" s="87"/>
      <c r="VFT9" s="87"/>
      <c r="VFU9" s="87"/>
      <c r="VFV9" s="87"/>
      <c r="VFW9" s="87"/>
      <c r="VFX9" s="87"/>
      <c r="VFY9" s="87"/>
      <c r="VFZ9" s="87"/>
      <c r="VGA9" s="87"/>
      <c r="VGB9" s="87"/>
      <c r="VGC9" s="87"/>
      <c r="VGD9" s="87"/>
      <c r="VGE9" s="87"/>
      <c r="VGF9" s="87"/>
      <c r="VGG9" s="87"/>
      <c r="VGH9" s="87"/>
      <c r="VGI9" s="87"/>
      <c r="VGJ9" s="87"/>
      <c r="VGK9" s="87"/>
      <c r="VGL9" s="87"/>
      <c r="VGM9" s="87"/>
      <c r="VGN9" s="87"/>
      <c r="VGO9" s="87"/>
      <c r="VGP9" s="87"/>
      <c r="VGQ9" s="87"/>
      <c r="VGR9" s="87"/>
      <c r="VGS9" s="87"/>
      <c r="VGT9" s="87"/>
      <c r="VGU9" s="87"/>
      <c r="VGV9" s="87"/>
      <c r="VGW9" s="87"/>
      <c r="VGX9" s="87"/>
      <c r="VGY9" s="87"/>
      <c r="VGZ9" s="87"/>
      <c r="VHA9" s="87"/>
      <c r="VHB9" s="87"/>
      <c r="VHC9" s="87"/>
      <c r="VHD9" s="87"/>
      <c r="VHE9" s="87"/>
      <c r="VHF9" s="87"/>
      <c r="VHG9" s="87"/>
      <c r="VHH9" s="87"/>
      <c r="VHI9" s="87"/>
      <c r="VHJ9" s="87"/>
      <c r="VHK9" s="87"/>
      <c r="VHL9" s="87"/>
      <c r="VHM9" s="87"/>
      <c r="VHN9" s="87"/>
      <c r="VHO9" s="87"/>
      <c r="VHP9" s="87"/>
      <c r="VHQ9" s="87"/>
      <c r="VHR9" s="87"/>
      <c r="VHS9" s="87"/>
      <c r="VHT9" s="87"/>
      <c r="VHU9" s="87"/>
      <c r="VHV9" s="87"/>
      <c r="VHW9" s="87"/>
      <c r="VHX9" s="87"/>
      <c r="VHY9" s="87"/>
      <c r="VHZ9" s="87"/>
      <c r="VIA9" s="87"/>
      <c r="VIB9" s="87"/>
      <c r="VIC9" s="87"/>
      <c r="VID9" s="87"/>
      <c r="VIE9" s="87"/>
      <c r="VIF9" s="87"/>
      <c r="VIG9" s="87"/>
      <c r="VIH9" s="87"/>
      <c r="VII9" s="87"/>
      <c r="VIJ9" s="87"/>
      <c r="VIK9" s="87"/>
      <c r="VIL9" s="87"/>
      <c r="VIM9" s="87"/>
      <c r="VIN9" s="87"/>
      <c r="VIO9" s="87"/>
      <c r="VIP9" s="87"/>
      <c r="VIQ9" s="87"/>
      <c r="VIR9" s="87"/>
      <c r="VIS9" s="87"/>
      <c r="VIT9" s="87"/>
      <c r="VIU9" s="87"/>
      <c r="VIV9" s="87"/>
      <c r="VIW9" s="87"/>
      <c r="VIX9" s="87"/>
      <c r="VIY9" s="87"/>
      <c r="VIZ9" s="87"/>
      <c r="VJA9" s="87"/>
      <c r="VJB9" s="87"/>
      <c r="VJC9" s="87"/>
      <c r="VJD9" s="87"/>
      <c r="VJE9" s="87"/>
      <c r="VJF9" s="87"/>
      <c r="VJG9" s="87"/>
      <c r="VJH9" s="87"/>
      <c r="VJI9" s="87"/>
      <c r="VJJ9" s="87"/>
      <c r="VJK9" s="87"/>
      <c r="VJL9" s="87"/>
      <c r="VJM9" s="87"/>
      <c r="VJN9" s="87"/>
      <c r="VJO9" s="87"/>
      <c r="VJP9" s="87"/>
      <c r="VJQ9" s="87"/>
      <c r="VJR9" s="87"/>
      <c r="VJS9" s="87"/>
      <c r="VJT9" s="87"/>
      <c r="VJU9" s="87"/>
      <c r="VJV9" s="87"/>
      <c r="VJW9" s="87"/>
      <c r="VJX9" s="87"/>
      <c r="VJY9" s="87"/>
      <c r="VJZ9" s="87"/>
      <c r="VKA9" s="87"/>
      <c r="VKB9" s="87"/>
      <c r="VKC9" s="87"/>
      <c r="VKD9" s="87"/>
      <c r="VKE9" s="87"/>
      <c r="VKF9" s="87"/>
      <c r="VKG9" s="87"/>
      <c r="VKH9" s="87"/>
      <c r="VKI9" s="87"/>
      <c r="VKJ9" s="87"/>
      <c r="VKK9" s="87"/>
      <c r="VKL9" s="87"/>
      <c r="VKM9" s="87"/>
      <c r="VKN9" s="87"/>
      <c r="VKO9" s="87"/>
      <c r="VKP9" s="87"/>
      <c r="VKQ9" s="87"/>
      <c r="VKR9" s="87"/>
      <c r="VKS9" s="87"/>
      <c r="VKT9" s="87"/>
      <c r="VKU9" s="87"/>
      <c r="VKV9" s="87"/>
      <c r="VKW9" s="87"/>
      <c r="VKX9" s="87"/>
      <c r="VKY9" s="87"/>
      <c r="VKZ9" s="87"/>
      <c r="VLA9" s="87"/>
      <c r="VLB9" s="87"/>
      <c r="VLC9" s="87"/>
      <c r="VLD9" s="87"/>
      <c r="VLE9" s="87"/>
      <c r="VLF9" s="87"/>
      <c r="VLG9" s="87"/>
      <c r="VLH9" s="87"/>
      <c r="VLI9" s="87"/>
      <c r="VLJ9" s="87"/>
      <c r="VLK9" s="87"/>
      <c r="VLL9" s="87"/>
      <c r="VLM9" s="87"/>
      <c r="VLN9" s="87"/>
      <c r="VLO9" s="87"/>
      <c r="VLP9" s="87"/>
      <c r="VLQ9" s="87"/>
      <c r="VLR9" s="87"/>
      <c r="VLS9" s="87"/>
      <c r="VLT9" s="87"/>
      <c r="VLU9" s="87"/>
      <c r="VLV9" s="87"/>
      <c r="VLW9" s="87"/>
      <c r="VLX9" s="87"/>
      <c r="VLY9" s="87"/>
      <c r="VLZ9" s="87"/>
      <c r="VMA9" s="87"/>
      <c r="VMB9" s="87"/>
      <c r="VMC9" s="87"/>
      <c r="VMD9" s="87"/>
      <c r="VME9" s="87"/>
      <c r="VMF9" s="87"/>
      <c r="VMG9" s="87"/>
      <c r="VMH9" s="87"/>
      <c r="VMI9" s="87"/>
      <c r="VMJ9" s="87"/>
      <c r="VMK9" s="87"/>
      <c r="VML9" s="87"/>
      <c r="VMM9" s="87"/>
      <c r="VMN9" s="87"/>
      <c r="VMO9" s="87"/>
      <c r="VMP9" s="87"/>
      <c r="VMQ9" s="87"/>
      <c r="VMR9" s="87"/>
      <c r="VMS9" s="87"/>
      <c r="VMT9" s="87"/>
      <c r="VMU9" s="87"/>
      <c r="VMV9" s="87"/>
      <c r="VMW9" s="87"/>
      <c r="VMX9" s="87"/>
      <c r="VMY9" s="87"/>
      <c r="VMZ9" s="87"/>
      <c r="VNA9" s="87"/>
      <c r="VNB9" s="87"/>
      <c r="VNC9" s="87"/>
      <c r="VND9" s="87"/>
      <c r="VNE9" s="87"/>
      <c r="VNF9" s="87"/>
      <c r="VNG9" s="87"/>
      <c r="VNH9" s="87"/>
      <c r="VNI9" s="87"/>
      <c r="VNJ9" s="87"/>
      <c r="VNK9" s="87"/>
      <c r="VNL9" s="87"/>
      <c r="VNM9" s="87"/>
      <c r="VNN9" s="87"/>
      <c r="VNO9" s="87"/>
      <c r="VNP9" s="87"/>
      <c r="VNQ9" s="87"/>
      <c r="VNR9" s="87"/>
      <c r="VNS9" s="87"/>
      <c r="VNT9" s="87"/>
      <c r="VNU9" s="87"/>
      <c r="VNV9" s="87"/>
      <c r="VNW9" s="87"/>
      <c r="VNX9" s="87"/>
      <c r="VNY9" s="87"/>
      <c r="VNZ9" s="87"/>
      <c r="VOA9" s="87"/>
      <c r="VOB9" s="87"/>
      <c r="VOC9" s="87"/>
      <c r="VOD9" s="87"/>
      <c r="VOE9" s="87"/>
      <c r="VOF9" s="87"/>
      <c r="VOG9" s="87"/>
      <c r="VOH9" s="87"/>
      <c r="VOI9" s="87"/>
      <c r="VOJ9" s="87"/>
      <c r="VOK9" s="87"/>
      <c r="VOL9" s="87"/>
      <c r="VOM9" s="87"/>
      <c r="VON9" s="87"/>
      <c r="VOO9" s="87"/>
      <c r="VOP9" s="87"/>
      <c r="VOQ9" s="87"/>
      <c r="VOR9" s="87"/>
      <c r="VOS9" s="87"/>
      <c r="VOT9" s="87"/>
      <c r="VOU9" s="87"/>
      <c r="VOV9" s="87"/>
      <c r="VOW9" s="87"/>
      <c r="VOX9" s="87"/>
      <c r="VOY9" s="87"/>
      <c r="VOZ9" s="87"/>
      <c r="VPA9" s="87"/>
      <c r="VPB9" s="87"/>
      <c r="VPC9" s="87"/>
      <c r="VPD9" s="87"/>
      <c r="VPE9" s="87"/>
      <c r="VPF9" s="87"/>
      <c r="VPG9" s="87"/>
      <c r="VPH9" s="87"/>
      <c r="VPI9" s="87"/>
      <c r="VPJ9" s="87"/>
      <c r="VPK9" s="87"/>
      <c r="VPL9" s="87"/>
      <c r="VPM9" s="87"/>
      <c r="VPN9" s="87"/>
      <c r="VPO9" s="87"/>
      <c r="VPP9" s="87"/>
      <c r="VPQ9" s="87"/>
      <c r="VPR9" s="87"/>
      <c r="VPS9" s="87"/>
      <c r="VPT9" s="87"/>
      <c r="VPU9" s="87"/>
      <c r="VPV9" s="87"/>
      <c r="VPW9" s="87"/>
      <c r="VPX9" s="87"/>
      <c r="VPY9" s="87"/>
      <c r="VPZ9" s="87"/>
      <c r="VQA9" s="87"/>
      <c r="VQB9" s="87"/>
      <c r="VQC9" s="87"/>
      <c r="VQD9" s="87"/>
      <c r="VQE9" s="87"/>
      <c r="VQF9" s="87"/>
      <c r="VQG9" s="87"/>
      <c r="VQH9" s="87"/>
      <c r="VQI9" s="87"/>
      <c r="VQJ9" s="87"/>
      <c r="VQK9" s="87"/>
      <c r="VQL9" s="87"/>
      <c r="VQM9" s="87"/>
      <c r="VQN9" s="87"/>
      <c r="VQO9" s="87"/>
      <c r="VQP9" s="87"/>
      <c r="VQQ9" s="87"/>
      <c r="VQR9" s="87"/>
      <c r="VQS9" s="87"/>
      <c r="VQT9" s="87"/>
      <c r="VQU9" s="87"/>
      <c r="VQV9" s="87"/>
      <c r="VQW9" s="87"/>
      <c r="VQX9" s="87"/>
      <c r="VQY9" s="87"/>
      <c r="VQZ9" s="87"/>
      <c r="VRA9" s="87"/>
      <c r="VRB9" s="87"/>
      <c r="VRC9" s="87"/>
      <c r="VRD9" s="87"/>
      <c r="VRE9" s="87"/>
      <c r="VRF9" s="87"/>
      <c r="VRG9" s="87"/>
      <c r="VRH9" s="87"/>
      <c r="VRI9" s="87"/>
      <c r="VRJ9" s="87"/>
      <c r="VRK9" s="87"/>
      <c r="VRL9" s="87"/>
      <c r="VRM9" s="87"/>
      <c r="VRN9" s="87"/>
      <c r="VRO9" s="87"/>
      <c r="VRP9" s="87"/>
      <c r="VRQ9" s="87"/>
      <c r="VRR9" s="87"/>
      <c r="VRS9" s="87"/>
      <c r="VRT9" s="87"/>
      <c r="VRU9" s="87"/>
      <c r="VRV9" s="87"/>
      <c r="VRW9" s="87"/>
      <c r="VRX9" s="87"/>
      <c r="VRY9" s="87"/>
      <c r="VRZ9" s="87"/>
      <c r="VSA9" s="87"/>
      <c r="VSB9" s="87"/>
      <c r="VSC9" s="87"/>
      <c r="VSD9" s="87"/>
      <c r="VSE9" s="87"/>
      <c r="VSF9" s="87"/>
      <c r="VSG9" s="87"/>
      <c r="VSH9" s="87"/>
      <c r="VSI9" s="87"/>
      <c r="VSJ9" s="87"/>
      <c r="VSK9" s="87"/>
      <c r="VSL9" s="87"/>
      <c r="VSM9" s="87"/>
      <c r="VSN9" s="87"/>
      <c r="VSO9" s="87"/>
      <c r="VSP9" s="87"/>
      <c r="VSQ9" s="87"/>
      <c r="VSR9" s="87"/>
      <c r="VSS9" s="87"/>
      <c r="VST9" s="87"/>
      <c r="VSU9" s="87"/>
      <c r="VSV9" s="87"/>
      <c r="VSW9" s="87"/>
      <c r="VSX9" s="87"/>
      <c r="VSY9" s="87"/>
      <c r="VSZ9" s="87"/>
      <c r="VTA9" s="87"/>
      <c r="VTB9" s="87"/>
      <c r="VTC9" s="87"/>
      <c r="VTD9" s="87"/>
      <c r="VTE9" s="87"/>
      <c r="VTF9" s="87"/>
      <c r="VTG9" s="87"/>
      <c r="VTH9" s="87"/>
      <c r="VTI9" s="87"/>
      <c r="VTJ9" s="87"/>
      <c r="VTK9" s="87"/>
      <c r="VTL9" s="87"/>
      <c r="VTM9" s="87"/>
      <c r="VTN9" s="87"/>
      <c r="VTO9" s="87"/>
      <c r="VTP9" s="87"/>
      <c r="VTQ9" s="87"/>
      <c r="VTR9" s="87"/>
      <c r="VTS9" s="87"/>
      <c r="VTT9" s="87"/>
      <c r="VTU9" s="87"/>
      <c r="VTV9" s="87"/>
      <c r="VTW9" s="87"/>
      <c r="VTX9" s="87"/>
      <c r="VTY9" s="87"/>
      <c r="VTZ9" s="87"/>
      <c r="VUA9" s="87"/>
      <c r="VUB9" s="87"/>
      <c r="VUC9" s="87"/>
      <c r="VUD9" s="87"/>
      <c r="VUE9" s="87"/>
      <c r="VUF9" s="87"/>
      <c r="VUG9" s="87"/>
      <c r="VUH9" s="87"/>
      <c r="VUI9" s="87"/>
      <c r="VUJ9" s="87"/>
      <c r="VUK9" s="87"/>
      <c r="VUL9" s="87"/>
      <c r="VUM9" s="87"/>
      <c r="VUN9" s="87"/>
      <c r="VUO9" s="87"/>
      <c r="VUP9" s="87"/>
      <c r="VUQ9" s="87"/>
      <c r="VUR9" s="87"/>
      <c r="VUS9" s="87"/>
      <c r="VUT9" s="87"/>
      <c r="VUU9" s="87"/>
      <c r="VUV9" s="87"/>
      <c r="VUW9" s="87"/>
      <c r="VUX9" s="87"/>
      <c r="VUY9" s="87"/>
      <c r="VUZ9" s="87"/>
      <c r="VVA9" s="87"/>
      <c r="VVB9" s="87"/>
      <c r="VVC9" s="87"/>
      <c r="VVD9" s="87"/>
      <c r="VVE9" s="87"/>
      <c r="VVF9" s="87"/>
      <c r="VVG9" s="87"/>
      <c r="VVH9" s="87"/>
      <c r="VVI9" s="87"/>
      <c r="VVJ9" s="87"/>
      <c r="VVK9" s="87"/>
      <c r="VVL9" s="87"/>
      <c r="VVM9" s="87"/>
      <c r="VVN9" s="87"/>
      <c r="VVO9" s="87"/>
      <c r="VVP9" s="87"/>
      <c r="VVQ9" s="87"/>
      <c r="VVR9" s="87"/>
      <c r="VVS9" s="87"/>
      <c r="VVT9" s="87"/>
      <c r="VVU9" s="87"/>
      <c r="VVV9" s="87"/>
      <c r="VVW9" s="87"/>
      <c r="VVX9" s="87"/>
      <c r="VVY9" s="87"/>
      <c r="VVZ9" s="87"/>
      <c r="VWA9" s="87"/>
      <c r="VWB9" s="87"/>
      <c r="VWC9" s="87"/>
      <c r="VWD9" s="87"/>
      <c r="VWE9" s="87"/>
      <c r="VWF9" s="87"/>
      <c r="VWG9" s="87"/>
      <c r="VWH9" s="87"/>
      <c r="VWI9" s="87"/>
      <c r="VWJ9" s="87"/>
      <c r="VWK9" s="87"/>
      <c r="VWL9" s="87"/>
      <c r="VWM9" s="87"/>
      <c r="VWN9" s="87"/>
      <c r="VWO9" s="87"/>
      <c r="VWP9" s="87"/>
      <c r="VWQ9" s="87"/>
      <c r="VWR9" s="87"/>
      <c r="VWS9" s="87"/>
      <c r="VWT9" s="87"/>
      <c r="VWU9" s="87"/>
      <c r="VWV9" s="87"/>
      <c r="VWW9" s="87"/>
      <c r="VWX9" s="87"/>
      <c r="VWY9" s="87"/>
      <c r="VWZ9" s="87"/>
      <c r="VXA9" s="87"/>
      <c r="VXB9" s="87"/>
      <c r="VXC9" s="87"/>
      <c r="VXD9" s="87"/>
      <c r="VXE9" s="87"/>
      <c r="VXF9" s="87"/>
      <c r="VXG9" s="87"/>
      <c r="VXH9" s="87"/>
      <c r="VXI9" s="87"/>
      <c r="VXJ9" s="87"/>
      <c r="VXK9" s="87"/>
      <c r="VXL9" s="87"/>
      <c r="VXM9" s="87"/>
      <c r="VXN9" s="87"/>
      <c r="VXO9" s="87"/>
      <c r="VXP9" s="87"/>
      <c r="VXQ9" s="87"/>
      <c r="VXR9" s="87"/>
      <c r="VXS9" s="87"/>
      <c r="VXT9" s="87"/>
      <c r="VXU9" s="87"/>
      <c r="VXV9" s="87"/>
      <c r="VXW9" s="87"/>
      <c r="VXX9" s="87"/>
      <c r="VXY9" s="87"/>
      <c r="VXZ9" s="87"/>
      <c r="VYA9" s="87"/>
      <c r="VYB9" s="87"/>
      <c r="VYC9" s="87"/>
      <c r="VYD9" s="87"/>
      <c r="VYE9" s="87"/>
      <c r="VYF9" s="87"/>
      <c r="VYG9" s="87"/>
      <c r="VYH9" s="87"/>
      <c r="VYI9" s="87"/>
      <c r="VYJ9" s="87"/>
      <c r="VYK9" s="87"/>
      <c r="VYL9" s="87"/>
      <c r="VYM9" s="87"/>
      <c r="VYN9" s="87"/>
      <c r="VYO9" s="87"/>
      <c r="VYP9" s="87"/>
      <c r="VYQ9" s="87"/>
      <c r="VYR9" s="87"/>
      <c r="VYS9" s="87"/>
      <c r="VYT9" s="87"/>
      <c r="VYU9" s="87"/>
      <c r="VYV9" s="87"/>
      <c r="VYW9" s="87"/>
      <c r="VYX9" s="87"/>
      <c r="VYY9" s="87"/>
      <c r="VYZ9" s="87"/>
      <c r="VZA9" s="87"/>
      <c r="VZB9" s="87"/>
      <c r="VZC9" s="87"/>
      <c r="VZD9" s="87"/>
      <c r="VZE9" s="87"/>
      <c r="VZF9" s="87"/>
      <c r="VZG9" s="87"/>
      <c r="VZH9" s="87"/>
      <c r="VZI9" s="87"/>
      <c r="VZJ9" s="87"/>
      <c r="VZK9" s="87"/>
      <c r="VZL9" s="87"/>
      <c r="VZM9" s="87"/>
      <c r="VZN9" s="87"/>
      <c r="VZO9" s="87"/>
      <c r="VZP9" s="87"/>
      <c r="VZQ9" s="87"/>
      <c r="VZR9" s="87"/>
      <c r="VZS9" s="87"/>
      <c r="VZT9" s="87"/>
      <c r="VZU9" s="87"/>
      <c r="VZV9" s="87"/>
      <c r="VZW9" s="87"/>
      <c r="VZX9" s="87"/>
      <c r="VZY9" s="87"/>
      <c r="VZZ9" s="87"/>
      <c r="WAA9" s="87"/>
      <c r="WAB9" s="87"/>
      <c r="WAC9" s="87"/>
      <c r="WAD9" s="87"/>
      <c r="WAE9" s="87"/>
      <c r="WAF9" s="87"/>
      <c r="WAG9" s="87"/>
      <c r="WAH9" s="87"/>
      <c r="WAI9" s="87"/>
      <c r="WAJ9" s="87"/>
      <c r="WAK9" s="87"/>
      <c r="WAL9" s="87"/>
      <c r="WAM9" s="87"/>
      <c r="WAN9" s="87"/>
      <c r="WAO9" s="87"/>
      <c r="WAP9" s="87"/>
      <c r="WAQ9" s="87"/>
      <c r="WAR9" s="87"/>
      <c r="WAS9" s="87"/>
      <c r="WAT9" s="87"/>
      <c r="WAU9" s="87"/>
      <c r="WAV9" s="87"/>
      <c r="WAW9" s="87"/>
      <c r="WAX9" s="87"/>
      <c r="WAY9" s="87"/>
      <c r="WAZ9" s="87"/>
      <c r="WBA9" s="87"/>
      <c r="WBB9" s="87"/>
      <c r="WBC9" s="87"/>
      <c r="WBD9" s="87"/>
      <c r="WBE9" s="87"/>
      <c r="WBF9" s="87"/>
      <c r="WBG9" s="87"/>
      <c r="WBH9" s="87"/>
      <c r="WBI9" s="87"/>
      <c r="WBJ9" s="87"/>
      <c r="WBK9" s="87"/>
      <c r="WBL9" s="87"/>
      <c r="WBM9" s="87"/>
      <c r="WBN9" s="87"/>
      <c r="WBO9" s="87"/>
      <c r="WBP9" s="87"/>
      <c r="WBQ9" s="87"/>
      <c r="WBR9" s="87"/>
      <c r="WBS9" s="87"/>
      <c r="WBT9" s="87"/>
      <c r="WBU9" s="87"/>
      <c r="WBV9" s="87"/>
      <c r="WBW9" s="87"/>
      <c r="WBX9" s="87"/>
      <c r="WBY9" s="87"/>
      <c r="WBZ9" s="87"/>
      <c r="WCA9" s="87"/>
      <c r="WCB9" s="87"/>
      <c r="WCC9" s="87"/>
      <c r="WCD9" s="87"/>
      <c r="WCE9" s="87"/>
      <c r="WCF9" s="87"/>
      <c r="WCG9" s="87"/>
      <c r="WCH9" s="87"/>
      <c r="WCI9" s="87"/>
      <c r="WCJ9" s="87"/>
      <c r="WCK9" s="87"/>
      <c r="WCL9" s="87"/>
      <c r="WCM9" s="87"/>
      <c r="WCN9" s="87"/>
      <c r="WCO9" s="87"/>
      <c r="WCP9" s="87"/>
      <c r="WCQ9" s="87"/>
      <c r="WCR9" s="87"/>
      <c r="WCS9" s="87"/>
      <c r="WCT9" s="87"/>
      <c r="WCU9" s="87"/>
      <c r="WCV9" s="87"/>
      <c r="WCW9" s="87"/>
      <c r="WCX9" s="87"/>
      <c r="WCY9" s="87"/>
      <c r="WCZ9" s="87"/>
      <c r="WDA9" s="87"/>
      <c r="WDB9" s="87"/>
      <c r="WDC9" s="87"/>
      <c r="WDD9" s="87"/>
      <c r="WDE9" s="87"/>
      <c r="WDF9" s="87"/>
      <c r="WDG9" s="87"/>
      <c r="WDH9" s="87"/>
      <c r="WDI9" s="87"/>
      <c r="WDJ9" s="87"/>
      <c r="WDK9" s="87"/>
      <c r="WDL9" s="87"/>
      <c r="WDM9" s="87"/>
      <c r="WDN9" s="87"/>
      <c r="WDO9" s="87"/>
      <c r="WDP9" s="87"/>
      <c r="WDQ9" s="87"/>
      <c r="WDR9" s="87"/>
      <c r="WDS9" s="87"/>
      <c r="WDT9" s="87"/>
      <c r="WDU9" s="87"/>
      <c r="WDV9" s="87"/>
      <c r="WDW9" s="87"/>
      <c r="WDX9" s="87"/>
      <c r="WDY9" s="87"/>
      <c r="WDZ9" s="87"/>
      <c r="WEA9" s="87"/>
      <c r="WEB9" s="87"/>
      <c r="WEC9" s="87"/>
      <c r="WED9" s="87"/>
      <c r="WEE9" s="87"/>
      <c r="WEF9" s="87"/>
      <c r="WEG9" s="87"/>
      <c r="WEH9" s="87"/>
      <c r="WEI9" s="87"/>
      <c r="WEJ9" s="87"/>
      <c r="WEK9" s="87"/>
      <c r="WEL9" s="87"/>
      <c r="WEM9" s="87"/>
      <c r="WEN9" s="87"/>
      <c r="WEO9" s="87"/>
      <c r="WEP9" s="87"/>
      <c r="WEQ9" s="87"/>
      <c r="WER9" s="87"/>
      <c r="WES9" s="87"/>
      <c r="WET9" s="87"/>
      <c r="WEU9" s="87"/>
      <c r="WEV9" s="87"/>
      <c r="WEW9" s="87"/>
      <c r="WEX9" s="87"/>
      <c r="WEY9" s="87"/>
      <c r="WEZ9" s="87"/>
      <c r="WFA9" s="87"/>
      <c r="WFB9" s="87"/>
      <c r="WFC9" s="87"/>
      <c r="WFD9" s="87"/>
      <c r="WFE9" s="87"/>
      <c r="WFF9" s="87"/>
      <c r="WFG9" s="87"/>
      <c r="WFH9" s="87"/>
      <c r="WFI9" s="87"/>
      <c r="WFJ9" s="87"/>
      <c r="WFK9" s="87"/>
      <c r="WFL9" s="87"/>
      <c r="WFM9" s="87"/>
      <c r="WFN9" s="87"/>
      <c r="WFO9" s="87"/>
      <c r="WFP9" s="87"/>
      <c r="WFQ9" s="87"/>
      <c r="WFR9" s="87"/>
      <c r="WFS9" s="87"/>
      <c r="WFT9" s="87"/>
      <c r="WFU9" s="87"/>
      <c r="WFV9" s="87"/>
      <c r="WFW9" s="87"/>
      <c r="WFX9" s="87"/>
      <c r="WFY9" s="87"/>
      <c r="WFZ9" s="87"/>
      <c r="WGA9" s="87"/>
      <c r="WGB9" s="87"/>
      <c r="WGC9" s="87"/>
      <c r="WGD9" s="87"/>
      <c r="WGE9" s="87"/>
      <c r="WGF9" s="87"/>
      <c r="WGG9" s="87"/>
      <c r="WGH9" s="87"/>
      <c r="WGI9" s="87"/>
      <c r="WGJ9" s="87"/>
      <c r="WGK9" s="87"/>
      <c r="WGL9" s="87"/>
      <c r="WGM9" s="87"/>
      <c r="WGN9" s="87"/>
      <c r="WGO9" s="87"/>
      <c r="WGP9" s="87"/>
      <c r="WGQ9" s="87"/>
      <c r="WGR9" s="87"/>
      <c r="WGS9" s="87"/>
      <c r="WGT9" s="87"/>
      <c r="WGU9" s="87"/>
      <c r="WGV9" s="87"/>
      <c r="WGW9" s="87"/>
      <c r="WGX9" s="87"/>
      <c r="WGY9" s="87"/>
      <c r="WGZ9" s="87"/>
      <c r="WHA9" s="87"/>
      <c r="WHB9" s="87"/>
      <c r="WHC9" s="87"/>
      <c r="WHD9" s="87"/>
      <c r="WHE9" s="87"/>
      <c r="WHF9" s="87"/>
      <c r="WHG9" s="87"/>
      <c r="WHH9" s="87"/>
      <c r="WHI9" s="87"/>
      <c r="WHJ9" s="87"/>
      <c r="WHK9" s="87"/>
      <c r="WHL9" s="87"/>
      <c r="WHM9" s="87"/>
      <c r="WHN9" s="87"/>
      <c r="WHO9" s="87"/>
      <c r="WHP9" s="87"/>
      <c r="WHQ9" s="87"/>
      <c r="WHR9" s="87"/>
      <c r="WHS9" s="87"/>
      <c r="WHT9" s="87"/>
      <c r="WHU9" s="87"/>
      <c r="WHV9" s="87"/>
      <c r="WHW9" s="87"/>
      <c r="WHX9" s="87"/>
      <c r="WHY9" s="87"/>
      <c r="WHZ9" s="87"/>
      <c r="WIA9" s="87"/>
      <c r="WIB9" s="87"/>
      <c r="WIC9" s="87"/>
      <c r="WID9" s="87"/>
      <c r="WIE9" s="87"/>
      <c r="WIF9" s="87"/>
      <c r="WIG9" s="87"/>
      <c r="WIH9" s="87"/>
      <c r="WII9" s="87"/>
      <c r="WIJ9" s="87"/>
      <c r="WIK9" s="87"/>
      <c r="WIL9" s="87"/>
      <c r="WIM9" s="87"/>
      <c r="WIN9" s="87"/>
      <c r="WIO9" s="87"/>
      <c r="WIP9" s="87"/>
      <c r="WIQ9" s="87"/>
      <c r="WIR9" s="87"/>
      <c r="WIS9" s="87"/>
      <c r="WIT9" s="87"/>
      <c r="WIU9" s="87"/>
      <c r="WIV9" s="87"/>
      <c r="WIW9" s="87"/>
      <c r="WIX9" s="87"/>
      <c r="WIY9" s="87"/>
      <c r="WIZ9" s="87"/>
      <c r="WJA9" s="87"/>
      <c r="WJB9" s="87"/>
      <c r="WJC9" s="87"/>
      <c r="WJD9" s="87"/>
      <c r="WJE9" s="87"/>
      <c r="WJF9" s="87"/>
      <c r="WJG9" s="87"/>
      <c r="WJH9" s="87"/>
      <c r="WJI9" s="87"/>
      <c r="WJJ9" s="87"/>
      <c r="WJK9" s="87"/>
      <c r="WJL9" s="87"/>
      <c r="WJM9" s="87"/>
      <c r="WJN9" s="87"/>
      <c r="WJO9" s="87"/>
      <c r="WJP9" s="87"/>
      <c r="WJQ9" s="87"/>
      <c r="WJR9" s="87"/>
      <c r="WJS9" s="87"/>
      <c r="WJT9" s="87"/>
      <c r="WJU9" s="87"/>
      <c r="WJV9" s="87"/>
      <c r="WJW9" s="87"/>
      <c r="WJX9" s="87"/>
      <c r="WJY9" s="87"/>
      <c r="WJZ9" s="87"/>
      <c r="WKA9" s="87"/>
      <c r="WKB9" s="87"/>
      <c r="WKC9" s="87"/>
      <c r="WKD9" s="87"/>
      <c r="WKE9" s="87"/>
      <c r="WKF9" s="87"/>
      <c r="WKG9" s="87"/>
      <c r="WKH9" s="87"/>
      <c r="WKI9" s="87"/>
      <c r="WKJ9" s="87"/>
      <c r="WKK9" s="87"/>
      <c r="WKL9" s="87"/>
      <c r="WKM9" s="87"/>
      <c r="WKN9" s="87"/>
      <c r="WKO9" s="87"/>
      <c r="WKP9" s="87"/>
      <c r="WKQ9" s="87"/>
      <c r="WKR9" s="87"/>
      <c r="WKS9" s="87"/>
      <c r="WKT9" s="87"/>
      <c r="WKU9" s="87"/>
      <c r="WKV9" s="87"/>
      <c r="WKW9" s="87"/>
      <c r="WKX9" s="87"/>
      <c r="WKY9" s="87"/>
      <c r="WKZ9" s="87"/>
      <c r="WLA9" s="87"/>
      <c r="WLB9" s="87"/>
      <c r="WLC9" s="87"/>
      <c r="WLD9" s="87"/>
      <c r="WLE9" s="87"/>
      <c r="WLF9" s="87"/>
      <c r="WLG9" s="87"/>
      <c r="WLH9" s="87"/>
      <c r="WLI9" s="87"/>
      <c r="WLJ9" s="87"/>
      <c r="WLK9" s="87"/>
      <c r="WLL9" s="87"/>
      <c r="WLM9" s="87"/>
      <c r="WLN9" s="87"/>
      <c r="WLO9" s="87"/>
      <c r="WLP9" s="87"/>
      <c r="WLQ9" s="87"/>
      <c r="WLR9" s="87"/>
      <c r="WLS9" s="87"/>
      <c r="WLT9" s="87"/>
      <c r="WLU9" s="87"/>
      <c r="WLV9" s="87"/>
      <c r="WLW9" s="87"/>
      <c r="WLX9" s="87"/>
      <c r="WLY9" s="87"/>
      <c r="WLZ9" s="87"/>
      <c r="WMA9" s="87"/>
      <c r="WMB9" s="87"/>
      <c r="WMC9" s="87"/>
      <c r="WMD9" s="87"/>
      <c r="WME9" s="87"/>
      <c r="WMF9" s="87"/>
      <c r="WMG9" s="87"/>
      <c r="WMH9" s="87"/>
      <c r="WMI9" s="87"/>
      <c r="WMJ9" s="87"/>
      <c r="WMK9" s="87"/>
      <c r="WML9" s="87"/>
      <c r="WMM9" s="87"/>
      <c r="WMN9" s="87"/>
      <c r="WMO9" s="87"/>
      <c r="WMP9" s="87"/>
      <c r="WMQ9" s="87"/>
      <c r="WMR9" s="87"/>
      <c r="WMS9" s="87"/>
      <c r="WMT9" s="87"/>
      <c r="WMU9" s="87"/>
      <c r="WMV9" s="87"/>
      <c r="WMW9" s="87"/>
      <c r="WMX9" s="87"/>
      <c r="WMY9" s="87"/>
      <c r="WMZ9" s="87"/>
      <c r="WNA9" s="87"/>
      <c r="WNB9" s="87"/>
      <c r="WNC9" s="87"/>
      <c r="WND9" s="87"/>
      <c r="WNE9" s="87"/>
      <c r="WNF9" s="87"/>
      <c r="WNG9" s="87"/>
      <c r="WNH9" s="87"/>
      <c r="WNI9" s="87"/>
      <c r="WNJ9" s="87"/>
      <c r="WNK9" s="87"/>
      <c r="WNL9" s="87"/>
      <c r="WNM9" s="87"/>
      <c r="WNN9" s="87"/>
      <c r="WNO9" s="87"/>
      <c r="WNP9" s="87"/>
      <c r="WNQ9" s="87"/>
      <c r="WNR9" s="87"/>
      <c r="WNS9" s="87"/>
      <c r="WNT9" s="87"/>
      <c r="WNU9" s="87"/>
      <c r="WNV9" s="87"/>
      <c r="WNW9" s="87"/>
      <c r="WNX9" s="87"/>
      <c r="WNY9" s="87"/>
      <c r="WNZ9" s="87"/>
      <c r="WOA9" s="87"/>
      <c r="WOB9" s="87"/>
      <c r="WOC9" s="87"/>
      <c r="WOD9" s="87"/>
      <c r="WOE9" s="87"/>
      <c r="WOF9" s="87"/>
      <c r="WOG9" s="87"/>
      <c r="WOH9" s="87"/>
      <c r="WOI9" s="87"/>
      <c r="WOJ9" s="87"/>
      <c r="WOK9" s="87"/>
      <c r="WOL9" s="87"/>
      <c r="WOM9" s="87"/>
      <c r="WON9" s="87"/>
      <c r="WOO9" s="87"/>
      <c r="WOP9" s="87"/>
      <c r="WOQ9" s="87"/>
      <c r="WOR9" s="87"/>
      <c r="WOS9" s="87"/>
      <c r="WOT9" s="87"/>
      <c r="WOU9" s="87"/>
      <c r="WOV9" s="87"/>
      <c r="WOW9" s="87"/>
      <c r="WOX9" s="87"/>
      <c r="WOY9" s="87"/>
      <c r="WOZ9" s="87"/>
      <c r="WPA9" s="87"/>
      <c r="WPB9" s="87"/>
      <c r="WPC9" s="87"/>
      <c r="WPD9" s="87"/>
      <c r="WPE9" s="87"/>
      <c r="WPF9" s="87"/>
      <c r="WPG9" s="87"/>
      <c r="WPH9" s="87"/>
      <c r="WPI9" s="87"/>
      <c r="WPJ9" s="87"/>
      <c r="WPK9" s="87"/>
      <c r="WPL9" s="87"/>
      <c r="WPM9" s="87"/>
      <c r="WPN9" s="87"/>
      <c r="WPO9" s="87"/>
      <c r="WPP9" s="87"/>
      <c r="WPQ9" s="87"/>
      <c r="WPR9" s="87"/>
      <c r="WPS9" s="87"/>
      <c r="WPT9" s="87"/>
      <c r="WPU9" s="87"/>
      <c r="WPV9" s="87"/>
      <c r="WPW9" s="87"/>
      <c r="WPX9" s="87"/>
      <c r="WPY9" s="87"/>
      <c r="WPZ9" s="87"/>
      <c r="WQA9" s="87"/>
      <c r="WQB9" s="87"/>
      <c r="WQC9" s="87"/>
      <c r="WQD9" s="87"/>
      <c r="WQE9" s="87"/>
      <c r="WQF9" s="87"/>
      <c r="WQG9" s="87"/>
      <c r="WQH9" s="87"/>
      <c r="WQI9" s="87"/>
      <c r="WQJ9" s="87"/>
      <c r="WQK9" s="87"/>
      <c r="WQL9" s="87"/>
      <c r="WQM9" s="87"/>
      <c r="WQN9" s="87"/>
      <c r="WQO9" s="87"/>
      <c r="WQP9" s="87"/>
      <c r="WQQ9" s="87"/>
      <c r="WQR9" s="87"/>
      <c r="WQS9" s="87"/>
      <c r="WQT9" s="87"/>
      <c r="WQU9" s="87"/>
      <c r="WQV9" s="87"/>
      <c r="WQW9" s="87"/>
      <c r="WQX9" s="87"/>
      <c r="WQY9" s="87"/>
      <c r="WQZ9" s="87"/>
      <c r="WRA9" s="87"/>
      <c r="WRB9" s="87"/>
      <c r="WRC9" s="87"/>
      <c r="WRD9" s="87"/>
      <c r="WRE9" s="87"/>
      <c r="WRF9" s="87"/>
      <c r="WRG9" s="87"/>
      <c r="WRH9" s="87"/>
      <c r="WRI9" s="87"/>
      <c r="WRJ9" s="87"/>
      <c r="WRK9" s="87"/>
      <c r="WRL9" s="87"/>
      <c r="WRM9" s="87"/>
      <c r="WRN9" s="87"/>
      <c r="WRO9" s="87"/>
      <c r="WRP9" s="87"/>
      <c r="WRQ9" s="87"/>
      <c r="WRR9" s="87"/>
      <c r="WRS9" s="87"/>
      <c r="WRT9" s="87"/>
      <c r="WRU9" s="87"/>
      <c r="WRV9" s="87"/>
      <c r="WRW9" s="87"/>
      <c r="WRX9" s="87"/>
      <c r="WRY9" s="87"/>
      <c r="WRZ9" s="87"/>
      <c r="WSA9" s="87"/>
      <c r="WSB9" s="87"/>
      <c r="WSC9" s="87"/>
      <c r="WSD9" s="87"/>
      <c r="WSE9" s="87"/>
      <c r="WSF9" s="87"/>
      <c r="WSG9" s="87"/>
      <c r="WSH9" s="87"/>
      <c r="WSI9" s="87"/>
      <c r="WSJ9" s="87"/>
      <c r="WSK9" s="87"/>
      <c r="WSL9" s="87"/>
      <c r="WSM9" s="87"/>
      <c r="WSN9" s="87"/>
      <c r="WSO9" s="87"/>
      <c r="WSP9" s="87"/>
      <c r="WSQ9" s="87"/>
      <c r="WSR9" s="87"/>
      <c r="WSS9" s="87"/>
      <c r="WST9" s="87"/>
      <c r="WSU9" s="87"/>
      <c r="WSV9" s="87"/>
      <c r="WSW9" s="87"/>
      <c r="WSX9" s="87"/>
      <c r="WSY9" s="87"/>
      <c r="WSZ9" s="87"/>
      <c r="WTA9" s="87"/>
      <c r="WTB9" s="87"/>
      <c r="WTC9" s="87"/>
      <c r="WTD9" s="87"/>
      <c r="WTE9" s="87"/>
      <c r="WTF9" s="87"/>
      <c r="WTG9" s="87"/>
      <c r="WTH9" s="87"/>
      <c r="WTI9" s="87"/>
      <c r="WTJ9" s="87"/>
      <c r="WTK9" s="87"/>
      <c r="WTL9" s="87"/>
      <c r="WTM9" s="87"/>
      <c r="WTN9" s="87"/>
      <c r="WTO9" s="87"/>
      <c r="WTP9" s="87"/>
      <c r="WTQ9" s="87"/>
      <c r="WTR9" s="87"/>
      <c r="WTS9" s="87"/>
      <c r="WTT9" s="87"/>
      <c r="WTU9" s="87"/>
      <c r="WTV9" s="87"/>
      <c r="WTW9" s="87"/>
      <c r="WTX9" s="87"/>
      <c r="WTY9" s="87"/>
      <c r="WTZ9" s="87"/>
      <c r="WUA9" s="87"/>
      <c r="WUB9" s="87"/>
      <c r="WUC9" s="87"/>
      <c r="WUD9" s="87"/>
      <c r="WUE9" s="87"/>
      <c r="WUF9" s="87"/>
      <c r="WUG9" s="87"/>
      <c r="WUH9" s="87"/>
      <c r="WUI9" s="87"/>
      <c r="WUJ9" s="87"/>
      <c r="WUK9" s="87"/>
      <c r="WUL9" s="87"/>
      <c r="WUM9" s="87"/>
      <c r="WUN9" s="87"/>
      <c r="WUO9" s="87"/>
      <c r="WUP9" s="87"/>
      <c r="WUQ9" s="87"/>
      <c r="WUR9" s="87"/>
      <c r="WUS9" s="87"/>
      <c r="WUT9" s="87"/>
      <c r="WUU9" s="87"/>
      <c r="WUV9" s="87"/>
      <c r="WUW9" s="87"/>
      <c r="WUX9" s="87"/>
      <c r="WUY9" s="87"/>
      <c r="WUZ9" s="87"/>
      <c r="WVA9" s="87"/>
      <c r="WVB9" s="87"/>
      <c r="WVC9" s="87"/>
      <c r="WVD9" s="87"/>
      <c r="WVE9" s="87"/>
      <c r="WVF9" s="87"/>
      <c r="WVG9" s="87"/>
      <c r="WVH9" s="87"/>
      <c r="WVI9" s="87"/>
      <c r="WVJ9" s="87"/>
      <c r="WVK9" s="87"/>
      <c r="WVL9" s="87"/>
      <c r="WVM9" s="87"/>
      <c r="WVN9" s="87"/>
      <c r="WVO9" s="87"/>
      <c r="WVP9" s="87"/>
      <c r="WVQ9" s="87"/>
      <c r="WVR9" s="87"/>
      <c r="WVS9" s="87"/>
      <c r="WVT9" s="87"/>
      <c r="WVU9" s="87"/>
      <c r="WVV9" s="87"/>
      <c r="WVW9" s="87"/>
      <c r="WVX9" s="87"/>
      <c r="WVY9" s="87"/>
      <c r="WVZ9" s="87"/>
      <c r="WWA9" s="87"/>
      <c r="WWB9" s="87"/>
      <c r="WWC9" s="87"/>
      <c r="WWD9" s="87"/>
      <c r="WWE9" s="87"/>
      <c r="WWF9" s="87"/>
      <c r="WWG9" s="87"/>
      <c r="WWH9" s="87"/>
      <c r="WWI9" s="87"/>
      <c r="WWJ9" s="87"/>
      <c r="WWK9" s="87"/>
      <c r="WWL9" s="87"/>
      <c r="WWM9" s="87"/>
      <c r="WWN9" s="87"/>
      <c r="WWO9" s="87"/>
      <c r="WWP9" s="87"/>
      <c r="WWQ9" s="87"/>
      <c r="WWR9" s="87"/>
      <c r="WWS9" s="87"/>
      <c r="WWT9" s="87"/>
      <c r="WWU9" s="87"/>
      <c r="WWV9" s="87"/>
      <c r="WWW9" s="87"/>
      <c r="WWX9" s="87"/>
      <c r="WWY9" s="87"/>
      <c r="WWZ9" s="87"/>
      <c r="WXA9" s="87"/>
      <c r="WXB9" s="87"/>
      <c r="WXC9" s="87"/>
      <c r="WXD9" s="87"/>
      <c r="WXE9" s="87"/>
      <c r="WXF9" s="87"/>
      <c r="WXG9" s="87"/>
      <c r="WXH9" s="87"/>
      <c r="WXI9" s="87"/>
      <c r="WXJ9" s="87"/>
      <c r="WXK9" s="87"/>
      <c r="WXL9" s="87"/>
      <c r="WXM9" s="87"/>
      <c r="WXN9" s="87"/>
      <c r="WXO9" s="87"/>
      <c r="WXP9" s="87"/>
      <c r="WXQ9" s="87"/>
      <c r="WXR9" s="87"/>
      <c r="WXS9" s="87"/>
      <c r="WXT9" s="87"/>
      <c r="WXU9" s="87"/>
      <c r="WXV9" s="87"/>
      <c r="WXW9" s="87"/>
      <c r="WXX9" s="87"/>
      <c r="WXY9" s="87"/>
      <c r="WXZ9" s="87"/>
      <c r="WYA9" s="87"/>
      <c r="WYB9" s="87"/>
      <c r="WYC9" s="87"/>
      <c r="WYD9" s="87"/>
      <c r="WYE9" s="87"/>
      <c r="WYF9" s="87"/>
      <c r="WYG9" s="87"/>
      <c r="WYH9" s="87"/>
      <c r="WYI9" s="87"/>
      <c r="WYJ9" s="87"/>
      <c r="WYK9" s="87"/>
      <c r="WYL9" s="87"/>
      <c r="WYM9" s="87"/>
      <c r="WYN9" s="87"/>
      <c r="WYO9" s="87"/>
      <c r="WYP9" s="87"/>
      <c r="WYQ9" s="87"/>
      <c r="WYR9" s="87"/>
      <c r="WYS9" s="87"/>
      <c r="WYT9" s="87"/>
      <c r="WYU9" s="87"/>
      <c r="WYV9" s="87"/>
      <c r="WYW9" s="87"/>
      <c r="WYX9" s="87"/>
      <c r="WYY9" s="87"/>
      <c r="WYZ9" s="87"/>
      <c r="WZA9" s="87"/>
      <c r="WZB9" s="87"/>
      <c r="WZC9" s="87"/>
      <c r="WZD9" s="87"/>
      <c r="WZE9" s="87"/>
      <c r="WZF9" s="87"/>
      <c r="WZG9" s="87"/>
      <c r="WZH9" s="87"/>
      <c r="WZI9" s="87"/>
      <c r="WZJ9" s="87"/>
      <c r="WZK9" s="87"/>
      <c r="WZL9" s="87"/>
      <c r="WZM9" s="87"/>
      <c r="WZN9" s="87"/>
      <c r="WZO9" s="87"/>
      <c r="WZP9" s="87"/>
      <c r="WZQ9" s="87"/>
      <c r="WZR9" s="87"/>
      <c r="WZS9" s="87"/>
      <c r="WZT9" s="87"/>
      <c r="WZU9" s="87"/>
      <c r="WZV9" s="87"/>
      <c r="WZW9" s="87"/>
      <c r="WZX9" s="87"/>
      <c r="WZY9" s="87"/>
      <c r="WZZ9" s="87"/>
      <c r="XAA9" s="87"/>
      <c r="XAB9" s="87"/>
      <c r="XAC9" s="87"/>
      <c r="XAD9" s="87"/>
      <c r="XAE9" s="87"/>
      <c r="XAF9" s="87"/>
      <c r="XAG9" s="87"/>
      <c r="XAH9" s="87"/>
      <c r="XAI9" s="87"/>
      <c r="XAJ9" s="87"/>
      <c r="XAK9" s="87"/>
      <c r="XAL9" s="87"/>
      <c r="XAM9" s="87"/>
      <c r="XAN9" s="87"/>
      <c r="XAO9" s="87"/>
      <c r="XAP9" s="87"/>
      <c r="XAQ9" s="87"/>
      <c r="XAR9" s="87"/>
      <c r="XAS9" s="87"/>
      <c r="XAT9" s="87"/>
      <c r="XAU9" s="87"/>
      <c r="XAV9" s="87"/>
      <c r="XAW9" s="87"/>
      <c r="XAX9" s="87"/>
      <c r="XAY9" s="87"/>
      <c r="XAZ9" s="87"/>
      <c r="XBA9" s="87"/>
      <c r="XBB9" s="87"/>
      <c r="XBC9" s="87"/>
      <c r="XBD9" s="87"/>
      <c r="XBE9" s="87"/>
      <c r="XBF9" s="87"/>
      <c r="XBG9" s="87"/>
      <c r="XBH9" s="87"/>
      <c r="XBI9" s="87"/>
      <c r="XBJ9" s="87"/>
      <c r="XBK9" s="87"/>
      <c r="XBL9" s="87"/>
      <c r="XBM9" s="87"/>
      <c r="XBN9" s="87"/>
      <c r="XBO9" s="87"/>
      <c r="XBP9" s="87"/>
      <c r="XBQ9" s="87"/>
      <c r="XBR9" s="87"/>
      <c r="XBS9" s="87"/>
      <c r="XBT9" s="87"/>
      <c r="XBU9" s="87"/>
      <c r="XBV9" s="87"/>
      <c r="XBW9" s="87"/>
      <c r="XBX9" s="87"/>
      <c r="XBY9" s="87"/>
      <c r="XBZ9" s="87"/>
      <c r="XCA9" s="87"/>
      <c r="XCB9" s="87"/>
      <c r="XCC9" s="87"/>
      <c r="XCD9" s="87"/>
      <c r="XCE9" s="87"/>
      <c r="XCF9" s="87"/>
      <c r="XCG9" s="87"/>
      <c r="XCH9" s="87"/>
      <c r="XCI9" s="87"/>
      <c r="XCJ9" s="87"/>
      <c r="XCK9" s="87"/>
      <c r="XCL9" s="87"/>
      <c r="XCM9" s="87"/>
      <c r="XCN9" s="87"/>
      <c r="XCO9" s="87"/>
      <c r="XCP9" s="87"/>
      <c r="XCQ9" s="87"/>
      <c r="XCR9" s="87"/>
      <c r="XCS9" s="87"/>
      <c r="XCT9" s="87"/>
      <c r="XCU9" s="87"/>
      <c r="XCV9" s="87"/>
    </row>
    <row r="10" spans="1:16324" ht="28">
      <c r="A10" s="102">
        <v>11</v>
      </c>
      <c r="B10" s="94">
        <v>100</v>
      </c>
      <c r="C10" s="103" t="s">
        <v>1023</v>
      </c>
      <c r="D10" s="100" t="s">
        <v>1024</v>
      </c>
      <c r="E10" s="95">
        <v>220</v>
      </c>
      <c r="F10" s="19" t="s">
        <v>888</v>
      </c>
      <c r="G10" s="96">
        <v>0.5</v>
      </c>
      <c r="H10" s="96">
        <f t="shared" si="0"/>
        <v>2.2727272727272729</v>
      </c>
      <c r="I10" s="95">
        <v>1</v>
      </c>
      <c r="J10" s="96">
        <v>1</v>
      </c>
      <c r="K10" s="96">
        <f t="shared" si="27"/>
        <v>0</v>
      </c>
      <c r="L10" s="97">
        <f t="shared" si="28"/>
        <v>0.5</v>
      </c>
      <c r="M10" s="97">
        <f t="shared" si="29"/>
        <v>0</v>
      </c>
      <c r="N10" s="97">
        <f t="shared" si="30"/>
        <v>0.25</v>
      </c>
      <c r="O10" s="97"/>
      <c r="P10" s="97"/>
      <c r="Q10" s="97"/>
      <c r="R10" s="97"/>
      <c r="S10" s="97"/>
      <c r="T10" s="97"/>
      <c r="U10" s="86">
        <f>16</f>
        <v>16</v>
      </c>
      <c r="V10" s="86">
        <f t="shared" si="31"/>
        <v>15.90909090909091</v>
      </c>
      <c r="W10" s="116" t="s">
        <v>875</v>
      </c>
      <c r="X10" s="87" t="s">
        <v>301</v>
      </c>
      <c r="Y10" s="87">
        <f t="shared" si="32"/>
        <v>16</v>
      </c>
      <c r="Z10" s="87" t="str">
        <f>INDEX(автоматы!$B$3:$D$11,MATCH(Y10,автоматы!$A$3:$A$11,0),MATCH(X10,кол_пол,0))</f>
        <v>EZ9F34216</v>
      </c>
      <c r="AA10" s="87">
        <f t="shared" si="33"/>
        <v>18</v>
      </c>
      <c r="AB10" s="87" t="str">
        <f>VLOOKUP(AA10,автоматы!$H$3:$I$17,2,0)</f>
        <v>GZ1 E20</v>
      </c>
      <c r="AC10" s="87">
        <f t="shared" si="34"/>
        <v>20</v>
      </c>
      <c r="AD10" s="87" t="str">
        <f>VLOOKUP(AC10,автоматы!$N$3:$O$19,2,0)</f>
        <v>LZMB1-A20-I</v>
      </c>
      <c r="AE10" s="88">
        <f t="shared" si="35"/>
        <v>16</v>
      </c>
      <c r="AF10" s="87" t="str">
        <f>INDEX(автоматы!$T$2:$V$15,MATCH(AE10,автоматы!$S$2:$S$15,0),MATCH(X10,автоматы!$T$1:$V$1,0))</f>
        <v>iC60N C16 2P</v>
      </c>
      <c r="AG10" s="87">
        <f t="shared" si="36"/>
        <v>16</v>
      </c>
      <c r="AH10" s="87" t="str">
        <f>VLOOKUP(AG10,автоматы!$Z$3:$AA$9,2,0)</f>
        <v>A9D31616</v>
      </c>
      <c r="AI10" s="2">
        <f t="shared" si="37"/>
        <v>16</v>
      </c>
      <c r="AJ10" t="str">
        <f>VLOOKUP(AI10,автоматы!$AE$3:$AF$26,2,0)</f>
        <v>EZC100F3016</v>
      </c>
      <c r="AK10" s="3">
        <f t="shared" si="38"/>
        <v>18</v>
      </c>
      <c r="AL10" t="str">
        <f>VLOOKUP(AK10,DEKraft!$I$2:$J$16,2,0)</f>
        <v>21231DEK</v>
      </c>
      <c r="AM10">
        <f t="shared" si="39"/>
        <v>18</v>
      </c>
      <c r="AN10" t="str">
        <f>VLOOKUP(AM10,systeme!$A$33:$B$47,2,0)</f>
        <v>GM2ME20</v>
      </c>
      <c r="AO10">
        <f t="shared" si="40"/>
        <v>18</v>
      </c>
      <c r="AP10">
        <f>VLOOKUP(AO10,chint!$A$34:$B$48,2,0)</f>
        <v>495083</v>
      </c>
      <c r="AQ10" s="3">
        <f t="shared" si="41"/>
        <v>16</v>
      </c>
      <c r="AR10" t="str">
        <f>INDEX(DEKraft!$B$2:$D$13,MATCH(AQ10,DEKraft!$A$2:$A$13,0),MATCH(X10,DEKraft!$B$1:$D$1,0))</f>
        <v>13165DEK</v>
      </c>
      <c r="AS10" t="str">
        <f>INDEX(DEKraft!$B$21:$D$32,MATCH(AQ10,DEKraft!$A$21:$A$32,0),MATCH(X10,DEKraft!$B$20:$D$20,0))</f>
        <v>12289DEK</v>
      </c>
      <c r="AT10" t="str">
        <f>INDEX(systeme!$B$2:$D$10,MATCH(AQ10,systeme!$A$2:$A$10,0),MATCH(X10,systeme!$B$1:$D$1,0))</f>
        <v>C9F36216</v>
      </c>
      <c r="AU10">
        <f>INDEX(chint!$B$2:$D$10,MATCH(AQ10,chint!$A$2:$A$10,0),MATCH(X10,chint!$B$1:$D$1,0))</f>
        <v>179658</v>
      </c>
      <c r="AV10" s="3">
        <f t="shared" si="42"/>
        <v>16</v>
      </c>
      <c r="AW10" t="str">
        <f>VLOOKUP(AV10,DEKraft!$A$41:$B$47,2,0)</f>
        <v>16204DEK</v>
      </c>
      <c r="AX10">
        <f t="shared" si="43"/>
        <v>16</v>
      </c>
      <c r="AY10" t="str">
        <f>VLOOKUP(AX10,systeme!$G$2:$H$7,2,0)</f>
        <v>C9D36616</v>
      </c>
      <c r="AZ10">
        <f t="shared" si="44"/>
        <v>16</v>
      </c>
      <c r="BA10">
        <f>VLOOKUP(AV10,chint!$G$2:$H$8,2,0)</f>
        <v>689002</v>
      </c>
      <c r="BB10" s="3">
        <f t="shared" si="45"/>
        <v>25</v>
      </c>
      <c r="BC10" t="str">
        <f>VLOOKUP(BB10,DEKraft!$I$21:$J$36,2,0)</f>
        <v>28100DEK</v>
      </c>
      <c r="BD10">
        <f t="shared" si="46"/>
        <v>16</v>
      </c>
      <c r="BE10" t="str">
        <f>VLOOKUP(BD10,systeme!$A$16:$B$30,2,0)</f>
        <v>SPC100F016L3DF</v>
      </c>
      <c r="BF10">
        <f t="shared" si="47"/>
        <v>16</v>
      </c>
      <c r="BG10" s="4">
        <f>VLOOKUP(BF10,chint!$A$14:$B$31,2,0)</f>
        <v>271581</v>
      </c>
      <c r="BH10">
        <f t="shared" si="48"/>
        <v>16</v>
      </c>
      <c r="BI10" t="str">
        <f>INDEX(КЭАЗ!$B$2:$E$14,MATCH(BH10,КЭАЗ!$A$2:$A$14,0),MATCH(X10,КЭАЗ!$B$1:$D$1,0))</f>
        <v>kea.341920</v>
      </c>
      <c r="BJ10">
        <f t="shared" si="49"/>
        <v>16</v>
      </c>
      <c r="BK10" t="str">
        <f>INDEX(hy!$B$2:$D$18,MATCH(BJ10,hy!$A$2:$A$18,0),MATCH(X10,hy!$B$1:$D$1,0))</f>
        <v>HGD63M 2PMCS0000C 00016</v>
      </c>
      <c r="BL10" t="str">
        <f>VLOOKUP(BJ10,hy!$G$2:$H$15,2,0)</f>
        <v>HRO63M 1NG4С0000C00016G</v>
      </c>
      <c r="BM10">
        <f t="shared" si="50"/>
        <v>18</v>
      </c>
      <c r="BN10" t="str">
        <f>VLOOKUP(BM10,hy!$A$41:$B$55,2,0)</f>
        <v>MMS32K 0018</v>
      </c>
      <c r="BO10">
        <f t="shared" si="51"/>
        <v>100</v>
      </c>
      <c r="BP10" t="str">
        <f>VLOOKUP(BO10,hy!$A$21:$B$35,2,0)</f>
        <v>HGP100S-G 3PT4S0000C 00100H</v>
      </c>
      <c r="BQ10" s="89">
        <f>IF($W10=автоматы!$D$45,Z10,IF($W10=автоматы!$D$46,AF10,IF($W10=автоматы!$D$47,AH10,IF($W10=автоматы!$D$48,AB10,IF($W10=автоматы!$D$49,AJ10,IF($W10=автоматы!$D$50,AD10,IF($W10=автоматы!$D$51,BI10,IF($W10=автоматы!$D$52,AR10,IF($W10=автоматы!$D$53,AS10,IF($W10=автоматы!$D$54,AW10,IF($W10=автоматы!$D$55,AL10,IF($W10=автоматы!$D$56,BC10,IF($W10=автоматы!$D$57,AT10,IF($W10=автоматы!$D$58,AY10,IF($W10=автоматы!$D$59,AN10,IF($W10=автоматы!$D$60,BE10,IF($W10=автоматы!$D$61,AU10,IF($W10=автоматы!$D$62,BA10,IF($W10=автоматы!$D$63,AP10,IF($W10=автоматы!$D$64,BG10,IF($W10=автоматы!$D$65,BK10,IF($W10=автоматы!$D$66,BL10,IF($W10=автоматы!$D$67,BN10,IF($W10=автоматы!$D$68,BP10,"др"))))))))))))))))))))))))</f>
        <v>689002</v>
      </c>
      <c r="BR10" s="89">
        <f>IF($W10=автоматы!$D$45,Y10,IF($W10=автоматы!$D$46,AE10,IF($W10=автоматы!$D$47,AG10,IF($W10=автоматы!$D$48,AA10,IF($W10=автоматы!$D$49,AI10,IF($W10=автоматы!$D$50,AC10,IF($W10=автоматы!$D$51,BH10,IF($W10=автоматы!$D$52,AQ10,IF($W10=автоматы!$D$53,AQ10,IF($W10=автоматы!$D$54,AV10,IF($W10=автоматы!$D$55,AK10,IF($W10=автоматы!$D$56,BB10,IF($W10=автоматы!$D$57,AQ10,IF($W10=автоматы!$D$58,AX10,IF($W10=автоматы!$D$59,AM10,IF($W10=автоматы!$D$60,BD10,IF($W10=автоматы!$D$61,AQ10,IF($W10=автоматы!$D$62,AZ10,IF($W10=автоматы!$D$63,AO10,IF($W10=автоматы!$D$64,BF10,IF($W10=автоматы!$D$65,BJ10,IF($W10=автоматы!$D$66,BJ10,IF($W10=автоматы!$D$67,BM10,IF($W10=автоматы!$D$68,BO10,"др"))))))))))))))))))))))))</f>
        <v>16</v>
      </c>
      <c r="BS10" s="89" t="str">
        <f>CONCATENATE(IF($W10=автоматы!$A$1,Y10,IF($W10=автоматы!$H$1,VLOOKUP(AA10,автоматы!$H$3:$K$17,3,0),IF($W10=автоматы!$N$1,VLOOKUP(AC10,автоматы!$N$3:$Q$19,3,0),IF($W10=автоматы!$S$17,AE10,IF($W10=автоматы!$Z$1,AG10,IF($W10=автоматы!$AE$1,AI10,"др"))))))," А")</f>
        <v>др А</v>
      </c>
      <c r="BT10" s="89" t="str">
        <f>IF($W10=автоматы!$A$1,Y10*10,IF($W10=автоматы!$H$1,VLOOKUP(AA10,автоматы!$H$3:$K$17,4,0),IF($W10=автоматы!$N$1,VLOOKUP(AC10,автоматы!$N$3:$Q$19,4,0),IF($W10=автоматы!$S$17,AE10*10,IF($W10=автоматы!$Z$1,AG10*10,IF($W10=автоматы!$AE$1,AI10*10,"др"))))))</f>
        <v>др</v>
      </c>
      <c r="BU10" s="85"/>
      <c r="BV10" s="90" t="s">
        <v>147</v>
      </c>
      <c r="BW10" s="90">
        <v>1</v>
      </c>
      <c r="BX10" s="91">
        <v>3</v>
      </c>
      <c r="BY10" s="92">
        <v>1.5</v>
      </c>
      <c r="BZ10" s="91">
        <f>HLOOKUP(BV10,каталог!$CG$1:$CO$22,MATCH(BY10,каталог!$CF$1:$CF$22,0),0)*BW10</f>
        <v>19</v>
      </c>
      <c r="CA10" s="87" t="str">
        <f t="shared" si="52"/>
        <v>нЕК2</v>
      </c>
      <c r="CB10" s="87" t="str">
        <f t="shared" si="53"/>
        <v>ВВГнг(А)-LS 3x1,5</v>
      </c>
      <c r="CC10" s="87"/>
      <c r="CD10" s="87"/>
      <c r="CE10" s="87"/>
      <c r="CF10" s="87"/>
      <c r="CG10" s="87"/>
      <c r="CH10" s="87"/>
      <c r="CI10" s="87"/>
      <c r="CJ10" s="87"/>
      <c r="CK10" s="87"/>
      <c r="CL10" s="87"/>
      <c r="CM10" s="87"/>
      <c r="CN10" s="87"/>
      <c r="CO10" s="87"/>
      <c r="CP10" s="87"/>
      <c r="CQ10" s="87"/>
      <c r="CR10" s="87"/>
      <c r="CS10" s="87"/>
      <c r="CT10" s="87"/>
      <c r="CU10" s="87"/>
      <c r="CV10" s="87"/>
      <c r="CW10" s="87"/>
      <c r="CX10" s="87"/>
      <c r="CY10" s="87"/>
      <c r="CZ10" s="87"/>
      <c r="DA10" s="87"/>
      <c r="DB10" s="87"/>
      <c r="DC10" s="87"/>
      <c r="DD10" s="87"/>
      <c r="DE10" s="87"/>
      <c r="DF10" s="87"/>
      <c r="DG10" s="87"/>
      <c r="DH10" s="87"/>
      <c r="DI10" s="87"/>
      <c r="DJ10" s="87"/>
      <c r="DK10" s="87"/>
      <c r="DL10" s="87"/>
      <c r="DM10" s="87"/>
      <c r="DN10" s="87"/>
      <c r="DO10" s="87"/>
      <c r="DP10" s="87"/>
      <c r="DQ10" s="87"/>
      <c r="DR10" s="87"/>
      <c r="DS10" s="87"/>
      <c r="DT10" s="87"/>
      <c r="DU10" s="87"/>
      <c r="DV10" s="87"/>
      <c r="DW10" s="87"/>
      <c r="DX10" s="87"/>
      <c r="DY10" s="87"/>
      <c r="DZ10" s="87"/>
      <c r="EA10" s="87"/>
      <c r="EB10" s="87"/>
      <c r="EC10" s="87"/>
      <c r="ED10" s="87"/>
      <c r="EE10" s="87"/>
      <c r="EF10" s="87"/>
      <c r="EG10" s="87"/>
      <c r="EH10" s="87"/>
      <c r="EI10" s="87"/>
      <c r="EJ10" s="87"/>
      <c r="EK10" s="87"/>
      <c r="EL10" s="87"/>
      <c r="EM10" s="87"/>
      <c r="EN10" s="87"/>
      <c r="EO10" s="87"/>
      <c r="EP10" s="87"/>
      <c r="EQ10" s="87"/>
      <c r="ER10" s="87"/>
      <c r="ES10" s="87"/>
      <c r="ET10" s="87"/>
      <c r="EU10" s="87"/>
      <c r="EV10" s="87"/>
      <c r="EW10" s="87"/>
      <c r="EX10" s="87"/>
      <c r="EY10" s="87"/>
      <c r="EZ10" s="87"/>
      <c r="FA10" s="87"/>
      <c r="FB10" s="87"/>
      <c r="FC10" s="87"/>
      <c r="FD10" s="87"/>
      <c r="FE10" s="87"/>
      <c r="FF10" s="87"/>
      <c r="FG10" s="87"/>
      <c r="FH10" s="87"/>
      <c r="FI10" s="87"/>
      <c r="FJ10" s="87"/>
      <c r="FK10" s="87"/>
      <c r="FL10" s="87"/>
      <c r="FM10" s="87"/>
      <c r="FN10" s="87"/>
      <c r="FO10" s="87"/>
      <c r="FP10" s="87"/>
      <c r="FQ10" s="87"/>
      <c r="FR10" s="87"/>
      <c r="FS10" s="87"/>
      <c r="FT10" s="87"/>
      <c r="FU10" s="87"/>
      <c r="FV10" s="87"/>
      <c r="FW10" s="87"/>
      <c r="FX10" s="87"/>
      <c r="FY10" s="87"/>
      <c r="FZ10" s="87"/>
      <c r="GA10" s="87"/>
      <c r="GB10" s="87"/>
      <c r="GC10" s="87"/>
      <c r="GD10" s="87"/>
      <c r="GE10" s="87"/>
      <c r="GF10" s="87"/>
      <c r="GG10" s="87"/>
      <c r="GH10" s="87"/>
      <c r="GI10" s="87"/>
      <c r="GJ10" s="87"/>
      <c r="GK10" s="87"/>
      <c r="GL10" s="87"/>
      <c r="GM10" s="87"/>
      <c r="GN10" s="87"/>
      <c r="GO10" s="87"/>
      <c r="GP10" s="87"/>
      <c r="GQ10" s="87"/>
      <c r="GR10" s="87"/>
      <c r="GS10" s="87"/>
      <c r="GT10" s="87"/>
      <c r="GU10" s="87"/>
      <c r="GV10" s="87"/>
      <c r="GW10" s="87"/>
      <c r="GX10" s="87"/>
      <c r="GY10" s="87"/>
      <c r="GZ10" s="87"/>
      <c r="HA10" s="87"/>
      <c r="HB10" s="87"/>
      <c r="HC10" s="87"/>
      <c r="HD10" s="87"/>
      <c r="HE10" s="87"/>
      <c r="HF10" s="87"/>
      <c r="HG10" s="87"/>
      <c r="HH10" s="87"/>
      <c r="HI10" s="87"/>
      <c r="HJ10" s="87"/>
      <c r="HK10" s="87"/>
      <c r="HL10" s="87"/>
      <c r="HM10" s="87"/>
      <c r="HN10" s="87"/>
      <c r="HO10" s="87"/>
      <c r="HP10" s="87"/>
      <c r="HQ10" s="87"/>
      <c r="HR10" s="87"/>
      <c r="HS10" s="87"/>
      <c r="HT10" s="87"/>
      <c r="HU10" s="87"/>
      <c r="HV10" s="87"/>
      <c r="HW10" s="87"/>
      <c r="HX10" s="87"/>
      <c r="HY10" s="87"/>
      <c r="HZ10" s="87"/>
      <c r="IA10" s="87"/>
      <c r="IB10" s="87"/>
      <c r="IC10" s="87"/>
      <c r="ID10" s="87"/>
      <c r="IE10" s="87"/>
      <c r="IF10" s="87"/>
      <c r="IG10" s="87"/>
      <c r="IH10" s="87"/>
      <c r="II10" s="87"/>
      <c r="IJ10" s="87"/>
      <c r="IK10" s="87"/>
      <c r="IL10" s="87"/>
      <c r="IM10" s="87"/>
      <c r="IN10" s="87"/>
      <c r="IO10" s="87"/>
      <c r="IP10" s="87"/>
      <c r="IQ10" s="87"/>
      <c r="IR10" s="87"/>
      <c r="IS10" s="87"/>
      <c r="IT10" s="87"/>
      <c r="IU10" s="87"/>
      <c r="IV10" s="87"/>
      <c r="IW10" s="87"/>
      <c r="IX10" s="87"/>
      <c r="IY10" s="87"/>
      <c r="IZ10" s="87"/>
      <c r="JA10" s="87"/>
      <c r="JB10" s="87"/>
      <c r="JC10" s="87"/>
      <c r="JD10" s="87"/>
      <c r="JE10" s="87"/>
      <c r="JF10" s="87"/>
      <c r="JG10" s="87"/>
      <c r="JH10" s="87"/>
      <c r="JI10" s="87"/>
      <c r="JJ10" s="87"/>
      <c r="JK10" s="87"/>
      <c r="JL10" s="87"/>
      <c r="JM10" s="87"/>
      <c r="JN10" s="87"/>
      <c r="JO10" s="87"/>
      <c r="JP10" s="87"/>
      <c r="JQ10" s="87"/>
      <c r="JR10" s="87"/>
      <c r="JS10" s="87"/>
      <c r="JT10" s="87"/>
      <c r="JU10" s="87"/>
      <c r="JV10" s="87"/>
      <c r="JW10" s="87"/>
      <c r="JX10" s="87"/>
      <c r="JY10" s="87"/>
      <c r="JZ10" s="87"/>
      <c r="KA10" s="87"/>
      <c r="KB10" s="87"/>
      <c r="KC10" s="87"/>
      <c r="KD10" s="87"/>
      <c r="KE10" s="87"/>
      <c r="KF10" s="87"/>
      <c r="KG10" s="87"/>
      <c r="KH10" s="87"/>
      <c r="KI10" s="87"/>
      <c r="KJ10" s="87"/>
      <c r="KK10" s="87"/>
      <c r="KL10" s="87"/>
      <c r="KM10" s="87"/>
      <c r="KN10" s="87"/>
      <c r="KO10" s="87"/>
      <c r="KP10" s="87"/>
      <c r="KQ10" s="87"/>
      <c r="KR10" s="87"/>
      <c r="KS10" s="87"/>
      <c r="KT10" s="87"/>
      <c r="KU10" s="87"/>
      <c r="KV10" s="87"/>
      <c r="KW10" s="87"/>
      <c r="KX10" s="87"/>
      <c r="KY10" s="87"/>
      <c r="KZ10" s="87"/>
      <c r="LA10" s="87"/>
      <c r="LB10" s="87"/>
      <c r="LC10" s="87"/>
      <c r="LD10" s="87"/>
      <c r="LE10" s="87"/>
      <c r="LF10" s="87"/>
      <c r="LG10" s="87"/>
      <c r="LH10" s="87"/>
      <c r="LI10" s="87"/>
      <c r="LJ10" s="87"/>
      <c r="LK10" s="87"/>
      <c r="LL10" s="87"/>
      <c r="LM10" s="87"/>
      <c r="LN10" s="87"/>
      <c r="LO10" s="87"/>
      <c r="LP10" s="87"/>
      <c r="LQ10" s="87"/>
      <c r="LR10" s="87"/>
      <c r="LS10" s="87"/>
      <c r="LT10" s="87"/>
      <c r="LU10" s="87"/>
      <c r="LV10" s="87"/>
      <c r="LW10" s="87"/>
      <c r="LX10" s="87"/>
      <c r="LY10" s="87"/>
      <c r="LZ10" s="87"/>
      <c r="MA10" s="87"/>
      <c r="MB10" s="87"/>
      <c r="MC10" s="87"/>
      <c r="MD10" s="87"/>
      <c r="ME10" s="87"/>
      <c r="MF10" s="87"/>
      <c r="MG10" s="87"/>
      <c r="MH10" s="87"/>
      <c r="MI10" s="87"/>
      <c r="MJ10" s="87"/>
      <c r="MK10" s="87"/>
      <c r="ML10" s="87"/>
      <c r="MM10" s="87"/>
      <c r="MN10" s="87"/>
      <c r="MO10" s="87"/>
      <c r="MP10" s="87"/>
      <c r="MQ10" s="87"/>
      <c r="MR10" s="87"/>
      <c r="MS10" s="87"/>
      <c r="MT10" s="87"/>
      <c r="MU10" s="87"/>
      <c r="MV10" s="87"/>
      <c r="MW10" s="87"/>
      <c r="MX10" s="87"/>
      <c r="MY10" s="87"/>
      <c r="MZ10" s="87"/>
      <c r="NA10" s="87"/>
      <c r="NB10" s="87"/>
      <c r="NC10" s="87"/>
      <c r="ND10" s="87"/>
      <c r="NE10" s="87"/>
      <c r="NF10" s="87"/>
      <c r="NG10" s="87"/>
      <c r="NH10" s="87"/>
      <c r="NI10" s="87"/>
      <c r="NJ10" s="87"/>
      <c r="NK10" s="87"/>
      <c r="NL10" s="87"/>
      <c r="NM10" s="87"/>
      <c r="NN10" s="87"/>
      <c r="NO10" s="87"/>
      <c r="NP10" s="87"/>
      <c r="NQ10" s="87"/>
      <c r="NR10" s="87"/>
      <c r="NS10" s="87"/>
      <c r="NT10" s="87"/>
      <c r="NU10" s="87"/>
      <c r="NV10" s="87"/>
      <c r="NW10" s="87"/>
      <c r="NX10" s="87"/>
      <c r="NY10" s="87"/>
      <c r="NZ10" s="87"/>
      <c r="OA10" s="87"/>
      <c r="OB10" s="87"/>
      <c r="OC10" s="87"/>
      <c r="OD10" s="87"/>
      <c r="OE10" s="87"/>
      <c r="OF10" s="87"/>
      <c r="OG10" s="87"/>
      <c r="OH10" s="87"/>
      <c r="OI10" s="87"/>
      <c r="OJ10" s="87"/>
      <c r="OK10" s="87"/>
      <c r="OL10" s="87"/>
      <c r="OM10" s="87"/>
      <c r="ON10" s="87"/>
      <c r="OO10" s="87"/>
      <c r="OP10" s="87"/>
      <c r="OQ10" s="87"/>
      <c r="OR10" s="87"/>
      <c r="OS10" s="87"/>
      <c r="OT10" s="87"/>
      <c r="OU10" s="87"/>
      <c r="OV10" s="87"/>
      <c r="OW10" s="87"/>
      <c r="OX10" s="87"/>
      <c r="OY10" s="87"/>
      <c r="OZ10" s="87"/>
      <c r="PA10" s="87"/>
      <c r="PB10" s="87"/>
      <c r="PC10" s="87"/>
      <c r="PD10" s="87"/>
      <c r="PE10" s="87"/>
      <c r="PF10" s="87"/>
      <c r="PG10" s="87"/>
      <c r="PH10" s="87"/>
      <c r="PI10" s="87"/>
      <c r="PJ10" s="87"/>
      <c r="PK10" s="87"/>
      <c r="PL10" s="87"/>
      <c r="PM10" s="87"/>
      <c r="PN10" s="87"/>
      <c r="PO10" s="87"/>
      <c r="PP10" s="87"/>
      <c r="PQ10" s="87"/>
      <c r="PR10" s="87"/>
      <c r="PS10" s="87"/>
      <c r="PT10" s="87"/>
      <c r="PU10" s="87"/>
      <c r="PV10" s="87"/>
      <c r="PW10" s="87"/>
      <c r="PX10" s="87"/>
      <c r="PY10" s="87"/>
      <c r="PZ10" s="87"/>
      <c r="QA10" s="87"/>
      <c r="QB10" s="87"/>
      <c r="QC10" s="87"/>
      <c r="QD10" s="87"/>
      <c r="QE10" s="87"/>
      <c r="QF10" s="87"/>
      <c r="QG10" s="87"/>
      <c r="QH10" s="87"/>
      <c r="QI10" s="87"/>
      <c r="QJ10" s="87"/>
      <c r="QK10" s="87"/>
      <c r="QL10" s="87"/>
      <c r="QM10" s="87"/>
      <c r="QN10" s="87"/>
      <c r="QO10" s="87"/>
      <c r="QP10" s="87"/>
      <c r="QQ10" s="87"/>
      <c r="QR10" s="87"/>
      <c r="QS10" s="87"/>
      <c r="QT10" s="87"/>
      <c r="QU10" s="87"/>
      <c r="QV10" s="87"/>
      <c r="QW10" s="87"/>
      <c r="QX10" s="87"/>
      <c r="QY10" s="87"/>
      <c r="QZ10" s="87"/>
      <c r="RA10" s="87"/>
      <c r="RB10" s="87"/>
      <c r="RC10" s="87"/>
      <c r="RD10" s="87"/>
      <c r="RE10" s="87"/>
      <c r="RF10" s="87"/>
      <c r="RG10" s="87"/>
      <c r="RH10" s="87"/>
      <c r="RI10" s="87"/>
      <c r="RJ10" s="87"/>
      <c r="RK10" s="87"/>
      <c r="RL10" s="87"/>
      <c r="RM10" s="87"/>
      <c r="RN10" s="87"/>
      <c r="RO10" s="87"/>
      <c r="RP10" s="87"/>
      <c r="RQ10" s="87"/>
      <c r="RR10" s="87"/>
      <c r="RS10" s="87"/>
      <c r="RT10" s="87"/>
      <c r="RU10" s="87"/>
      <c r="RV10" s="87"/>
      <c r="RW10" s="87"/>
      <c r="RX10" s="87"/>
      <c r="RY10" s="87"/>
      <c r="RZ10" s="87"/>
      <c r="SA10" s="87"/>
      <c r="SB10" s="87"/>
      <c r="SC10" s="87"/>
      <c r="SD10" s="87"/>
      <c r="SE10" s="87"/>
      <c r="SF10" s="87"/>
      <c r="SG10" s="87"/>
      <c r="SH10" s="87"/>
      <c r="SI10" s="87"/>
      <c r="SJ10" s="87"/>
      <c r="SK10" s="87"/>
      <c r="SL10" s="87"/>
      <c r="SM10" s="87"/>
      <c r="SN10" s="87"/>
      <c r="SO10" s="87"/>
      <c r="SP10" s="87"/>
      <c r="SQ10" s="87"/>
      <c r="SR10" s="87"/>
      <c r="SS10" s="87"/>
      <c r="ST10" s="87"/>
      <c r="SU10" s="87"/>
      <c r="SV10" s="87"/>
      <c r="SW10" s="87"/>
      <c r="SX10" s="87"/>
      <c r="SY10" s="87"/>
      <c r="SZ10" s="87"/>
      <c r="TA10" s="87"/>
      <c r="TB10" s="87"/>
      <c r="TC10" s="87"/>
      <c r="TD10" s="87"/>
      <c r="TE10" s="87"/>
      <c r="TF10" s="87"/>
      <c r="TG10" s="87"/>
      <c r="TH10" s="87"/>
      <c r="TI10" s="87"/>
      <c r="TJ10" s="87"/>
      <c r="TK10" s="87"/>
      <c r="TL10" s="87"/>
      <c r="TM10" s="87"/>
      <c r="TN10" s="87"/>
      <c r="TO10" s="87"/>
      <c r="TP10" s="87"/>
      <c r="TQ10" s="87"/>
      <c r="TR10" s="87"/>
      <c r="TS10" s="87"/>
      <c r="TT10" s="87"/>
      <c r="TU10" s="87"/>
      <c r="TV10" s="87"/>
      <c r="TW10" s="87"/>
      <c r="TX10" s="87"/>
      <c r="TY10" s="87"/>
      <c r="TZ10" s="87"/>
      <c r="UA10" s="87"/>
      <c r="UB10" s="87"/>
      <c r="UC10" s="87"/>
      <c r="UD10" s="87"/>
      <c r="UE10" s="87"/>
      <c r="UF10" s="87"/>
      <c r="UG10" s="87"/>
      <c r="UH10" s="87"/>
      <c r="UI10" s="87"/>
      <c r="UJ10" s="87"/>
      <c r="UK10" s="87"/>
      <c r="UL10" s="87"/>
      <c r="UM10" s="87"/>
      <c r="UN10" s="87"/>
      <c r="UO10" s="87"/>
      <c r="UP10" s="87"/>
      <c r="UQ10" s="87"/>
      <c r="UR10" s="87"/>
      <c r="US10" s="87"/>
      <c r="UT10" s="87"/>
      <c r="UU10" s="87"/>
      <c r="UV10" s="87"/>
      <c r="UW10" s="87"/>
      <c r="UX10" s="87"/>
      <c r="UY10" s="87"/>
      <c r="UZ10" s="87"/>
      <c r="VA10" s="87"/>
      <c r="VB10" s="87"/>
      <c r="VC10" s="87"/>
      <c r="VD10" s="87"/>
      <c r="VE10" s="87"/>
      <c r="VF10" s="87"/>
      <c r="VG10" s="87"/>
      <c r="VH10" s="87"/>
      <c r="VI10" s="87"/>
      <c r="VJ10" s="87"/>
      <c r="VK10" s="87"/>
      <c r="VL10" s="87"/>
      <c r="VM10" s="87"/>
      <c r="VN10" s="87"/>
      <c r="VO10" s="87"/>
      <c r="VP10" s="87"/>
      <c r="VQ10" s="87"/>
      <c r="VR10" s="87"/>
      <c r="VS10" s="87"/>
      <c r="VT10" s="87"/>
      <c r="VU10" s="87"/>
      <c r="VV10" s="87"/>
      <c r="VW10" s="87"/>
      <c r="VX10" s="87"/>
      <c r="VY10" s="87"/>
      <c r="VZ10" s="87"/>
      <c r="WA10" s="87"/>
      <c r="WB10" s="87"/>
      <c r="WC10" s="87"/>
      <c r="WD10" s="87"/>
      <c r="WE10" s="87"/>
      <c r="WF10" s="87"/>
      <c r="WG10" s="87"/>
      <c r="WH10" s="87"/>
      <c r="WI10" s="87"/>
      <c r="WJ10" s="87"/>
      <c r="WK10" s="87"/>
      <c r="WL10" s="87"/>
      <c r="WM10" s="87"/>
      <c r="WN10" s="87"/>
      <c r="WO10" s="87"/>
      <c r="WP10" s="87"/>
      <c r="WQ10" s="87"/>
      <c r="WR10" s="87"/>
      <c r="WS10" s="87"/>
      <c r="WT10" s="87"/>
      <c r="WU10" s="87"/>
      <c r="WV10" s="87"/>
      <c r="WW10" s="87"/>
      <c r="WX10" s="87"/>
      <c r="WY10" s="87"/>
      <c r="WZ10" s="87"/>
      <c r="XA10" s="87"/>
      <c r="XB10" s="87"/>
      <c r="XC10" s="87"/>
      <c r="XD10" s="87"/>
      <c r="XE10" s="87"/>
      <c r="XF10" s="87"/>
      <c r="XG10" s="87"/>
      <c r="XH10" s="87"/>
      <c r="XI10" s="87"/>
      <c r="XJ10" s="87"/>
      <c r="XK10" s="87"/>
      <c r="XL10" s="87"/>
      <c r="XM10" s="87"/>
      <c r="XN10" s="87"/>
      <c r="XO10" s="87"/>
      <c r="XP10" s="87"/>
      <c r="XQ10" s="87"/>
      <c r="XR10" s="87"/>
      <c r="XS10" s="87"/>
      <c r="XT10" s="87"/>
      <c r="XU10" s="87"/>
      <c r="XV10" s="87"/>
      <c r="XW10" s="87"/>
      <c r="XX10" s="87"/>
      <c r="XY10" s="87"/>
      <c r="XZ10" s="87"/>
      <c r="YA10" s="87"/>
      <c r="YB10" s="87"/>
      <c r="YC10" s="87"/>
      <c r="YD10" s="87"/>
      <c r="YE10" s="87"/>
      <c r="YF10" s="87"/>
      <c r="YG10" s="87"/>
      <c r="YH10" s="87"/>
      <c r="YI10" s="87"/>
      <c r="YJ10" s="87"/>
      <c r="YK10" s="87"/>
      <c r="YL10" s="87"/>
      <c r="YM10" s="87"/>
      <c r="YN10" s="87"/>
      <c r="YO10" s="87"/>
      <c r="YP10" s="87"/>
      <c r="YQ10" s="87"/>
      <c r="YR10" s="87"/>
      <c r="YS10" s="87"/>
      <c r="YT10" s="87"/>
      <c r="YU10" s="87"/>
      <c r="YV10" s="87"/>
      <c r="YW10" s="87"/>
      <c r="YX10" s="87"/>
      <c r="YY10" s="87"/>
      <c r="YZ10" s="87"/>
      <c r="ZA10" s="87"/>
      <c r="ZB10" s="87"/>
      <c r="ZC10" s="87"/>
      <c r="ZD10" s="87"/>
      <c r="ZE10" s="87"/>
      <c r="ZF10" s="87"/>
      <c r="ZG10" s="87"/>
      <c r="ZH10" s="87"/>
      <c r="ZI10" s="87"/>
      <c r="ZJ10" s="87"/>
      <c r="ZK10" s="87"/>
      <c r="ZL10" s="87"/>
      <c r="ZM10" s="87"/>
      <c r="ZN10" s="87"/>
      <c r="ZO10" s="87"/>
      <c r="ZP10" s="87"/>
      <c r="ZQ10" s="87"/>
      <c r="ZR10" s="87"/>
      <c r="ZS10" s="87"/>
      <c r="ZT10" s="87"/>
      <c r="ZU10" s="87"/>
      <c r="ZV10" s="87"/>
      <c r="ZW10" s="87"/>
      <c r="ZX10" s="87"/>
      <c r="ZY10" s="87"/>
      <c r="ZZ10" s="87"/>
      <c r="AAA10" s="87"/>
      <c r="AAB10" s="87"/>
      <c r="AAC10" s="87"/>
      <c r="AAD10" s="87"/>
      <c r="AAE10" s="87"/>
      <c r="AAF10" s="87"/>
      <c r="AAG10" s="87"/>
      <c r="AAH10" s="87"/>
      <c r="AAI10" s="87"/>
      <c r="AAJ10" s="87"/>
      <c r="AAK10" s="87"/>
      <c r="AAL10" s="87"/>
      <c r="AAM10" s="87"/>
      <c r="AAN10" s="87"/>
      <c r="AAO10" s="87"/>
      <c r="AAP10" s="87"/>
      <c r="AAQ10" s="87"/>
      <c r="AAR10" s="87"/>
      <c r="AAS10" s="87"/>
      <c r="AAT10" s="87"/>
      <c r="AAU10" s="87"/>
      <c r="AAV10" s="87"/>
      <c r="AAW10" s="87"/>
      <c r="AAX10" s="87"/>
      <c r="AAY10" s="87"/>
      <c r="AAZ10" s="87"/>
      <c r="ABA10" s="87"/>
      <c r="ABB10" s="87"/>
      <c r="ABC10" s="87"/>
      <c r="ABD10" s="87"/>
      <c r="ABE10" s="87"/>
      <c r="ABF10" s="87"/>
      <c r="ABG10" s="87"/>
      <c r="ABH10" s="87"/>
      <c r="ABI10" s="87"/>
      <c r="ABJ10" s="87"/>
      <c r="ABK10" s="87"/>
      <c r="ABL10" s="87"/>
      <c r="ABM10" s="87"/>
      <c r="ABN10" s="87"/>
      <c r="ABO10" s="87"/>
      <c r="ABP10" s="87"/>
      <c r="ABQ10" s="87"/>
      <c r="ABR10" s="87"/>
      <c r="ABS10" s="87"/>
      <c r="ABT10" s="87"/>
      <c r="ABU10" s="87"/>
      <c r="ABV10" s="87"/>
      <c r="ABW10" s="87"/>
      <c r="ABX10" s="87"/>
      <c r="ABY10" s="87"/>
      <c r="ABZ10" s="87"/>
      <c r="ACA10" s="87"/>
      <c r="ACB10" s="87"/>
      <c r="ACC10" s="87"/>
      <c r="ACD10" s="87"/>
      <c r="ACE10" s="87"/>
      <c r="ACF10" s="87"/>
      <c r="ACG10" s="87"/>
      <c r="ACH10" s="87"/>
      <c r="ACI10" s="87"/>
      <c r="ACJ10" s="87"/>
      <c r="ACK10" s="87"/>
      <c r="ACL10" s="87"/>
      <c r="ACM10" s="87"/>
      <c r="ACN10" s="87"/>
      <c r="ACO10" s="87"/>
      <c r="ACP10" s="87"/>
      <c r="ACQ10" s="87"/>
      <c r="ACR10" s="87"/>
      <c r="ACS10" s="87"/>
      <c r="ACT10" s="87"/>
      <c r="ACU10" s="87"/>
      <c r="ACV10" s="87"/>
      <c r="ACW10" s="87"/>
      <c r="ACX10" s="87"/>
      <c r="ACY10" s="87"/>
      <c r="ACZ10" s="87"/>
      <c r="ADA10" s="87"/>
      <c r="ADB10" s="87"/>
      <c r="ADC10" s="87"/>
      <c r="ADD10" s="87"/>
      <c r="ADE10" s="87"/>
      <c r="ADF10" s="87"/>
      <c r="ADG10" s="87"/>
      <c r="ADH10" s="87"/>
      <c r="ADI10" s="87"/>
      <c r="ADJ10" s="87"/>
      <c r="ADK10" s="87"/>
      <c r="ADL10" s="87"/>
      <c r="ADM10" s="87"/>
      <c r="ADN10" s="87"/>
      <c r="ADO10" s="87"/>
      <c r="ADP10" s="87"/>
      <c r="ADQ10" s="87"/>
      <c r="ADR10" s="87"/>
      <c r="ADS10" s="87"/>
      <c r="ADT10" s="87"/>
      <c r="ADU10" s="87"/>
      <c r="ADV10" s="87"/>
      <c r="ADW10" s="87"/>
      <c r="ADX10" s="87"/>
      <c r="ADY10" s="87"/>
      <c r="ADZ10" s="87"/>
      <c r="AEA10" s="87"/>
      <c r="AEB10" s="87"/>
      <c r="AEC10" s="87"/>
      <c r="AED10" s="87"/>
      <c r="AEE10" s="87"/>
      <c r="AEF10" s="87"/>
      <c r="AEG10" s="87"/>
      <c r="AEH10" s="87"/>
      <c r="AEI10" s="87"/>
      <c r="AEJ10" s="87"/>
      <c r="AEK10" s="87"/>
      <c r="AEL10" s="87"/>
      <c r="AEM10" s="87"/>
      <c r="AEN10" s="87"/>
      <c r="AEO10" s="87"/>
      <c r="AEP10" s="87"/>
      <c r="AEQ10" s="87"/>
      <c r="AER10" s="87"/>
      <c r="AES10" s="87"/>
      <c r="AET10" s="87"/>
      <c r="AEU10" s="87"/>
      <c r="AEV10" s="87"/>
      <c r="AEW10" s="87"/>
      <c r="AEX10" s="87"/>
      <c r="AEY10" s="87"/>
      <c r="AEZ10" s="87"/>
      <c r="AFA10" s="87"/>
      <c r="AFB10" s="87"/>
      <c r="AFC10" s="87"/>
      <c r="AFD10" s="87"/>
      <c r="AFE10" s="87"/>
      <c r="AFF10" s="87"/>
      <c r="AFG10" s="87"/>
      <c r="AFH10" s="87"/>
      <c r="AFI10" s="87"/>
      <c r="AFJ10" s="87"/>
      <c r="AFK10" s="87"/>
      <c r="AFL10" s="87"/>
      <c r="AFM10" s="87"/>
      <c r="AFN10" s="87"/>
      <c r="AFO10" s="87"/>
      <c r="AFP10" s="87"/>
      <c r="AFQ10" s="87"/>
      <c r="AFR10" s="87"/>
      <c r="AFS10" s="87"/>
      <c r="AFT10" s="87"/>
      <c r="AFU10" s="87"/>
      <c r="AFV10" s="87"/>
      <c r="AFW10" s="87"/>
      <c r="AFX10" s="87"/>
      <c r="AFY10" s="87"/>
      <c r="AFZ10" s="87"/>
      <c r="AGA10" s="87"/>
      <c r="AGB10" s="87"/>
      <c r="AGC10" s="87"/>
      <c r="AGD10" s="87"/>
      <c r="AGE10" s="87"/>
      <c r="AGF10" s="87"/>
      <c r="AGG10" s="87"/>
      <c r="AGH10" s="87"/>
      <c r="AGI10" s="87"/>
      <c r="AGJ10" s="87"/>
      <c r="AGK10" s="87"/>
      <c r="AGL10" s="87"/>
      <c r="AGM10" s="87"/>
      <c r="AGN10" s="87"/>
      <c r="AGO10" s="87"/>
      <c r="AGP10" s="87"/>
      <c r="AGQ10" s="87"/>
      <c r="AGR10" s="87"/>
      <c r="AGS10" s="87"/>
      <c r="AGT10" s="87"/>
      <c r="AGU10" s="87"/>
      <c r="AGV10" s="87"/>
      <c r="AGW10" s="87"/>
      <c r="AGX10" s="87"/>
      <c r="AGY10" s="87"/>
      <c r="AGZ10" s="87"/>
      <c r="AHA10" s="87"/>
      <c r="AHB10" s="87"/>
      <c r="AHC10" s="87"/>
      <c r="AHD10" s="87"/>
      <c r="AHE10" s="87"/>
      <c r="AHF10" s="87"/>
      <c r="AHG10" s="87"/>
      <c r="AHH10" s="87"/>
      <c r="AHI10" s="87"/>
      <c r="AHJ10" s="87"/>
      <c r="AHK10" s="87"/>
      <c r="AHL10" s="87"/>
      <c r="AHM10" s="87"/>
      <c r="AHN10" s="87"/>
      <c r="AHO10" s="87"/>
      <c r="AHP10" s="87"/>
      <c r="AHQ10" s="87"/>
      <c r="AHR10" s="87"/>
      <c r="AHS10" s="87"/>
      <c r="AHT10" s="87"/>
      <c r="AHU10" s="87"/>
      <c r="AHV10" s="87"/>
      <c r="AHW10" s="87"/>
      <c r="AHX10" s="87"/>
      <c r="AHY10" s="87"/>
      <c r="AHZ10" s="87"/>
      <c r="AIA10" s="87"/>
      <c r="AIB10" s="87"/>
      <c r="AIC10" s="87"/>
      <c r="AID10" s="87"/>
      <c r="AIE10" s="87"/>
      <c r="AIF10" s="87"/>
      <c r="AIG10" s="87"/>
      <c r="AIH10" s="87"/>
      <c r="AII10" s="87"/>
      <c r="AIJ10" s="87"/>
      <c r="AIK10" s="87"/>
      <c r="AIL10" s="87"/>
      <c r="AIM10" s="87"/>
      <c r="AIN10" s="87"/>
      <c r="AIO10" s="87"/>
      <c r="AIP10" s="87"/>
      <c r="AIQ10" s="87"/>
      <c r="AIR10" s="87"/>
      <c r="AIS10" s="87"/>
      <c r="AIT10" s="87"/>
      <c r="AIU10" s="87"/>
      <c r="AIV10" s="87"/>
      <c r="AIW10" s="87"/>
      <c r="AIX10" s="87"/>
      <c r="AIY10" s="87"/>
      <c r="AIZ10" s="87"/>
      <c r="AJA10" s="87"/>
      <c r="AJB10" s="87"/>
      <c r="AJC10" s="87"/>
      <c r="AJD10" s="87"/>
      <c r="AJE10" s="87"/>
      <c r="AJF10" s="87"/>
      <c r="AJG10" s="87"/>
      <c r="AJH10" s="87"/>
      <c r="AJI10" s="87"/>
      <c r="AJJ10" s="87"/>
      <c r="AJK10" s="87"/>
      <c r="AJL10" s="87"/>
      <c r="AJM10" s="87"/>
      <c r="AJN10" s="87"/>
      <c r="AJO10" s="87"/>
      <c r="AJP10" s="87"/>
      <c r="AJQ10" s="87"/>
      <c r="AJR10" s="87"/>
      <c r="AJS10" s="87"/>
      <c r="AJT10" s="87"/>
      <c r="AJU10" s="87"/>
      <c r="AJV10" s="87"/>
      <c r="AJW10" s="87"/>
      <c r="AJX10" s="87"/>
      <c r="AJY10" s="87"/>
      <c r="AJZ10" s="87"/>
      <c r="AKA10" s="87"/>
      <c r="AKB10" s="87"/>
      <c r="AKC10" s="87"/>
      <c r="AKD10" s="87"/>
      <c r="AKE10" s="87"/>
      <c r="AKF10" s="87"/>
      <c r="AKG10" s="87"/>
      <c r="AKH10" s="87"/>
      <c r="AKI10" s="87"/>
      <c r="AKJ10" s="87"/>
      <c r="AKK10" s="87"/>
      <c r="AKL10" s="87"/>
      <c r="AKM10" s="87"/>
      <c r="AKN10" s="87"/>
      <c r="AKO10" s="87"/>
      <c r="AKP10" s="87"/>
      <c r="AKQ10" s="87"/>
      <c r="AKR10" s="87"/>
      <c r="AKS10" s="87"/>
      <c r="AKT10" s="87"/>
      <c r="AKU10" s="87"/>
      <c r="AKV10" s="87"/>
      <c r="AKW10" s="87"/>
      <c r="AKX10" s="87"/>
      <c r="AKY10" s="87"/>
      <c r="AKZ10" s="87"/>
      <c r="ALA10" s="87"/>
      <c r="ALB10" s="87"/>
      <c r="ALC10" s="87"/>
      <c r="ALD10" s="87"/>
      <c r="ALE10" s="87"/>
      <c r="ALF10" s="87"/>
      <c r="ALG10" s="87"/>
      <c r="ALH10" s="87"/>
      <c r="ALI10" s="87"/>
      <c r="ALJ10" s="87"/>
      <c r="ALK10" s="87"/>
      <c r="ALL10" s="87"/>
      <c r="ALM10" s="87"/>
      <c r="ALN10" s="87"/>
      <c r="ALO10" s="87"/>
      <c r="ALP10" s="87"/>
      <c r="ALQ10" s="87"/>
      <c r="ALR10" s="87"/>
      <c r="ALS10" s="87"/>
      <c r="ALT10" s="87"/>
      <c r="ALU10" s="87"/>
      <c r="ALV10" s="87"/>
      <c r="ALW10" s="87"/>
      <c r="ALX10" s="87"/>
      <c r="ALY10" s="87"/>
      <c r="ALZ10" s="87"/>
      <c r="AMA10" s="87"/>
      <c r="AMB10" s="87"/>
      <c r="AMC10" s="87"/>
      <c r="AMD10" s="87"/>
      <c r="AME10" s="87"/>
      <c r="AMF10" s="87"/>
      <c r="AMG10" s="87"/>
      <c r="AMH10" s="87"/>
      <c r="AMI10" s="87"/>
      <c r="AMJ10" s="87"/>
      <c r="AMK10" s="87"/>
      <c r="AML10" s="87"/>
      <c r="AMM10" s="87"/>
      <c r="AMN10" s="87"/>
      <c r="AMO10" s="87"/>
      <c r="AMP10" s="87"/>
      <c r="AMQ10" s="87"/>
      <c r="AMR10" s="87"/>
      <c r="AMS10" s="87"/>
      <c r="AMT10" s="87"/>
      <c r="AMU10" s="87"/>
      <c r="AMV10" s="87"/>
      <c r="AMW10" s="87"/>
      <c r="AMX10" s="87"/>
      <c r="AMY10" s="87"/>
      <c r="AMZ10" s="87"/>
      <c r="ANA10" s="87"/>
      <c r="ANB10" s="87"/>
      <c r="ANC10" s="87"/>
      <c r="AND10" s="87"/>
      <c r="ANE10" s="87"/>
      <c r="ANF10" s="87"/>
      <c r="ANG10" s="87"/>
      <c r="ANH10" s="87"/>
      <c r="ANI10" s="87"/>
      <c r="ANJ10" s="87"/>
      <c r="ANK10" s="87"/>
      <c r="ANL10" s="87"/>
      <c r="ANM10" s="87"/>
      <c r="ANN10" s="87"/>
      <c r="ANO10" s="87"/>
      <c r="ANP10" s="87"/>
      <c r="ANQ10" s="87"/>
      <c r="ANR10" s="87"/>
      <c r="ANS10" s="87"/>
      <c r="ANT10" s="87"/>
      <c r="ANU10" s="87"/>
      <c r="ANV10" s="87"/>
      <c r="ANW10" s="87"/>
      <c r="ANX10" s="87"/>
      <c r="ANY10" s="87"/>
      <c r="ANZ10" s="87"/>
      <c r="AOA10" s="87"/>
      <c r="AOB10" s="87"/>
      <c r="AOC10" s="87"/>
      <c r="AOD10" s="87"/>
      <c r="AOE10" s="87"/>
      <c r="AOF10" s="87"/>
      <c r="AOG10" s="87"/>
      <c r="AOH10" s="87"/>
      <c r="AOI10" s="87"/>
      <c r="AOJ10" s="87"/>
      <c r="AOK10" s="87"/>
      <c r="AOL10" s="87"/>
      <c r="AOM10" s="87"/>
      <c r="AON10" s="87"/>
      <c r="AOO10" s="87"/>
      <c r="AOP10" s="87"/>
      <c r="AOQ10" s="87"/>
      <c r="AOR10" s="87"/>
      <c r="AOS10" s="87"/>
      <c r="AOT10" s="87"/>
      <c r="AOU10" s="87"/>
      <c r="AOV10" s="87"/>
      <c r="AOW10" s="87"/>
      <c r="AOX10" s="87"/>
      <c r="AOY10" s="87"/>
      <c r="AOZ10" s="87"/>
      <c r="APA10" s="87"/>
      <c r="APB10" s="87"/>
      <c r="APC10" s="87"/>
      <c r="APD10" s="87"/>
      <c r="APE10" s="87"/>
      <c r="APF10" s="87"/>
      <c r="APG10" s="87"/>
      <c r="APH10" s="87"/>
      <c r="API10" s="87"/>
      <c r="APJ10" s="87"/>
      <c r="APK10" s="87"/>
      <c r="APL10" s="87"/>
      <c r="APM10" s="87"/>
      <c r="APN10" s="87"/>
      <c r="APO10" s="87"/>
      <c r="APP10" s="87"/>
      <c r="APQ10" s="87"/>
      <c r="APR10" s="87"/>
      <c r="APS10" s="87"/>
      <c r="APT10" s="87"/>
      <c r="APU10" s="87"/>
      <c r="APV10" s="87"/>
      <c r="APW10" s="87"/>
      <c r="APX10" s="87"/>
      <c r="APY10" s="87"/>
      <c r="APZ10" s="87"/>
      <c r="AQA10" s="87"/>
      <c r="AQB10" s="87"/>
      <c r="AQC10" s="87"/>
      <c r="AQD10" s="87"/>
      <c r="AQE10" s="87"/>
      <c r="AQF10" s="87"/>
      <c r="AQG10" s="87"/>
      <c r="AQH10" s="87"/>
      <c r="AQI10" s="87"/>
      <c r="AQJ10" s="87"/>
      <c r="AQK10" s="87"/>
      <c r="AQL10" s="87"/>
      <c r="AQM10" s="87"/>
      <c r="AQN10" s="87"/>
      <c r="AQO10" s="87"/>
      <c r="AQP10" s="87"/>
      <c r="AQQ10" s="87"/>
      <c r="AQR10" s="87"/>
      <c r="AQS10" s="87"/>
      <c r="AQT10" s="87"/>
      <c r="AQU10" s="87"/>
      <c r="AQV10" s="87"/>
      <c r="AQW10" s="87"/>
      <c r="AQX10" s="87"/>
      <c r="AQY10" s="87"/>
      <c r="AQZ10" s="87"/>
      <c r="ARA10" s="87"/>
      <c r="ARB10" s="87"/>
      <c r="ARC10" s="87"/>
      <c r="ARD10" s="87"/>
      <c r="ARE10" s="87"/>
      <c r="ARF10" s="87"/>
      <c r="ARG10" s="87"/>
      <c r="ARH10" s="87"/>
      <c r="ARI10" s="87"/>
      <c r="ARJ10" s="87"/>
      <c r="ARK10" s="87"/>
      <c r="ARL10" s="87"/>
      <c r="ARM10" s="87"/>
      <c r="ARN10" s="87"/>
      <c r="ARO10" s="87"/>
      <c r="ARP10" s="87"/>
      <c r="ARQ10" s="87"/>
      <c r="ARR10" s="87"/>
      <c r="ARS10" s="87"/>
      <c r="ART10" s="87"/>
      <c r="ARU10" s="87"/>
      <c r="ARV10" s="87"/>
      <c r="ARW10" s="87"/>
      <c r="ARX10" s="87"/>
      <c r="ARY10" s="87"/>
      <c r="ARZ10" s="87"/>
      <c r="ASA10" s="87"/>
      <c r="ASB10" s="87"/>
      <c r="ASC10" s="87"/>
      <c r="ASD10" s="87"/>
      <c r="ASE10" s="87"/>
      <c r="ASF10" s="87"/>
      <c r="ASG10" s="87"/>
      <c r="ASH10" s="87"/>
      <c r="ASI10" s="87"/>
      <c r="ASJ10" s="87"/>
      <c r="ASK10" s="87"/>
      <c r="ASL10" s="87"/>
      <c r="ASM10" s="87"/>
      <c r="ASN10" s="87"/>
      <c r="ASO10" s="87"/>
      <c r="ASP10" s="87"/>
      <c r="ASQ10" s="87"/>
      <c r="ASR10" s="87"/>
      <c r="ASS10" s="87"/>
      <c r="AST10" s="87"/>
      <c r="ASU10" s="87"/>
      <c r="ASV10" s="87"/>
      <c r="ASW10" s="87"/>
      <c r="ASX10" s="87"/>
      <c r="ASY10" s="87"/>
      <c r="ASZ10" s="87"/>
      <c r="ATA10" s="87"/>
      <c r="ATB10" s="87"/>
      <c r="ATC10" s="87"/>
      <c r="ATD10" s="87"/>
      <c r="ATE10" s="87"/>
      <c r="ATF10" s="87"/>
      <c r="ATG10" s="87"/>
      <c r="ATH10" s="87"/>
      <c r="ATI10" s="87"/>
      <c r="ATJ10" s="87"/>
      <c r="ATK10" s="87"/>
      <c r="ATL10" s="87"/>
      <c r="ATM10" s="87"/>
      <c r="ATN10" s="87"/>
      <c r="ATO10" s="87"/>
      <c r="ATP10" s="87"/>
      <c r="ATQ10" s="87"/>
      <c r="ATR10" s="87"/>
      <c r="ATS10" s="87"/>
      <c r="ATT10" s="87"/>
      <c r="ATU10" s="87"/>
      <c r="ATV10" s="87"/>
      <c r="ATW10" s="87"/>
      <c r="ATX10" s="87"/>
      <c r="ATY10" s="87"/>
      <c r="ATZ10" s="87"/>
      <c r="AUA10" s="87"/>
      <c r="AUB10" s="87"/>
      <c r="AUC10" s="87"/>
      <c r="AUD10" s="87"/>
      <c r="AUE10" s="87"/>
      <c r="AUF10" s="87"/>
      <c r="AUG10" s="87"/>
      <c r="AUH10" s="87"/>
      <c r="AUI10" s="87"/>
      <c r="AUJ10" s="87"/>
      <c r="AUK10" s="87"/>
      <c r="AUL10" s="87"/>
      <c r="AUM10" s="87"/>
      <c r="AUN10" s="87"/>
      <c r="AUO10" s="87"/>
      <c r="AUP10" s="87"/>
      <c r="AUQ10" s="87"/>
      <c r="AUR10" s="87"/>
      <c r="AUS10" s="87"/>
      <c r="AUT10" s="87"/>
      <c r="AUU10" s="87"/>
      <c r="AUV10" s="87"/>
      <c r="AUW10" s="87"/>
      <c r="AUX10" s="87"/>
      <c r="AUY10" s="87"/>
      <c r="AUZ10" s="87"/>
      <c r="AVA10" s="87"/>
      <c r="AVB10" s="87"/>
      <c r="AVC10" s="87"/>
      <c r="AVD10" s="87"/>
      <c r="AVE10" s="87"/>
      <c r="AVF10" s="87"/>
      <c r="AVG10" s="87"/>
      <c r="AVH10" s="87"/>
      <c r="AVI10" s="87"/>
      <c r="AVJ10" s="87"/>
      <c r="AVK10" s="87"/>
      <c r="AVL10" s="87"/>
      <c r="AVM10" s="87"/>
      <c r="AVN10" s="87"/>
      <c r="AVO10" s="87"/>
      <c r="AVP10" s="87"/>
      <c r="AVQ10" s="87"/>
      <c r="AVR10" s="87"/>
      <c r="AVS10" s="87"/>
      <c r="AVT10" s="87"/>
      <c r="AVU10" s="87"/>
      <c r="AVV10" s="87"/>
      <c r="AVW10" s="87"/>
      <c r="AVX10" s="87"/>
      <c r="AVY10" s="87"/>
      <c r="AVZ10" s="87"/>
      <c r="AWA10" s="87"/>
      <c r="AWB10" s="87"/>
      <c r="AWC10" s="87"/>
      <c r="AWD10" s="87"/>
      <c r="AWE10" s="87"/>
      <c r="AWF10" s="87"/>
      <c r="AWG10" s="87"/>
      <c r="AWH10" s="87"/>
      <c r="AWI10" s="87"/>
      <c r="AWJ10" s="87"/>
      <c r="AWK10" s="87"/>
      <c r="AWL10" s="87"/>
      <c r="AWM10" s="87"/>
      <c r="AWN10" s="87"/>
      <c r="AWO10" s="87"/>
      <c r="AWP10" s="87"/>
      <c r="AWQ10" s="87"/>
      <c r="AWR10" s="87"/>
      <c r="AWS10" s="87"/>
      <c r="AWT10" s="87"/>
      <c r="AWU10" s="87"/>
      <c r="AWV10" s="87"/>
      <c r="AWW10" s="87"/>
      <c r="AWX10" s="87"/>
      <c r="AWY10" s="87"/>
      <c r="AWZ10" s="87"/>
      <c r="AXA10" s="87"/>
      <c r="AXB10" s="87"/>
      <c r="AXC10" s="87"/>
      <c r="AXD10" s="87"/>
      <c r="AXE10" s="87"/>
      <c r="AXF10" s="87"/>
      <c r="AXG10" s="87"/>
      <c r="AXH10" s="87"/>
      <c r="AXI10" s="87"/>
      <c r="AXJ10" s="87"/>
      <c r="AXK10" s="87"/>
      <c r="AXL10" s="87"/>
      <c r="AXM10" s="87"/>
      <c r="AXN10" s="87"/>
      <c r="AXO10" s="87"/>
      <c r="AXP10" s="87"/>
      <c r="AXQ10" s="87"/>
      <c r="AXR10" s="87"/>
      <c r="AXS10" s="87"/>
      <c r="AXT10" s="87"/>
      <c r="AXU10" s="87"/>
      <c r="AXV10" s="87"/>
      <c r="AXW10" s="87"/>
      <c r="AXX10" s="87"/>
      <c r="AXY10" s="87"/>
      <c r="AXZ10" s="87"/>
      <c r="AYA10" s="87"/>
      <c r="AYB10" s="87"/>
      <c r="AYC10" s="87"/>
      <c r="AYD10" s="87"/>
      <c r="AYE10" s="87"/>
      <c r="AYF10" s="87"/>
      <c r="AYG10" s="87"/>
      <c r="AYH10" s="87"/>
      <c r="AYI10" s="87"/>
      <c r="AYJ10" s="87"/>
      <c r="AYK10" s="87"/>
      <c r="AYL10" s="87"/>
      <c r="AYM10" s="87"/>
      <c r="AYN10" s="87"/>
      <c r="AYO10" s="87"/>
      <c r="AYP10" s="87"/>
      <c r="AYQ10" s="87"/>
      <c r="AYR10" s="87"/>
      <c r="AYS10" s="87"/>
      <c r="AYT10" s="87"/>
      <c r="AYU10" s="87"/>
      <c r="AYV10" s="87"/>
      <c r="AYW10" s="87"/>
      <c r="AYX10" s="87"/>
      <c r="AYY10" s="87"/>
      <c r="AYZ10" s="87"/>
      <c r="AZA10" s="87"/>
      <c r="AZB10" s="87"/>
      <c r="AZC10" s="87"/>
      <c r="AZD10" s="87"/>
      <c r="AZE10" s="87"/>
      <c r="AZF10" s="87"/>
      <c r="AZG10" s="87"/>
      <c r="AZH10" s="87"/>
      <c r="AZI10" s="87"/>
      <c r="AZJ10" s="87"/>
      <c r="AZK10" s="87"/>
      <c r="AZL10" s="87"/>
      <c r="AZM10" s="87"/>
      <c r="AZN10" s="87"/>
      <c r="AZO10" s="87"/>
      <c r="AZP10" s="87"/>
      <c r="AZQ10" s="87"/>
      <c r="AZR10" s="87"/>
      <c r="AZS10" s="87"/>
      <c r="AZT10" s="87"/>
      <c r="AZU10" s="87"/>
      <c r="AZV10" s="87"/>
      <c r="AZW10" s="87"/>
      <c r="AZX10" s="87"/>
      <c r="AZY10" s="87"/>
      <c r="AZZ10" s="87"/>
      <c r="BAA10" s="87"/>
      <c r="BAB10" s="87"/>
      <c r="BAC10" s="87"/>
      <c r="BAD10" s="87"/>
      <c r="BAE10" s="87"/>
      <c r="BAF10" s="87"/>
      <c r="BAG10" s="87"/>
      <c r="BAH10" s="87"/>
      <c r="BAI10" s="87"/>
      <c r="BAJ10" s="87"/>
      <c r="BAK10" s="87"/>
      <c r="BAL10" s="87"/>
      <c r="BAM10" s="87"/>
      <c r="BAN10" s="87"/>
      <c r="BAO10" s="87"/>
      <c r="BAP10" s="87"/>
      <c r="BAQ10" s="87"/>
      <c r="BAR10" s="87"/>
      <c r="BAS10" s="87"/>
      <c r="BAT10" s="87"/>
      <c r="BAU10" s="87"/>
      <c r="BAV10" s="87"/>
      <c r="BAW10" s="87"/>
      <c r="BAX10" s="87"/>
      <c r="BAY10" s="87"/>
      <c r="BAZ10" s="87"/>
      <c r="BBA10" s="87"/>
      <c r="BBB10" s="87"/>
      <c r="BBC10" s="87"/>
      <c r="BBD10" s="87"/>
      <c r="BBE10" s="87"/>
      <c r="BBF10" s="87"/>
      <c r="BBG10" s="87"/>
      <c r="BBH10" s="87"/>
      <c r="BBI10" s="87"/>
      <c r="BBJ10" s="87"/>
      <c r="BBK10" s="87"/>
      <c r="BBL10" s="87"/>
      <c r="BBM10" s="87"/>
      <c r="BBN10" s="87"/>
      <c r="BBO10" s="87"/>
      <c r="BBP10" s="87"/>
      <c r="BBQ10" s="87"/>
      <c r="BBR10" s="87"/>
      <c r="BBS10" s="87"/>
      <c r="BBT10" s="87"/>
      <c r="BBU10" s="87"/>
      <c r="BBV10" s="87"/>
      <c r="BBW10" s="87"/>
      <c r="BBX10" s="87"/>
      <c r="BBY10" s="87"/>
      <c r="BBZ10" s="87"/>
      <c r="BCA10" s="87"/>
      <c r="BCB10" s="87"/>
      <c r="BCC10" s="87"/>
      <c r="BCD10" s="87"/>
      <c r="BCE10" s="87"/>
      <c r="BCF10" s="87"/>
      <c r="BCG10" s="87"/>
      <c r="BCH10" s="87"/>
      <c r="BCI10" s="87"/>
      <c r="BCJ10" s="87"/>
      <c r="BCK10" s="87"/>
      <c r="BCL10" s="87"/>
      <c r="BCM10" s="87"/>
      <c r="BCN10" s="87"/>
      <c r="BCO10" s="87"/>
      <c r="BCP10" s="87"/>
      <c r="BCQ10" s="87"/>
      <c r="BCR10" s="87"/>
      <c r="BCS10" s="87"/>
      <c r="BCT10" s="87"/>
      <c r="BCU10" s="87"/>
      <c r="BCV10" s="87"/>
      <c r="BCW10" s="87"/>
      <c r="BCX10" s="87"/>
      <c r="BCY10" s="87"/>
      <c r="BCZ10" s="87"/>
      <c r="BDA10" s="87"/>
      <c r="BDB10" s="87"/>
      <c r="BDC10" s="87"/>
      <c r="BDD10" s="87"/>
      <c r="BDE10" s="87"/>
      <c r="BDF10" s="87"/>
      <c r="BDG10" s="87"/>
      <c r="BDH10" s="87"/>
      <c r="BDI10" s="87"/>
      <c r="BDJ10" s="87"/>
      <c r="BDK10" s="87"/>
      <c r="BDL10" s="87"/>
      <c r="BDM10" s="87"/>
      <c r="BDN10" s="87"/>
      <c r="BDO10" s="87"/>
      <c r="BDP10" s="87"/>
      <c r="BDQ10" s="87"/>
      <c r="BDR10" s="87"/>
      <c r="BDS10" s="87"/>
      <c r="BDT10" s="87"/>
      <c r="BDU10" s="87"/>
      <c r="BDV10" s="87"/>
      <c r="BDW10" s="87"/>
      <c r="BDX10" s="87"/>
      <c r="BDY10" s="87"/>
      <c r="BDZ10" s="87"/>
      <c r="BEA10" s="87"/>
      <c r="BEB10" s="87"/>
      <c r="BEC10" s="87"/>
      <c r="BED10" s="87"/>
      <c r="BEE10" s="87"/>
      <c r="BEF10" s="87"/>
      <c r="BEG10" s="87"/>
      <c r="BEH10" s="87"/>
      <c r="BEI10" s="87"/>
      <c r="BEJ10" s="87"/>
      <c r="BEK10" s="87"/>
      <c r="BEL10" s="87"/>
      <c r="BEM10" s="87"/>
      <c r="BEN10" s="87"/>
      <c r="BEO10" s="87"/>
      <c r="BEP10" s="87"/>
      <c r="BEQ10" s="87"/>
      <c r="BER10" s="87"/>
      <c r="BES10" s="87"/>
      <c r="BET10" s="87"/>
      <c r="BEU10" s="87"/>
      <c r="BEV10" s="87"/>
      <c r="BEW10" s="87"/>
      <c r="BEX10" s="87"/>
      <c r="BEY10" s="87"/>
      <c r="BEZ10" s="87"/>
      <c r="BFA10" s="87"/>
      <c r="BFB10" s="87"/>
      <c r="BFC10" s="87"/>
      <c r="BFD10" s="87"/>
      <c r="BFE10" s="87"/>
      <c r="BFF10" s="87"/>
      <c r="BFG10" s="87"/>
      <c r="BFH10" s="87"/>
      <c r="BFI10" s="87"/>
      <c r="BFJ10" s="87"/>
      <c r="BFK10" s="87"/>
      <c r="BFL10" s="87"/>
      <c r="BFM10" s="87"/>
      <c r="BFN10" s="87"/>
      <c r="BFO10" s="87"/>
      <c r="BFP10" s="87"/>
      <c r="BFQ10" s="87"/>
      <c r="BFR10" s="87"/>
      <c r="BFS10" s="87"/>
      <c r="BFT10" s="87"/>
      <c r="BFU10" s="87"/>
      <c r="BFV10" s="87"/>
      <c r="BFW10" s="87"/>
      <c r="BFX10" s="87"/>
      <c r="BFY10" s="87"/>
      <c r="BFZ10" s="87"/>
      <c r="BGA10" s="87"/>
      <c r="BGB10" s="87"/>
      <c r="BGC10" s="87"/>
      <c r="BGD10" s="87"/>
      <c r="BGE10" s="87"/>
      <c r="BGF10" s="87"/>
      <c r="BGG10" s="87"/>
      <c r="BGH10" s="87"/>
      <c r="BGI10" s="87"/>
      <c r="BGJ10" s="87"/>
      <c r="BGK10" s="87"/>
      <c r="BGL10" s="87"/>
      <c r="BGM10" s="87"/>
      <c r="BGN10" s="87"/>
      <c r="BGO10" s="87"/>
      <c r="BGP10" s="87"/>
      <c r="BGQ10" s="87"/>
      <c r="BGR10" s="87"/>
      <c r="BGS10" s="87"/>
      <c r="BGT10" s="87"/>
      <c r="BGU10" s="87"/>
      <c r="BGV10" s="87"/>
      <c r="BGW10" s="87"/>
      <c r="BGX10" s="87"/>
      <c r="BGY10" s="87"/>
      <c r="BGZ10" s="87"/>
      <c r="BHA10" s="87"/>
      <c r="BHB10" s="87"/>
      <c r="BHC10" s="87"/>
      <c r="BHD10" s="87"/>
      <c r="BHE10" s="87"/>
      <c r="BHF10" s="87"/>
      <c r="BHG10" s="87"/>
      <c r="BHH10" s="87"/>
      <c r="BHI10" s="87"/>
      <c r="BHJ10" s="87"/>
      <c r="BHK10" s="87"/>
      <c r="BHL10" s="87"/>
      <c r="BHM10" s="87"/>
      <c r="BHN10" s="87"/>
      <c r="BHO10" s="87"/>
      <c r="BHP10" s="87"/>
      <c r="BHQ10" s="87"/>
      <c r="BHR10" s="87"/>
      <c r="BHS10" s="87"/>
      <c r="BHT10" s="87"/>
      <c r="BHU10" s="87"/>
      <c r="BHV10" s="87"/>
      <c r="BHW10" s="87"/>
      <c r="BHX10" s="87"/>
      <c r="BHY10" s="87"/>
      <c r="BHZ10" s="87"/>
      <c r="BIA10" s="87"/>
      <c r="BIB10" s="87"/>
      <c r="BIC10" s="87"/>
      <c r="BID10" s="87"/>
      <c r="BIE10" s="87"/>
      <c r="BIF10" s="87"/>
      <c r="BIG10" s="87"/>
      <c r="BIH10" s="87"/>
      <c r="BII10" s="87"/>
      <c r="BIJ10" s="87"/>
      <c r="BIK10" s="87"/>
      <c r="BIL10" s="87"/>
      <c r="BIM10" s="87"/>
      <c r="BIN10" s="87"/>
      <c r="BIO10" s="87"/>
      <c r="BIP10" s="87"/>
      <c r="BIQ10" s="87"/>
      <c r="BIR10" s="87"/>
      <c r="BIS10" s="87"/>
      <c r="BIT10" s="87"/>
      <c r="BIU10" s="87"/>
      <c r="BIV10" s="87"/>
      <c r="BIW10" s="87"/>
      <c r="BIX10" s="87"/>
      <c r="BIY10" s="87"/>
      <c r="BIZ10" s="87"/>
      <c r="BJA10" s="87"/>
      <c r="BJB10" s="87"/>
      <c r="BJC10" s="87"/>
      <c r="BJD10" s="87"/>
      <c r="BJE10" s="87"/>
      <c r="BJF10" s="87"/>
      <c r="BJG10" s="87"/>
      <c r="BJH10" s="87"/>
      <c r="BJI10" s="87"/>
      <c r="BJJ10" s="87"/>
      <c r="BJK10" s="87"/>
      <c r="BJL10" s="87"/>
      <c r="BJM10" s="87"/>
      <c r="BJN10" s="87"/>
      <c r="BJO10" s="87"/>
      <c r="BJP10" s="87"/>
      <c r="BJQ10" s="87"/>
      <c r="BJR10" s="87"/>
      <c r="BJS10" s="87"/>
      <c r="BJT10" s="87"/>
      <c r="BJU10" s="87"/>
      <c r="BJV10" s="87"/>
      <c r="BJW10" s="87"/>
      <c r="BJX10" s="87"/>
      <c r="BJY10" s="87"/>
      <c r="BJZ10" s="87"/>
      <c r="BKA10" s="87"/>
      <c r="BKB10" s="87"/>
      <c r="BKC10" s="87"/>
      <c r="BKD10" s="87"/>
      <c r="BKE10" s="87"/>
      <c r="BKF10" s="87"/>
      <c r="BKG10" s="87"/>
      <c r="BKH10" s="87"/>
      <c r="BKI10" s="87"/>
      <c r="BKJ10" s="87"/>
      <c r="BKK10" s="87"/>
      <c r="BKL10" s="87"/>
      <c r="BKM10" s="87"/>
      <c r="BKN10" s="87"/>
      <c r="BKO10" s="87"/>
      <c r="BKP10" s="87"/>
      <c r="BKQ10" s="87"/>
      <c r="BKR10" s="87"/>
      <c r="BKS10" s="87"/>
      <c r="BKT10" s="87"/>
      <c r="BKU10" s="87"/>
      <c r="BKV10" s="87"/>
      <c r="BKW10" s="87"/>
      <c r="BKX10" s="87"/>
      <c r="BKY10" s="87"/>
      <c r="BKZ10" s="87"/>
      <c r="BLA10" s="87"/>
      <c r="BLB10" s="87"/>
      <c r="BLC10" s="87"/>
      <c r="BLD10" s="87"/>
      <c r="BLE10" s="87"/>
      <c r="BLF10" s="87"/>
      <c r="BLG10" s="87"/>
      <c r="BLH10" s="87"/>
      <c r="BLI10" s="87"/>
      <c r="BLJ10" s="87"/>
      <c r="BLK10" s="87"/>
      <c r="BLL10" s="87"/>
      <c r="BLM10" s="87"/>
      <c r="BLN10" s="87"/>
      <c r="BLO10" s="87"/>
      <c r="BLP10" s="87"/>
      <c r="BLQ10" s="87"/>
      <c r="BLR10" s="87"/>
      <c r="BLS10" s="87"/>
      <c r="BLT10" s="87"/>
      <c r="BLU10" s="87"/>
      <c r="BLV10" s="87"/>
      <c r="BLW10" s="87"/>
      <c r="BLX10" s="87"/>
      <c r="BLY10" s="87"/>
      <c r="BLZ10" s="87"/>
      <c r="BMA10" s="87"/>
      <c r="BMB10" s="87"/>
      <c r="BMC10" s="87"/>
      <c r="BMD10" s="87"/>
      <c r="BME10" s="87"/>
      <c r="BMF10" s="87"/>
      <c r="BMG10" s="87"/>
      <c r="BMH10" s="87"/>
      <c r="BMI10" s="87"/>
      <c r="BMJ10" s="87"/>
      <c r="BMK10" s="87"/>
      <c r="BML10" s="87"/>
      <c r="BMM10" s="87"/>
      <c r="BMN10" s="87"/>
      <c r="BMO10" s="87"/>
      <c r="BMP10" s="87"/>
      <c r="BMQ10" s="87"/>
      <c r="BMR10" s="87"/>
      <c r="BMS10" s="87"/>
      <c r="BMT10" s="87"/>
      <c r="BMU10" s="87"/>
      <c r="BMV10" s="87"/>
      <c r="BMW10" s="87"/>
      <c r="BMX10" s="87"/>
      <c r="BMY10" s="87"/>
      <c r="BMZ10" s="87"/>
      <c r="BNA10" s="87"/>
      <c r="BNB10" s="87"/>
      <c r="BNC10" s="87"/>
      <c r="BND10" s="87"/>
      <c r="BNE10" s="87"/>
      <c r="BNF10" s="87"/>
      <c r="BNG10" s="87"/>
      <c r="BNH10" s="87"/>
      <c r="BNI10" s="87"/>
      <c r="BNJ10" s="87"/>
      <c r="BNK10" s="87"/>
      <c r="BNL10" s="87"/>
      <c r="BNM10" s="87"/>
      <c r="BNN10" s="87"/>
      <c r="BNO10" s="87"/>
      <c r="BNP10" s="87"/>
      <c r="BNQ10" s="87"/>
      <c r="BNR10" s="87"/>
      <c r="BNS10" s="87"/>
      <c r="BNT10" s="87"/>
      <c r="BNU10" s="87"/>
      <c r="BNV10" s="87"/>
      <c r="BNW10" s="87"/>
      <c r="BNX10" s="87"/>
      <c r="BNY10" s="87"/>
      <c r="BNZ10" s="87"/>
      <c r="BOA10" s="87"/>
      <c r="BOB10" s="87"/>
      <c r="BOC10" s="87"/>
      <c r="BOD10" s="87"/>
      <c r="BOE10" s="87"/>
      <c r="BOF10" s="87"/>
      <c r="BOG10" s="87"/>
      <c r="BOH10" s="87"/>
      <c r="BOI10" s="87"/>
      <c r="BOJ10" s="87"/>
      <c r="BOK10" s="87"/>
      <c r="BOL10" s="87"/>
      <c r="BOM10" s="87"/>
      <c r="BON10" s="87"/>
      <c r="BOO10" s="87"/>
      <c r="BOP10" s="87"/>
      <c r="BOQ10" s="87"/>
      <c r="BOR10" s="87"/>
      <c r="BOS10" s="87"/>
      <c r="BOT10" s="87"/>
      <c r="BOU10" s="87"/>
      <c r="BOV10" s="87"/>
      <c r="BOW10" s="87"/>
      <c r="BOX10" s="87"/>
      <c r="BOY10" s="87"/>
      <c r="BOZ10" s="87"/>
      <c r="BPA10" s="87"/>
      <c r="BPB10" s="87"/>
      <c r="BPC10" s="87"/>
      <c r="BPD10" s="87"/>
      <c r="BPE10" s="87"/>
      <c r="BPF10" s="87"/>
      <c r="BPG10" s="87"/>
      <c r="BPH10" s="87"/>
      <c r="BPI10" s="87"/>
      <c r="BPJ10" s="87"/>
      <c r="BPK10" s="87"/>
      <c r="BPL10" s="87"/>
      <c r="BPM10" s="87"/>
      <c r="BPN10" s="87"/>
      <c r="BPO10" s="87"/>
      <c r="BPP10" s="87"/>
      <c r="BPQ10" s="87"/>
      <c r="BPR10" s="87"/>
      <c r="BPS10" s="87"/>
      <c r="BPT10" s="87"/>
      <c r="BPU10" s="87"/>
      <c r="BPV10" s="87"/>
      <c r="BPW10" s="87"/>
      <c r="BPX10" s="87"/>
      <c r="BPY10" s="87"/>
      <c r="BPZ10" s="87"/>
      <c r="BQA10" s="87"/>
      <c r="BQB10" s="87"/>
      <c r="BQC10" s="87"/>
      <c r="BQD10" s="87"/>
      <c r="BQE10" s="87"/>
      <c r="BQF10" s="87"/>
      <c r="BQG10" s="87"/>
      <c r="BQH10" s="87"/>
      <c r="BQI10" s="87"/>
      <c r="BQJ10" s="87"/>
      <c r="BQK10" s="87"/>
      <c r="BQL10" s="87"/>
      <c r="BQM10" s="87"/>
      <c r="BQN10" s="87"/>
      <c r="BQO10" s="87"/>
      <c r="BQP10" s="87"/>
      <c r="BQQ10" s="87"/>
      <c r="BQR10" s="87"/>
      <c r="BQS10" s="87"/>
      <c r="BQT10" s="87"/>
      <c r="BQU10" s="87"/>
      <c r="BQV10" s="87"/>
      <c r="BQW10" s="87"/>
      <c r="BQX10" s="87"/>
      <c r="BQY10" s="87"/>
      <c r="BQZ10" s="87"/>
      <c r="BRA10" s="87"/>
      <c r="BRB10" s="87"/>
      <c r="BRC10" s="87"/>
      <c r="BRD10" s="87"/>
      <c r="BRE10" s="87"/>
      <c r="BRF10" s="87"/>
      <c r="BRG10" s="87"/>
      <c r="BRH10" s="87"/>
      <c r="BRI10" s="87"/>
      <c r="BRJ10" s="87"/>
      <c r="BRK10" s="87"/>
      <c r="BRL10" s="87"/>
      <c r="BRM10" s="87"/>
      <c r="BRN10" s="87"/>
      <c r="BRO10" s="87"/>
      <c r="BRP10" s="87"/>
      <c r="BRQ10" s="87"/>
      <c r="BRR10" s="87"/>
      <c r="BRS10" s="87"/>
      <c r="BRT10" s="87"/>
      <c r="BRU10" s="87"/>
      <c r="BRV10" s="87"/>
      <c r="BRW10" s="87"/>
      <c r="BRX10" s="87"/>
      <c r="BRY10" s="87"/>
      <c r="BRZ10" s="87"/>
      <c r="BSA10" s="87"/>
      <c r="BSB10" s="87"/>
      <c r="BSC10" s="87"/>
      <c r="BSD10" s="87"/>
      <c r="BSE10" s="87"/>
      <c r="BSF10" s="87"/>
      <c r="BSG10" s="87"/>
      <c r="BSH10" s="87"/>
      <c r="BSI10" s="87"/>
      <c r="BSJ10" s="87"/>
      <c r="BSK10" s="87"/>
      <c r="BSL10" s="87"/>
      <c r="BSM10" s="87"/>
      <c r="BSN10" s="87"/>
      <c r="BSO10" s="87"/>
      <c r="BSP10" s="87"/>
      <c r="BSQ10" s="87"/>
      <c r="BSR10" s="87"/>
      <c r="BSS10" s="87"/>
      <c r="BST10" s="87"/>
      <c r="BSU10" s="87"/>
      <c r="BSV10" s="87"/>
      <c r="BSW10" s="87"/>
      <c r="BSX10" s="87"/>
      <c r="BSY10" s="87"/>
      <c r="BSZ10" s="87"/>
      <c r="BTA10" s="87"/>
      <c r="BTB10" s="87"/>
      <c r="BTC10" s="87"/>
      <c r="BTD10" s="87"/>
      <c r="BTE10" s="87"/>
      <c r="BTF10" s="87"/>
      <c r="BTG10" s="87"/>
      <c r="BTH10" s="87"/>
      <c r="BTI10" s="87"/>
      <c r="BTJ10" s="87"/>
      <c r="BTK10" s="87"/>
      <c r="BTL10" s="87"/>
      <c r="BTM10" s="87"/>
      <c r="BTN10" s="87"/>
      <c r="BTO10" s="87"/>
      <c r="BTP10" s="87"/>
      <c r="BTQ10" s="87"/>
      <c r="BTR10" s="87"/>
      <c r="BTS10" s="87"/>
      <c r="BTT10" s="87"/>
      <c r="BTU10" s="87"/>
      <c r="BTV10" s="87"/>
      <c r="BTW10" s="87"/>
      <c r="BTX10" s="87"/>
      <c r="BTY10" s="87"/>
      <c r="BTZ10" s="87"/>
      <c r="BUA10" s="87"/>
      <c r="BUB10" s="87"/>
      <c r="BUC10" s="87"/>
      <c r="BUD10" s="87"/>
      <c r="BUE10" s="87"/>
      <c r="BUF10" s="87"/>
      <c r="BUG10" s="87"/>
      <c r="BUH10" s="87"/>
      <c r="BUI10" s="87"/>
      <c r="BUJ10" s="87"/>
      <c r="BUK10" s="87"/>
      <c r="BUL10" s="87"/>
      <c r="BUM10" s="87"/>
      <c r="BUN10" s="87"/>
      <c r="BUO10" s="87"/>
      <c r="BUP10" s="87"/>
      <c r="BUQ10" s="87"/>
      <c r="BUR10" s="87"/>
      <c r="BUS10" s="87"/>
      <c r="BUT10" s="87"/>
      <c r="BUU10" s="87"/>
      <c r="BUV10" s="87"/>
      <c r="BUW10" s="87"/>
      <c r="BUX10" s="87"/>
      <c r="BUY10" s="87"/>
      <c r="BUZ10" s="87"/>
      <c r="BVA10" s="87"/>
      <c r="BVB10" s="87"/>
      <c r="BVC10" s="87"/>
      <c r="BVD10" s="87"/>
      <c r="BVE10" s="87"/>
      <c r="BVF10" s="87"/>
      <c r="BVG10" s="87"/>
      <c r="BVH10" s="87"/>
      <c r="BVI10" s="87"/>
      <c r="BVJ10" s="87"/>
      <c r="BVK10" s="87"/>
      <c r="BVL10" s="87"/>
      <c r="BVM10" s="87"/>
      <c r="BVN10" s="87"/>
      <c r="BVO10" s="87"/>
      <c r="BVP10" s="87"/>
      <c r="BVQ10" s="87"/>
      <c r="BVR10" s="87"/>
      <c r="BVS10" s="87"/>
      <c r="BVT10" s="87"/>
      <c r="BVU10" s="87"/>
      <c r="BVV10" s="87"/>
      <c r="BVW10" s="87"/>
      <c r="BVX10" s="87"/>
      <c r="BVY10" s="87"/>
      <c r="BVZ10" s="87"/>
      <c r="BWA10" s="87"/>
      <c r="BWB10" s="87"/>
      <c r="BWC10" s="87"/>
      <c r="BWD10" s="87"/>
      <c r="BWE10" s="87"/>
      <c r="BWF10" s="87"/>
      <c r="BWG10" s="87"/>
      <c r="BWH10" s="87"/>
      <c r="BWI10" s="87"/>
      <c r="BWJ10" s="87"/>
      <c r="BWK10" s="87"/>
      <c r="BWL10" s="87"/>
      <c r="BWM10" s="87"/>
      <c r="BWN10" s="87"/>
      <c r="BWO10" s="87"/>
      <c r="BWP10" s="87"/>
      <c r="BWQ10" s="87"/>
      <c r="BWR10" s="87"/>
      <c r="BWS10" s="87"/>
      <c r="BWT10" s="87"/>
      <c r="BWU10" s="87"/>
      <c r="BWV10" s="87"/>
      <c r="BWW10" s="87"/>
      <c r="BWX10" s="87"/>
      <c r="BWY10" s="87"/>
      <c r="BWZ10" s="87"/>
      <c r="BXA10" s="87"/>
      <c r="BXB10" s="87"/>
      <c r="BXC10" s="87"/>
      <c r="BXD10" s="87"/>
      <c r="BXE10" s="87"/>
      <c r="BXF10" s="87"/>
      <c r="BXG10" s="87"/>
      <c r="BXH10" s="87"/>
      <c r="BXI10" s="87"/>
      <c r="BXJ10" s="87"/>
      <c r="BXK10" s="87"/>
      <c r="BXL10" s="87"/>
      <c r="BXM10" s="87"/>
      <c r="BXN10" s="87"/>
      <c r="BXO10" s="87"/>
      <c r="BXP10" s="87"/>
      <c r="BXQ10" s="87"/>
      <c r="BXR10" s="87"/>
      <c r="BXS10" s="87"/>
      <c r="BXT10" s="87"/>
      <c r="BXU10" s="87"/>
      <c r="BXV10" s="87"/>
      <c r="BXW10" s="87"/>
      <c r="BXX10" s="87"/>
      <c r="BXY10" s="87"/>
      <c r="BXZ10" s="87"/>
      <c r="BYA10" s="87"/>
      <c r="BYB10" s="87"/>
      <c r="BYC10" s="87"/>
      <c r="BYD10" s="87"/>
      <c r="BYE10" s="87"/>
      <c r="BYF10" s="87"/>
      <c r="BYG10" s="87"/>
      <c r="BYH10" s="87"/>
      <c r="BYI10" s="87"/>
      <c r="BYJ10" s="87"/>
      <c r="BYK10" s="87"/>
      <c r="BYL10" s="87"/>
      <c r="BYM10" s="87"/>
      <c r="BYN10" s="87"/>
      <c r="BYO10" s="87"/>
      <c r="BYP10" s="87"/>
      <c r="BYQ10" s="87"/>
      <c r="BYR10" s="87"/>
      <c r="BYS10" s="87"/>
      <c r="BYT10" s="87"/>
      <c r="BYU10" s="87"/>
      <c r="BYV10" s="87"/>
      <c r="BYW10" s="87"/>
      <c r="BYX10" s="87"/>
      <c r="BYY10" s="87"/>
      <c r="BYZ10" s="87"/>
      <c r="BZA10" s="87"/>
      <c r="BZB10" s="87"/>
      <c r="BZC10" s="87"/>
      <c r="BZD10" s="87"/>
      <c r="BZE10" s="87"/>
      <c r="BZF10" s="87"/>
      <c r="BZG10" s="87"/>
      <c r="BZH10" s="87"/>
      <c r="BZI10" s="87"/>
      <c r="BZJ10" s="87"/>
      <c r="BZK10" s="87"/>
      <c r="BZL10" s="87"/>
      <c r="BZM10" s="87"/>
      <c r="BZN10" s="87"/>
      <c r="BZO10" s="87"/>
      <c r="BZP10" s="87"/>
      <c r="BZQ10" s="87"/>
      <c r="BZR10" s="87"/>
      <c r="BZS10" s="87"/>
      <c r="BZT10" s="87"/>
      <c r="BZU10" s="87"/>
      <c r="BZV10" s="87"/>
      <c r="BZW10" s="87"/>
      <c r="BZX10" s="87"/>
      <c r="BZY10" s="87"/>
      <c r="BZZ10" s="87"/>
      <c r="CAA10" s="87"/>
      <c r="CAB10" s="87"/>
      <c r="CAC10" s="87"/>
      <c r="CAD10" s="87"/>
      <c r="CAE10" s="87"/>
      <c r="CAF10" s="87"/>
      <c r="CAG10" s="87"/>
      <c r="CAH10" s="87"/>
      <c r="CAI10" s="87"/>
      <c r="CAJ10" s="87"/>
      <c r="CAK10" s="87"/>
      <c r="CAL10" s="87"/>
      <c r="CAM10" s="87"/>
      <c r="CAN10" s="87"/>
      <c r="CAO10" s="87"/>
      <c r="CAP10" s="87"/>
      <c r="CAQ10" s="87"/>
      <c r="CAR10" s="87"/>
      <c r="CAS10" s="87"/>
      <c r="CAT10" s="87"/>
      <c r="CAU10" s="87"/>
      <c r="CAV10" s="87"/>
      <c r="CAW10" s="87"/>
      <c r="CAX10" s="87"/>
      <c r="CAY10" s="87"/>
      <c r="CAZ10" s="87"/>
      <c r="CBA10" s="87"/>
      <c r="CBB10" s="87"/>
      <c r="CBC10" s="87"/>
      <c r="CBD10" s="87"/>
      <c r="CBE10" s="87"/>
      <c r="CBF10" s="87"/>
      <c r="CBG10" s="87"/>
      <c r="CBH10" s="87"/>
      <c r="CBI10" s="87"/>
      <c r="CBJ10" s="87"/>
      <c r="CBK10" s="87"/>
      <c r="CBL10" s="87"/>
      <c r="CBM10" s="87"/>
      <c r="CBN10" s="87"/>
      <c r="CBO10" s="87"/>
      <c r="CBP10" s="87"/>
      <c r="CBQ10" s="87"/>
      <c r="CBR10" s="87"/>
      <c r="CBS10" s="87"/>
      <c r="CBT10" s="87"/>
      <c r="CBU10" s="87"/>
      <c r="CBV10" s="87"/>
      <c r="CBW10" s="87"/>
      <c r="CBX10" s="87"/>
      <c r="CBY10" s="87"/>
      <c r="CBZ10" s="87"/>
      <c r="CCA10" s="87"/>
      <c r="CCB10" s="87"/>
      <c r="CCC10" s="87"/>
      <c r="CCD10" s="87"/>
      <c r="CCE10" s="87"/>
      <c r="CCF10" s="87"/>
      <c r="CCG10" s="87"/>
      <c r="CCH10" s="87"/>
      <c r="CCI10" s="87"/>
      <c r="CCJ10" s="87"/>
      <c r="CCK10" s="87"/>
      <c r="CCL10" s="87"/>
      <c r="CCM10" s="87"/>
      <c r="CCN10" s="87"/>
      <c r="CCO10" s="87"/>
      <c r="CCP10" s="87"/>
      <c r="CCQ10" s="87"/>
      <c r="CCR10" s="87"/>
      <c r="CCS10" s="87"/>
      <c r="CCT10" s="87"/>
      <c r="CCU10" s="87"/>
      <c r="CCV10" s="87"/>
      <c r="CCW10" s="87"/>
      <c r="CCX10" s="87"/>
      <c r="CCY10" s="87"/>
      <c r="CCZ10" s="87"/>
      <c r="CDA10" s="87"/>
      <c r="CDB10" s="87"/>
      <c r="CDC10" s="87"/>
      <c r="CDD10" s="87"/>
      <c r="CDE10" s="87"/>
      <c r="CDF10" s="87"/>
      <c r="CDG10" s="87"/>
      <c r="CDH10" s="87"/>
      <c r="CDI10" s="87"/>
      <c r="CDJ10" s="87"/>
      <c r="CDK10" s="87"/>
      <c r="CDL10" s="87"/>
      <c r="CDM10" s="87"/>
      <c r="CDN10" s="87"/>
      <c r="CDO10" s="87"/>
      <c r="CDP10" s="87"/>
      <c r="CDQ10" s="87"/>
      <c r="CDR10" s="87"/>
      <c r="CDS10" s="87"/>
      <c r="CDT10" s="87"/>
      <c r="CDU10" s="87"/>
      <c r="CDV10" s="87"/>
      <c r="CDW10" s="87"/>
      <c r="CDX10" s="87"/>
      <c r="CDY10" s="87"/>
      <c r="CDZ10" s="87"/>
      <c r="CEA10" s="87"/>
      <c r="CEB10" s="87"/>
      <c r="CEC10" s="87"/>
      <c r="CED10" s="87"/>
      <c r="CEE10" s="87"/>
      <c r="CEF10" s="87"/>
      <c r="CEG10" s="87"/>
      <c r="CEH10" s="87"/>
      <c r="CEI10" s="87"/>
      <c r="CEJ10" s="87"/>
      <c r="CEK10" s="87"/>
      <c r="CEL10" s="87"/>
      <c r="CEM10" s="87"/>
      <c r="CEN10" s="87"/>
      <c r="CEO10" s="87"/>
      <c r="CEP10" s="87"/>
      <c r="CEQ10" s="87"/>
      <c r="CER10" s="87"/>
      <c r="CES10" s="87"/>
      <c r="CET10" s="87"/>
      <c r="CEU10" s="87"/>
      <c r="CEV10" s="87"/>
      <c r="CEW10" s="87"/>
      <c r="CEX10" s="87"/>
      <c r="CEY10" s="87"/>
      <c r="CEZ10" s="87"/>
      <c r="CFA10" s="87"/>
      <c r="CFB10" s="87"/>
      <c r="CFC10" s="87"/>
      <c r="CFD10" s="87"/>
      <c r="CFE10" s="87"/>
      <c r="CFF10" s="87"/>
      <c r="CFG10" s="87"/>
      <c r="CFH10" s="87"/>
      <c r="CFI10" s="87"/>
      <c r="CFJ10" s="87"/>
      <c r="CFK10" s="87"/>
      <c r="CFL10" s="87"/>
      <c r="CFM10" s="87"/>
      <c r="CFN10" s="87"/>
      <c r="CFO10" s="87"/>
      <c r="CFP10" s="87"/>
      <c r="CFQ10" s="87"/>
      <c r="CFR10" s="87"/>
      <c r="CFS10" s="87"/>
      <c r="CFT10" s="87"/>
      <c r="CFU10" s="87"/>
      <c r="CFV10" s="87"/>
      <c r="CFW10" s="87"/>
      <c r="CFX10" s="87"/>
      <c r="CFY10" s="87"/>
      <c r="CFZ10" s="87"/>
      <c r="CGA10" s="87"/>
      <c r="CGB10" s="87"/>
      <c r="CGC10" s="87"/>
      <c r="CGD10" s="87"/>
      <c r="CGE10" s="87"/>
      <c r="CGF10" s="87"/>
      <c r="CGG10" s="87"/>
      <c r="CGH10" s="87"/>
      <c r="CGI10" s="87"/>
      <c r="CGJ10" s="87"/>
      <c r="CGK10" s="87"/>
      <c r="CGL10" s="87"/>
      <c r="CGM10" s="87"/>
      <c r="CGN10" s="87"/>
      <c r="CGO10" s="87"/>
      <c r="CGP10" s="87"/>
      <c r="CGQ10" s="87"/>
      <c r="CGR10" s="87"/>
      <c r="CGS10" s="87"/>
      <c r="CGT10" s="87"/>
      <c r="CGU10" s="87"/>
      <c r="CGV10" s="87"/>
      <c r="CGW10" s="87"/>
      <c r="CGX10" s="87"/>
      <c r="CGY10" s="87"/>
      <c r="CGZ10" s="87"/>
      <c r="CHA10" s="87"/>
      <c r="CHB10" s="87"/>
      <c r="CHC10" s="87"/>
      <c r="CHD10" s="87"/>
      <c r="CHE10" s="87"/>
      <c r="CHF10" s="87"/>
      <c r="CHG10" s="87"/>
      <c r="CHH10" s="87"/>
      <c r="CHI10" s="87"/>
      <c r="CHJ10" s="87"/>
      <c r="CHK10" s="87"/>
      <c r="CHL10" s="87"/>
      <c r="CHM10" s="87"/>
      <c r="CHN10" s="87"/>
      <c r="CHO10" s="87"/>
      <c r="CHP10" s="87"/>
      <c r="CHQ10" s="87"/>
      <c r="CHR10" s="87"/>
      <c r="CHS10" s="87"/>
      <c r="CHT10" s="87"/>
      <c r="CHU10" s="87"/>
      <c r="CHV10" s="87"/>
      <c r="CHW10" s="87"/>
      <c r="CHX10" s="87"/>
      <c r="CHY10" s="87"/>
      <c r="CHZ10" s="87"/>
      <c r="CIA10" s="87"/>
      <c r="CIB10" s="87"/>
      <c r="CIC10" s="87"/>
      <c r="CID10" s="87"/>
      <c r="CIE10" s="87"/>
      <c r="CIF10" s="87"/>
      <c r="CIG10" s="87"/>
      <c r="CIH10" s="87"/>
      <c r="CII10" s="87"/>
      <c r="CIJ10" s="87"/>
      <c r="CIK10" s="87"/>
      <c r="CIL10" s="87"/>
      <c r="CIM10" s="87"/>
      <c r="CIN10" s="87"/>
      <c r="CIO10" s="87"/>
      <c r="CIP10" s="87"/>
      <c r="CIQ10" s="87"/>
      <c r="CIR10" s="87"/>
      <c r="CIS10" s="87"/>
      <c r="CIT10" s="87"/>
      <c r="CIU10" s="87"/>
      <c r="CIV10" s="87"/>
      <c r="CIW10" s="87"/>
      <c r="CIX10" s="87"/>
      <c r="CIY10" s="87"/>
      <c r="CIZ10" s="87"/>
      <c r="CJA10" s="87"/>
      <c r="CJB10" s="87"/>
      <c r="CJC10" s="87"/>
      <c r="CJD10" s="87"/>
      <c r="CJE10" s="87"/>
      <c r="CJF10" s="87"/>
      <c r="CJG10" s="87"/>
      <c r="CJH10" s="87"/>
      <c r="CJI10" s="87"/>
      <c r="CJJ10" s="87"/>
      <c r="CJK10" s="87"/>
      <c r="CJL10" s="87"/>
      <c r="CJM10" s="87"/>
      <c r="CJN10" s="87"/>
      <c r="CJO10" s="87"/>
      <c r="CJP10" s="87"/>
      <c r="CJQ10" s="87"/>
      <c r="CJR10" s="87"/>
      <c r="CJS10" s="87"/>
      <c r="CJT10" s="87"/>
      <c r="CJU10" s="87"/>
      <c r="CJV10" s="87"/>
      <c r="CJW10" s="87"/>
      <c r="CJX10" s="87"/>
      <c r="CJY10" s="87"/>
      <c r="CJZ10" s="87"/>
      <c r="CKA10" s="87"/>
      <c r="CKB10" s="87"/>
      <c r="CKC10" s="87"/>
      <c r="CKD10" s="87"/>
      <c r="CKE10" s="87"/>
      <c r="CKF10" s="87"/>
      <c r="CKG10" s="87"/>
      <c r="CKH10" s="87"/>
      <c r="CKI10" s="87"/>
      <c r="CKJ10" s="87"/>
      <c r="CKK10" s="87"/>
      <c r="CKL10" s="87"/>
      <c r="CKM10" s="87"/>
      <c r="CKN10" s="87"/>
      <c r="CKO10" s="87"/>
      <c r="CKP10" s="87"/>
      <c r="CKQ10" s="87"/>
      <c r="CKR10" s="87"/>
      <c r="CKS10" s="87"/>
      <c r="CKT10" s="87"/>
      <c r="CKU10" s="87"/>
      <c r="CKV10" s="87"/>
      <c r="CKW10" s="87"/>
      <c r="CKX10" s="87"/>
      <c r="CKY10" s="87"/>
      <c r="CKZ10" s="87"/>
      <c r="CLA10" s="87"/>
      <c r="CLB10" s="87"/>
      <c r="CLC10" s="87"/>
      <c r="CLD10" s="87"/>
      <c r="CLE10" s="87"/>
      <c r="CLF10" s="87"/>
      <c r="CLG10" s="87"/>
      <c r="CLH10" s="87"/>
      <c r="CLI10" s="87"/>
      <c r="CLJ10" s="87"/>
      <c r="CLK10" s="87"/>
      <c r="CLL10" s="87"/>
      <c r="CLM10" s="87"/>
      <c r="CLN10" s="87"/>
      <c r="CLO10" s="87"/>
      <c r="CLP10" s="87"/>
      <c r="CLQ10" s="87"/>
      <c r="CLR10" s="87"/>
      <c r="CLS10" s="87"/>
      <c r="CLT10" s="87"/>
      <c r="CLU10" s="87"/>
      <c r="CLV10" s="87"/>
      <c r="CLW10" s="87"/>
      <c r="CLX10" s="87"/>
      <c r="CLY10" s="87"/>
      <c r="CLZ10" s="87"/>
      <c r="CMA10" s="87"/>
      <c r="CMB10" s="87"/>
      <c r="CMC10" s="87"/>
      <c r="CMD10" s="87"/>
      <c r="CME10" s="87"/>
      <c r="CMF10" s="87"/>
      <c r="CMG10" s="87"/>
      <c r="CMH10" s="87"/>
      <c r="CMI10" s="87"/>
      <c r="CMJ10" s="87"/>
      <c r="CMK10" s="87"/>
      <c r="CML10" s="87"/>
      <c r="CMM10" s="87"/>
      <c r="CMN10" s="87"/>
      <c r="CMO10" s="87"/>
      <c r="CMP10" s="87"/>
      <c r="CMQ10" s="87"/>
      <c r="CMR10" s="87"/>
      <c r="CMS10" s="87"/>
      <c r="CMT10" s="87"/>
      <c r="CMU10" s="87"/>
      <c r="CMV10" s="87"/>
      <c r="CMW10" s="87"/>
      <c r="CMX10" s="87"/>
      <c r="CMY10" s="87"/>
      <c r="CMZ10" s="87"/>
      <c r="CNA10" s="87"/>
      <c r="CNB10" s="87"/>
      <c r="CNC10" s="87"/>
      <c r="CND10" s="87"/>
      <c r="CNE10" s="87"/>
      <c r="CNF10" s="87"/>
      <c r="CNG10" s="87"/>
      <c r="CNH10" s="87"/>
      <c r="CNI10" s="87"/>
      <c r="CNJ10" s="87"/>
      <c r="CNK10" s="87"/>
      <c r="CNL10" s="87"/>
      <c r="CNM10" s="87"/>
      <c r="CNN10" s="87"/>
      <c r="CNO10" s="87"/>
      <c r="CNP10" s="87"/>
      <c r="CNQ10" s="87"/>
      <c r="CNR10" s="87"/>
      <c r="CNS10" s="87"/>
      <c r="CNT10" s="87"/>
      <c r="CNU10" s="87"/>
      <c r="CNV10" s="87"/>
      <c r="CNW10" s="87"/>
      <c r="CNX10" s="87"/>
      <c r="CNY10" s="87"/>
      <c r="CNZ10" s="87"/>
      <c r="COA10" s="87"/>
      <c r="COB10" s="87"/>
      <c r="COC10" s="87"/>
      <c r="COD10" s="87"/>
      <c r="COE10" s="87"/>
      <c r="COF10" s="87"/>
      <c r="COG10" s="87"/>
      <c r="COH10" s="87"/>
      <c r="COI10" s="87"/>
      <c r="COJ10" s="87"/>
      <c r="COK10" s="87"/>
      <c r="COL10" s="87"/>
      <c r="COM10" s="87"/>
      <c r="CON10" s="87"/>
      <c r="COO10" s="87"/>
      <c r="COP10" s="87"/>
      <c r="COQ10" s="87"/>
      <c r="COR10" s="87"/>
      <c r="COS10" s="87"/>
      <c r="COT10" s="87"/>
      <c r="COU10" s="87"/>
      <c r="COV10" s="87"/>
      <c r="COW10" s="87"/>
      <c r="COX10" s="87"/>
      <c r="COY10" s="87"/>
      <c r="COZ10" s="87"/>
      <c r="CPA10" s="87"/>
      <c r="CPB10" s="87"/>
      <c r="CPC10" s="87"/>
      <c r="CPD10" s="87"/>
      <c r="CPE10" s="87"/>
      <c r="CPF10" s="87"/>
      <c r="CPG10" s="87"/>
      <c r="CPH10" s="87"/>
      <c r="CPI10" s="87"/>
      <c r="CPJ10" s="87"/>
      <c r="CPK10" s="87"/>
      <c r="CPL10" s="87"/>
      <c r="CPM10" s="87"/>
      <c r="CPN10" s="87"/>
      <c r="CPO10" s="87"/>
      <c r="CPP10" s="87"/>
      <c r="CPQ10" s="87"/>
      <c r="CPR10" s="87"/>
      <c r="CPS10" s="87"/>
      <c r="CPT10" s="87"/>
      <c r="CPU10" s="87"/>
      <c r="CPV10" s="87"/>
      <c r="CPW10" s="87"/>
      <c r="CPX10" s="87"/>
      <c r="CPY10" s="87"/>
      <c r="CPZ10" s="87"/>
      <c r="CQA10" s="87"/>
      <c r="CQB10" s="87"/>
      <c r="CQC10" s="87"/>
      <c r="CQD10" s="87"/>
      <c r="CQE10" s="87"/>
      <c r="CQF10" s="87"/>
      <c r="CQG10" s="87"/>
      <c r="CQH10" s="87"/>
      <c r="CQI10" s="87"/>
      <c r="CQJ10" s="87"/>
      <c r="CQK10" s="87"/>
      <c r="CQL10" s="87"/>
      <c r="CQM10" s="87"/>
      <c r="CQN10" s="87"/>
      <c r="CQO10" s="87"/>
      <c r="CQP10" s="87"/>
      <c r="CQQ10" s="87"/>
      <c r="CQR10" s="87"/>
      <c r="CQS10" s="87"/>
      <c r="CQT10" s="87"/>
      <c r="CQU10" s="87"/>
      <c r="CQV10" s="87"/>
      <c r="CQW10" s="87"/>
      <c r="CQX10" s="87"/>
      <c r="CQY10" s="87"/>
      <c r="CQZ10" s="87"/>
      <c r="CRA10" s="87"/>
      <c r="CRB10" s="87"/>
      <c r="CRC10" s="87"/>
      <c r="CRD10" s="87"/>
      <c r="CRE10" s="87"/>
      <c r="CRF10" s="87"/>
      <c r="CRG10" s="87"/>
      <c r="CRH10" s="87"/>
      <c r="CRI10" s="87"/>
      <c r="CRJ10" s="87"/>
      <c r="CRK10" s="87"/>
      <c r="CRL10" s="87"/>
      <c r="CRM10" s="87"/>
      <c r="CRN10" s="87"/>
      <c r="CRO10" s="87"/>
      <c r="CRP10" s="87"/>
      <c r="CRQ10" s="87"/>
      <c r="CRR10" s="87"/>
      <c r="CRS10" s="87"/>
      <c r="CRT10" s="87"/>
      <c r="CRU10" s="87"/>
      <c r="CRV10" s="87"/>
      <c r="CRW10" s="87"/>
      <c r="CRX10" s="87"/>
      <c r="CRY10" s="87"/>
      <c r="CRZ10" s="87"/>
      <c r="CSA10" s="87"/>
      <c r="CSB10" s="87"/>
      <c r="CSC10" s="87"/>
      <c r="CSD10" s="87"/>
      <c r="CSE10" s="87"/>
      <c r="CSF10" s="87"/>
      <c r="CSG10" s="87"/>
      <c r="CSH10" s="87"/>
      <c r="CSI10" s="87"/>
      <c r="CSJ10" s="87"/>
      <c r="CSK10" s="87"/>
      <c r="CSL10" s="87"/>
      <c r="CSM10" s="87"/>
      <c r="CSN10" s="87"/>
      <c r="CSO10" s="87"/>
      <c r="CSP10" s="87"/>
      <c r="CSQ10" s="87"/>
      <c r="CSR10" s="87"/>
      <c r="CSS10" s="87"/>
      <c r="CST10" s="87"/>
      <c r="CSU10" s="87"/>
      <c r="CSV10" s="87"/>
      <c r="CSW10" s="87"/>
      <c r="CSX10" s="87"/>
      <c r="CSY10" s="87"/>
      <c r="CSZ10" s="87"/>
      <c r="CTA10" s="87"/>
      <c r="CTB10" s="87"/>
      <c r="CTC10" s="87"/>
      <c r="CTD10" s="87"/>
      <c r="CTE10" s="87"/>
      <c r="CTF10" s="87"/>
      <c r="CTG10" s="87"/>
      <c r="CTH10" s="87"/>
      <c r="CTI10" s="87"/>
      <c r="CTJ10" s="87"/>
      <c r="CTK10" s="87"/>
      <c r="CTL10" s="87"/>
      <c r="CTM10" s="87"/>
      <c r="CTN10" s="87"/>
      <c r="CTO10" s="87"/>
      <c r="CTP10" s="87"/>
      <c r="CTQ10" s="87"/>
      <c r="CTR10" s="87"/>
      <c r="CTS10" s="87"/>
      <c r="CTT10" s="87"/>
      <c r="CTU10" s="87"/>
      <c r="CTV10" s="87"/>
      <c r="CTW10" s="87"/>
      <c r="CTX10" s="87"/>
      <c r="CTY10" s="87"/>
      <c r="CTZ10" s="87"/>
      <c r="CUA10" s="87"/>
      <c r="CUB10" s="87"/>
      <c r="CUC10" s="87"/>
      <c r="CUD10" s="87"/>
      <c r="CUE10" s="87"/>
      <c r="CUF10" s="87"/>
      <c r="CUG10" s="87"/>
      <c r="CUH10" s="87"/>
      <c r="CUI10" s="87"/>
      <c r="CUJ10" s="87"/>
      <c r="CUK10" s="87"/>
      <c r="CUL10" s="87"/>
      <c r="CUM10" s="87"/>
      <c r="CUN10" s="87"/>
      <c r="CUO10" s="87"/>
      <c r="CUP10" s="87"/>
      <c r="CUQ10" s="87"/>
      <c r="CUR10" s="87"/>
      <c r="CUS10" s="87"/>
      <c r="CUT10" s="87"/>
      <c r="CUU10" s="87"/>
      <c r="CUV10" s="87"/>
      <c r="CUW10" s="87"/>
      <c r="CUX10" s="87"/>
      <c r="CUY10" s="87"/>
      <c r="CUZ10" s="87"/>
      <c r="CVA10" s="87"/>
      <c r="CVB10" s="87"/>
      <c r="CVC10" s="87"/>
      <c r="CVD10" s="87"/>
      <c r="CVE10" s="87"/>
      <c r="CVF10" s="87"/>
      <c r="CVG10" s="87"/>
      <c r="CVH10" s="87"/>
      <c r="CVI10" s="87"/>
      <c r="CVJ10" s="87"/>
      <c r="CVK10" s="87"/>
      <c r="CVL10" s="87"/>
      <c r="CVM10" s="87"/>
      <c r="CVN10" s="87"/>
      <c r="CVO10" s="87"/>
      <c r="CVP10" s="87"/>
      <c r="CVQ10" s="87"/>
      <c r="CVR10" s="87"/>
      <c r="CVS10" s="87"/>
      <c r="CVT10" s="87"/>
      <c r="CVU10" s="87"/>
      <c r="CVV10" s="87"/>
      <c r="CVW10" s="87"/>
      <c r="CVX10" s="87"/>
      <c r="CVY10" s="87"/>
      <c r="CVZ10" s="87"/>
      <c r="CWA10" s="87"/>
      <c r="CWB10" s="87"/>
      <c r="CWC10" s="87"/>
      <c r="CWD10" s="87"/>
      <c r="CWE10" s="87"/>
      <c r="CWF10" s="87"/>
      <c r="CWG10" s="87"/>
      <c r="CWH10" s="87"/>
      <c r="CWI10" s="87"/>
      <c r="CWJ10" s="87"/>
      <c r="CWK10" s="87"/>
      <c r="CWL10" s="87"/>
      <c r="CWM10" s="87"/>
      <c r="CWN10" s="87"/>
      <c r="CWO10" s="87"/>
      <c r="CWP10" s="87"/>
      <c r="CWQ10" s="87"/>
      <c r="CWR10" s="87"/>
      <c r="CWS10" s="87"/>
      <c r="CWT10" s="87"/>
      <c r="CWU10" s="87"/>
      <c r="CWV10" s="87"/>
      <c r="CWW10" s="87"/>
      <c r="CWX10" s="87"/>
      <c r="CWY10" s="87"/>
      <c r="CWZ10" s="87"/>
      <c r="CXA10" s="87"/>
      <c r="CXB10" s="87"/>
      <c r="CXC10" s="87"/>
      <c r="CXD10" s="87"/>
      <c r="CXE10" s="87"/>
      <c r="CXF10" s="87"/>
      <c r="CXG10" s="87"/>
      <c r="CXH10" s="87"/>
      <c r="CXI10" s="87"/>
      <c r="CXJ10" s="87"/>
      <c r="CXK10" s="87"/>
      <c r="CXL10" s="87"/>
      <c r="CXM10" s="87"/>
      <c r="CXN10" s="87"/>
      <c r="CXO10" s="87"/>
      <c r="CXP10" s="87"/>
      <c r="CXQ10" s="87"/>
      <c r="CXR10" s="87"/>
      <c r="CXS10" s="87"/>
      <c r="CXT10" s="87"/>
      <c r="CXU10" s="87"/>
      <c r="CXV10" s="87"/>
      <c r="CXW10" s="87"/>
      <c r="CXX10" s="87"/>
      <c r="CXY10" s="87"/>
      <c r="CXZ10" s="87"/>
      <c r="CYA10" s="87"/>
      <c r="CYB10" s="87"/>
      <c r="CYC10" s="87"/>
      <c r="CYD10" s="87"/>
      <c r="CYE10" s="87"/>
      <c r="CYF10" s="87"/>
      <c r="CYG10" s="87"/>
      <c r="CYH10" s="87"/>
      <c r="CYI10" s="87"/>
      <c r="CYJ10" s="87"/>
      <c r="CYK10" s="87"/>
      <c r="CYL10" s="87"/>
      <c r="CYM10" s="87"/>
      <c r="CYN10" s="87"/>
      <c r="CYO10" s="87"/>
      <c r="CYP10" s="87"/>
      <c r="CYQ10" s="87"/>
      <c r="CYR10" s="87"/>
      <c r="CYS10" s="87"/>
      <c r="CYT10" s="87"/>
      <c r="CYU10" s="87"/>
      <c r="CYV10" s="87"/>
      <c r="CYW10" s="87"/>
      <c r="CYX10" s="87"/>
      <c r="CYY10" s="87"/>
      <c r="CYZ10" s="87"/>
      <c r="CZA10" s="87"/>
      <c r="CZB10" s="87"/>
      <c r="CZC10" s="87"/>
      <c r="CZD10" s="87"/>
      <c r="CZE10" s="87"/>
      <c r="CZF10" s="87"/>
      <c r="CZG10" s="87"/>
      <c r="CZH10" s="87"/>
      <c r="CZI10" s="87"/>
      <c r="CZJ10" s="87"/>
      <c r="CZK10" s="87"/>
      <c r="CZL10" s="87"/>
      <c r="CZM10" s="87"/>
      <c r="CZN10" s="87"/>
      <c r="CZO10" s="87"/>
      <c r="CZP10" s="87"/>
      <c r="CZQ10" s="87"/>
      <c r="CZR10" s="87"/>
      <c r="CZS10" s="87"/>
      <c r="CZT10" s="87"/>
      <c r="CZU10" s="87"/>
      <c r="CZV10" s="87"/>
      <c r="CZW10" s="87"/>
      <c r="CZX10" s="87"/>
      <c r="CZY10" s="87"/>
      <c r="CZZ10" s="87"/>
      <c r="DAA10" s="87"/>
      <c r="DAB10" s="87"/>
      <c r="DAC10" s="87"/>
      <c r="DAD10" s="87"/>
      <c r="DAE10" s="87"/>
      <c r="DAF10" s="87"/>
      <c r="DAG10" s="87"/>
      <c r="DAH10" s="87"/>
      <c r="DAI10" s="87"/>
      <c r="DAJ10" s="87"/>
      <c r="DAK10" s="87"/>
      <c r="DAL10" s="87"/>
      <c r="DAM10" s="87"/>
      <c r="DAN10" s="87"/>
      <c r="DAO10" s="87"/>
      <c r="DAP10" s="87"/>
      <c r="DAQ10" s="87"/>
      <c r="DAR10" s="87"/>
      <c r="DAS10" s="87"/>
      <c r="DAT10" s="87"/>
      <c r="DAU10" s="87"/>
      <c r="DAV10" s="87"/>
      <c r="DAW10" s="87"/>
      <c r="DAX10" s="87"/>
      <c r="DAY10" s="87"/>
      <c r="DAZ10" s="87"/>
      <c r="DBA10" s="87"/>
      <c r="DBB10" s="87"/>
      <c r="DBC10" s="87"/>
      <c r="DBD10" s="87"/>
      <c r="DBE10" s="87"/>
      <c r="DBF10" s="87"/>
      <c r="DBG10" s="87"/>
      <c r="DBH10" s="87"/>
      <c r="DBI10" s="87"/>
      <c r="DBJ10" s="87"/>
      <c r="DBK10" s="87"/>
      <c r="DBL10" s="87"/>
      <c r="DBM10" s="87"/>
      <c r="DBN10" s="87"/>
      <c r="DBO10" s="87"/>
      <c r="DBP10" s="87"/>
      <c r="DBQ10" s="87"/>
      <c r="DBR10" s="87"/>
      <c r="DBS10" s="87"/>
      <c r="DBT10" s="87"/>
      <c r="DBU10" s="87"/>
      <c r="DBV10" s="87"/>
      <c r="DBW10" s="87"/>
      <c r="DBX10" s="87"/>
      <c r="DBY10" s="87"/>
      <c r="DBZ10" s="87"/>
      <c r="DCA10" s="87"/>
      <c r="DCB10" s="87"/>
      <c r="DCC10" s="87"/>
      <c r="DCD10" s="87"/>
      <c r="DCE10" s="87"/>
      <c r="DCF10" s="87"/>
      <c r="DCG10" s="87"/>
      <c r="DCH10" s="87"/>
      <c r="DCI10" s="87"/>
      <c r="DCJ10" s="87"/>
      <c r="DCK10" s="87"/>
      <c r="DCL10" s="87"/>
      <c r="DCM10" s="87"/>
      <c r="DCN10" s="87"/>
      <c r="DCO10" s="87"/>
      <c r="DCP10" s="87"/>
      <c r="DCQ10" s="87"/>
      <c r="DCR10" s="87"/>
      <c r="DCS10" s="87"/>
      <c r="DCT10" s="87"/>
      <c r="DCU10" s="87"/>
      <c r="DCV10" s="87"/>
      <c r="DCW10" s="87"/>
      <c r="DCX10" s="87"/>
      <c r="DCY10" s="87"/>
      <c r="DCZ10" s="87"/>
      <c r="DDA10" s="87"/>
      <c r="DDB10" s="87"/>
      <c r="DDC10" s="87"/>
      <c r="DDD10" s="87"/>
      <c r="DDE10" s="87"/>
      <c r="DDF10" s="87"/>
      <c r="DDG10" s="87"/>
      <c r="DDH10" s="87"/>
      <c r="DDI10" s="87"/>
      <c r="DDJ10" s="87"/>
      <c r="DDK10" s="87"/>
      <c r="DDL10" s="87"/>
      <c r="DDM10" s="87"/>
      <c r="DDN10" s="87"/>
      <c r="DDO10" s="87"/>
      <c r="DDP10" s="87"/>
      <c r="DDQ10" s="87"/>
      <c r="DDR10" s="87"/>
      <c r="DDS10" s="87"/>
      <c r="DDT10" s="87"/>
      <c r="DDU10" s="87"/>
      <c r="DDV10" s="87"/>
      <c r="DDW10" s="87"/>
      <c r="DDX10" s="87"/>
      <c r="DDY10" s="87"/>
      <c r="DDZ10" s="87"/>
      <c r="DEA10" s="87"/>
      <c r="DEB10" s="87"/>
      <c r="DEC10" s="87"/>
      <c r="DED10" s="87"/>
      <c r="DEE10" s="87"/>
      <c r="DEF10" s="87"/>
      <c r="DEG10" s="87"/>
      <c r="DEH10" s="87"/>
      <c r="DEI10" s="87"/>
      <c r="DEJ10" s="87"/>
      <c r="DEK10" s="87"/>
      <c r="DEL10" s="87"/>
      <c r="DEM10" s="87"/>
      <c r="DEN10" s="87"/>
      <c r="DEO10" s="87"/>
      <c r="DEP10" s="87"/>
      <c r="DEQ10" s="87"/>
      <c r="DER10" s="87"/>
      <c r="DES10" s="87"/>
      <c r="DET10" s="87"/>
      <c r="DEU10" s="87"/>
      <c r="DEV10" s="87"/>
      <c r="DEW10" s="87"/>
      <c r="DEX10" s="87"/>
      <c r="DEY10" s="87"/>
      <c r="DEZ10" s="87"/>
      <c r="DFA10" s="87"/>
      <c r="DFB10" s="87"/>
      <c r="DFC10" s="87"/>
      <c r="DFD10" s="87"/>
      <c r="DFE10" s="87"/>
      <c r="DFF10" s="87"/>
      <c r="DFG10" s="87"/>
      <c r="DFH10" s="87"/>
      <c r="DFI10" s="87"/>
      <c r="DFJ10" s="87"/>
      <c r="DFK10" s="87"/>
      <c r="DFL10" s="87"/>
      <c r="DFM10" s="87"/>
      <c r="DFN10" s="87"/>
      <c r="DFO10" s="87"/>
      <c r="DFP10" s="87"/>
      <c r="DFQ10" s="87"/>
      <c r="DFR10" s="87"/>
      <c r="DFS10" s="87"/>
      <c r="DFT10" s="87"/>
      <c r="DFU10" s="87"/>
      <c r="DFV10" s="87"/>
      <c r="DFW10" s="87"/>
      <c r="DFX10" s="87"/>
      <c r="DFY10" s="87"/>
      <c r="DFZ10" s="87"/>
      <c r="DGA10" s="87"/>
      <c r="DGB10" s="87"/>
      <c r="DGC10" s="87"/>
      <c r="DGD10" s="87"/>
      <c r="DGE10" s="87"/>
      <c r="DGF10" s="87"/>
      <c r="DGG10" s="87"/>
      <c r="DGH10" s="87"/>
      <c r="DGI10" s="87"/>
      <c r="DGJ10" s="87"/>
      <c r="DGK10" s="87"/>
      <c r="DGL10" s="87"/>
      <c r="DGM10" s="87"/>
      <c r="DGN10" s="87"/>
      <c r="DGO10" s="87"/>
      <c r="DGP10" s="87"/>
      <c r="DGQ10" s="87"/>
      <c r="DGR10" s="87"/>
      <c r="DGS10" s="87"/>
      <c r="DGT10" s="87"/>
      <c r="DGU10" s="87"/>
      <c r="DGV10" s="87"/>
      <c r="DGW10" s="87"/>
      <c r="DGX10" s="87"/>
      <c r="DGY10" s="87"/>
      <c r="DGZ10" s="87"/>
      <c r="DHA10" s="87"/>
      <c r="DHB10" s="87"/>
      <c r="DHC10" s="87"/>
      <c r="DHD10" s="87"/>
      <c r="DHE10" s="87"/>
      <c r="DHF10" s="87"/>
      <c r="DHG10" s="87"/>
      <c r="DHH10" s="87"/>
      <c r="DHI10" s="87"/>
      <c r="DHJ10" s="87"/>
      <c r="DHK10" s="87"/>
      <c r="DHL10" s="87"/>
      <c r="DHM10" s="87"/>
      <c r="DHN10" s="87"/>
      <c r="DHO10" s="87"/>
      <c r="DHP10" s="87"/>
      <c r="DHQ10" s="87"/>
      <c r="DHR10" s="87"/>
      <c r="DHS10" s="87"/>
      <c r="DHT10" s="87"/>
      <c r="DHU10" s="87"/>
      <c r="DHV10" s="87"/>
      <c r="DHW10" s="87"/>
      <c r="DHX10" s="87"/>
      <c r="DHY10" s="87"/>
      <c r="DHZ10" s="87"/>
      <c r="DIA10" s="87"/>
      <c r="DIB10" s="87"/>
      <c r="DIC10" s="87"/>
      <c r="DID10" s="87"/>
      <c r="DIE10" s="87"/>
      <c r="DIF10" s="87"/>
      <c r="DIG10" s="87"/>
      <c r="DIH10" s="87"/>
      <c r="DII10" s="87"/>
      <c r="DIJ10" s="87"/>
      <c r="DIK10" s="87"/>
      <c r="DIL10" s="87"/>
      <c r="DIM10" s="87"/>
      <c r="DIN10" s="87"/>
      <c r="DIO10" s="87"/>
      <c r="DIP10" s="87"/>
      <c r="DIQ10" s="87"/>
      <c r="DIR10" s="87"/>
      <c r="DIS10" s="87"/>
      <c r="DIT10" s="87"/>
      <c r="DIU10" s="87"/>
      <c r="DIV10" s="87"/>
      <c r="DIW10" s="87"/>
      <c r="DIX10" s="87"/>
      <c r="DIY10" s="87"/>
      <c r="DIZ10" s="87"/>
      <c r="DJA10" s="87"/>
      <c r="DJB10" s="87"/>
      <c r="DJC10" s="87"/>
      <c r="DJD10" s="87"/>
      <c r="DJE10" s="87"/>
      <c r="DJF10" s="87"/>
      <c r="DJG10" s="87"/>
      <c r="DJH10" s="87"/>
      <c r="DJI10" s="87"/>
      <c r="DJJ10" s="87"/>
      <c r="DJK10" s="87"/>
      <c r="DJL10" s="87"/>
      <c r="DJM10" s="87"/>
      <c r="DJN10" s="87"/>
      <c r="DJO10" s="87"/>
      <c r="DJP10" s="87"/>
      <c r="DJQ10" s="87"/>
      <c r="DJR10" s="87"/>
      <c r="DJS10" s="87"/>
      <c r="DJT10" s="87"/>
      <c r="DJU10" s="87"/>
      <c r="DJV10" s="87"/>
      <c r="DJW10" s="87"/>
      <c r="DJX10" s="87"/>
      <c r="DJY10" s="87"/>
      <c r="DJZ10" s="87"/>
      <c r="DKA10" s="87"/>
      <c r="DKB10" s="87"/>
      <c r="DKC10" s="87"/>
      <c r="DKD10" s="87"/>
      <c r="DKE10" s="87"/>
      <c r="DKF10" s="87"/>
      <c r="DKG10" s="87"/>
      <c r="DKH10" s="87"/>
      <c r="DKI10" s="87"/>
      <c r="DKJ10" s="87"/>
      <c r="DKK10" s="87"/>
      <c r="DKL10" s="87"/>
      <c r="DKM10" s="87"/>
      <c r="DKN10" s="87"/>
      <c r="DKO10" s="87"/>
      <c r="DKP10" s="87"/>
      <c r="DKQ10" s="87"/>
      <c r="DKR10" s="87"/>
      <c r="DKS10" s="87"/>
      <c r="DKT10" s="87"/>
      <c r="DKU10" s="87"/>
      <c r="DKV10" s="87"/>
      <c r="DKW10" s="87"/>
      <c r="DKX10" s="87"/>
      <c r="DKY10" s="87"/>
      <c r="DKZ10" s="87"/>
      <c r="DLA10" s="87"/>
      <c r="DLB10" s="87"/>
      <c r="DLC10" s="87"/>
      <c r="DLD10" s="87"/>
      <c r="DLE10" s="87"/>
      <c r="DLF10" s="87"/>
      <c r="DLG10" s="87"/>
      <c r="DLH10" s="87"/>
      <c r="DLI10" s="87"/>
      <c r="DLJ10" s="87"/>
      <c r="DLK10" s="87"/>
      <c r="DLL10" s="87"/>
      <c r="DLM10" s="87"/>
      <c r="DLN10" s="87"/>
      <c r="DLO10" s="87"/>
      <c r="DLP10" s="87"/>
      <c r="DLQ10" s="87"/>
      <c r="DLR10" s="87"/>
      <c r="DLS10" s="87"/>
      <c r="DLT10" s="87"/>
      <c r="DLU10" s="87"/>
      <c r="DLV10" s="87"/>
      <c r="DLW10" s="87"/>
      <c r="DLX10" s="87"/>
      <c r="DLY10" s="87"/>
      <c r="DLZ10" s="87"/>
      <c r="DMA10" s="87"/>
      <c r="DMB10" s="87"/>
      <c r="DMC10" s="87"/>
      <c r="DMD10" s="87"/>
      <c r="DME10" s="87"/>
      <c r="DMF10" s="87"/>
      <c r="DMG10" s="87"/>
      <c r="DMH10" s="87"/>
      <c r="DMI10" s="87"/>
      <c r="DMJ10" s="87"/>
      <c r="DMK10" s="87"/>
      <c r="DML10" s="87"/>
      <c r="DMM10" s="87"/>
      <c r="DMN10" s="87"/>
      <c r="DMO10" s="87"/>
      <c r="DMP10" s="87"/>
      <c r="DMQ10" s="87"/>
      <c r="DMR10" s="87"/>
      <c r="DMS10" s="87"/>
      <c r="DMT10" s="87"/>
      <c r="DMU10" s="87"/>
      <c r="DMV10" s="87"/>
      <c r="DMW10" s="87"/>
      <c r="DMX10" s="87"/>
      <c r="DMY10" s="87"/>
      <c r="DMZ10" s="87"/>
      <c r="DNA10" s="87"/>
      <c r="DNB10" s="87"/>
      <c r="DNC10" s="87"/>
      <c r="DND10" s="87"/>
      <c r="DNE10" s="87"/>
      <c r="DNF10" s="87"/>
      <c r="DNG10" s="87"/>
      <c r="DNH10" s="87"/>
      <c r="DNI10" s="87"/>
      <c r="DNJ10" s="87"/>
      <c r="DNK10" s="87"/>
      <c r="DNL10" s="87"/>
      <c r="DNM10" s="87"/>
      <c r="DNN10" s="87"/>
      <c r="DNO10" s="87"/>
      <c r="DNP10" s="87"/>
      <c r="DNQ10" s="87"/>
      <c r="DNR10" s="87"/>
      <c r="DNS10" s="87"/>
      <c r="DNT10" s="87"/>
      <c r="DNU10" s="87"/>
      <c r="DNV10" s="87"/>
      <c r="DNW10" s="87"/>
      <c r="DNX10" s="87"/>
      <c r="DNY10" s="87"/>
      <c r="DNZ10" s="87"/>
      <c r="DOA10" s="87"/>
      <c r="DOB10" s="87"/>
      <c r="DOC10" s="87"/>
      <c r="DOD10" s="87"/>
      <c r="DOE10" s="87"/>
      <c r="DOF10" s="87"/>
      <c r="DOG10" s="87"/>
      <c r="DOH10" s="87"/>
      <c r="DOI10" s="87"/>
      <c r="DOJ10" s="87"/>
      <c r="DOK10" s="87"/>
      <c r="DOL10" s="87"/>
      <c r="DOM10" s="87"/>
      <c r="DON10" s="87"/>
      <c r="DOO10" s="87"/>
      <c r="DOP10" s="87"/>
      <c r="DOQ10" s="87"/>
      <c r="DOR10" s="87"/>
      <c r="DOS10" s="87"/>
      <c r="DOT10" s="87"/>
      <c r="DOU10" s="87"/>
      <c r="DOV10" s="87"/>
      <c r="DOW10" s="87"/>
      <c r="DOX10" s="87"/>
      <c r="DOY10" s="87"/>
      <c r="DOZ10" s="87"/>
      <c r="DPA10" s="87"/>
      <c r="DPB10" s="87"/>
      <c r="DPC10" s="87"/>
      <c r="DPD10" s="87"/>
      <c r="DPE10" s="87"/>
      <c r="DPF10" s="87"/>
      <c r="DPG10" s="87"/>
      <c r="DPH10" s="87"/>
      <c r="DPI10" s="87"/>
      <c r="DPJ10" s="87"/>
      <c r="DPK10" s="87"/>
      <c r="DPL10" s="87"/>
      <c r="DPM10" s="87"/>
      <c r="DPN10" s="87"/>
      <c r="DPO10" s="87"/>
      <c r="DPP10" s="87"/>
      <c r="DPQ10" s="87"/>
      <c r="DPR10" s="87"/>
      <c r="DPS10" s="87"/>
      <c r="DPT10" s="87"/>
      <c r="DPU10" s="87"/>
      <c r="DPV10" s="87"/>
      <c r="DPW10" s="87"/>
      <c r="DPX10" s="87"/>
      <c r="DPY10" s="87"/>
      <c r="DPZ10" s="87"/>
      <c r="DQA10" s="87"/>
      <c r="DQB10" s="87"/>
      <c r="DQC10" s="87"/>
      <c r="DQD10" s="87"/>
      <c r="DQE10" s="87"/>
      <c r="DQF10" s="87"/>
      <c r="DQG10" s="87"/>
      <c r="DQH10" s="87"/>
      <c r="DQI10" s="87"/>
      <c r="DQJ10" s="87"/>
      <c r="DQK10" s="87"/>
      <c r="DQL10" s="87"/>
      <c r="DQM10" s="87"/>
      <c r="DQN10" s="87"/>
      <c r="DQO10" s="87"/>
      <c r="DQP10" s="87"/>
      <c r="DQQ10" s="87"/>
      <c r="DQR10" s="87"/>
      <c r="DQS10" s="87"/>
      <c r="DQT10" s="87"/>
      <c r="DQU10" s="87"/>
      <c r="DQV10" s="87"/>
      <c r="DQW10" s="87"/>
      <c r="DQX10" s="87"/>
      <c r="DQY10" s="87"/>
      <c r="DQZ10" s="87"/>
      <c r="DRA10" s="87"/>
      <c r="DRB10" s="87"/>
      <c r="DRC10" s="87"/>
      <c r="DRD10" s="87"/>
      <c r="DRE10" s="87"/>
      <c r="DRF10" s="87"/>
      <c r="DRG10" s="87"/>
      <c r="DRH10" s="87"/>
      <c r="DRI10" s="87"/>
      <c r="DRJ10" s="87"/>
      <c r="DRK10" s="87"/>
      <c r="DRL10" s="87"/>
      <c r="DRM10" s="87"/>
      <c r="DRN10" s="87"/>
      <c r="DRO10" s="87"/>
      <c r="DRP10" s="87"/>
      <c r="DRQ10" s="87"/>
      <c r="DRR10" s="87"/>
      <c r="DRS10" s="87"/>
      <c r="DRT10" s="87"/>
      <c r="DRU10" s="87"/>
      <c r="DRV10" s="87"/>
      <c r="DRW10" s="87"/>
      <c r="DRX10" s="87"/>
      <c r="DRY10" s="87"/>
      <c r="DRZ10" s="87"/>
      <c r="DSA10" s="87"/>
      <c r="DSB10" s="87"/>
      <c r="DSC10" s="87"/>
      <c r="DSD10" s="87"/>
      <c r="DSE10" s="87"/>
      <c r="DSF10" s="87"/>
      <c r="DSG10" s="87"/>
      <c r="DSH10" s="87"/>
      <c r="DSI10" s="87"/>
      <c r="DSJ10" s="87"/>
      <c r="DSK10" s="87"/>
      <c r="DSL10" s="87"/>
      <c r="DSM10" s="87"/>
      <c r="DSN10" s="87"/>
      <c r="DSO10" s="87"/>
      <c r="DSP10" s="87"/>
      <c r="DSQ10" s="87"/>
      <c r="DSR10" s="87"/>
      <c r="DSS10" s="87"/>
      <c r="DST10" s="87"/>
      <c r="DSU10" s="87"/>
      <c r="DSV10" s="87"/>
      <c r="DSW10" s="87"/>
      <c r="DSX10" s="87"/>
      <c r="DSY10" s="87"/>
      <c r="DSZ10" s="87"/>
      <c r="DTA10" s="87"/>
      <c r="DTB10" s="87"/>
      <c r="DTC10" s="87"/>
      <c r="DTD10" s="87"/>
      <c r="DTE10" s="87"/>
      <c r="DTF10" s="87"/>
      <c r="DTG10" s="87"/>
      <c r="DTH10" s="87"/>
      <c r="DTI10" s="87"/>
      <c r="DTJ10" s="87"/>
      <c r="DTK10" s="87"/>
      <c r="DTL10" s="87"/>
      <c r="DTM10" s="87"/>
      <c r="DTN10" s="87"/>
      <c r="DTO10" s="87"/>
      <c r="DTP10" s="87"/>
      <c r="DTQ10" s="87"/>
      <c r="DTR10" s="87"/>
      <c r="DTS10" s="87"/>
      <c r="DTT10" s="87"/>
      <c r="DTU10" s="87"/>
      <c r="DTV10" s="87"/>
      <c r="DTW10" s="87"/>
      <c r="DTX10" s="87"/>
      <c r="DTY10" s="87"/>
      <c r="DTZ10" s="87"/>
      <c r="DUA10" s="87"/>
      <c r="DUB10" s="87"/>
      <c r="DUC10" s="87"/>
      <c r="DUD10" s="87"/>
      <c r="DUE10" s="87"/>
      <c r="DUF10" s="87"/>
      <c r="DUG10" s="87"/>
      <c r="DUH10" s="87"/>
      <c r="DUI10" s="87"/>
      <c r="DUJ10" s="87"/>
      <c r="DUK10" s="87"/>
      <c r="DUL10" s="87"/>
      <c r="DUM10" s="87"/>
      <c r="DUN10" s="87"/>
      <c r="DUO10" s="87"/>
      <c r="DUP10" s="87"/>
      <c r="DUQ10" s="87"/>
      <c r="DUR10" s="87"/>
      <c r="DUS10" s="87"/>
      <c r="DUT10" s="87"/>
      <c r="DUU10" s="87"/>
      <c r="DUV10" s="87"/>
      <c r="DUW10" s="87"/>
      <c r="DUX10" s="87"/>
      <c r="DUY10" s="87"/>
      <c r="DUZ10" s="87"/>
      <c r="DVA10" s="87"/>
      <c r="DVB10" s="87"/>
      <c r="DVC10" s="87"/>
      <c r="DVD10" s="87"/>
      <c r="DVE10" s="87"/>
      <c r="DVF10" s="87"/>
      <c r="DVG10" s="87"/>
      <c r="DVH10" s="87"/>
      <c r="DVI10" s="87"/>
      <c r="DVJ10" s="87"/>
      <c r="DVK10" s="87"/>
      <c r="DVL10" s="87"/>
      <c r="DVM10" s="87"/>
      <c r="DVN10" s="87"/>
      <c r="DVO10" s="87"/>
      <c r="DVP10" s="87"/>
      <c r="DVQ10" s="87"/>
      <c r="DVR10" s="87"/>
      <c r="DVS10" s="87"/>
      <c r="DVT10" s="87"/>
      <c r="DVU10" s="87"/>
      <c r="DVV10" s="87"/>
      <c r="DVW10" s="87"/>
      <c r="DVX10" s="87"/>
      <c r="DVY10" s="87"/>
      <c r="DVZ10" s="87"/>
      <c r="DWA10" s="87"/>
      <c r="DWB10" s="87"/>
      <c r="DWC10" s="87"/>
      <c r="DWD10" s="87"/>
      <c r="DWE10" s="87"/>
      <c r="DWF10" s="87"/>
      <c r="DWG10" s="87"/>
      <c r="DWH10" s="87"/>
      <c r="DWI10" s="87"/>
      <c r="DWJ10" s="87"/>
      <c r="DWK10" s="87"/>
      <c r="DWL10" s="87"/>
      <c r="DWM10" s="87"/>
      <c r="DWN10" s="87"/>
      <c r="DWO10" s="87"/>
      <c r="DWP10" s="87"/>
      <c r="DWQ10" s="87"/>
      <c r="DWR10" s="87"/>
      <c r="DWS10" s="87"/>
      <c r="DWT10" s="87"/>
      <c r="DWU10" s="87"/>
      <c r="DWV10" s="87"/>
      <c r="DWW10" s="87"/>
      <c r="DWX10" s="87"/>
      <c r="DWY10" s="87"/>
      <c r="DWZ10" s="87"/>
      <c r="DXA10" s="87"/>
      <c r="DXB10" s="87"/>
      <c r="DXC10" s="87"/>
      <c r="DXD10" s="87"/>
      <c r="DXE10" s="87"/>
      <c r="DXF10" s="87"/>
      <c r="DXG10" s="87"/>
      <c r="DXH10" s="87"/>
      <c r="DXI10" s="87"/>
      <c r="DXJ10" s="87"/>
      <c r="DXK10" s="87"/>
      <c r="DXL10" s="87"/>
      <c r="DXM10" s="87"/>
      <c r="DXN10" s="87"/>
      <c r="DXO10" s="87"/>
      <c r="DXP10" s="87"/>
      <c r="DXQ10" s="87"/>
      <c r="DXR10" s="87"/>
      <c r="DXS10" s="87"/>
      <c r="DXT10" s="87"/>
      <c r="DXU10" s="87"/>
      <c r="DXV10" s="87"/>
      <c r="DXW10" s="87"/>
      <c r="DXX10" s="87"/>
      <c r="DXY10" s="87"/>
      <c r="DXZ10" s="87"/>
      <c r="DYA10" s="87"/>
      <c r="DYB10" s="87"/>
      <c r="DYC10" s="87"/>
      <c r="DYD10" s="87"/>
      <c r="DYE10" s="87"/>
      <c r="DYF10" s="87"/>
      <c r="DYG10" s="87"/>
      <c r="DYH10" s="87"/>
      <c r="DYI10" s="87"/>
      <c r="DYJ10" s="87"/>
      <c r="DYK10" s="87"/>
      <c r="DYL10" s="87"/>
      <c r="DYM10" s="87"/>
      <c r="DYN10" s="87"/>
      <c r="DYO10" s="87"/>
      <c r="DYP10" s="87"/>
      <c r="DYQ10" s="87"/>
      <c r="DYR10" s="87"/>
      <c r="DYS10" s="87"/>
      <c r="DYT10" s="87"/>
      <c r="DYU10" s="87"/>
      <c r="DYV10" s="87"/>
      <c r="DYW10" s="87"/>
      <c r="DYX10" s="87"/>
      <c r="DYY10" s="87"/>
      <c r="DYZ10" s="87"/>
      <c r="DZA10" s="87"/>
      <c r="DZB10" s="87"/>
      <c r="DZC10" s="87"/>
      <c r="DZD10" s="87"/>
      <c r="DZE10" s="87"/>
      <c r="DZF10" s="87"/>
      <c r="DZG10" s="87"/>
      <c r="DZH10" s="87"/>
      <c r="DZI10" s="87"/>
      <c r="DZJ10" s="87"/>
      <c r="DZK10" s="87"/>
      <c r="DZL10" s="87"/>
      <c r="DZM10" s="87"/>
      <c r="DZN10" s="87"/>
      <c r="DZO10" s="87"/>
      <c r="DZP10" s="87"/>
      <c r="DZQ10" s="87"/>
      <c r="DZR10" s="87"/>
      <c r="DZS10" s="87"/>
      <c r="DZT10" s="87"/>
      <c r="DZU10" s="87"/>
      <c r="DZV10" s="87"/>
      <c r="DZW10" s="87"/>
      <c r="DZX10" s="87"/>
      <c r="DZY10" s="87"/>
      <c r="DZZ10" s="87"/>
      <c r="EAA10" s="87"/>
      <c r="EAB10" s="87"/>
      <c r="EAC10" s="87"/>
      <c r="EAD10" s="87"/>
      <c r="EAE10" s="87"/>
      <c r="EAF10" s="87"/>
      <c r="EAG10" s="87"/>
      <c r="EAH10" s="87"/>
      <c r="EAI10" s="87"/>
      <c r="EAJ10" s="87"/>
      <c r="EAK10" s="87"/>
      <c r="EAL10" s="87"/>
      <c r="EAM10" s="87"/>
      <c r="EAN10" s="87"/>
      <c r="EAO10" s="87"/>
      <c r="EAP10" s="87"/>
      <c r="EAQ10" s="87"/>
      <c r="EAR10" s="87"/>
      <c r="EAS10" s="87"/>
      <c r="EAT10" s="87"/>
      <c r="EAU10" s="87"/>
      <c r="EAV10" s="87"/>
      <c r="EAW10" s="87"/>
      <c r="EAX10" s="87"/>
      <c r="EAY10" s="87"/>
      <c r="EAZ10" s="87"/>
      <c r="EBA10" s="87"/>
      <c r="EBB10" s="87"/>
      <c r="EBC10" s="87"/>
      <c r="EBD10" s="87"/>
      <c r="EBE10" s="87"/>
      <c r="EBF10" s="87"/>
      <c r="EBG10" s="87"/>
      <c r="EBH10" s="87"/>
      <c r="EBI10" s="87"/>
      <c r="EBJ10" s="87"/>
      <c r="EBK10" s="87"/>
      <c r="EBL10" s="87"/>
      <c r="EBM10" s="87"/>
      <c r="EBN10" s="87"/>
      <c r="EBO10" s="87"/>
      <c r="EBP10" s="87"/>
      <c r="EBQ10" s="87"/>
      <c r="EBR10" s="87"/>
      <c r="EBS10" s="87"/>
      <c r="EBT10" s="87"/>
      <c r="EBU10" s="87"/>
      <c r="EBV10" s="87"/>
      <c r="EBW10" s="87"/>
      <c r="EBX10" s="87"/>
      <c r="EBY10" s="87"/>
      <c r="EBZ10" s="87"/>
      <c r="ECA10" s="87"/>
      <c r="ECB10" s="87"/>
      <c r="ECC10" s="87"/>
      <c r="ECD10" s="87"/>
      <c r="ECE10" s="87"/>
      <c r="ECF10" s="87"/>
      <c r="ECG10" s="87"/>
      <c r="ECH10" s="87"/>
      <c r="ECI10" s="87"/>
      <c r="ECJ10" s="87"/>
      <c r="ECK10" s="87"/>
      <c r="ECL10" s="87"/>
      <c r="ECM10" s="87"/>
      <c r="ECN10" s="87"/>
      <c r="ECO10" s="87"/>
      <c r="ECP10" s="87"/>
      <c r="ECQ10" s="87"/>
      <c r="ECR10" s="87"/>
      <c r="ECS10" s="87"/>
      <c r="ECT10" s="87"/>
      <c r="ECU10" s="87"/>
      <c r="ECV10" s="87"/>
      <c r="ECW10" s="87"/>
      <c r="ECX10" s="87"/>
      <c r="ECY10" s="87"/>
      <c r="ECZ10" s="87"/>
      <c r="EDA10" s="87"/>
      <c r="EDB10" s="87"/>
      <c r="EDC10" s="87"/>
      <c r="EDD10" s="87"/>
      <c r="EDE10" s="87"/>
      <c r="EDF10" s="87"/>
      <c r="EDG10" s="87"/>
      <c r="EDH10" s="87"/>
      <c r="EDI10" s="87"/>
      <c r="EDJ10" s="87"/>
      <c r="EDK10" s="87"/>
      <c r="EDL10" s="87"/>
      <c r="EDM10" s="87"/>
      <c r="EDN10" s="87"/>
      <c r="EDO10" s="87"/>
      <c r="EDP10" s="87"/>
      <c r="EDQ10" s="87"/>
      <c r="EDR10" s="87"/>
      <c r="EDS10" s="87"/>
      <c r="EDT10" s="87"/>
      <c r="EDU10" s="87"/>
      <c r="EDV10" s="87"/>
      <c r="EDW10" s="87"/>
      <c r="EDX10" s="87"/>
      <c r="EDY10" s="87"/>
      <c r="EDZ10" s="87"/>
      <c r="EEA10" s="87"/>
      <c r="EEB10" s="87"/>
      <c r="EEC10" s="87"/>
      <c r="EED10" s="87"/>
      <c r="EEE10" s="87"/>
      <c r="EEF10" s="87"/>
      <c r="EEG10" s="87"/>
      <c r="EEH10" s="87"/>
      <c r="EEI10" s="87"/>
      <c r="EEJ10" s="87"/>
      <c r="EEK10" s="87"/>
      <c r="EEL10" s="87"/>
      <c r="EEM10" s="87"/>
      <c r="EEN10" s="87"/>
      <c r="EEO10" s="87"/>
      <c r="EEP10" s="87"/>
      <c r="EEQ10" s="87"/>
      <c r="EER10" s="87"/>
      <c r="EES10" s="87"/>
      <c r="EET10" s="87"/>
      <c r="EEU10" s="87"/>
      <c r="EEV10" s="87"/>
      <c r="EEW10" s="87"/>
      <c r="EEX10" s="87"/>
      <c r="EEY10" s="87"/>
      <c r="EEZ10" s="87"/>
      <c r="EFA10" s="87"/>
      <c r="EFB10" s="87"/>
      <c r="EFC10" s="87"/>
      <c r="EFD10" s="87"/>
      <c r="EFE10" s="87"/>
      <c r="EFF10" s="87"/>
      <c r="EFG10" s="87"/>
      <c r="EFH10" s="87"/>
      <c r="EFI10" s="87"/>
      <c r="EFJ10" s="87"/>
      <c r="EFK10" s="87"/>
      <c r="EFL10" s="87"/>
      <c r="EFM10" s="87"/>
      <c r="EFN10" s="87"/>
      <c r="EFO10" s="87"/>
      <c r="EFP10" s="87"/>
      <c r="EFQ10" s="87"/>
      <c r="EFR10" s="87"/>
      <c r="EFS10" s="87"/>
      <c r="EFT10" s="87"/>
      <c r="EFU10" s="87"/>
      <c r="EFV10" s="87"/>
      <c r="EFW10" s="87"/>
      <c r="EFX10" s="87"/>
      <c r="EFY10" s="87"/>
      <c r="EFZ10" s="87"/>
      <c r="EGA10" s="87"/>
      <c r="EGB10" s="87"/>
      <c r="EGC10" s="87"/>
      <c r="EGD10" s="87"/>
      <c r="EGE10" s="87"/>
      <c r="EGF10" s="87"/>
      <c r="EGG10" s="87"/>
      <c r="EGH10" s="87"/>
      <c r="EGI10" s="87"/>
      <c r="EGJ10" s="87"/>
      <c r="EGK10" s="87"/>
      <c r="EGL10" s="87"/>
      <c r="EGM10" s="87"/>
      <c r="EGN10" s="87"/>
      <c r="EGO10" s="87"/>
      <c r="EGP10" s="87"/>
      <c r="EGQ10" s="87"/>
      <c r="EGR10" s="87"/>
      <c r="EGS10" s="87"/>
      <c r="EGT10" s="87"/>
      <c r="EGU10" s="87"/>
      <c r="EGV10" s="87"/>
      <c r="EGW10" s="87"/>
      <c r="EGX10" s="87"/>
      <c r="EGY10" s="87"/>
      <c r="EGZ10" s="87"/>
      <c r="EHA10" s="87"/>
      <c r="EHB10" s="87"/>
      <c r="EHC10" s="87"/>
      <c r="EHD10" s="87"/>
      <c r="EHE10" s="87"/>
      <c r="EHF10" s="87"/>
      <c r="EHG10" s="87"/>
      <c r="EHH10" s="87"/>
      <c r="EHI10" s="87"/>
      <c r="EHJ10" s="87"/>
      <c r="EHK10" s="87"/>
      <c r="EHL10" s="87"/>
      <c r="EHM10" s="87"/>
      <c r="EHN10" s="87"/>
      <c r="EHO10" s="87"/>
      <c r="EHP10" s="87"/>
      <c r="EHQ10" s="87"/>
      <c r="EHR10" s="87"/>
      <c r="EHS10" s="87"/>
      <c r="EHT10" s="87"/>
      <c r="EHU10" s="87"/>
      <c r="EHV10" s="87"/>
      <c r="EHW10" s="87"/>
      <c r="EHX10" s="87"/>
      <c r="EHY10" s="87"/>
      <c r="EHZ10" s="87"/>
      <c r="EIA10" s="87"/>
      <c r="EIB10" s="87"/>
      <c r="EIC10" s="87"/>
      <c r="EID10" s="87"/>
      <c r="EIE10" s="87"/>
      <c r="EIF10" s="87"/>
      <c r="EIG10" s="87"/>
      <c r="EIH10" s="87"/>
      <c r="EII10" s="87"/>
      <c r="EIJ10" s="87"/>
      <c r="EIK10" s="87"/>
      <c r="EIL10" s="87"/>
      <c r="EIM10" s="87"/>
      <c r="EIN10" s="87"/>
      <c r="EIO10" s="87"/>
      <c r="EIP10" s="87"/>
      <c r="EIQ10" s="87"/>
      <c r="EIR10" s="87"/>
      <c r="EIS10" s="87"/>
      <c r="EIT10" s="87"/>
      <c r="EIU10" s="87"/>
      <c r="EIV10" s="87"/>
      <c r="EIW10" s="87"/>
      <c r="EIX10" s="87"/>
      <c r="EIY10" s="87"/>
      <c r="EIZ10" s="87"/>
      <c r="EJA10" s="87"/>
      <c r="EJB10" s="87"/>
      <c r="EJC10" s="87"/>
      <c r="EJD10" s="87"/>
      <c r="EJE10" s="87"/>
      <c r="EJF10" s="87"/>
      <c r="EJG10" s="87"/>
      <c r="EJH10" s="87"/>
      <c r="EJI10" s="87"/>
      <c r="EJJ10" s="87"/>
      <c r="EJK10" s="87"/>
      <c r="EJL10" s="87"/>
      <c r="EJM10" s="87"/>
      <c r="EJN10" s="87"/>
      <c r="EJO10" s="87"/>
      <c r="EJP10" s="87"/>
      <c r="EJQ10" s="87"/>
      <c r="EJR10" s="87"/>
      <c r="EJS10" s="87"/>
      <c r="EJT10" s="87"/>
      <c r="EJU10" s="87"/>
      <c r="EJV10" s="87"/>
      <c r="EJW10" s="87"/>
      <c r="EJX10" s="87"/>
      <c r="EJY10" s="87"/>
      <c r="EJZ10" s="87"/>
      <c r="EKA10" s="87"/>
      <c r="EKB10" s="87"/>
      <c r="EKC10" s="87"/>
      <c r="EKD10" s="87"/>
      <c r="EKE10" s="87"/>
      <c r="EKF10" s="87"/>
      <c r="EKG10" s="87"/>
      <c r="EKH10" s="87"/>
      <c r="EKI10" s="87"/>
      <c r="EKJ10" s="87"/>
      <c r="EKK10" s="87"/>
      <c r="EKL10" s="87"/>
      <c r="EKM10" s="87"/>
      <c r="EKN10" s="87"/>
      <c r="EKO10" s="87"/>
      <c r="EKP10" s="87"/>
      <c r="EKQ10" s="87"/>
      <c r="EKR10" s="87"/>
      <c r="EKS10" s="87"/>
      <c r="EKT10" s="87"/>
      <c r="EKU10" s="87"/>
      <c r="EKV10" s="87"/>
      <c r="EKW10" s="87"/>
      <c r="EKX10" s="87"/>
      <c r="EKY10" s="87"/>
      <c r="EKZ10" s="87"/>
      <c r="ELA10" s="87"/>
      <c r="ELB10" s="87"/>
      <c r="ELC10" s="87"/>
      <c r="ELD10" s="87"/>
      <c r="ELE10" s="87"/>
      <c r="ELF10" s="87"/>
      <c r="ELG10" s="87"/>
      <c r="ELH10" s="87"/>
      <c r="ELI10" s="87"/>
      <c r="ELJ10" s="87"/>
      <c r="ELK10" s="87"/>
      <c r="ELL10" s="87"/>
      <c r="ELM10" s="87"/>
      <c r="ELN10" s="87"/>
      <c r="ELO10" s="87"/>
      <c r="ELP10" s="87"/>
      <c r="ELQ10" s="87"/>
      <c r="ELR10" s="87"/>
      <c r="ELS10" s="87"/>
      <c r="ELT10" s="87"/>
      <c r="ELU10" s="87"/>
      <c r="ELV10" s="87"/>
      <c r="ELW10" s="87"/>
      <c r="ELX10" s="87"/>
      <c r="ELY10" s="87"/>
      <c r="ELZ10" s="87"/>
      <c r="EMA10" s="87"/>
      <c r="EMB10" s="87"/>
      <c r="EMC10" s="87"/>
      <c r="EMD10" s="87"/>
      <c r="EME10" s="87"/>
      <c r="EMF10" s="87"/>
      <c r="EMG10" s="87"/>
      <c r="EMH10" s="87"/>
      <c r="EMI10" s="87"/>
      <c r="EMJ10" s="87"/>
      <c r="EMK10" s="87"/>
      <c r="EML10" s="87"/>
      <c r="EMM10" s="87"/>
      <c r="EMN10" s="87"/>
      <c r="EMO10" s="87"/>
      <c r="EMP10" s="87"/>
      <c r="EMQ10" s="87"/>
      <c r="EMR10" s="87"/>
      <c r="EMS10" s="87"/>
      <c r="EMT10" s="87"/>
      <c r="EMU10" s="87"/>
      <c r="EMV10" s="87"/>
      <c r="EMW10" s="87"/>
      <c r="EMX10" s="87"/>
      <c r="EMY10" s="87"/>
      <c r="EMZ10" s="87"/>
      <c r="ENA10" s="87"/>
      <c r="ENB10" s="87"/>
      <c r="ENC10" s="87"/>
      <c r="END10" s="87"/>
      <c r="ENE10" s="87"/>
      <c r="ENF10" s="87"/>
      <c r="ENG10" s="87"/>
      <c r="ENH10" s="87"/>
      <c r="ENI10" s="87"/>
      <c r="ENJ10" s="87"/>
      <c r="ENK10" s="87"/>
      <c r="ENL10" s="87"/>
      <c r="ENM10" s="87"/>
      <c r="ENN10" s="87"/>
      <c r="ENO10" s="87"/>
      <c r="ENP10" s="87"/>
      <c r="ENQ10" s="87"/>
      <c r="ENR10" s="87"/>
      <c r="ENS10" s="87"/>
      <c r="ENT10" s="87"/>
      <c r="ENU10" s="87"/>
      <c r="ENV10" s="87"/>
      <c r="ENW10" s="87"/>
      <c r="ENX10" s="87"/>
      <c r="ENY10" s="87"/>
      <c r="ENZ10" s="87"/>
      <c r="EOA10" s="87"/>
      <c r="EOB10" s="87"/>
      <c r="EOC10" s="87"/>
      <c r="EOD10" s="87"/>
      <c r="EOE10" s="87"/>
      <c r="EOF10" s="87"/>
      <c r="EOG10" s="87"/>
      <c r="EOH10" s="87"/>
      <c r="EOI10" s="87"/>
      <c r="EOJ10" s="87"/>
      <c r="EOK10" s="87"/>
      <c r="EOL10" s="87"/>
      <c r="EOM10" s="87"/>
      <c r="EON10" s="87"/>
      <c r="EOO10" s="87"/>
      <c r="EOP10" s="87"/>
      <c r="EOQ10" s="87"/>
      <c r="EOR10" s="87"/>
      <c r="EOS10" s="87"/>
      <c r="EOT10" s="87"/>
      <c r="EOU10" s="87"/>
      <c r="EOV10" s="87"/>
      <c r="EOW10" s="87"/>
      <c r="EOX10" s="87"/>
      <c r="EOY10" s="87"/>
      <c r="EOZ10" s="87"/>
      <c r="EPA10" s="87"/>
      <c r="EPB10" s="87"/>
      <c r="EPC10" s="87"/>
      <c r="EPD10" s="87"/>
      <c r="EPE10" s="87"/>
      <c r="EPF10" s="87"/>
      <c r="EPG10" s="87"/>
      <c r="EPH10" s="87"/>
      <c r="EPI10" s="87"/>
      <c r="EPJ10" s="87"/>
      <c r="EPK10" s="87"/>
      <c r="EPL10" s="87"/>
      <c r="EPM10" s="87"/>
      <c r="EPN10" s="87"/>
      <c r="EPO10" s="87"/>
      <c r="EPP10" s="87"/>
      <c r="EPQ10" s="87"/>
      <c r="EPR10" s="87"/>
      <c r="EPS10" s="87"/>
      <c r="EPT10" s="87"/>
      <c r="EPU10" s="87"/>
      <c r="EPV10" s="87"/>
      <c r="EPW10" s="87"/>
      <c r="EPX10" s="87"/>
      <c r="EPY10" s="87"/>
      <c r="EPZ10" s="87"/>
      <c r="EQA10" s="87"/>
      <c r="EQB10" s="87"/>
      <c r="EQC10" s="87"/>
      <c r="EQD10" s="87"/>
      <c r="EQE10" s="87"/>
      <c r="EQF10" s="87"/>
      <c r="EQG10" s="87"/>
      <c r="EQH10" s="87"/>
      <c r="EQI10" s="87"/>
      <c r="EQJ10" s="87"/>
      <c r="EQK10" s="87"/>
      <c r="EQL10" s="87"/>
      <c r="EQM10" s="87"/>
      <c r="EQN10" s="87"/>
      <c r="EQO10" s="87"/>
      <c r="EQP10" s="87"/>
      <c r="EQQ10" s="87"/>
      <c r="EQR10" s="87"/>
      <c r="EQS10" s="87"/>
      <c r="EQT10" s="87"/>
      <c r="EQU10" s="87"/>
      <c r="EQV10" s="87"/>
      <c r="EQW10" s="87"/>
      <c r="EQX10" s="87"/>
      <c r="EQY10" s="87"/>
      <c r="EQZ10" s="87"/>
      <c r="ERA10" s="87"/>
      <c r="ERB10" s="87"/>
      <c r="ERC10" s="87"/>
      <c r="ERD10" s="87"/>
      <c r="ERE10" s="87"/>
      <c r="ERF10" s="87"/>
      <c r="ERG10" s="87"/>
      <c r="ERH10" s="87"/>
      <c r="ERI10" s="87"/>
      <c r="ERJ10" s="87"/>
      <c r="ERK10" s="87"/>
      <c r="ERL10" s="87"/>
      <c r="ERM10" s="87"/>
      <c r="ERN10" s="87"/>
      <c r="ERO10" s="87"/>
      <c r="ERP10" s="87"/>
      <c r="ERQ10" s="87"/>
      <c r="ERR10" s="87"/>
      <c r="ERS10" s="87"/>
      <c r="ERT10" s="87"/>
      <c r="ERU10" s="87"/>
      <c r="ERV10" s="87"/>
      <c r="ERW10" s="87"/>
      <c r="ERX10" s="87"/>
      <c r="ERY10" s="87"/>
      <c r="ERZ10" s="87"/>
      <c r="ESA10" s="87"/>
      <c r="ESB10" s="87"/>
      <c r="ESC10" s="87"/>
      <c r="ESD10" s="87"/>
      <c r="ESE10" s="87"/>
      <c r="ESF10" s="87"/>
      <c r="ESG10" s="87"/>
      <c r="ESH10" s="87"/>
      <c r="ESI10" s="87"/>
      <c r="ESJ10" s="87"/>
      <c r="ESK10" s="87"/>
      <c r="ESL10" s="87"/>
      <c r="ESM10" s="87"/>
      <c r="ESN10" s="87"/>
      <c r="ESO10" s="87"/>
      <c r="ESP10" s="87"/>
      <c r="ESQ10" s="87"/>
      <c r="ESR10" s="87"/>
      <c r="ESS10" s="87"/>
      <c r="EST10" s="87"/>
      <c r="ESU10" s="87"/>
      <c r="ESV10" s="87"/>
      <c r="ESW10" s="87"/>
      <c r="ESX10" s="87"/>
      <c r="ESY10" s="87"/>
      <c r="ESZ10" s="87"/>
      <c r="ETA10" s="87"/>
      <c r="ETB10" s="87"/>
      <c r="ETC10" s="87"/>
      <c r="ETD10" s="87"/>
      <c r="ETE10" s="87"/>
      <c r="ETF10" s="87"/>
      <c r="ETG10" s="87"/>
      <c r="ETH10" s="87"/>
      <c r="ETI10" s="87"/>
      <c r="ETJ10" s="87"/>
      <c r="ETK10" s="87"/>
      <c r="ETL10" s="87"/>
      <c r="ETM10" s="87"/>
      <c r="ETN10" s="87"/>
      <c r="ETO10" s="87"/>
      <c r="ETP10" s="87"/>
      <c r="ETQ10" s="87"/>
      <c r="ETR10" s="87"/>
      <c r="ETS10" s="87"/>
      <c r="ETT10" s="87"/>
      <c r="ETU10" s="87"/>
      <c r="ETV10" s="87"/>
      <c r="ETW10" s="87"/>
      <c r="ETX10" s="87"/>
      <c r="ETY10" s="87"/>
      <c r="ETZ10" s="87"/>
      <c r="EUA10" s="87"/>
      <c r="EUB10" s="87"/>
      <c r="EUC10" s="87"/>
      <c r="EUD10" s="87"/>
      <c r="EUE10" s="87"/>
      <c r="EUF10" s="87"/>
      <c r="EUG10" s="87"/>
      <c r="EUH10" s="87"/>
      <c r="EUI10" s="87"/>
      <c r="EUJ10" s="87"/>
      <c r="EUK10" s="87"/>
      <c r="EUL10" s="87"/>
      <c r="EUM10" s="87"/>
      <c r="EUN10" s="87"/>
      <c r="EUO10" s="87"/>
      <c r="EUP10" s="87"/>
      <c r="EUQ10" s="87"/>
      <c r="EUR10" s="87"/>
      <c r="EUS10" s="87"/>
      <c r="EUT10" s="87"/>
      <c r="EUU10" s="87"/>
      <c r="EUV10" s="87"/>
      <c r="EUW10" s="87"/>
      <c r="EUX10" s="87"/>
      <c r="EUY10" s="87"/>
      <c r="EUZ10" s="87"/>
      <c r="EVA10" s="87"/>
      <c r="EVB10" s="87"/>
      <c r="EVC10" s="87"/>
      <c r="EVD10" s="87"/>
      <c r="EVE10" s="87"/>
      <c r="EVF10" s="87"/>
      <c r="EVG10" s="87"/>
      <c r="EVH10" s="87"/>
      <c r="EVI10" s="87"/>
      <c r="EVJ10" s="87"/>
      <c r="EVK10" s="87"/>
      <c r="EVL10" s="87"/>
      <c r="EVM10" s="87"/>
      <c r="EVN10" s="87"/>
      <c r="EVO10" s="87"/>
      <c r="EVP10" s="87"/>
      <c r="EVQ10" s="87"/>
      <c r="EVR10" s="87"/>
      <c r="EVS10" s="87"/>
      <c r="EVT10" s="87"/>
      <c r="EVU10" s="87"/>
      <c r="EVV10" s="87"/>
      <c r="EVW10" s="87"/>
      <c r="EVX10" s="87"/>
      <c r="EVY10" s="87"/>
      <c r="EVZ10" s="87"/>
      <c r="EWA10" s="87"/>
      <c r="EWB10" s="87"/>
      <c r="EWC10" s="87"/>
      <c r="EWD10" s="87"/>
      <c r="EWE10" s="87"/>
      <c r="EWF10" s="87"/>
      <c r="EWG10" s="87"/>
      <c r="EWH10" s="87"/>
      <c r="EWI10" s="87"/>
      <c r="EWJ10" s="87"/>
      <c r="EWK10" s="87"/>
      <c r="EWL10" s="87"/>
      <c r="EWM10" s="87"/>
      <c r="EWN10" s="87"/>
      <c r="EWO10" s="87"/>
      <c r="EWP10" s="87"/>
      <c r="EWQ10" s="87"/>
      <c r="EWR10" s="87"/>
      <c r="EWS10" s="87"/>
      <c r="EWT10" s="87"/>
      <c r="EWU10" s="87"/>
      <c r="EWV10" s="87"/>
      <c r="EWW10" s="87"/>
      <c r="EWX10" s="87"/>
      <c r="EWY10" s="87"/>
      <c r="EWZ10" s="87"/>
      <c r="EXA10" s="87"/>
      <c r="EXB10" s="87"/>
      <c r="EXC10" s="87"/>
      <c r="EXD10" s="87"/>
      <c r="EXE10" s="87"/>
      <c r="EXF10" s="87"/>
      <c r="EXG10" s="87"/>
      <c r="EXH10" s="87"/>
      <c r="EXI10" s="87"/>
      <c r="EXJ10" s="87"/>
      <c r="EXK10" s="87"/>
      <c r="EXL10" s="87"/>
      <c r="EXM10" s="87"/>
      <c r="EXN10" s="87"/>
      <c r="EXO10" s="87"/>
      <c r="EXP10" s="87"/>
      <c r="EXQ10" s="87"/>
      <c r="EXR10" s="87"/>
      <c r="EXS10" s="87"/>
      <c r="EXT10" s="87"/>
      <c r="EXU10" s="87"/>
      <c r="EXV10" s="87"/>
      <c r="EXW10" s="87"/>
      <c r="EXX10" s="87"/>
      <c r="EXY10" s="87"/>
      <c r="EXZ10" s="87"/>
      <c r="EYA10" s="87"/>
      <c r="EYB10" s="87"/>
      <c r="EYC10" s="87"/>
      <c r="EYD10" s="87"/>
      <c r="EYE10" s="87"/>
      <c r="EYF10" s="87"/>
      <c r="EYG10" s="87"/>
      <c r="EYH10" s="87"/>
      <c r="EYI10" s="87"/>
      <c r="EYJ10" s="87"/>
      <c r="EYK10" s="87"/>
      <c r="EYL10" s="87"/>
      <c r="EYM10" s="87"/>
      <c r="EYN10" s="87"/>
      <c r="EYO10" s="87"/>
      <c r="EYP10" s="87"/>
      <c r="EYQ10" s="87"/>
      <c r="EYR10" s="87"/>
      <c r="EYS10" s="87"/>
      <c r="EYT10" s="87"/>
      <c r="EYU10" s="87"/>
      <c r="EYV10" s="87"/>
      <c r="EYW10" s="87"/>
      <c r="EYX10" s="87"/>
      <c r="EYY10" s="87"/>
      <c r="EYZ10" s="87"/>
      <c r="EZA10" s="87"/>
      <c r="EZB10" s="87"/>
      <c r="EZC10" s="87"/>
      <c r="EZD10" s="87"/>
      <c r="EZE10" s="87"/>
      <c r="EZF10" s="87"/>
      <c r="EZG10" s="87"/>
      <c r="EZH10" s="87"/>
      <c r="EZI10" s="87"/>
      <c r="EZJ10" s="87"/>
      <c r="EZK10" s="87"/>
      <c r="EZL10" s="87"/>
      <c r="EZM10" s="87"/>
      <c r="EZN10" s="87"/>
      <c r="EZO10" s="87"/>
      <c r="EZP10" s="87"/>
      <c r="EZQ10" s="87"/>
      <c r="EZR10" s="87"/>
      <c r="EZS10" s="87"/>
      <c r="EZT10" s="87"/>
      <c r="EZU10" s="87"/>
      <c r="EZV10" s="87"/>
      <c r="EZW10" s="87"/>
      <c r="EZX10" s="87"/>
      <c r="EZY10" s="87"/>
      <c r="EZZ10" s="87"/>
      <c r="FAA10" s="87"/>
      <c r="FAB10" s="87"/>
      <c r="FAC10" s="87"/>
      <c r="FAD10" s="87"/>
      <c r="FAE10" s="87"/>
      <c r="FAF10" s="87"/>
      <c r="FAG10" s="87"/>
      <c r="FAH10" s="87"/>
      <c r="FAI10" s="87"/>
      <c r="FAJ10" s="87"/>
      <c r="FAK10" s="87"/>
      <c r="FAL10" s="87"/>
      <c r="FAM10" s="87"/>
      <c r="FAN10" s="87"/>
      <c r="FAO10" s="87"/>
      <c r="FAP10" s="87"/>
      <c r="FAQ10" s="87"/>
      <c r="FAR10" s="87"/>
      <c r="FAS10" s="87"/>
      <c r="FAT10" s="87"/>
      <c r="FAU10" s="87"/>
      <c r="FAV10" s="87"/>
      <c r="FAW10" s="87"/>
      <c r="FAX10" s="87"/>
      <c r="FAY10" s="87"/>
      <c r="FAZ10" s="87"/>
      <c r="FBA10" s="87"/>
      <c r="FBB10" s="87"/>
      <c r="FBC10" s="87"/>
      <c r="FBD10" s="87"/>
      <c r="FBE10" s="87"/>
      <c r="FBF10" s="87"/>
      <c r="FBG10" s="87"/>
      <c r="FBH10" s="87"/>
      <c r="FBI10" s="87"/>
      <c r="FBJ10" s="87"/>
      <c r="FBK10" s="87"/>
      <c r="FBL10" s="87"/>
      <c r="FBM10" s="87"/>
      <c r="FBN10" s="87"/>
      <c r="FBO10" s="87"/>
      <c r="FBP10" s="87"/>
      <c r="FBQ10" s="87"/>
      <c r="FBR10" s="87"/>
      <c r="FBS10" s="87"/>
      <c r="FBT10" s="87"/>
      <c r="FBU10" s="87"/>
      <c r="FBV10" s="87"/>
      <c r="FBW10" s="87"/>
      <c r="FBX10" s="87"/>
      <c r="FBY10" s="87"/>
      <c r="FBZ10" s="87"/>
      <c r="FCA10" s="87"/>
      <c r="FCB10" s="87"/>
      <c r="FCC10" s="87"/>
      <c r="FCD10" s="87"/>
      <c r="FCE10" s="87"/>
      <c r="FCF10" s="87"/>
      <c r="FCG10" s="87"/>
      <c r="FCH10" s="87"/>
      <c r="FCI10" s="87"/>
      <c r="FCJ10" s="87"/>
      <c r="FCK10" s="87"/>
      <c r="FCL10" s="87"/>
      <c r="FCM10" s="87"/>
      <c r="FCN10" s="87"/>
      <c r="FCO10" s="87"/>
      <c r="FCP10" s="87"/>
      <c r="FCQ10" s="87"/>
      <c r="FCR10" s="87"/>
      <c r="FCS10" s="87"/>
      <c r="FCT10" s="87"/>
      <c r="FCU10" s="87"/>
      <c r="FCV10" s="87"/>
      <c r="FCW10" s="87"/>
      <c r="FCX10" s="87"/>
      <c r="FCY10" s="87"/>
      <c r="FCZ10" s="87"/>
      <c r="FDA10" s="87"/>
      <c r="FDB10" s="87"/>
      <c r="FDC10" s="87"/>
      <c r="FDD10" s="87"/>
      <c r="FDE10" s="87"/>
      <c r="FDF10" s="87"/>
      <c r="FDG10" s="87"/>
      <c r="FDH10" s="87"/>
      <c r="FDI10" s="87"/>
      <c r="FDJ10" s="87"/>
      <c r="FDK10" s="87"/>
      <c r="FDL10" s="87"/>
      <c r="FDM10" s="87"/>
      <c r="FDN10" s="87"/>
      <c r="FDO10" s="87"/>
      <c r="FDP10" s="87"/>
      <c r="FDQ10" s="87"/>
      <c r="FDR10" s="87"/>
      <c r="FDS10" s="87"/>
      <c r="FDT10" s="87"/>
      <c r="FDU10" s="87"/>
      <c r="FDV10" s="87"/>
      <c r="FDW10" s="87"/>
      <c r="FDX10" s="87"/>
      <c r="FDY10" s="87"/>
      <c r="FDZ10" s="87"/>
      <c r="FEA10" s="87"/>
      <c r="FEB10" s="87"/>
      <c r="FEC10" s="87"/>
      <c r="FED10" s="87"/>
      <c r="FEE10" s="87"/>
      <c r="FEF10" s="87"/>
      <c r="FEG10" s="87"/>
      <c r="FEH10" s="87"/>
      <c r="FEI10" s="87"/>
      <c r="FEJ10" s="87"/>
      <c r="FEK10" s="87"/>
      <c r="FEL10" s="87"/>
      <c r="FEM10" s="87"/>
      <c r="FEN10" s="87"/>
      <c r="FEO10" s="87"/>
      <c r="FEP10" s="87"/>
      <c r="FEQ10" s="87"/>
      <c r="FER10" s="87"/>
      <c r="FES10" s="87"/>
      <c r="FET10" s="87"/>
      <c r="FEU10" s="87"/>
      <c r="FEV10" s="87"/>
      <c r="FEW10" s="87"/>
      <c r="FEX10" s="87"/>
      <c r="FEY10" s="87"/>
      <c r="FEZ10" s="87"/>
      <c r="FFA10" s="87"/>
      <c r="FFB10" s="87"/>
      <c r="FFC10" s="87"/>
      <c r="FFD10" s="87"/>
      <c r="FFE10" s="87"/>
      <c r="FFF10" s="87"/>
      <c r="FFG10" s="87"/>
      <c r="FFH10" s="87"/>
      <c r="FFI10" s="87"/>
      <c r="FFJ10" s="87"/>
      <c r="FFK10" s="87"/>
      <c r="FFL10" s="87"/>
      <c r="FFM10" s="87"/>
      <c r="FFN10" s="87"/>
      <c r="FFO10" s="87"/>
      <c r="FFP10" s="87"/>
      <c r="FFQ10" s="87"/>
      <c r="FFR10" s="87"/>
      <c r="FFS10" s="87"/>
      <c r="FFT10" s="87"/>
      <c r="FFU10" s="87"/>
      <c r="FFV10" s="87"/>
      <c r="FFW10" s="87"/>
      <c r="FFX10" s="87"/>
      <c r="FFY10" s="87"/>
      <c r="FFZ10" s="87"/>
      <c r="FGA10" s="87"/>
      <c r="FGB10" s="87"/>
      <c r="FGC10" s="87"/>
      <c r="FGD10" s="87"/>
      <c r="FGE10" s="87"/>
      <c r="FGF10" s="87"/>
      <c r="FGG10" s="87"/>
      <c r="FGH10" s="87"/>
      <c r="FGI10" s="87"/>
      <c r="FGJ10" s="87"/>
      <c r="FGK10" s="87"/>
      <c r="FGL10" s="87"/>
      <c r="FGM10" s="87"/>
      <c r="FGN10" s="87"/>
      <c r="FGO10" s="87"/>
      <c r="FGP10" s="87"/>
      <c r="FGQ10" s="87"/>
      <c r="FGR10" s="87"/>
      <c r="FGS10" s="87"/>
      <c r="FGT10" s="87"/>
      <c r="FGU10" s="87"/>
      <c r="FGV10" s="87"/>
      <c r="FGW10" s="87"/>
      <c r="FGX10" s="87"/>
      <c r="FGY10" s="87"/>
      <c r="FGZ10" s="87"/>
      <c r="FHA10" s="87"/>
      <c r="FHB10" s="87"/>
      <c r="FHC10" s="87"/>
      <c r="FHD10" s="87"/>
      <c r="FHE10" s="87"/>
      <c r="FHF10" s="87"/>
      <c r="FHG10" s="87"/>
      <c r="FHH10" s="87"/>
      <c r="FHI10" s="87"/>
      <c r="FHJ10" s="87"/>
      <c r="FHK10" s="87"/>
      <c r="FHL10" s="87"/>
      <c r="FHM10" s="87"/>
      <c r="FHN10" s="87"/>
      <c r="FHO10" s="87"/>
      <c r="FHP10" s="87"/>
      <c r="FHQ10" s="87"/>
      <c r="FHR10" s="87"/>
      <c r="FHS10" s="87"/>
      <c r="FHT10" s="87"/>
      <c r="FHU10" s="87"/>
      <c r="FHV10" s="87"/>
      <c r="FHW10" s="87"/>
      <c r="FHX10" s="87"/>
      <c r="FHY10" s="87"/>
      <c r="FHZ10" s="87"/>
      <c r="FIA10" s="87"/>
      <c r="FIB10" s="87"/>
      <c r="FIC10" s="87"/>
      <c r="FID10" s="87"/>
      <c r="FIE10" s="87"/>
      <c r="FIF10" s="87"/>
      <c r="FIG10" s="87"/>
      <c r="FIH10" s="87"/>
      <c r="FII10" s="87"/>
      <c r="FIJ10" s="87"/>
      <c r="FIK10" s="87"/>
      <c r="FIL10" s="87"/>
      <c r="FIM10" s="87"/>
      <c r="FIN10" s="87"/>
      <c r="FIO10" s="87"/>
      <c r="FIP10" s="87"/>
      <c r="FIQ10" s="87"/>
      <c r="FIR10" s="87"/>
      <c r="FIS10" s="87"/>
      <c r="FIT10" s="87"/>
      <c r="FIU10" s="87"/>
      <c r="FIV10" s="87"/>
      <c r="FIW10" s="87"/>
      <c r="FIX10" s="87"/>
      <c r="FIY10" s="87"/>
      <c r="FIZ10" s="87"/>
      <c r="FJA10" s="87"/>
      <c r="FJB10" s="87"/>
      <c r="FJC10" s="87"/>
      <c r="FJD10" s="87"/>
      <c r="FJE10" s="87"/>
      <c r="FJF10" s="87"/>
      <c r="FJG10" s="87"/>
      <c r="FJH10" s="87"/>
      <c r="FJI10" s="87"/>
      <c r="FJJ10" s="87"/>
      <c r="FJK10" s="87"/>
      <c r="FJL10" s="87"/>
      <c r="FJM10" s="87"/>
      <c r="FJN10" s="87"/>
      <c r="FJO10" s="87"/>
      <c r="FJP10" s="87"/>
      <c r="FJQ10" s="87"/>
      <c r="FJR10" s="87"/>
      <c r="FJS10" s="87"/>
      <c r="FJT10" s="87"/>
      <c r="FJU10" s="87"/>
      <c r="FJV10" s="87"/>
      <c r="FJW10" s="87"/>
      <c r="FJX10" s="87"/>
      <c r="FJY10" s="87"/>
      <c r="FJZ10" s="87"/>
      <c r="FKA10" s="87"/>
      <c r="FKB10" s="87"/>
      <c r="FKC10" s="87"/>
      <c r="FKD10" s="87"/>
      <c r="FKE10" s="87"/>
      <c r="FKF10" s="87"/>
      <c r="FKG10" s="87"/>
      <c r="FKH10" s="87"/>
      <c r="FKI10" s="87"/>
      <c r="FKJ10" s="87"/>
      <c r="FKK10" s="87"/>
      <c r="FKL10" s="87"/>
      <c r="FKM10" s="87"/>
      <c r="FKN10" s="87"/>
      <c r="FKO10" s="87"/>
      <c r="FKP10" s="87"/>
      <c r="FKQ10" s="87"/>
      <c r="FKR10" s="87"/>
      <c r="FKS10" s="87"/>
      <c r="FKT10" s="87"/>
      <c r="FKU10" s="87"/>
      <c r="FKV10" s="87"/>
      <c r="FKW10" s="87"/>
      <c r="FKX10" s="87"/>
      <c r="FKY10" s="87"/>
      <c r="FKZ10" s="87"/>
      <c r="FLA10" s="87"/>
      <c r="FLB10" s="87"/>
      <c r="FLC10" s="87"/>
      <c r="FLD10" s="87"/>
      <c r="FLE10" s="87"/>
      <c r="FLF10" s="87"/>
      <c r="FLG10" s="87"/>
      <c r="FLH10" s="87"/>
      <c r="FLI10" s="87"/>
      <c r="FLJ10" s="87"/>
      <c r="FLK10" s="87"/>
      <c r="FLL10" s="87"/>
      <c r="FLM10" s="87"/>
      <c r="FLN10" s="87"/>
      <c r="FLO10" s="87"/>
      <c r="FLP10" s="87"/>
      <c r="FLQ10" s="87"/>
      <c r="FLR10" s="87"/>
      <c r="FLS10" s="87"/>
      <c r="FLT10" s="87"/>
      <c r="FLU10" s="87"/>
      <c r="FLV10" s="87"/>
      <c r="FLW10" s="87"/>
      <c r="FLX10" s="87"/>
      <c r="FLY10" s="87"/>
      <c r="FLZ10" s="87"/>
      <c r="FMA10" s="87"/>
      <c r="FMB10" s="87"/>
      <c r="FMC10" s="87"/>
      <c r="FMD10" s="87"/>
      <c r="FME10" s="87"/>
      <c r="FMF10" s="87"/>
      <c r="FMG10" s="87"/>
      <c r="FMH10" s="87"/>
      <c r="FMI10" s="87"/>
      <c r="FMJ10" s="87"/>
      <c r="FMK10" s="87"/>
      <c r="FML10" s="87"/>
      <c r="FMM10" s="87"/>
      <c r="FMN10" s="87"/>
      <c r="FMO10" s="87"/>
      <c r="FMP10" s="87"/>
      <c r="FMQ10" s="87"/>
      <c r="FMR10" s="87"/>
      <c r="FMS10" s="87"/>
      <c r="FMT10" s="87"/>
      <c r="FMU10" s="87"/>
      <c r="FMV10" s="87"/>
      <c r="FMW10" s="87"/>
      <c r="FMX10" s="87"/>
      <c r="FMY10" s="87"/>
      <c r="FMZ10" s="87"/>
      <c r="FNA10" s="87"/>
      <c r="FNB10" s="87"/>
      <c r="FNC10" s="87"/>
      <c r="FND10" s="87"/>
      <c r="FNE10" s="87"/>
      <c r="FNF10" s="87"/>
      <c r="FNG10" s="87"/>
      <c r="FNH10" s="87"/>
      <c r="FNI10" s="87"/>
      <c r="FNJ10" s="87"/>
      <c r="FNK10" s="87"/>
      <c r="FNL10" s="87"/>
      <c r="FNM10" s="87"/>
      <c r="FNN10" s="87"/>
      <c r="FNO10" s="87"/>
      <c r="FNP10" s="87"/>
      <c r="FNQ10" s="87"/>
      <c r="FNR10" s="87"/>
      <c r="FNS10" s="87"/>
      <c r="FNT10" s="87"/>
      <c r="FNU10" s="87"/>
      <c r="FNV10" s="87"/>
      <c r="FNW10" s="87"/>
      <c r="FNX10" s="87"/>
      <c r="FNY10" s="87"/>
      <c r="FNZ10" s="87"/>
      <c r="FOA10" s="87"/>
      <c r="FOB10" s="87"/>
      <c r="FOC10" s="87"/>
      <c r="FOD10" s="87"/>
      <c r="FOE10" s="87"/>
      <c r="FOF10" s="87"/>
      <c r="FOG10" s="87"/>
      <c r="FOH10" s="87"/>
      <c r="FOI10" s="87"/>
      <c r="FOJ10" s="87"/>
      <c r="FOK10" s="87"/>
      <c r="FOL10" s="87"/>
      <c r="FOM10" s="87"/>
      <c r="FON10" s="87"/>
      <c r="FOO10" s="87"/>
      <c r="FOP10" s="87"/>
      <c r="FOQ10" s="87"/>
      <c r="FOR10" s="87"/>
      <c r="FOS10" s="87"/>
      <c r="FOT10" s="87"/>
      <c r="FOU10" s="87"/>
      <c r="FOV10" s="87"/>
      <c r="FOW10" s="87"/>
      <c r="FOX10" s="87"/>
      <c r="FOY10" s="87"/>
      <c r="FOZ10" s="87"/>
      <c r="FPA10" s="87"/>
      <c r="FPB10" s="87"/>
      <c r="FPC10" s="87"/>
      <c r="FPD10" s="87"/>
      <c r="FPE10" s="87"/>
      <c r="FPF10" s="87"/>
      <c r="FPG10" s="87"/>
      <c r="FPH10" s="87"/>
      <c r="FPI10" s="87"/>
      <c r="FPJ10" s="87"/>
      <c r="FPK10" s="87"/>
      <c r="FPL10" s="87"/>
      <c r="FPM10" s="87"/>
      <c r="FPN10" s="87"/>
      <c r="FPO10" s="87"/>
      <c r="FPP10" s="87"/>
      <c r="FPQ10" s="87"/>
      <c r="FPR10" s="87"/>
      <c r="FPS10" s="87"/>
      <c r="FPT10" s="87"/>
      <c r="FPU10" s="87"/>
      <c r="FPV10" s="87"/>
      <c r="FPW10" s="87"/>
      <c r="FPX10" s="87"/>
      <c r="FPY10" s="87"/>
      <c r="FPZ10" s="87"/>
      <c r="FQA10" s="87"/>
      <c r="FQB10" s="87"/>
      <c r="FQC10" s="87"/>
      <c r="FQD10" s="87"/>
      <c r="FQE10" s="87"/>
      <c r="FQF10" s="87"/>
      <c r="FQG10" s="87"/>
      <c r="FQH10" s="87"/>
      <c r="FQI10" s="87"/>
      <c r="FQJ10" s="87"/>
      <c r="FQK10" s="87"/>
      <c r="FQL10" s="87"/>
      <c r="FQM10" s="87"/>
      <c r="FQN10" s="87"/>
      <c r="FQO10" s="87"/>
      <c r="FQP10" s="87"/>
      <c r="FQQ10" s="87"/>
      <c r="FQR10" s="87"/>
      <c r="FQS10" s="87"/>
      <c r="FQT10" s="87"/>
      <c r="FQU10" s="87"/>
      <c r="FQV10" s="87"/>
      <c r="FQW10" s="87"/>
      <c r="FQX10" s="87"/>
      <c r="FQY10" s="87"/>
      <c r="FQZ10" s="87"/>
      <c r="FRA10" s="87"/>
      <c r="FRB10" s="87"/>
      <c r="FRC10" s="87"/>
      <c r="FRD10" s="87"/>
      <c r="FRE10" s="87"/>
      <c r="FRF10" s="87"/>
      <c r="FRG10" s="87"/>
      <c r="FRH10" s="87"/>
      <c r="FRI10" s="87"/>
      <c r="FRJ10" s="87"/>
      <c r="FRK10" s="87"/>
      <c r="FRL10" s="87"/>
      <c r="FRM10" s="87"/>
      <c r="FRN10" s="87"/>
      <c r="FRO10" s="87"/>
      <c r="FRP10" s="87"/>
      <c r="FRQ10" s="87"/>
      <c r="FRR10" s="87"/>
      <c r="FRS10" s="87"/>
      <c r="FRT10" s="87"/>
      <c r="FRU10" s="87"/>
      <c r="FRV10" s="87"/>
      <c r="FRW10" s="87"/>
      <c r="FRX10" s="87"/>
      <c r="FRY10" s="87"/>
      <c r="FRZ10" s="87"/>
      <c r="FSA10" s="87"/>
      <c r="FSB10" s="87"/>
      <c r="FSC10" s="87"/>
      <c r="FSD10" s="87"/>
      <c r="FSE10" s="87"/>
      <c r="FSF10" s="87"/>
      <c r="FSG10" s="87"/>
      <c r="FSH10" s="87"/>
      <c r="FSI10" s="87"/>
      <c r="FSJ10" s="87"/>
      <c r="FSK10" s="87"/>
      <c r="FSL10" s="87"/>
      <c r="FSM10" s="87"/>
      <c r="FSN10" s="87"/>
      <c r="FSO10" s="87"/>
      <c r="FSP10" s="87"/>
      <c r="FSQ10" s="87"/>
      <c r="FSR10" s="87"/>
      <c r="FSS10" s="87"/>
      <c r="FST10" s="87"/>
      <c r="FSU10" s="87"/>
      <c r="FSV10" s="87"/>
      <c r="FSW10" s="87"/>
      <c r="FSX10" s="87"/>
      <c r="FSY10" s="87"/>
      <c r="FSZ10" s="87"/>
      <c r="FTA10" s="87"/>
      <c r="FTB10" s="87"/>
      <c r="FTC10" s="87"/>
      <c r="FTD10" s="87"/>
      <c r="FTE10" s="87"/>
      <c r="FTF10" s="87"/>
      <c r="FTG10" s="87"/>
      <c r="FTH10" s="87"/>
      <c r="FTI10" s="87"/>
      <c r="FTJ10" s="87"/>
      <c r="FTK10" s="87"/>
      <c r="FTL10" s="87"/>
      <c r="FTM10" s="87"/>
      <c r="FTN10" s="87"/>
      <c r="FTO10" s="87"/>
      <c r="FTP10" s="87"/>
      <c r="FTQ10" s="87"/>
      <c r="FTR10" s="87"/>
      <c r="FTS10" s="87"/>
      <c r="FTT10" s="87"/>
      <c r="FTU10" s="87"/>
      <c r="FTV10" s="87"/>
      <c r="FTW10" s="87"/>
      <c r="FTX10" s="87"/>
      <c r="FTY10" s="87"/>
      <c r="FTZ10" s="87"/>
      <c r="FUA10" s="87"/>
      <c r="FUB10" s="87"/>
      <c r="FUC10" s="87"/>
      <c r="FUD10" s="87"/>
      <c r="FUE10" s="87"/>
      <c r="FUF10" s="87"/>
      <c r="FUG10" s="87"/>
      <c r="FUH10" s="87"/>
      <c r="FUI10" s="87"/>
      <c r="FUJ10" s="87"/>
      <c r="FUK10" s="87"/>
      <c r="FUL10" s="87"/>
      <c r="FUM10" s="87"/>
      <c r="FUN10" s="87"/>
      <c r="FUO10" s="87"/>
      <c r="FUP10" s="87"/>
      <c r="FUQ10" s="87"/>
      <c r="FUR10" s="87"/>
      <c r="FUS10" s="87"/>
      <c r="FUT10" s="87"/>
      <c r="FUU10" s="87"/>
      <c r="FUV10" s="87"/>
      <c r="FUW10" s="87"/>
      <c r="FUX10" s="87"/>
      <c r="FUY10" s="87"/>
      <c r="FUZ10" s="87"/>
      <c r="FVA10" s="87"/>
      <c r="FVB10" s="87"/>
      <c r="FVC10" s="87"/>
      <c r="FVD10" s="87"/>
      <c r="FVE10" s="87"/>
      <c r="FVF10" s="87"/>
      <c r="FVG10" s="87"/>
      <c r="FVH10" s="87"/>
      <c r="FVI10" s="87"/>
      <c r="FVJ10" s="87"/>
      <c r="FVK10" s="87"/>
      <c r="FVL10" s="87"/>
      <c r="FVM10" s="87"/>
      <c r="FVN10" s="87"/>
      <c r="FVO10" s="87"/>
      <c r="FVP10" s="87"/>
      <c r="FVQ10" s="87"/>
      <c r="FVR10" s="87"/>
      <c r="FVS10" s="87"/>
      <c r="FVT10" s="87"/>
      <c r="FVU10" s="87"/>
      <c r="FVV10" s="87"/>
      <c r="FVW10" s="87"/>
      <c r="FVX10" s="87"/>
      <c r="FVY10" s="87"/>
      <c r="FVZ10" s="87"/>
      <c r="FWA10" s="87"/>
      <c r="FWB10" s="87"/>
      <c r="FWC10" s="87"/>
      <c r="FWD10" s="87"/>
      <c r="FWE10" s="87"/>
      <c r="FWF10" s="87"/>
      <c r="FWG10" s="87"/>
      <c r="FWH10" s="87"/>
      <c r="FWI10" s="87"/>
      <c r="FWJ10" s="87"/>
      <c r="FWK10" s="87"/>
      <c r="FWL10" s="87"/>
      <c r="FWM10" s="87"/>
      <c r="FWN10" s="87"/>
      <c r="FWO10" s="87"/>
      <c r="FWP10" s="87"/>
      <c r="FWQ10" s="87"/>
      <c r="FWR10" s="87"/>
      <c r="FWS10" s="87"/>
      <c r="FWT10" s="87"/>
      <c r="FWU10" s="87"/>
      <c r="FWV10" s="87"/>
      <c r="FWW10" s="87"/>
      <c r="FWX10" s="87"/>
      <c r="FWY10" s="87"/>
      <c r="FWZ10" s="87"/>
      <c r="FXA10" s="87"/>
      <c r="FXB10" s="87"/>
      <c r="FXC10" s="87"/>
      <c r="FXD10" s="87"/>
      <c r="FXE10" s="87"/>
      <c r="FXF10" s="87"/>
      <c r="FXG10" s="87"/>
      <c r="FXH10" s="87"/>
      <c r="FXI10" s="87"/>
      <c r="FXJ10" s="87"/>
      <c r="FXK10" s="87"/>
      <c r="FXL10" s="87"/>
      <c r="FXM10" s="87"/>
      <c r="FXN10" s="87"/>
      <c r="FXO10" s="87"/>
      <c r="FXP10" s="87"/>
      <c r="FXQ10" s="87"/>
      <c r="FXR10" s="87"/>
      <c r="FXS10" s="87"/>
      <c r="FXT10" s="87"/>
      <c r="FXU10" s="87"/>
      <c r="FXV10" s="87"/>
      <c r="FXW10" s="87"/>
      <c r="FXX10" s="87"/>
      <c r="FXY10" s="87"/>
      <c r="FXZ10" s="87"/>
      <c r="FYA10" s="87"/>
      <c r="FYB10" s="87"/>
      <c r="FYC10" s="87"/>
      <c r="FYD10" s="87"/>
      <c r="FYE10" s="87"/>
      <c r="FYF10" s="87"/>
      <c r="FYG10" s="87"/>
      <c r="FYH10" s="87"/>
      <c r="FYI10" s="87"/>
      <c r="FYJ10" s="87"/>
      <c r="FYK10" s="87"/>
      <c r="FYL10" s="87"/>
      <c r="FYM10" s="87"/>
      <c r="FYN10" s="87"/>
      <c r="FYO10" s="87"/>
      <c r="FYP10" s="87"/>
      <c r="FYQ10" s="87"/>
      <c r="FYR10" s="87"/>
      <c r="FYS10" s="87"/>
      <c r="FYT10" s="87"/>
      <c r="FYU10" s="87"/>
      <c r="FYV10" s="87"/>
      <c r="FYW10" s="87"/>
      <c r="FYX10" s="87"/>
      <c r="FYY10" s="87"/>
      <c r="FYZ10" s="87"/>
      <c r="FZA10" s="87"/>
      <c r="FZB10" s="87"/>
      <c r="FZC10" s="87"/>
      <c r="FZD10" s="87"/>
      <c r="FZE10" s="87"/>
      <c r="FZF10" s="87"/>
      <c r="FZG10" s="87"/>
      <c r="FZH10" s="87"/>
      <c r="FZI10" s="87"/>
      <c r="FZJ10" s="87"/>
      <c r="FZK10" s="87"/>
      <c r="FZL10" s="87"/>
      <c r="FZM10" s="87"/>
      <c r="FZN10" s="87"/>
      <c r="FZO10" s="87"/>
      <c r="FZP10" s="87"/>
      <c r="FZQ10" s="87"/>
      <c r="FZR10" s="87"/>
      <c r="FZS10" s="87"/>
      <c r="FZT10" s="87"/>
      <c r="FZU10" s="87"/>
      <c r="FZV10" s="87"/>
      <c r="FZW10" s="87"/>
      <c r="FZX10" s="87"/>
      <c r="FZY10" s="87"/>
      <c r="FZZ10" s="87"/>
      <c r="GAA10" s="87"/>
      <c r="GAB10" s="87"/>
      <c r="GAC10" s="87"/>
      <c r="GAD10" s="87"/>
      <c r="GAE10" s="87"/>
      <c r="GAF10" s="87"/>
      <c r="GAG10" s="87"/>
      <c r="GAH10" s="87"/>
      <c r="GAI10" s="87"/>
      <c r="GAJ10" s="87"/>
      <c r="GAK10" s="87"/>
      <c r="GAL10" s="87"/>
      <c r="GAM10" s="87"/>
      <c r="GAN10" s="87"/>
      <c r="GAO10" s="87"/>
      <c r="GAP10" s="87"/>
      <c r="GAQ10" s="87"/>
      <c r="GAR10" s="87"/>
      <c r="GAS10" s="87"/>
      <c r="GAT10" s="87"/>
      <c r="GAU10" s="87"/>
      <c r="GAV10" s="87"/>
      <c r="GAW10" s="87"/>
      <c r="GAX10" s="87"/>
      <c r="GAY10" s="87"/>
      <c r="GAZ10" s="87"/>
      <c r="GBA10" s="87"/>
      <c r="GBB10" s="87"/>
      <c r="GBC10" s="87"/>
      <c r="GBD10" s="87"/>
      <c r="GBE10" s="87"/>
      <c r="GBF10" s="87"/>
      <c r="GBG10" s="87"/>
      <c r="GBH10" s="87"/>
      <c r="GBI10" s="87"/>
      <c r="GBJ10" s="87"/>
      <c r="GBK10" s="87"/>
      <c r="GBL10" s="87"/>
      <c r="GBM10" s="87"/>
      <c r="GBN10" s="87"/>
      <c r="GBO10" s="87"/>
      <c r="GBP10" s="87"/>
      <c r="GBQ10" s="87"/>
      <c r="GBR10" s="87"/>
      <c r="GBS10" s="87"/>
      <c r="GBT10" s="87"/>
      <c r="GBU10" s="87"/>
      <c r="GBV10" s="87"/>
      <c r="GBW10" s="87"/>
      <c r="GBX10" s="87"/>
      <c r="GBY10" s="87"/>
      <c r="GBZ10" s="87"/>
      <c r="GCA10" s="87"/>
      <c r="GCB10" s="87"/>
      <c r="GCC10" s="87"/>
      <c r="GCD10" s="87"/>
      <c r="GCE10" s="87"/>
      <c r="GCF10" s="87"/>
      <c r="GCG10" s="87"/>
      <c r="GCH10" s="87"/>
      <c r="GCI10" s="87"/>
      <c r="GCJ10" s="87"/>
      <c r="GCK10" s="87"/>
      <c r="GCL10" s="87"/>
      <c r="GCM10" s="87"/>
      <c r="GCN10" s="87"/>
      <c r="GCO10" s="87"/>
      <c r="GCP10" s="87"/>
      <c r="GCQ10" s="87"/>
      <c r="GCR10" s="87"/>
      <c r="GCS10" s="87"/>
      <c r="GCT10" s="87"/>
      <c r="GCU10" s="87"/>
      <c r="GCV10" s="87"/>
      <c r="GCW10" s="87"/>
      <c r="GCX10" s="87"/>
      <c r="GCY10" s="87"/>
      <c r="GCZ10" s="87"/>
      <c r="GDA10" s="87"/>
      <c r="GDB10" s="87"/>
      <c r="GDC10" s="87"/>
      <c r="GDD10" s="87"/>
      <c r="GDE10" s="87"/>
      <c r="GDF10" s="87"/>
      <c r="GDG10" s="87"/>
      <c r="GDH10" s="87"/>
      <c r="GDI10" s="87"/>
      <c r="GDJ10" s="87"/>
      <c r="GDK10" s="87"/>
      <c r="GDL10" s="87"/>
      <c r="GDM10" s="87"/>
      <c r="GDN10" s="87"/>
      <c r="GDO10" s="87"/>
      <c r="GDP10" s="87"/>
      <c r="GDQ10" s="87"/>
      <c r="GDR10" s="87"/>
      <c r="GDS10" s="87"/>
      <c r="GDT10" s="87"/>
      <c r="GDU10" s="87"/>
      <c r="GDV10" s="87"/>
      <c r="GDW10" s="87"/>
      <c r="GDX10" s="87"/>
      <c r="GDY10" s="87"/>
      <c r="GDZ10" s="87"/>
      <c r="GEA10" s="87"/>
      <c r="GEB10" s="87"/>
      <c r="GEC10" s="87"/>
      <c r="GED10" s="87"/>
      <c r="GEE10" s="87"/>
      <c r="GEF10" s="87"/>
      <c r="GEG10" s="87"/>
      <c r="GEH10" s="87"/>
      <c r="GEI10" s="87"/>
      <c r="GEJ10" s="87"/>
      <c r="GEK10" s="87"/>
      <c r="GEL10" s="87"/>
      <c r="GEM10" s="87"/>
      <c r="GEN10" s="87"/>
      <c r="GEO10" s="87"/>
      <c r="GEP10" s="87"/>
      <c r="GEQ10" s="87"/>
      <c r="GER10" s="87"/>
      <c r="GES10" s="87"/>
      <c r="GET10" s="87"/>
      <c r="GEU10" s="87"/>
      <c r="GEV10" s="87"/>
      <c r="GEW10" s="87"/>
      <c r="GEX10" s="87"/>
      <c r="GEY10" s="87"/>
      <c r="GEZ10" s="87"/>
      <c r="GFA10" s="87"/>
      <c r="GFB10" s="87"/>
      <c r="GFC10" s="87"/>
      <c r="GFD10" s="87"/>
      <c r="GFE10" s="87"/>
      <c r="GFF10" s="87"/>
      <c r="GFG10" s="87"/>
      <c r="GFH10" s="87"/>
      <c r="GFI10" s="87"/>
      <c r="GFJ10" s="87"/>
      <c r="GFK10" s="87"/>
      <c r="GFL10" s="87"/>
      <c r="GFM10" s="87"/>
      <c r="GFN10" s="87"/>
      <c r="GFO10" s="87"/>
      <c r="GFP10" s="87"/>
      <c r="GFQ10" s="87"/>
      <c r="GFR10" s="87"/>
      <c r="GFS10" s="87"/>
      <c r="GFT10" s="87"/>
      <c r="GFU10" s="87"/>
      <c r="GFV10" s="87"/>
      <c r="GFW10" s="87"/>
      <c r="GFX10" s="87"/>
      <c r="GFY10" s="87"/>
      <c r="GFZ10" s="87"/>
      <c r="GGA10" s="87"/>
      <c r="GGB10" s="87"/>
      <c r="GGC10" s="87"/>
      <c r="GGD10" s="87"/>
      <c r="GGE10" s="87"/>
      <c r="GGF10" s="87"/>
      <c r="GGG10" s="87"/>
      <c r="GGH10" s="87"/>
      <c r="GGI10" s="87"/>
      <c r="GGJ10" s="87"/>
      <c r="GGK10" s="87"/>
      <c r="GGL10" s="87"/>
      <c r="GGM10" s="87"/>
      <c r="GGN10" s="87"/>
      <c r="GGO10" s="87"/>
      <c r="GGP10" s="87"/>
      <c r="GGQ10" s="87"/>
      <c r="GGR10" s="87"/>
      <c r="GGS10" s="87"/>
      <c r="GGT10" s="87"/>
      <c r="GGU10" s="87"/>
      <c r="GGV10" s="87"/>
      <c r="GGW10" s="87"/>
      <c r="GGX10" s="87"/>
      <c r="GGY10" s="87"/>
      <c r="GGZ10" s="87"/>
      <c r="GHA10" s="87"/>
      <c r="GHB10" s="87"/>
      <c r="GHC10" s="87"/>
      <c r="GHD10" s="87"/>
      <c r="GHE10" s="87"/>
      <c r="GHF10" s="87"/>
      <c r="GHG10" s="87"/>
      <c r="GHH10" s="87"/>
      <c r="GHI10" s="87"/>
      <c r="GHJ10" s="87"/>
      <c r="GHK10" s="87"/>
      <c r="GHL10" s="87"/>
      <c r="GHM10" s="87"/>
      <c r="GHN10" s="87"/>
      <c r="GHO10" s="87"/>
      <c r="GHP10" s="87"/>
      <c r="GHQ10" s="87"/>
      <c r="GHR10" s="87"/>
      <c r="GHS10" s="87"/>
      <c r="GHT10" s="87"/>
      <c r="GHU10" s="87"/>
      <c r="GHV10" s="87"/>
      <c r="GHW10" s="87"/>
      <c r="GHX10" s="87"/>
      <c r="GHY10" s="87"/>
      <c r="GHZ10" s="87"/>
      <c r="GIA10" s="87"/>
      <c r="GIB10" s="87"/>
      <c r="GIC10" s="87"/>
      <c r="GID10" s="87"/>
      <c r="GIE10" s="87"/>
      <c r="GIF10" s="87"/>
      <c r="GIG10" s="87"/>
      <c r="GIH10" s="87"/>
      <c r="GII10" s="87"/>
      <c r="GIJ10" s="87"/>
      <c r="GIK10" s="87"/>
      <c r="GIL10" s="87"/>
      <c r="GIM10" s="87"/>
      <c r="GIN10" s="87"/>
      <c r="GIO10" s="87"/>
      <c r="GIP10" s="87"/>
      <c r="GIQ10" s="87"/>
      <c r="GIR10" s="87"/>
      <c r="GIS10" s="87"/>
      <c r="GIT10" s="87"/>
      <c r="GIU10" s="87"/>
      <c r="GIV10" s="87"/>
      <c r="GIW10" s="87"/>
      <c r="GIX10" s="87"/>
      <c r="GIY10" s="87"/>
      <c r="GIZ10" s="87"/>
      <c r="GJA10" s="87"/>
      <c r="GJB10" s="87"/>
      <c r="GJC10" s="87"/>
      <c r="GJD10" s="87"/>
      <c r="GJE10" s="87"/>
      <c r="GJF10" s="87"/>
      <c r="GJG10" s="87"/>
      <c r="GJH10" s="87"/>
      <c r="GJI10" s="87"/>
      <c r="GJJ10" s="87"/>
      <c r="GJK10" s="87"/>
      <c r="GJL10" s="87"/>
      <c r="GJM10" s="87"/>
      <c r="GJN10" s="87"/>
      <c r="GJO10" s="87"/>
      <c r="GJP10" s="87"/>
      <c r="GJQ10" s="87"/>
      <c r="GJR10" s="87"/>
      <c r="GJS10" s="87"/>
      <c r="GJT10" s="87"/>
      <c r="GJU10" s="87"/>
      <c r="GJV10" s="87"/>
      <c r="GJW10" s="87"/>
      <c r="GJX10" s="87"/>
      <c r="GJY10" s="87"/>
      <c r="GJZ10" s="87"/>
      <c r="GKA10" s="87"/>
      <c r="GKB10" s="87"/>
      <c r="GKC10" s="87"/>
      <c r="GKD10" s="87"/>
      <c r="GKE10" s="87"/>
      <c r="GKF10" s="87"/>
      <c r="GKG10" s="87"/>
      <c r="GKH10" s="87"/>
      <c r="GKI10" s="87"/>
      <c r="GKJ10" s="87"/>
      <c r="GKK10" s="87"/>
      <c r="GKL10" s="87"/>
      <c r="GKM10" s="87"/>
      <c r="GKN10" s="87"/>
      <c r="GKO10" s="87"/>
      <c r="GKP10" s="87"/>
      <c r="GKQ10" s="87"/>
      <c r="GKR10" s="87"/>
      <c r="GKS10" s="87"/>
      <c r="GKT10" s="87"/>
      <c r="GKU10" s="87"/>
      <c r="GKV10" s="87"/>
      <c r="GKW10" s="87"/>
      <c r="GKX10" s="87"/>
      <c r="GKY10" s="87"/>
      <c r="GKZ10" s="87"/>
      <c r="GLA10" s="87"/>
      <c r="GLB10" s="87"/>
      <c r="GLC10" s="87"/>
      <c r="GLD10" s="87"/>
      <c r="GLE10" s="87"/>
      <c r="GLF10" s="87"/>
      <c r="GLG10" s="87"/>
      <c r="GLH10" s="87"/>
      <c r="GLI10" s="87"/>
      <c r="GLJ10" s="87"/>
      <c r="GLK10" s="87"/>
      <c r="GLL10" s="87"/>
      <c r="GLM10" s="87"/>
      <c r="GLN10" s="87"/>
      <c r="GLO10" s="87"/>
      <c r="GLP10" s="87"/>
      <c r="GLQ10" s="87"/>
      <c r="GLR10" s="87"/>
      <c r="GLS10" s="87"/>
      <c r="GLT10" s="87"/>
      <c r="GLU10" s="87"/>
      <c r="GLV10" s="87"/>
      <c r="GLW10" s="87"/>
      <c r="GLX10" s="87"/>
      <c r="GLY10" s="87"/>
      <c r="GLZ10" s="87"/>
      <c r="GMA10" s="87"/>
      <c r="GMB10" s="87"/>
      <c r="GMC10" s="87"/>
      <c r="GMD10" s="87"/>
      <c r="GME10" s="87"/>
      <c r="GMF10" s="87"/>
      <c r="GMG10" s="87"/>
      <c r="GMH10" s="87"/>
      <c r="GMI10" s="87"/>
      <c r="GMJ10" s="87"/>
      <c r="GMK10" s="87"/>
      <c r="GML10" s="87"/>
      <c r="GMM10" s="87"/>
      <c r="GMN10" s="87"/>
      <c r="GMO10" s="87"/>
      <c r="GMP10" s="87"/>
      <c r="GMQ10" s="87"/>
      <c r="GMR10" s="87"/>
      <c r="GMS10" s="87"/>
      <c r="GMT10" s="87"/>
      <c r="GMU10" s="87"/>
      <c r="GMV10" s="87"/>
      <c r="GMW10" s="87"/>
      <c r="GMX10" s="87"/>
      <c r="GMY10" s="87"/>
      <c r="GMZ10" s="87"/>
      <c r="GNA10" s="87"/>
      <c r="GNB10" s="87"/>
      <c r="GNC10" s="87"/>
      <c r="GND10" s="87"/>
      <c r="GNE10" s="87"/>
      <c r="GNF10" s="87"/>
      <c r="GNG10" s="87"/>
      <c r="GNH10" s="87"/>
      <c r="GNI10" s="87"/>
      <c r="GNJ10" s="87"/>
      <c r="GNK10" s="87"/>
      <c r="GNL10" s="87"/>
      <c r="GNM10" s="87"/>
      <c r="GNN10" s="87"/>
      <c r="GNO10" s="87"/>
      <c r="GNP10" s="87"/>
      <c r="GNQ10" s="87"/>
      <c r="GNR10" s="87"/>
      <c r="GNS10" s="87"/>
      <c r="GNT10" s="87"/>
      <c r="GNU10" s="87"/>
      <c r="GNV10" s="87"/>
      <c r="GNW10" s="87"/>
      <c r="GNX10" s="87"/>
      <c r="GNY10" s="87"/>
      <c r="GNZ10" s="87"/>
      <c r="GOA10" s="87"/>
      <c r="GOB10" s="87"/>
      <c r="GOC10" s="87"/>
      <c r="GOD10" s="87"/>
      <c r="GOE10" s="87"/>
      <c r="GOF10" s="87"/>
      <c r="GOG10" s="87"/>
      <c r="GOH10" s="87"/>
      <c r="GOI10" s="87"/>
      <c r="GOJ10" s="87"/>
      <c r="GOK10" s="87"/>
      <c r="GOL10" s="87"/>
      <c r="GOM10" s="87"/>
      <c r="GON10" s="87"/>
      <c r="GOO10" s="87"/>
      <c r="GOP10" s="87"/>
      <c r="GOQ10" s="87"/>
      <c r="GOR10" s="87"/>
      <c r="GOS10" s="87"/>
      <c r="GOT10" s="87"/>
      <c r="GOU10" s="87"/>
      <c r="GOV10" s="87"/>
      <c r="GOW10" s="87"/>
      <c r="GOX10" s="87"/>
      <c r="GOY10" s="87"/>
      <c r="GOZ10" s="87"/>
      <c r="GPA10" s="87"/>
      <c r="GPB10" s="87"/>
      <c r="GPC10" s="87"/>
      <c r="GPD10" s="87"/>
      <c r="GPE10" s="87"/>
      <c r="GPF10" s="87"/>
      <c r="GPG10" s="87"/>
      <c r="GPH10" s="87"/>
      <c r="GPI10" s="87"/>
      <c r="GPJ10" s="87"/>
      <c r="GPK10" s="87"/>
      <c r="GPL10" s="87"/>
      <c r="GPM10" s="87"/>
      <c r="GPN10" s="87"/>
      <c r="GPO10" s="87"/>
      <c r="GPP10" s="87"/>
      <c r="GPQ10" s="87"/>
      <c r="GPR10" s="87"/>
      <c r="GPS10" s="87"/>
      <c r="GPT10" s="87"/>
      <c r="GPU10" s="87"/>
      <c r="GPV10" s="87"/>
      <c r="GPW10" s="87"/>
      <c r="GPX10" s="87"/>
      <c r="GPY10" s="87"/>
      <c r="GPZ10" s="87"/>
      <c r="GQA10" s="87"/>
      <c r="GQB10" s="87"/>
      <c r="GQC10" s="87"/>
      <c r="GQD10" s="87"/>
      <c r="GQE10" s="87"/>
      <c r="GQF10" s="87"/>
      <c r="GQG10" s="87"/>
      <c r="GQH10" s="87"/>
      <c r="GQI10" s="87"/>
      <c r="GQJ10" s="87"/>
      <c r="GQK10" s="87"/>
      <c r="GQL10" s="87"/>
      <c r="GQM10" s="87"/>
      <c r="GQN10" s="87"/>
      <c r="GQO10" s="87"/>
      <c r="GQP10" s="87"/>
      <c r="GQQ10" s="87"/>
      <c r="GQR10" s="87"/>
      <c r="GQS10" s="87"/>
      <c r="GQT10" s="87"/>
      <c r="GQU10" s="87"/>
      <c r="GQV10" s="87"/>
      <c r="GQW10" s="87"/>
      <c r="GQX10" s="87"/>
      <c r="GQY10" s="87"/>
      <c r="GQZ10" s="87"/>
      <c r="GRA10" s="87"/>
      <c r="GRB10" s="87"/>
      <c r="GRC10" s="87"/>
      <c r="GRD10" s="87"/>
      <c r="GRE10" s="87"/>
      <c r="GRF10" s="87"/>
      <c r="GRG10" s="87"/>
      <c r="GRH10" s="87"/>
      <c r="GRI10" s="87"/>
      <c r="GRJ10" s="87"/>
      <c r="GRK10" s="87"/>
      <c r="GRL10" s="87"/>
      <c r="GRM10" s="87"/>
      <c r="GRN10" s="87"/>
      <c r="GRO10" s="87"/>
      <c r="GRP10" s="87"/>
      <c r="GRQ10" s="87"/>
      <c r="GRR10" s="87"/>
      <c r="GRS10" s="87"/>
      <c r="GRT10" s="87"/>
      <c r="GRU10" s="87"/>
      <c r="GRV10" s="87"/>
      <c r="GRW10" s="87"/>
      <c r="GRX10" s="87"/>
      <c r="GRY10" s="87"/>
      <c r="GRZ10" s="87"/>
      <c r="GSA10" s="87"/>
      <c r="GSB10" s="87"/>
      <c r="GSC10" s="87"/>
      <c r="GSD10" s="87"/>
      <c r="GSE10" s="87"/>
      <c r="GSF10" s="87"/>
      <c r="GSG10" s="87"/>
      <c r="GSH10" s="87"/>
      <c r="GSI10" s="87"/>
      <c r="GSJ10" s="87"/>
      <c r="GSK10" s="87"/>
      <c r="GSL10" s="87"/>
      <c r="GSM10" s="87"/>
      <c r="GSN10" s="87"/>
      <c r="GSO10" s="87"/>
      <c r="GSP10" s="87"/>
      <c r="GSQ10" s="87"/>
      <c r="GSR10" s="87"/>
      <c r="GSS10" s="87"/>
      <c r="GST10" s="87"/>
      <c r="GSU10" s="87"/>
      <c r="GSV10" s="87"/>
      <c r="GSW10" s="87"/>
      <c r="GSX10" s="87"/>
      <c r="GSY10" s="87"/>
      <c r="GSZ10" s="87"/>
      <c r="GTA10" s="87"/>
      <c r="GTB10" s="87"/>
      <c r="GTC10" s="87"/>
      <c r="GTD10" s="87"/>
      <c r="GTE10" s="87"/>
      <c r="GTF10" s="87"/>
      <c r="GTG10" s="87"/>
      <c r="GTH10" s="87"/>
      <c r="GTI10" s="87"/>
      <c r="GTJ10" s="87"/>
      <c r="GTK10" s="87"/>
      <c r="GTL10" s="87"/>
      <c r="GTM10" s="87"/>
      <c r="GTN10" s="87"/>
      <c r="GTO10" s="87"/>
      <c r="GTP10" s="87"/>
      <c r="GTQ10" s="87"/>
      <c r="GTR10" s="87"/>
      <c r="GTS10" s="87"/>
      <c r="GTT10" s="87"/>
      <c r="GTU10" s="87"/>
      <c r="GTV10" s="87"/>
      <c r="GTW10" s="87"/>
      <c r="GTX10" s="87"/>
      <c r="GTY10" s="87"/>
      <c r="GTZ10" s="87"/>
      <c r="GUA10" s="87"/>
      <c r="GUB10" s="87"/>
      <c r="GUC10" s="87"/>
      <c r="GUD10" s="87"/>
      <c r="GUE10" s="87"/>
      <c r="GUF10" s="87"/>
      <c r="GUG10" s="87"/>
      <c r="GUH10" s="87"/>
      <c r="GUI10" s="87"/>
      <c r="GUJ10" s="87"/>
      <c r="GUK10" s="87"/>
      <c r="GUL10" s="87"/>
      <c r="GUM10" s="87"/>
      <c r="GUN10" s="87"/>
      <c r="GUO10" s="87"/>
      <c r="GUP10" s="87"/>
      <c r="GUQ10" s="87"/>
      <c r="GUR10" s="87"/>
      <c r="GUS10" s="87"/>
      <c r="GUT10" s="87"/>
      <c r="GUU10" s="87"/>
      <c r="GUV10" s="87"/>
      <c r="GUW10" s="87"/>
      <c r="GUX10" s="87"/>
      <c r="GUY10" s="87"/>
      <c r="GUZ10" s="87"/>
      <c r="GVA10" s="87"/>
      <c r="GVB10" s="87"/>
      <c r="GVC10" s="87"/>
      <c r="GVD10" s="87"/>
      <c r="GVE10" s="87"/>
      <c r="GVF10" s="87"/>
      <c r="GVG10" s="87"/>
      <c r="GVH10" s="87"/>
      <c r="GVI10" s="87"/>
      <c r="GVJ10" s="87"/>
      <c r="GVK10" s="87"/>
      <c r="GVL10" s="87"/>
      <c r="GVM10" s="87"/>
      <c r="GVN10" s="87"/>
      <c r="GVO10" s="87"/>
      <c r="GVP10" s="87"/>
      <c r="GVQ10" s="87"/>
      <c r="GVR10" s="87"/>
      <c r="GVS10" s="87"/>
      <c r="GVT10" s="87"/>
      <c r="GVU10" s="87"/>
      <c r="GVV10" s="87"/>
      <c r="GVW10" s="87"/>
      <c r="GVX10" s="87"/>
      <c r="GVY10" s="87"/>
      <c r="GVZ10" s="87"/>
      <c r="GWA10" s="87"/>
      <c r="GWB10" s="87"/>
      <c r="GWC10" s="87"/>
      <c r="GWD10" s="87"/>
      <c r="GWE10" s="87"/>
      <c r="GWF10" s="87"/>
      <c r="GWG10" s="87"/>
      <c r="GWH10" s="87"/>
      <c r="GWI10" s="87"/>
      <c r="GWJ10" s="87"/>
      <c r="GWK10" s="87"/>
      <c r="GWL10" s="87"/>
      <c r="GWM10" s="87"/>
      <c r="GWN10" s="87"/>
      <c r="GWO10" s="87"/>
      <c r="GWP10" s="87"/>
      <c r="GWQ10" s="87"/>
      <c r="GWR10" s="87"/>
      <c r="GWS10" s="87"/>
      <c r="GWT10" s="87"/>
      <c r="GWU10" s="87"/>
      <c r="GWV10" s="87"/>
      <c r="GWW10" s="87"/>
      <c r="GWX10" s="87"/>
      <c r="GWY10" s="87"/>
      <c r="GWZ10" s="87"/>
      <c r="GXA10" s="87"/>
      <c r="GXB10" s="87"/>
      <c r="GXC10" s="87"/>
      <c r="GXD10" s="87"/>
      <c r="GXE10" s="87"/>
      <c r="GXF10" s="87"/>
      <c r="GXG10" s="87"/>
      <c r="GXH10" s="87"/>
      <c r="GXI10" s="87"/>
      <c r="GXJ10" s="87"/>
      <c r="GXK10" s="87"/>
      <c r="GXL10" s="87"/>
      <c r="GXM10" s="87"/>
      <c r="GXN10" s="87"/>
      <c r="GXO10" s="87"/>
      <c r="GXP10" s="87"/>
      <c r="GXQ10" s="87"/>
      <c r="GXR10" s="87"/>
      <c r="GXS10" s="87"/>
      <c r="GXT10" s="87"/>
      <c r="GXU10" s="87"/>
      <c r="GXV10" s="87"/>
      <c r="GXW10" s="87"/>
      <c r="GXX10" s="87"/>
      <c r="GXY10" s="87"/>
      <c r="GXZ10" s="87"/>
      <c r="GYA10" s="87"/>
      <c r="GYB10" s="87"/>
      <c r="GYC10" s="87"/>
      <c r="GYD10" s="87"/>
      <c r="GYE10" s="87"/>
      <c r="GYF10" s="87"/>
      <c r="GYG10" s="87"/>
      <c r="GYH10" s="87"/>
      <c r="GYI10" s="87"/>
      <c r="GYJ10" s="87"/>
      <c r="GYK10" s="87"/>
      <c r="GYL10" s="87"/>
      <c r="GYM10" s="87"/>
      <c r="GYN10" s="87"/>
      <c r="GYO10" s="87"/>
      <c r="GYP10" s="87"/>
      <c r="GYQ10" s="87"/>
      <c r="GYR10" s="87"/>
      <c r="GYS10" s="87"/>
      <c r="GYT10" s="87"/>
      <c r="GYU10" s="87"/>
      <c r="GYV10" s="87"/>
      <c r="GYW10" s="87"/>
      <c r="GYX10" s="87"/>
      <c r="GYY10" s="87"/>
      <c r="GYZ10" s="87"/>
      <c r="GZA10" s="87"/>
      <c r="GZB10" s="87"/>
      <c r="GZC10" s="87"/>
      <c r="GZD10" s="87"/>
      <c r="GZE10" s="87"/>
      <c r="GZF10" s="87"/>
      <c r="GZG10" s="87"/>
      <c r="GZH10" s="87"/>
      <c r="GZI10" s="87"/>
      <c r="GZJ10" s="87"/>
      <c r="GZK10" s="87"/>
      <c r="GZL10" s="87"/>
      <c r="GZM10" s="87"/>
      <c r="GZN10" s="87"/>
      <c r="GZO10" s="87"/>
      <c r="GZP10" s="87"/>
      <c r="GZQ10" s="87"/>
      <c r="GZR10" s="87"/>
      <c r="GZS10" s="87"/>
      <c r="GZT10" s="87"/>
      <c r="GZU10" s="87"/>
      <c r="GZV10" s="87"/>
      <c r="GZW10" s="87"/>
      <c r="GZX10" s="87"/>
      <c r="GZY10" s="87"/>
      <c r="GZZ10" s="87"/>
      <c r="HAA10" s="87"/>
      <c r="HAB10" s="87"/>
      <c r="HAC10" s="87"/>
      <c r="HAD10" s="87"/>
      <c r="HAE10" s="87"/>
      <c r="HAF10" s="87"/>
      <c r="HAG10" s="87"/>
      <c r="HAH10" s="87"/>
      <c r="HAI10" s="87"/>
      <c r="HAJ10" s="87"/>
      <c r="HAK10" s="87"/>
      <c r="HAL10" s="87"/>
      <c r="HAM10" s="87"/>
      <c r="HAN10" s="87"/>
      <c r="HAO10" s="87"/>
      <c r="HAP10" s="87"/>
      <c r="HAQ10" s="87"/>
      <c r="HAR10" s="87"/>
      <c r="HAS10" s="87"/>
      <c r="HAT10" s="87"/>
      <c r="HAU10" s="87"/>
      <c r="HAV10" s="87"/>
      <c r="HAW10" s="87"/>
      <c r="HAX10" s="87"/>
      <c r="HAY10" s="87"/>
      <c r="HAZ10" s="87"/>
      <c r="HBA10" s="87"/>
      <c r="HBB10" s="87"/>
      <c r="HBC10" s="87"/>
      <c r="HBD10" s="87"/>
      <c r="HBE10" s="87"/>
      <c r="HBF10" s="87"/>
      <c r="HBG10" s="87"/>
      <c r="HBH10" s="87"/>
      <c r="HBI10" s="87"/>
      <c r="HBJ10" s="87"/>
      <c r="HBK10" s="87"/>
      <c r="HBL10" s="87"/>
      <c r="HBM10" s="87"/>
      <c r="HBN10" s="87"/>
      <c r="HBO10" s="87"/>
      <c r="HBP10" s="87"/>
      <c r="HBQ10" s="87"/>
      <c r="HBR10" s="87"/>
      <c r="HBS10" s="87"/>
      <c r="HBT10" s="87"/>
      <c r="HBU10" s="87"/>
      <c r="HBV10" s="87"/>
      <c r="HBW10" s="87"/>
      <c r="HBX10" s="87"/>
      <c r="HBY10" s="87"/>
      <c r="HBZ10" s="87"/>
      <c r="HCA10" s="87"/>
      <c r="HCB10" s="87"/>
      <c r="HCC10" s="87"/>
      <c r="HCD10" s="87"/>
      <c r="HCE10" s="87"/>
      <c r="HCF10" s="87"/>
      <c r="HCG10" s="87"/>
      <c r="HCH10" s="87"/>
      <c r="HCI10" s="87"/>
      <c r="HCJ10" s="87"/>
      <c r="HCK10" s="87"/>
      <c r="HCL10" s="87"/>
      <c r="HCM10" s="87"/>
      <c r="HCN10" s="87"/>
      <c r="HCO10" s="87"/>
      <c r="HCP10" s="87"/>
      <c r="HCQ10" s="87"/>
      <c r="HCR10" s="87"/>
      <c r="HCS10" s="87"/>
      <c r="HCT10" s="87"/>
      <c r="HCU10" s="87"/>
      <c r="HCV10" s="87"/>
      <c r="HCW10" s="87"/>
      <c r="HCX10" s="87"/>
      <c r="HCY10" s="87"/>
      <c r="HCZ10" s="87"/>
      <c r="HDA10" s="87"/>
      <c r="HDB10" s="87"/>
      <c r="HDC10" s="87"/>
      <c r="HDD10" s="87"/>
      <c r="HDE10" s="87"/>
      <c r="HDF10" s="87"/>
      <c r="HDG10" s="87"/>
      <c r="HDH10" s="87"/>
      <c r="HDI10" s="87"/>
      <c r="HDJ10" s="87"/>
      <c r="HDK10" s="87"/>
      <c r="HDL10" s="87"/>
      <c r="HDM10" s="87"/>
      <c r="HDN10" s="87"/>
      <c r="HDO10" s="87"/>
      <c r="HDP10" s="87"/>
      <c r="HDQ10" s="87"/>
      <c r="HDR10" s="87"/>
      <c r="HDS10" s="87"/>
      <c r="HDT10" s="87"/>
      <c r="HDU10" s="87"/>
      <c r="HDV10" s="87"/>
      <c r="HDW10" s="87"/>
      <c r="HDX10" s="87"/>
      <c r="HDY10" s="87"/>
      <c r="HDZ10" s="87"/>
      <c r="HEA10" s="87"/>
      <c r="HEB10" s="87"/>
      <c r="HEC10" s="87"/>
      <c r="HED10" s="87"/>
      <c r="HEE10" s="87"/>
      <c r="HEF10" s="87"/>
      <c r="HEG10" s="87"/>
      <c r="HEH10" s="87"/>
      <c r="HEI10" s="87"/>
      <c r="HEJ10" s="87"/>
      <c r="HEK10" s="87"/>
      <c r="HEL10" s="87"/>
      <c r="HEM10" s="87"/>
      <c r="HEN10" s="87"/>
      <c r="HEO10" s="87"/>
      <c r="HEP10" s="87"/>
      <c r="HEQ10" s="87"/>
      <c r="HER10" s="87"/>
      <c r="HES10" s="87"/>
      <c r="HET10" s="87"/>
      <c r="HEU10" s="87"/>
      <c r="HEV10" s="87"/>
      <c r="HEW10" s="87"/>
      <c r="HEX10" s="87"/>
      <c r="HEY10" s="87"/>
      <c r="HEZ10" s="87"/>
      <c r="HFA10" s="87"/>
      <c r="HFB10" s="87"/>
      <c r="HFC10" s="87"/>
      <c r="HFD10" s="87"/>
      <c r="HFE10" s="87"/>
      <c r="HFF10" s="87"/>
      <c r="HFG10" s="87"/>
      <c r="HFH10" s="87"/>
      <c r="HFI10" s="87"/>
      <c r="HFJ10" s="87"/>
      <c r="HFK10" s="87"/>
      <c r="HFL10" s="87"/>
      <c r="HFM10" s="87"/>
      <c r="HFN10" s="87"/>
      <c r="HFO10" s="87"/>
      <c r="HFP10" s="87"/>
      <c r="HFQ10" s="87"/>
      <c r="HFR10" s="87"/>
      <c r="HFS10" s="87"/>
      <c r="HFT10" s="87"/>
      <c r="HFU10" s="87"/>
      <c r="HFV10" s="87"/>
      <c r="HFW10" s="87"/>
      <c r="HFX10" s="87"/>
      <c r="HFY10" s="87"/>
      <c r="HFZ10" s="87"/>
      <c r="HGA10" s="87"/>
      <c r="HGB10" s="87"/>
      <c r="HGC10" s="87"/>
      <c r="HGD10" s="87"/>
      <c r="HGE10" s="87"/>
      <c r="HGF10" s="87"/>
      <c r="HGG10" s="87"/>
      <c r="HGH10" s="87"/>
      <c r="HGI10" s="87"/>
      <c r="HGJ10" s="87"/>
      <c r="HGK10" s="87"/>
      <c r="HGL10" s="87"/>
      <c r="HGM10" s="87"/>
      <c r="HGN10" s="87"/>
      <c r="HGO10" s="87"/>
      <c r="HGP10" s="87"/>
      <c r="HGQ10" s="87"/>
      <c r="HGR10" s="87"/>
      <c r="HGS10" s="87"/>
      <c r="HGT10" s="87"/>
      <c r="HGU10" s="87"/>
      <c r="HGV10" s="87"/>
      <c r="HGW10" s="87"/>
      <c r="HGX10" s="87"/>
      <c r="HGY10" s="87"/>
      <c r="HGZ10" s="87"/>
      <c r="HHA10" s="87"/>
      <c r="HHB10" s="87"/>
      <c r="HHC10" s="87"/>
      <c r="HHD10" s="87"/>
      <c r="HHE10" s="87"/>
      <c r="HHF10" s="87"/>
      <c r="HHG10" s="87"/>
      <c r="HHH10" s="87"/>
      <c r="HHI10" s="87"/>
      <c r="HHJ10" s="87"/>
      <c r="HHK10" s="87"/>
      <c r="HHL10" s="87"/>
      <c r="HHM10" s="87"/>
      <c r="HHN10" s="87"/>
      <c r="HHO10" s="87"/>
      <c r="HHP10" s="87"/>
      <c r="HHQ10" s="87"/>
      <c r="HHR10" s="87"/>
      <c r="HHS10" s="87"/>
      <c r="HHT10" s="87"/>
      <c r="HHU10" s="87"/>
      <c r="HHV10" s="87"/>
      <c r="HHW10" s="87"/>
      <c r="HHX10" s="87"/>
      <c r="HHY10" s="87"/>
      <c r="HHZ10" s="87"/>
      <c r="HIA10" s="87"/>
      <c r="HIB10" s="87"/>
      <c r="HIC10" s="87"/>
      <c r="HID10" s="87"/>
      <c r="HIE10" s="87"/>
      <c r="HIF10" s="87"/>
      <c r="HIG10" s="87"/>
      <c r="HIH10" s="87"/>
      <c r="HII10" s="87"/>
      <c r="HIJ10" s="87"/>
      <c r="HIK10" s="87"/>
      <c r="HIL10" s="87"/>
      <c r="HIM10" s="87"/>
      <c r="HIN10" s="87"/>
      <c r="HIO10" s="87"/>
      <c r="HIP10" s="87"/>
      <c r="HIQ10" s="87"/>
      <c r="HIR10" s="87"/>
      <c r="HIS10" s="87"/>
      <c r="HIT10" s="87"/>
      <c r="HIU10" s="87"/>
      <c r="HIV10" s="87"/>
      <c r="HIW10" s="87"/>
      <c r="HIX10" s="87"/>
      <c r="HIY10" s="87"/>
      <c r="HIZ10" s="87"/>
      <c r="HJA10" s="87"/>
      <c r="HJB10" s="87"/>
      <c r="HJC10" s="87"/>
      <c r="HJD10" s="87"/>
      <c r="HJE10" s="87"/>
      <c r="HJF10" s="87"/>
      <c r="HJG10" s="87"/>
      <c r="HJH10" s="87"/>
      <c r="HJI10" s="87"/>
      <c r="HJJ10" s="87"/>
      <c r="HJK10" s="87"/>
      <c r="HJL10" s="87"/>
      <c r="HJM10" s="87"/>
      <c r="HJN10" s="87"/>
      <c r="HJO10" s="87"/>
      <c r="HJP10" s="87"/>
      <c r="HJQ10" s="87"/>
      <c r="HJR10" s="87"/>
      <c r="HJS10" s="87"/>
      <c r="HJT10" s="87"/>
      <c r="HJU10" s="87"/>
      <c r="HJV10" s="87"/>
      <c r="HJW10" s="87"/>
      <c r="HJX10" s="87"/>
      <c r="HJY10" s="87"/>
      <c r="HJZ10" s="87"/>
      <c r="HKA10" s="87"/>
      <c r="HKB10" s="87"/>
      <c r="HKC10" s="87"/>
      <c r="HKD10" s="87"/>
      <c r="HKE10" s="87"/>
      <c r="HKF10" s="87"/>
      <c r="HKG10" s="87"/>
      <c r="HKH10" s="87"/>
      <c r="HKI10" s="87"/>
      <c r="HKJ10" s="87"/>
      <c r="HKK10" s="87"/>
      <c r="HKL10" s="87"/>
      <c r="HKM10" s="87"/>
      <c r="HKN10" s="87"/>
      <c r="HKO10" s="87"/>
      <c r="HKP10" s="87"/>
      <c r="HKQ10" s="87"/>
      <c r="HKR10" s="87"/>
      <c r="HKS10" s="87"/>
      <c r="HKT10" s="87"/>
      <c r="HKU10" s="87"/>
      <c r="HKV10" s="87"/>
      <c r="HKW10" s="87"/>
      <c r="HKX10" s="87"/>
      <c r="HKY10" s="87"/>
      <c r="HKZ10" s="87"/>
      <c r="HLA10" s="87"/>
      <c r="HLB10" s="87"/>
      <c r="HLC10" s="87"/>
      <c r="HLD10" s="87"/>
      <c r="HLE10" s="87"/>
      <c r="HLF10" s="87"/>
      <c r="HLG10" s="87"/>
      <c r="HLH10" s="87"/>
      <c r="HLI10" s="87"/>
      <c r="HLJ10" s="87"/>
      <c r="HLK10" s="87"/>
      <c r="HLL10" s="87"/>
      <c r="HLM10" s="87"/>
      <c r="HLN10" s="87"/>
      <c r="HLO10" s="87"/>
      <c r="HLP10" s="87"/>
      <c r="HLQ10" s="87"/>
      <c r="HLR10" s="87"/>
      <c r="HLS10" s="87"/>
      <c r="HLT10" s="87"/>
      <c r="HLU10" s="87"/>
      <c r="HLV10" s="87"/>
      <c r="HLW10" s="87"/>
      <c r="HLX10" s="87"/>
      <c r="HLY10" s="87"/>
      <c r="HLZ10" s="87"/>
      <c r="HMA10" s="87"/>
      <c r="HMB10" s="87"/>
      <c r="HMC10" s="87"/>
      <c r="HMD10" s="87"/>
      <c r="HME10" s="87"/>
      <c r="HMF10" s="87"/>
      <c r="HMG10" s="87"/>
      <c r="HMH10" s="87"/>
      <c r="HMI10" s="87"/>
      <c r="HMJ10" s="87"/>
      <c r="HMK10" s="87"/>
      <c r="HML10" s="87"/>
      <c r="HMM10" s="87"/>
      <c r="HMN10" s="87"/>
      <c r="HMO10" s="87"/>
      <c r="HMP10" s="87"/>
      <c r="HMQ10" s="87"/>
      <c r="HMR10" s="87"/>
      <c r="HMS10" s="87"/>
      <c r="HMT10" s="87"/>
      <c r="HMU10" s="87"/>
      <c r="HMV10" s="87"/>
      <c r="HMW10" s="87"/>
      <c r="HMX10" s="87"/>
      <c r="HMY10" s="87"/>
      <c r="HMZ10" s="87"/>
      <c r="HNA10" s="87"/>
      <c r="HNB10" s="87"/>
      <c r="HNC10" s="87"/>
      <c r="HND10" s="87"/>
      <c r="HNE10" s="87"/>
      <c r="HNF10" s="87"/>
      <c r="HNG10" s="87"/>
      <c r="HNH10" s="87"/>
      <c r="HNI10" s="87"/>
      <c r="HNJ10" s="87"/>
      <c r="HNK10" s="87"/>
      <c r="HNL10" s="87"/>
      <c r="HNM10" s="87"/>
      <c r="HNN10" s="87"/>
      <c r="HNO10" s="87"/>
      <c r="HNP10" s="87"/>
      <c r="HNQ10" s="87"/>
      <c r="HNR10" s="87"/>
      <c r="HNS10" s="87"/>
      <c r="HNT10" s="87"/>
      <c r="HNU10" s="87"/>
      <c r="HNV10" s="87"/>
      <c r="HNW10" s="87"/>
      <c r="HNX10" s="87"/>
      <c r="HNY10" s="87"/>
      <c r="HNZ10" s="87"/>
      <c r="HOA10" s="87"/>
      <c r="HOB10" s="87"/>
      <c r="HOC10" s="87"/>
      <c r="HOD10" s="87"/>
      <c r="HOE10" s="87"/>
      <c r="HOF10" s="87"/>
      <c r="HOG10" s="87"/>
      <c r="HOH10" s="87"/>
      <c r="HOI10" s="87"/>
      <c r="HOJ10" s="87"/>
      <c r="HOK10" s="87"/>
      <c r="HOL10" s="87"/>
      <c r="HOM10" s="87"/>
      <c r="HON10" s="87"/>
      <c r="HOO10" s="87"/>
      <c r="HOP10" s="87"/>
      <c r="HOQ10" s="87"/>
      <c r="HOR10" s="87"/>
      <c r="HOS10" s="87"/>
      <c r="HOT10" s="87"/>
      <c r="HOU10" s="87"/>
      <c r="HOV10" s="87"/>
      <c r="HOW10" s="87"/>
      <c r="HOX10" s="87"/>
      <c r="HOY10" s="87"/>
      <c r="HOZ10" s="87"/>
      <c r="HPA10" s="87"/>
      <c r="HPB10" s="87"/>
      <c r="HPC10" s="87"/>
      <c r="HPD10" s="87"/>
      <c r="HPE10" s="87"/>
      <c r="HPF10" s="87"/>
      <c r="HPG10" s="87"/>
      <c r="HPH10" s="87"/>
      <c r="HPI10" s="87"/>
      <c r="HPJ10" s="87"/>
      <c r="HPK10" s="87"/>
      <c r="HPL10" s="87"/>
      <c r="HPM10" s="87"/>
      <c r="HPN10" s="87"/>
      <c r="HPO10" s="87"/>
      <c r="HPP10" s="87"/>
      <c r="HPQ10" s="87"/>
      <c r="HPR10" s="87"/>
      <c r="HPS10" s="87"/>
      <c r="HPT10" s="87"/>
      <c r="HPU10" s="87"/>
      <c r="HPV10" s="87"/>
      <c r="HPW10" s="87"/>
      <c r="HPX10" s="87"/>
      <c r="HPY10" s="87"/>
      <c r="HPZ10" s="87"/>
      <c r="HQA10" s="87"/>
      <c r="HQB10" s="87"/>
      <c r="HQC10" s="87"/>
      <c r="HQD10" s="87"/>
      <c r="HQE10" s="87"/>
      <c r="HQF10" s="87"/>
      <c r="HQG10" s="87"/>
      <c r="HQH10" s="87"/>
      <c r="HQI10" s="87"/>
      <c r="HQJ10" s="87"/>
      <c r="HQK10" s="87"/>
      <c r="HQL10" s="87"/>
      <c r="HQM10" s="87"/>
      <c r="HQN10" s="87"/>
      <c r="HQO10" s="87"/>
      <c r="HQP10" s="87"/>
      <c r="HQQ10" s="87"/>
      <c r="HQR10" s="87"/>
      <c r="HQS10" s="87"/>
      <c r="HQT10" s="87"/>
      <c r="HQU10" s="87"/>
      <c r="HQV10" s="87"/>
      <c r="HQW10" s="87"/>
      <c r="HQX10" s="87"/>
      <c r="HQY10" s="87"/>
      <c r="HQZ10" s="87"/>
      <c r="HRA10" s="87"/>
      <c r="HRB10" s="87"/>
      <c r="HRC10" s="87"/>
      <c r="HRD10" s="87"/>
      <c r="HRE10" s="87"/>
      <c r="HRF10" s="87"/>
      <c r="HRG10" s="87"/>
      <c r="HRH10" s="87"/>
      <c r="HRI10" s="87"/>
      <c r="HRJ10" s="87"/>
      <c r="HRK10" s="87"/>
      <c r="HRL10" s="87"/>
      <c r="HRM10" s="87"/>
      <c r="HRN10" s="87"/>
      <c r="HRO10" s="87"/>
      <c r="HRP10" s="87"/>
      <c r="HRQ10" s="87"/>
      <c r="HRR10" s="87"/>
      <c r="HRS10" s="87"/>
      <c r="HRT10" s="87"/>
      <c r="HRU10" s="87"/>
      <c r="HRV10" s="87"/>
      <c r="HRW10" s="87"/>
      <c r="HRX10" s="87"/>
      <c r="HRY10" s="87"/>
      <c r="HRZ10" s="87"/>
      <c r="HSA10" s="87"/>
      <c r="HSB10" s="87"/>
      <c r="HSC10" s="87"/>
      <c r="HSD10" s="87"/>
      <c r="HSE10" s="87"/>
      <c r="HSF10" s="87"/>
      <c r="HSG10" s="87"/>
      <c r="HSH10" s="87"/>
      <c r="HSI10" s="87"/>
      <c r="HSJ10" s="87"/>
      <c r="HSK10" s="87"/>
      <c r="HSL10" s="87"/>
      <c r="HSM10" s="87"/>
      <c r="HSN10" s="87"/>
      <c r="HSO10" s="87"/>
      <c r="HSP10" s="87"/>
      <c r="HSQ10" s="87"/>
      <c r="HSR10" s="87"/>
      <c r="HSS10" s="87"/>
      <c r="HST10" s="87"/>
      <c r="HSU10" s="87"/>
      <c r="HSV10" s="87"/>
      <c r="HSW10" s="87"/>
      <c r="HSX10" s="87"/>
      <c r="HSY10" s="87"/>
      <c r="HSZ10" s="87"/>
      <c r="HTA10" s="87"/>
      <c r="HTB10" s="87"/>
      <c r="HTC10" s="87"/>
      <c r="HTD10" s="87"/>
      <c r="HTE10" s="87"/>
      <c r="HTF10" s="87"/>
      <c r="HTG10" s="87"/>
      <c r="HTH10" s="87"/>
      <c r="HTI10" s="87"/>
      <c r="HTJ10" s="87"/>
      <c r="HTK10" s="87"/>
      <c r="HTL10" s="87"/>
      <c r="HTM10" s="87"/>
      <c r="HTN10" s="87"/>
      <c r="HTO10" s="87"/>
      <c r="HTP10" s="87"/>
      <c r="HTQ10" s="87"/>
      <c r="HTR10" s="87"/>
      <c r="HTS10" s="87"/>
      <c r="HTT10" s="87"/>
      <c r="HTU10" s="87"/>
      <c r="HTV10" s="87"/>
      <c r="HTW10" s="87"/>
      <c r="HTX10" s="87"/>
      <c r="HTY10" s="87"/>
      <c r="HTZ10" s="87"/>
      <c r="HUA10" s="87"/>
      <c r="HUB10" s="87"/>
      <c r="HUC10" s="87"/>
      <c r="HUD10" s="87"/>
      <c r="HUE10" s="87"/>
      <c r="HUF10" s="87"/>
      <c r="HUG10" s="87"/>
      <c r="HUH10" s="87"/>
      <c r="HUI10" s="87"/>
      <c r="HUJ10" s="87"/>
      <c r="HUK10" s="87"/>
      <c r="HUL10" s="87"/>
      <c r="HUM10" s="87"/>
      <c r="HUN10" s="87"/>
      <c r="HUO10" s="87"/>
      <c r="HUP10" s="87"/>
      <c r="HUQ10" s="87"/>
      <c r="HUR10" s="87"/>
      <c r="HUS10" s="87"/>
      <c r="HUT10" s="87"/>
      <c r="HUU10" s="87"/>
      <c r="HUV10" s="87"/>
      <c r="HUW10" s="87"/>
      <c r="HUX10" s="87"/>
      <c r="HUY10" s="87"/>
      <c r="HUZ10" s="87"/>
      <c r="HVA10" s="87"/>
      <c r="HVB10" s="87"/>
      <c r="HVC10" s="87"/>
      <c r="HVD10" s="87"/>
      <c r="HVE10" s="87"/>
      <c r="HVF10" s="87"/>
      <c r="HVG10" s="87"/>
      <c r="HVH10" s="87"/>
      <c r="HVI10" s="87"/>
      <c r="HVJ10" s="87"/>
      <c r="HVK10" s="87"/>
      <c r="HVL10" s="87"/>
      <c r="HVM10" s="87"/>
      <c r="HVN10" s="87"/>
      <c r="HVO10" s="87"/>
      <c r="HVP10" s="87"/>
      <c r="HVQ10" s="87"/>
      <c r="HVR10" s="87"/>
      <c r="HVS10" s="87"/>
      <c r="HVT10" s="87"/>
      <c r="HVU10" s="87"/>
      <c r="HVV10" s="87"/>
      <c r="HVW10" s="87"/>
      <c r="HVX10" s="87"/>
      <c r="HVY10" s="87"/>
      <c r="HVZ10" s="87"/>
      <c r="HWA10" s="87"/>
      <c r="HWB10" s="87"/>
      <c r="HWC10" s="87"/>
      <c r="HWD10" s="87"/>
      <c r="HWE10" s="87"/>
      <c r="HWF10" s="87"/>
      <c r="HWG10" s="87"/>
      <c r="HWH10" s="87"/>
      <c r="HWI10" s="87"/>
      <c r="HWJ10" s="87"/>
      <c r="HWK10" s="87"/>
      <c r="HWL10" s="87"/>
      <c r="HWM10" s="87"/>
      <c r="HWN10" s="87"/>
      <c r="HWO10" s="87"/>
      <c r="HWP10" s="87"/>
      <c r="HWQ10" s="87"/>
      <c r="HWR10" s="87"/>
      <c r="HWS10" s="87"/>
      <c r="HWT10" s="87"/>
      <c r="HWU10" s="87"/>
      <c r="HWV10" s="87"/>
      <c r="HWW10" s="87"/>
      <c r="HWX10" s="87"/>
      <c r="HWY10" s="87"/>
      <c r="HWZ10" s="87"/>
      <c r="HXA10" s="87"/>
      <c r="HXB10" s="87"/>
      <c r="HXC10" s="87"/>
      <c r="HXD10" s="87"/>
      <c r="HXE10" s="87"/>
      <c r="HXF10" s="87"/>
      <c r="HXG10" s="87"/>
      <c r="HXH10" s="87"/>
      <c r="HXI10" s="87"/>
      <c r="HXJ10" s="87"/>
      <c r="HXK10" s="87"/>
      <c r="HXL10" s="87"/>
      <c r="HXM10" s="87"/>
      <c r="HXN10" s="87"/>
      <c r="HXO10" s="87"/>
      <c r="HXP10" s="87"/>
      <c r="HXQ10" s="87"/>
      <c r="HXR10" s="87"/>
      <c r="HXS10" s="87"/>
      <c r="HXT10" s="87"/>
      <c r="HXU10" s="87"/>
      <c r="HXV10" s="87"/>
      <c r="HXW10" s="87"/>
      <c r="HXX10" s="87"/>
      <c r="HXY10" s="87"/>
      <c r="HXZ10" s="87"/>
      <c r="HYA10" s="87"/>
      <c r="HYB10" s="87"/>
      <c r="HYC10" s="87"/>
      <c r="HYD10" s="87"/>
      <c r="HYE10" s="87"/>
      <c r="HYF10" s="87"/>
      <c r="HYG10" s="87"/>
      <c r="HYH10" s="87"/>
      <c r="HYI10" s="87"/>
      <c r="HYJ10" s="87"/>
      <c r="HYK10" s="87"/>
      <c r="HYL10" s="87"/>
      <c r="HYM10" s="87"/>
      <c r="HYN10" s="87"/>
      <c r="HYO10" s="87"/>
      <c r="HYP10" s="87"/>
      <c r="HYQ10" s="87"/>
      <c r="HYR10" s="87"/>
      <c r="HYS10" s="87"/>
      <c r="HYT10" s="87"/>
      <c r="HYU10" s="87"/>
      <c r="HYV10" s="87"/>
      <c r="HYW10" s="87"/>
      <c r="HYX10" s="87"/>
      <c r="HYY10" s="87"/>
      <c r="HYZ10" s="87"/>
      <c r="HZA10" s="87"/>
      <c r="HZB10" s="87"/>
      <c r="HZC10" s="87"/>
      <c r="HZD10" s="87"/>
      <c r="HZE10" s="87"/>
      <c r="HZF10" s="87"/>
      <c r="HZG10" s="87"/>
      <c r="HZH10" s="87"/>
      <c r="HZI10" s="87"/>
      <c r="HZJ10" s="87"/>
      <c r="HZK10" s="87"/>
      <c r="HZL10" s="87"/>
      <c r="HZM10" s="87"/>
      <c r="HZN10" s="87"/>
      <c r="HZO10" s="87"/>
      <c r="HZP10" s="87"/>
      <c r="HZQ10" s="87"/>
      <c r="HZR10" s="87"/>
      <c r="HZS10" s="87"/>
      <c r="HZT10" s="87"/>
      <c r="HZU10" s="87"/>
      <c r="HZV10" s="87"/>
      <c r="HZW10" s="87"/>
      <c r="HZX10" s="87"/>
      <c r="HZY10" s="87"/>
      <c r="HZZ10" s="87"/>
      <c r="IAA10" s="87"/>
      <c r="IAB10" s="87"/>
      <c r="IAC10" s="87"/>
      <c r="IAD10" s="87"/>
      <c r="IAE10" s="87"/>
      <c r="IAF10" s="87"/>
      <c r="IAG10" s="87"/>
      <c r="IAH10" s="87"/>
      <c r="IAI10" s="87"/>
      <c r="IAJ10" s="87"/>
      <c r="IAK10" s="87"/>
      <c r="IAL10" s="87"/>
      <c r="IAM10" s="87"/>
      <c r="IAN10" s="87"/>
      <c r="IAO10" s="87"/>
      <c r="IAP10" s="87"/>
      <c r="IAQ10" s="87"/>
      <c r="IAR10" s="87"/>
      <c r="IAS10" s="87"/>
      <c r="IAT10" s="87"/>
      <c r="IAU10" s="87"/>
      <c r="IAV10" s="87"/>
      <c r="IAW10" s="87"/>
      <c r="IAX10" s="87"/>
      <c r="IAY10" s="87"/>
      <c r="IAZ10" s="87"/>
      <c r="IBA10" s="87"/>
      <c r="IBB10" s="87"/>
      <c r="IBC10" s="87"/>
      <c r="IBD10" s="87"/>
      <c r="IBE10" s="87"/>
      <c r="IBF10" s="87"/>
      <c r="IBG10" s="87"/>
      <c r="IBH10" s="87"/>
      <c r="IBI10" s="87"/>
      <c r="IBJ10" s="87"/>
      <c r="IBK10" s="87"/>
      <c r="IBL10" s="87"/>
      <c r="IBM10" s="87"/>
      <c r="IBN10" s="87"/>
      <c r="IBO10" s="87"/>
      <c r="IBP10" s="87"/>
      <c r="IBQ10" s="87"/>
      <c r="IBR10" s="87"/>
      <c r="IBS10" s="87"/>
      <c r="IBT10" s="87"/>
      <c r="IBU10" s="87"/>
      <c r="IBV10" s="87"/>
      <c r="IBW10" s="87"/>
      <c r="IBX10" s="87"/>
      <c r="IBY10" s="87"/>
      <c r="IBZ10" s="87"/>
      <c r="ICA10" s="87"/>
      <c r="ICB10" s="87"/>
      <c r="ICC10" s="87"/>
      <c r="ICD10" s="87"/>
      <c r="ICE10" s="87"/>
      <c r="ICF10" s="87"/>
      <c r="ICG10" s="87"/>
      <c r="ICH10" s="87"/>
      <c r="ICI10" s="87"/>
      <c r="ICJ10" s="87"/>
      <c r="ICK10" s="87"/>
      <c r="ICL10" s="87"/>
      <c r="ICM10" s="87"/>
      <c r="ICN10" s="87"/>
      <c r="ICO10" s="87"/>
      <c r="ICP10" s="87"/>
      <c r="ICQ10" s="87"/>
      <c r="ICR10" s="87"/>
      <c r="ICS10" s="87"/>
      <c r="ICT10" s="87"/>
      <c r="ICU10" s="87"/>
      <c r="ICV10" s="87"/>
      <c r="ICW10" s="87"/>
      <c r="ICX10" s="87"/>
      <c r="ICY10" s="87"/>
      <c r="ICZ10" s="87"/>
      <c r="IDA10" s="87"/>
      <c r="IDB10" s="87"/>
      <c r="IDC10" s="87"/>
      <c r="IDD10" s="87"/>
      <c r="IDE10" s="87"/>
      <c r="IDF10" s="87"/>
      <c r="IDG10" s="87"/>
      <c r="IDH10" s="87"/>
      <c r="IDI10" s="87"/>
      <c r="IDJ10" s="87"/>
      <c r="IDK10" s="87"/>
      <c r="IDL10" s="87"/>
      <c r="IDM10" s="87"/>
      <c r="IDN10" s="87"/>
      <c r="IDO10" s="87"/>
      <c r="IDP10" s="87"/>
      <c r="IDQ10" s="87"/>
      <c r="IDR10" s="87"/>
      <c r="IDS10" s="87"/>
      <c r="IDT10" s="87"/>
      <c r="IDU10" s="87"/>
      <c r="IDV10" s="87"/>
      <c r="IDW10" s="87"/>
      <c r="IDX10" s="87"/>
      <c r="IDY10" s="87"/>
      <c r="IDZ10" s="87"/>
      <c r="IEA10" s="87"/>
      <c r="IEB10" s="87"/>
      <c r="IEC10" s="87"/>
      <c r="IED10" s="87"/>
      <c r="IEE10" s="87"/>
      <c r="IEF10" s="87"/>
      <c r="IEG10" s="87"/>
      <c r="IEH10" s="87"/>
      <c r="IEI10" s="87"/>
      <c r="IEJ10" s="87"/>
      <c r="IEK10" s="87"/>
      <c r="IEL10" s="87"/>
      <c r="IEM10" s="87"/>
      <c r="IEN10" s="87"/>
      <c r="IEO10" s="87"/>
      <c r="IEP10" s="87"/>
      <c r="IEQ10" s="87"/>
      <c r="IER10" s="87"/>
      <c r="IES10" s="87"/>
      <c r="IET10" s="87"/>
      <c r="IEU10" s="87"/>
      <c r="IEV10" s="87"/>
      <c r="IEW10" s="87"/>
      <c r="IEX10" s="87"/>
      <c r="IEY10" s="87"/>
      <c r="IEZ10" s="87"/>
      <c r="IFA10" s="87"/>
      <c r="IFB10" s="87"/>
      <c r="IFC10" s="87"/>
      <c r="IFD10" s="87"/>
      <c r="IFE10" s="87"/>
      <c r="IFF10" s="87"/>
      <c r="IFG10" s="87"/>
      <c r="IFH10" s="87"/>
      <c r="IFI10" s="87"/>
      <c r="IFJ10" s="87"/>
      <c r="IFK10" s="87"/>
      <c r="IFL10" s="87"/>
      <c r="IFM10" s="87"/>
      <c r="IFN10" s="87"/>
      <c r="IFO10" s="87"/>
      <c r="IFP10" s="87"/>
      <c r="IFQ10" s="87"/>
      <c r="IFR10" s="87"/>
      <c r="IFS10" s="87"/>
      <c r="IFT10" s="87"/>
      <c r="IFU10" s="87"/>
      <c r="IFV10" s="87"/>
      <c r="IFW10" s="87"/>
      <c r="IFX10" s="87"/>
      <c r="IFY10" s="87"/>
      <c r="IFZ10" s="87"/>
      <c r="IGA10" s="87"/>
      <c r="IGB10" s="87"/>
      <c r="IGC10" s="87"/>
      <c r="IGD10" s="87"/>
      <c r="IGE10" s="87"/>
      <c r="IGF10" s="87"/>
      <c r="IGG10" s="87"/>
      <c r="IGH10" s="87"/>
      <c r="IGI10" s="87"/>
      <c r="IGJ10" s="87"/>
      <c r="IGK10" s="87"/>
      <c r="IGL10" s="87"/>
      <c r="IGM10" s="87"/>
      <c r="IGN10" s="87"/>
      <c r="IGO10" s="87"/>
      <c r="IGP10" s="87"/>
      <c r="IGQ10" s="87"/>
      <c r="IGR10" s="87"/>
      <c r="IGS10" s="87"/>
      <c r="IGT10" s="87"/>
      <c r="IGU10" s="87"/>
      <c r="IGV10" s="87"/>
      <c r="IGW10" s="87"/>
      <c r="IGX10" s="87"/>
      <c r="IGY10" s="87"/>
      <c r="IGZ10" s="87"/>
      <c r="IHA10" s="87"/>
      <c r="IHB10" s="87"/>
      <c r="IHC10" s="87"/>
      <c r="IHD10" s="87"/>
      <c r="IHE10" s="87"/>
      <c r="IHF10" s="87"/>
      <c r="IHG10" s="87"/>
      <c r="IHH10" s="87"/>
      <c r="IHI10" s="87"/>
      <c r="IHJ10" s="87"/>
      <c r="IHK10" s="87"/>
      <c r="IHL10" s="87"/>
      <c r="IHM10" s="87"/>
      <c r="IHN10" s="87"/>
      <c r="IHO10" s="87"/>
      <c r="IHP10" s="87"/>
      <c r="IHQ10" s="87"/>
      <c r="IHR10" s="87"/>
      <c r="IHS10" s="87"/>
      <c r="IHT10" s="87"/>
      <c r="IHU10" s="87"/>
      <c r="IHV10" s="87"/>
      <c r="IHW10" s="87"/>
      <c r="IHX10" s="87"/>
      <c r="IHY10" s="87"/>
      <c r="IHZ10" s="87"/>
      <c r="IIA10" s="87"/>
      <c r="IIB10" s="87"/>
      <c r="IIC10" s="87"/>
      <c r="IID10" s="87"/>
      <c r="IIE10" s="87"/>
      <c r="IIF10" s="87"/>
      <c r="IIG10" s="87"/>
      <c r="IIH10" s="87"/>
      <c r="III10" s="87"/>
      <c r="IIJ10" s="87"/>
      <c r="IIK10" s="87"/>
      <c r="IIL10" s="87"/>
      <c r="IIM10" s="87"/>
      <c r="IIN10" s="87"/>
      <c r="IIO10" s="87"/>
      <c r="IIP10" s="87"/>
      <c r="IIQ10" s="87"/>
      <c r="IIR10" s="87"/>
      <c r="IIS10" s="87"/>
      <c r="IIT10" s="87"/>
      <c r="IIU10" s="87"/>
      <c r="IIV10" s="87"/>
      <c r="IIW10" s="87"/>
      <c r="IIX10" s="87"/>
      <c r="IIY10" s="87"/>
      <c r="IIZ10" s="87"/>
      <c r="IJA10" s="87"/>
      <c r="IJB10" s="87"/>
      <c r="IJC10" s="87"/>
      <c r="IJD10" s="87"/>
      <c r="IJE10" s="87"/>
      <c r="IJF10" s="87"/>
      <c r="IJG10" s="87"/>
      <c r="IJH10" s="87"/>
      <c r="IJI10" s="87"/>
      <c r="IJJ10" s="87"/>
      <c r="IJK10" s="87"/>
      <c r="IJL10" s="87"/>
      <c r="IJM10" s="87"/>
      <c r="IJN10" s="87"/>
      <c r="IJO10" s="87"/>
      <c r="IJP10" s="87"/>
      <c r="IJQ10" s="87"/>
      <c r="IJR10" s="87"/>
      <c r="IJS10" s="87"/>
      <c r="IJT10" s="87"/>
      <c r="IJU10" s="87"/>
      <c r="IJV10" s="87"/>
      <c r="IJW10" s="87"/>
      <c r="IJX10" s="87"/>
      <c r="IJY10" s="87"/>
      <c r="IJZ10" s="87"/>
      <c r="IKA10" s="87"/>
      <c r="IKB10" s="87"/>
      <c r="IKC10" s="87"/>
      <c r="IKD10" s="87"/>
      <c r="IKE10" s="87"/>
      <c r="IKF10" s="87"/>
      <c r="IKG10" s="87"/>
      <c r="IKH10" s="87"/>
      <c r="IKI10" s="87"/>
      <c r="IKJ10" s="87"/>
      <c r="IKK10" s="87"/>
      <c r="IKL10" s="87"/>
      <c r="IKM10" s="87"/>
      <c r="IKN10" s="87"/>
      <c r="IKO10" s="87"/>
      <c r="IKP10" s="87"/>
      <c r="IKQ10" s="87"/>
      <c r="IKR10" s="87"/>
      <c r="IKS10" s="87"/>
      <c r="IKT10" s="87"/>
      <c r="IKU10" s="87"/>
      <c r="IKV10" s="87"/>
      <c r="IKW10" s="87"/>
      <c r="IKX10" s="87"/>
      <c r="IKY10" s="87"/>
      <c r="IKZ10" s="87"/>
      <c r="ILA10" s="87"/>
      <c r="ILB10" s="87"/>
      <c r="ILC10" s="87"/>
      <c r="ILD10" s="87"/>
      <c r="ILE10" s="87"/>
      <c r="ILF10" s="87"/>
      <c r="ILG10" s="87"/>
      <c r="ILH10" s="87"/>
      <c r="ILI10" s="87"/>
      <c r="ILJ10" s="87"/>
      <c r="ILK10" s="87"/>
      <c r="ILL10" s="87"/>
      <c r="ILM10" s="87"/>
      <c r="ILN10" s="87"/>
      <c r="ILO10" s="87"/>
      <c r="ILP10" s="87"/>
      <c r="ILQ10" s="87"/>
      <c r="ILR10" s="87"/>
      <c r="ILS10" s="87"/>
      <c r="ILT10" s="87"/>
      <c r="ILU10" s="87"/>
      <c r="ILV10" s="87"/>
      <c r="ILW10" s="87"/>
      <c r="ILX10" s="87"/>
      <c r="ILY10" s="87"/>
      <c r="ILZ10" s="87"/>
      <c r="IMA10" s="87"/>
      <c r="IMB10" s="87"/>
      <c r="IMC10" s="87"/>
      <c r="IMD10" s="87"/>
      <c r="IME10" s="87"/>
      <c r="IMF10" s="87"/>
      <c r="IMG10" s="87"/>
      <c r="IMH10" s="87"/>
      <c r="IMI10" s="87"/>
      <c r="IMJ10" s="87"/>
      <c r="IMK10" s="87"/>
      <c r="IML10" s="87"/>
      <c r="IMM10" s="87"/>
      <c r="IMN10" s="87"/>
      <c r="IMO10" s="87"/>
      <c r="IMP10" s="87"/>
      <c r="IMQ10" s="87"/>
      <c r="IMR10" s="87"/>
      <c r="IMS10" s="87"/>
      <c r="IMT10" s="87"/>
      <c r="IMU10" s="87"/>
      <c r="IMV10" s="87"/>
      <c r="IMW10" s="87"/>
      <c r="IMX10" s="87"/>
      <c r="IMY10" s="87"/>
      <c r="IMZ10" s="87"/>
      <c r="INA10" s="87"/>
      <c r="INB10" s="87"/>
      <c r="INC10" s="87"/>
      <c r="IND10" s="87"/>
      <c r="INE10" s="87"/>
      <c r="INF10" s="87"/>
      <c r="ING10" s="87"/>
      <c r="INH10" s="87"/>
      <c r="INI10" s="87"/>
      <c r="INJ10" s="87"/>
      <c r="INK10" s="87"/>
      <c r="INL10" s="87"/>
      <c r="INM10" s="87"/>
      <c r="INN10" s="87"/>
      <c r="INO10" s="87"/>
      <c r="INP10" s="87"/>
      <c r="INQ10" s="87"/>
      <c r="INR10" s="87"/>
      <c r="INS10" s="87"/>
      <c r="INT10" s="87"/>
      <c r="INU10" s="87"/>
      <c r="INV10" s="87"/>
      <c r="INW10" s="87"/>
      <c r="INX10" s="87"/>
      <c r="INY10" s="87"/>
      <c r="INZ10" s="87"/>
      <c r="IOA10" s="87"/>
      <c r="IOB10" s="87"/>
      <c r="IOC10" s="87"/>
      <c r="IOD10" s="87"/>
      <c r="IOE10" s="87"/>
      <c r="IOF10" s="87"/>
      <c r="IOG10" s="87"/>
      <c r="IOH10" s="87"/>
      <c r="IOI10" s="87"/>
      <c r="IOJ10" s="87"/>
      <c r="IOK10" s="87"/>
      <c r="IOL10" s="87"/>
      <c r="IOM10" s="87"/>
      <c r="ION10" s="87"/>
      <c r="IOO10" s="87"/>
      <c r="IOP10" s="87"/>
      <c r="IOQ10" s="87"/>
      <c r="IOR10" s="87"/>
      <c r="IOS10" s="87"/>
      <c r="IOT10" s="87"/>
      <c r="IOU10" s="87"/>
      <c r="IOV10" s="87"/>
      <c r="IOW10" s="87"/>
      <c r="IOX10" s="87"/>
      <c r="IOY10" s="87"/>
      <c r="IOZ10" s="87"/>
      <c r="IPA10" s="87"/>
      <c r="IPB10" s="87"/>
      <c r="IPC10" s="87"/>
      <c r="IPD10" s="87"/>
      <c r="IPE10" s="87"/>
      <c r="IPF10" s="87"/>
      <c r="IPG10" s="87"/>
      <c r="IPH10" s="87"/>
      <c r="IPI10" s="87"/>
      <c r="IPJ10" s="87"/>
      <c r="IPK10" s="87"/>
      <c r="IPL10" s="87"/>
      <c r="IPM10" s="87"/>
      <c r="IPN10" s="87"/>
      <c r="IPO10" s="87"/>
      <c r="IPP10" s="87"/>
      <c r="IPQ10" s="87"/>
      <c r="IPR10" s="87"/>
      <c r="IPS10" s="87"/>
      <c r="IPT10" s="87"/>
      <c r="IPU10" s="87"/>
      <c r="IPV10" s="87"/>
      <c r="IPW10" s="87"/>
      <c r="IPX10" s="87"/>
      <c r="IPY10" s="87"/>
      <c r="IPZ10" s="87"/>
      <c r="IQA10" s="87"/>
      <c r="IQB10" s="87"/>
      <c r="IQC10" s="87"/>
      <c r="IQD10" s="87"/>
      <c r="IQE10" s="87"/>
      <c r="IQF10" s="87"/>
      <c r="IQG10" s="87"/>
      <c r="IQH10" s="87"/>
      <c r="IQI10" s="87"/>
      <c r="IQJ10" s="87"/>
      <c r="IQK10" s="87"/>
      <c r="IQL10" s="87"/>
      <c r="IQM10" s="87"/>
      <c r="IQN10" s="87"/>
      <c r="IQO10" s="87"/>
      <c r="IQP10" s="87"/>
      <c r="IQQ10" s="87"/>
      <c r="IQR10" s="87"/>
      <c r="IQS10" s="87"/>
      <c r="IQT10" s="87"/>
      <c r="IQU10" s="87"/>
      <c r="IQV10" s="87"/>
      <c r="IQW10" s="87"/>
      <c r="IQX10" s="87"/>
      <c r="IQY10" s="87"/>
      <c r="IQZ10" s="87"/>
      <c r="IRA10" s="87"/>
      <c r="IRB10" s="87"/>
      <c r="IRC10" s="87"/>
      <c r="IRD10" s="87"/>
      <c r="IRE10" s="87"/>
      <c r="IRF10" s="87"/>
      <c r="IRG10" s="87"/>
      <c r="IRH10" s="87"/>
      <c r="IRI10" s="87"/>
      <c r="IRJ10" s="87"/>
      <c r="IRK10" s="87"/>
      <c r="IRL10" s="87"/>
      <c r="IRM10" s="87"/>
      <c r="IRN10" s="87"/>
      <c r="IRO10" s="87"/>
      <c r="IRP10" s="87"/>
      <c r="IRQ10" s="87"/>
      <c r="IRR10" s="87"/>
      <c r="IRS10" s="87"/>
      <c r="IRT10" s="87"/>
      <c r="IRU10" s="87"/>
      <c r="IRV10" s="87"/>
      <c r="IRW10" s="87"/>
      <c r="IRX10" s="87"/>
      <c r="IRY10" s="87"/>
      <c r="IRZ10" s="87"/>
      <c r="ISA10" s="87"/>
      <c r="ISB10" s="87"/>
      <c r="ISC10" s="87"/>
      <c r="ISD10" s="87"/>
      <c r="ISE10" s="87"/>
      <c r="ISF10" s="87"/>
      <c r="ISG10" s="87"/>
      <c r="ISH10" s="87"/>
      <c r="ISI10" s="87"/>
      <c r="ISJ10" s="87"/>
      <c r="ISK10" s="87"/>
      <c r="ISL10" s="87"/>
      <c r="ISM10" s="87"/>
      <c r="ISN10" s="87"/>
      <c r="ISO10" s="87"/>
      <c r="ISP10" s="87"/>
      <c r="ISQ10" s="87"/>
      <c r="ISR10" s="87"/>
      <c r="ISS10" s="87"/>
      <c r="IST10" s="87"/>
      <c r="ISU10" s="87"/>
      <c r="ISV10" s="87"/>
      <c r="ISW10" s="87"/>
      <c r="ISX10" s="87"/>
      <c r="ISY10" s="87"/>
      <c r="ISZ10" s="87"/>
      <c r="ITA10" s="87"/>
      <c r="ITB10" s="87"/>
      <c r="ITC10" s="87"/>
      <c r="ITD10" s="87"/>
      <c r="ITE10" s="87"/>
      <c r="ITF10" s="87"/>
      <c r="ITG10" s="87"/>
      <c r="ITH10" s="87"/>
      <c r="ITI10" s="87"/>
      <c r="ITJ10" s="87"/>
      <c r="ITK10" s="87"/>
      <c r="ITL10" s="87"/>
      <c r="ITM10" s="87"/>
      <c r="ITN10" s="87"/>
      <c r="ITO10" s="87"/>
      <c r="ITP10" s="87"/>
      <c r="ITQ10" s="87"/>
      <c r="ITR10" s="87"/>
      <c r="ITS10" s="87"/>
      <c r="ITT10" s="87"/>
      <c r="ITU10" s="87"/>
      <c r="ITV10" s="87"/>
      <c r="ITW10" s="87"/>
      <c r="ITX10" s="87"/>
      <c r="ITY10" s="87"/>
      <c r="ITZ10" s="87"/>
      <c r="IUA10" s="87"/>
      <c r="IUB10" s="87"/>
      <c r="IUC10" s="87"/>
      <c r="IUD10" s="87"/>
      <c r="IUE10" s="87"/>
      <c r="IUF10" s="87"/>
      <c r="IUG10" s="87"/>
      <c r="IUH10" s="87"/>
      <c r="IUI10" s="87"/>
      <c r="IUJ10" s="87"/>
      <c r="IUK10" s="87"/>
      <c r="IUL10" s="87"/>
      <c r="IUM10" s="87"/>
      <c r="IUN10" s="87"/>
      <c r="IUO10" s="87"/>
      <c r="IUP10" s="87"/>
      <c r="IUQ10" s="87"/>
      <c r="IUR10" s="87"/>
      <c r="IUS10" s="87"/>
      <c r="IUT10" s="87"/>
      <c r="IUU10" s="87"/>
      <c r="IUV10" s="87"/>
      <c r="IUW10" s="87"/>
      <c r="IUX10" s="87"/>
      <c r="IUY10" s="87"/>
      <c r="IUZ10" s="87"/>
      <c r="IVA10" s="87"/>
      <c r="IVB10" s="87"/>
      <c r="IVC10" s="87"/>
      <c r="IVD10" s="87"/>
      <c r="IVE10" s="87"/>
      <c r="IVF10" s="87"/>
      <c r="IVG10" s="87"/>
      <c r="IVH10" s="87"/>
      <c r="IVI10" s="87"/>
      <c r="IVJ10" s="87"/>
      <c r="IVK10" s="87"/>
      <c r="IVL10" s="87"/>
      <c r="IVM10" s="87"/>
      <c r="IVN10" s="87"/>
      <c r="IVO10" s="87"/>
      <c r="IVP10" s="87"/>
      <c r="IVQ10" s="87"/>
      <c r="IVR10" s="87"/>
      <c r="IVS10" s="87"/>
      <c r="IVT10" s="87"/>
      <c r="IVU10" s="87"/>
      <c r="IVV10" s="87"/>
      <c r="IVW10" s="87"/>
      <c r="IVX10" s="87"/>
      <c r="IVY10" s="87"/>
      <c r="IVZ10" s="87"/>
      <c r="IWA10" s="87"/>
      <c r="IWB10" s="87"/>
      <c r="IWC10" s="87"/>
      <c r="IWD10" s="87"/>
      <c r="IWE10" s="87"/>
      <c r="IWF10" s="87"/>
      <c r="IWG10" s="87"/>
      <c r="IWH10" s="87"/>
      <c r="IWI10" s="87"/>
      <c r="IWJ10" s="87"/>
      <c r="IWK10" s="87"/>
      <c r="IWL10" s="87"/>
      <c r="IWM10" s="87"/>
      <c r="IWN10" s="87"/>
      <c r="IWO10" s="87"/>
      <c r="IWP10" s="87"/>
      <c r="IWQ10" s="87"/>
      <c r="IWR10" s="87"/>
      <c r="IWS10" s="87"/>
      <c r="IWT10" s="87"/>
      <c r="IWU10" s="87"/>
      <c r="IWV10" s="87"/>
      <c r="IWW10" s="87"/>
      <c r="IWX10" s="87"/>
      <c r="IWY10" s="87"/>
      <c r="IWZ10" s="87"/>
      <c r="IXA10" s="87"/>
      <c r="IXB10" s="87"/>
      <c r="IXC10" s="87"/>
      <c r="IXD10" s="87"/>
      <c r="IXE10" s="87"/>
      <c r="IXF10" s="87"/>
      <c r="IXG10" s="87"/>
      <c r="IXH10" s="87"/>
      <c r="IXI10" s="87"/>
      <c r="IXJ10" s="87"/>
      <c r="IXK10" s="87"/>
      <c r="IXL10" s="87"/>
      <c r="IXM10" s="87"/>
      <c r="IXN10" s="87"/>
      <c r="IXO10" s="87"/>
      <c r="IXP10" s="87"/>
      <c r="IXQ10" s="87"/>
      <c r="IXR10" s="87"/>
      <c r="IXS10" s="87"/>
      <c r="IXT10" s="87"/>
      <c r="IXU10" s="87"/>
      <c r="IXV10" s="87"/>
      <c r="IXW10" s="87"/>
      <c r="IXX10" s="87"/>
      <c r="IXY10" s="87"/>
      <c r="IXZ10" s="87"/>
      <c r="IYA10" s="87"/>
      <c r="IYB10" s="87"/>
      <c r="IYC10" s="87"/>
      <c r="IYD10" s="87"/>
      <c r="IYE10" s="87"/>
      <c r="IYF10" s="87"/>
      <c r="IYG10" s="87"/>
      <c r="IYH10" s="87"/>
      <c r="IYI10" s="87"/>
      <c r="IYJ10" s="87"/>
      <c r="IYK10" s="87"/>
      <c r="IYL10" s="87"/>
      <c r="IYM10" s="87"/>
      <c r="IYN10" s="87"/>
      <c r="IYO10" s="87"/>
      <c r="IYP10" s="87"/>
      <c r="IYQ10" s="87"/>
      <c r="IYR10" s="87"/>
      <c r="IYS10" s="87"/>
      <c r="IYT10" s="87"/>
      <c r="IYU10" s="87"/>
      <c r="IYV10" s="87"/>
      <c r="IYW10" s="87"/>
      <c r="IYX10" s="87"/>
      <c r="IYY10" s="87"/>
      <c r="IYZ10" s="87"/>
      <c r="IZA10" s="87"/>
      <c r="IZB10" s="87"/>
      <c r="IZC10" s="87"/>
      <c r="IZD10" s="87"/>
      <c r="IZE10" s="87"/>
      <c r="IZF10" s="87"/>
      <c r="IZG10" s="87"/>
      <c r="IZH10" s="87"/>
      <c r="IZI10" s="87"/>
      <c r="IZJ10" s="87"/>
      <c r="IZK10" s="87"/>
      <c r="IZL10" s="87"/>
      <c r="IZM10" s="87"/>
      <c r="IZN10" s="87"/>
      <c r="IZO10" s="87"/>
      <c r="IZP10" s="87"/>
      <c r="IZQ10" s="87"/>
      <c r="IZR10" s="87"/>
      <c r="IZS10" s="87"/>
      <c r="IZT10" s="87"/>
      <c r="IZU10" s="87"/>
      <c r="IZV10" s="87"/>
      <c r="IZW10" s="87"/>
      <c r="IZX10" s="87"/>
      <c r="IZY10" s="87"/>
      <c r="IZZ10" s="87"/>
      <c r="JAA10" s="87"/>
      <c r="JAB10" s="87"/>
      <c r="JAC10" s="87"/>
      <c r="JAD10" s="87"/>
      <c r="JAE10" s="87"/>
      <c r="JAF10" s="87"/>
      <c r="JAG10" s="87"/>
      <c r="JAH10" s="87"/>
      <c r="JAI10" s="87"/>
      <c r="JAJ10" s="87"/>
      <c r="JAK10" s="87"/>
      <c r="JAL10" s="87"/>
      <c r="JAM10" s="87"/>
      <c r="JAN10" s="87"/>
      <c r="JAO10" s="87"/>
      <c r="JAP10" s="87"/>
      <c r="JAQ10" s="87"/>
      <c r="JAR10" s="87"/>
      <c r="JAS10" s="87"/>
      <c r="JAT10" s="87"/>
      <c r="JAU10" s="87"/>
      <c r="JAV10" s="87"/>
      <c r="JAW10" s="87"/>
      <c r="JAX10" s="87"/>
      <c r="JAY10" s="87"/>
      <c r="JAZ10" s="87"/>
      <c r="JBA10" s="87"/>
      <c r="JBB10" s="87"/>
      <c r="JBC10" s="87"/>
      <c r="JBD10" s="87"/>
      <c r="JBE10" s="87"/>
      <c r="JBF10" s="87"/>
      <c r="JBG10" s="87"/>
      <c r="JBH10" s="87"/>
      <c r="JBI10" s="87"/>
      <c r="JBJ10" s="87"/>
      <c r="JBK10" s="87"/>
      <c r="JBL10" s="87"/>
      <c r="JBM10" s="87"/>
      <c r="JBN10" s="87"/>
      <c r="JBO10" s="87"/>
      <c r="JBP10" s="87"/>
      <c r="JBQ10" s="87"/>
      <c r="JBR10" s="87"/>
      <c r="JBS10" s="87"/>
      <c r="JBT10" s="87"/>
      <c r="JBU10" s="87"/>
      <c r="JBV10" s="87"/>
      <c r="JBW10" s="87"/>
      <c r="JBX10" s="87"/>
      <c r="JBY10" s="87"/>
      <c r="JBZ10" s="87"/>
      <c r="JCA10" s="87"/>
      <c r="JCB10" s="87"/>
      <c r="JCC10" s="87"/>
      <c r="JCD10" s="87"/>
      <c r="JCE10" s="87"/>
      <c r="JCF10" s="87"/>
      <c r="JCG10" s="87"/>
      <c r="JCH10" s="87"/>
      <c r="JCI10" s="87"/>
      <c r="JCJ10" s="87"/>
      <c r="JCK10" s="87"/>
      <c r="JCL10" s="87"/>
      <c r="JCM10" s="87"/>
      <c r="JCN10" s="87"/>
      <c r="JCO10" s="87"/>
      <c r="JCP10" s="87"/>
      <c r="JCQ10" s="87"/>
      <c r="JCR10" s="87"/>
      <c r="JCS10" s="87"/>
      <c r="JCT10" s="87"/>
      <c r="JCU10" s="87"/>
      <c r="JCV10" s="87"/>
      <c r="JCW10" s="87"/>
      <c r="JCX10" s="87"/>
      <c r="JCY10" s="87"/>
      <c r="JCZ10" s="87"/>
      <c r="JDA10" s="87"/>
      <c r="JDB10" s="87"/>
      <c r="JDC10" s="87"/>
      <c r="JDD10" s="87"/>
      <c r="JDE10" s="87"/>
      <c r="JDF10" s="87"/>
      <c r="JDG10" s="87"/>
      <c r="JDH10" s="87"/>
      <c r="JDI10" s="87"/>
      <c r="JDJ10" s="87"/>
      <c r="JDK10" s="87"/>
      <c r="JDL10" s="87"/>
      <c r="JDM10" s="87"/>
      <c r="JDN10" s="87"/>
      <c r="JDO10" s="87"/>
      <c r="JDP10" s="87"/>
      <c r="JDQ10" s="87"/>
      <c r="JDR10" s="87"/>
      <c r="JDS10" s="87"/>
      <c r="JDT10" s="87"/>
      <c r="JDU10" s="87"/>
      <c r="JDV10" s="87"/>
      <c r="JDW10" s="87"/>
      <c r="JDX10" s="87"/>
      <c r="JDY10" s="87"/>
      <c r="JDZ10" s="87"/>
      <c r="JEA10" s="87"/>
      <c r="JEB10" s="87"/>
      <c r="JEC10" s="87"/>
      <c r="JED10" s="87"/>
      <c r="JEE10" s="87"/>
      <c r="JEF10" s="87"/>
      <c r="JEG10" s="87"/>
      <c r="JEH10" s="87"/>
      <c r="JEI10" s="87"/>
      <c r="JEJ10" s="87"/>
      <c r="JEK10" s="87"/>
      <c r="JEL10" s="87"/>
      <c r="JEM10" s="87"/>
      <c r="JEN10" s="87"/>
      <c r="JEO10" s="87"/>
      <c r="JEP10" s="87"/>
      <c r="JEQ10" s="87"/>
      <c r="JER10" s="87"/>
      <c r="JES10" s="87"/>
      <c r="JET10" s="87"/>
      <c r="JEU10" s="87"/>
      <c r="JEV10" s="87"/>
      <c r="JEW10" s="87"/>
      <c r="JEX10" s="87"/>
      <c r="JEY10" s="87"/>
      <c r="JEZ10" s="87"/>
      <c r="JFA10" s="87"/>
      <c r="JFB10" s="87"/>
      <c r="JFC10" s="87"/>
      <c r="JFD10" s="87"/>
      <c r="JFE10" s="87"/>
      <c r="JFF10" s="87"/>
      <c r="JFG10" s="87"/>
      <c r="JFH10" s="87"/>
      <c r="JFI10" s="87"/>
      <c r="JFJ10" s="87"/>
      <c r="JFK10" s="87"/>
      <c r="JFL10" s="87"/>
      <c r="JFM10" s="87"/>
      <c r="JFN10" s="87"/>
      <c r="JFO10" s="87"/>
      <c r="JFP10" s="87"/>
      <c r="JFQ10" s="87"/>
      <c r="JFR10" s="87"/>
      <c r="JFS10" s="87"/>
      <c r="JFT10" s="87"/>
      <c r="JFU10" s="87"/>
      <c r="JFV10" s="87"/>
      <c r="JFW10" s="87"/>
      <c r="JFX10" s="87"/>
      <c r="JFY10" s="87"/>
      <c r="JFZ10" s="87"/>
      <c r="JGA10" s="87"/>
      <c r="JGB10" s="87"/>
      <c r="JGC10" s="87"/>
      <c r="JGD10" s="87"/>
      <c r="JGE10" s="87"/>
      <c r="JGF10" s="87"/>
      <c r="JGG10" s="87"/>
      <c r="JGH10" s="87"/>
      <c r="JGI10" s="87"/>
      <c r="JGJ10" s="87"/>
      <c r="JGK10" s="87"/>
      <c r="JGL10" s="87"/>
      <c r="JGM10" s="87"/>
      <c r="JGN10" s="87"/>
      <c r="JGO10" s="87"/>
      <c r="JGP10" s="87"/>
      <c r="JGQ10" s="87"/>
      <c r="JGR10" s="87"/>
      <c r="JGS10" s="87"/>
      <c r="JGT10" s="87"/>
      <c r="JGU10" s="87"/>
      <c r="JGV10" s="87"/>
      <c r="JGW10" s="87"/>
      <c r="JGX10" s="87"/>
      <c r="JGY10" s="87"/>
      <c r="JGZ10" s="87"/>
      <c r="JHA10" s="87"/>
      <c r="JHB10" s="87"/>
      <c r="JHC10" s="87"/>
      <c r="JHD10" s="87"/>
      <c r="JHE10" s="87"/>
      <c r="JHF10" s="87"/>
      <c r="JHG10" s="87"/>
      <c r="JHH10" s="87"/>
      <c r="JHI10" s="87"/>
      <c r="JHJ10" s="87"/>
      <c r="JHK10" s="87"/>
      <c r="JHL10" s="87"/>
      <c r="JHM10" s="87"/>
      <c r="JHN10" s="87"/>
      <c r="JHO10" s="87"/>
      <c r="JHP10" s="87"/>
      <c r="JHQ10" s="87"/>
      <c r="JHR10" s="87"/>
      <c r="JHS10" s="87"/>
      <c r="JHT10" s="87"/>
      <c r="JHU10" s="87"/>
      <c r="JHV10" s="87"/>
      <c r="JHW10" s="87"/>
      <c r="JHX10" s="87"/>
      <c r="JHY10" s="87"/>
      <c r="JHZ10" s="87"/>
      <c r="JIA10" s="87"/>
      <c r="JIB10" s="87"/>
      <c r="JIC10" s="87"/>
      <c r="JID10" s="87"/>
      <c r="JIE10" s="87"/>
      <c r="JIF10" s="87"/>
      <c r="JIG10" s="87"/>
      <c r="JIH10" s="87"/>
      <c r="JII10" s="87"/>
      <c r="JIJ10" s="87"/>
      <c r="JIK10" s="87"/>
      <c r="JIL10" s="87"/>
      <c r="JIM10" s="87"/>
      <c r="JIN10" s="87"/>
      <c r="JIO10" s="87"/>
      <c r="JIP10" s="87"/>
      <c r="JIQ10" s="87"/>
      <c r="JIR10" s="87"/>
      <c r="JIS10" s="87"/>
      <c r="JIT10" s="87"/>
      <c r="JIU10" s="87"/>
      <c r="JIV10" s="87"/>
      <c r="JIW10" s="87"/>
      <c r="JIX10" s="87"/>
      <c r="JIY10" s="87"/>
      <c r="JIZ10" s="87"/>
      <c r="JJA10" s="87"/>
      <c r="JJB10" s="87"/>
      <c r="JJC10" s="87"/>
      <c r="JJD10" s="87"/>
      <c r="JJE10" s="87"/>
      <c r="JJF10" s="87"/>
      <c r="JJG10" s="87"/>
      <c r="JJH10" s="87"/>
      <c r="JJI10" s="87"/>
      <c r="JJJ10" s="87"/>
      <c r="JJK10" s="87"/>
      <c r="JJL10" s="87"/>
      <c r="JJM10" s="87"/>
      <c r="JJN10" s="87"/>
      <c r="JJO10" s="87"/>
      <c r="JJP10" s="87"/>
      <c r="JJQ10" s="87"/>
      <c r="JJR10" s="87"/>
      <c r="JJS10" s="87"/>
      <c r="JJT10" s="87"/>
      <c r="JJU10" s="87"/>
      <c r="JJV10" s="87"/>
      <c r="JJW10" s="87"/>
      <c r="JJX10" s="87"/>
      <c r="JJY10" s="87"/>
      <c r="JJZ10" s="87"/>
      <c r="JKA10" s="87"/>
      <c r="JKB10" s="87"/>
      <c r="JKC10" s="87"/>
      <c r="JKD10" s="87"/>
      <c r="JKE10" s="87"/>
      <c r="JKF10" s="87"/>
      <c r="JKG10" s="87"/>
      <c r="JKH10" s="87"/>
      <c r="JKI10" s="87"/>
      <c r="JKJ10" s="87"/>
      <c r="JKK10" s="87"/>
      <c r="JKL10" s="87"/>
      <c r="JKM10" s="87"/>
      <c r="JKN10" s="87"/>
      <c r="JKO10" s="87"/>
      <c r="JKP10" s="87"/>
      <c r="JKQ10" s="87"/>
      <c r="JKR10" s="87"/>
      <c r="JKS10" s="87"/>
      <c r="JKT10" s="87"/>
      <c r="JKU10" s="87"/>
      <c r="JKV10" s="87"/>
      <c r="JKW10" s="87"/>
      <c r="JKX10" s="87"/>
      <c r="JKY10" s="87"/>
      <c r="JKZ10" s="87"/>
      <c r="JLA10" s="87"/>
      <c r="JLB10" s="87"/>
      <c r="JLC10" s="87"/>
      <c r="JLD10" s="87"/>
      <c r="JLE10" s="87"/>
      <c r="JLF10" s="87"/>
      <c r="JLG10" s="87"/>
      <c r="JLH10" s="87"/>
      <c r="JLI10" s="87"/>
      <c r="JLJ10" s="87"/>
      <c r="JLK10" s="87"/>
      <c r="JLL10" s="87"/>
      <c r="JLM10" s="87"/>
      <c r="JLN10" s="87"/>
      <c r="JLO10" s="87"/>
      <c r="JLP10" s="87"/>
      <c r="JLQ10" s="87"/>
      <c r="JLR10" s="87"/>
      <c r="JLS10" s="87"/>
      <c r="JLT10" s="87"/>
      <c r="JLU10" s="87"/>
      <c r="JLV10" s="87"/>
      <c r="JLW10" s="87"/>
      <c r="JLX10" s="87"/>
      <c r="JLY10" s="87"/>
      <c r="JLZ10" s="87"/>
      <c r="JMA10" s="87"/>
      <c r="JMB10" s="87"/>
      <c r="JMC10" s="87"/>
      <c r="JMD10" s="87"/>
      <c r="JME10" s="87"/>
      <c r="JMF10" s="87"/>
      <c r="JMG10" s="87"/>
      <c r="JMH10" s="87"/>
      <c r="JMI10" s="87"/>
      <c r="JMJ10" s="87"/>
      <c r="JMK10" s="87"/>
      <c r="JML10" s="87"/>
      <c r="JMM10" s="87"/>
      <c r="JMN10" s="87"/>
      <c r="JMO10" s="87"/>
      <c r="JMP10" s="87"/>
      <c r="JMQ10" s="87"/>
      <c r="JMR10" s="87"/>
      <c r="JMS10" s="87"/>
      <c r="JMT10" s="87"/>
      <c r="JMU10" s="87"/>
      <c r="JMV10" s="87"/>
      <c r="JMW10" s="87"/>
      <c r="JMX10" s="87"/>
      <c r="JMY10" s="87"/>
      <c r="JMZ10" s="87"/>
      <c r="JNA10" s="87"/>
      <c r="JNB10" s="87"/>
      <c r="JNC10" s="87"/>
      <c r="JND10" s="87"/>
      <c r="JNE10" s="87"/>
      <c r="JNF10" s="87"/>
      <c r="JNG10" s="87"/>
      <c r="JNH10" s="87"/>
      <c r="JNI10" s="87"/>
      <c r="JNJ10" s="87"/>
      <c r="JNK10" s="87"/>
      <c r="JNL10" s="87"/>
      <c r="JNM10" s="87"/>
      <c r="JNN10" s="87"/>
      <c r="JNO10" s="87"/>
      <c r="JNP10" s="87"/>
      <c r="JNQ10" s="87"/>
      <c r="JNR10" s="87"/>
      <c r="JNS10" s="87"/>
      <c r="JNT10" s="87"/>
      <c r="JNU10" s="87"/>
      <c r="JNV10" s="87"/>
      <c r="JNW10" s="87"/>
      <c r="JNX10" s="87"/>
      <c r="JNY10" s="87"/>
      <c r="JNZ10" s="87"/>
      <c r="JOA10" s="87"/>
      <c r="JOB10" s="87"/>
      <c r="JOC10" s="87"/>
      <c r="JOD10" s="87"/>
      <c r="JOE10" s="87"/>
      <c r="JOF10" s="87"/>
      <c r="JOG10" s="87"/>
      <c r="JOH10" s="87"/>
      <c r="JOI10" s="87"/>
      <c r="JOJ10" s="87"/>
      <c r="JOK10" s="87"/>
      <c r="JOL10" s="87"/>
      <c r="JOM10" s="87"/>
      <c r="JON10" s="87"/>
      <c r="JOO10" s="87"/>
      <c r="JOP10" s="87"/>
      <c r="JOQ10" s="87"/>
      <c r="JOR10" s="87"/>
      <c r="JOS10" s="87"/>
      <c r="JOT10" s="87"/>
      <c r="JOU10" s="87"/>
      <c r="JOV10" s="87"/>
      <c r="JOW10" s="87"/>
      <c r="JOX10" s="87"/>
      <c r="JOY10" s="87"/>
      <c r="JOZ10" s="87"/>
      <c r="JPA10" s="87"/>
      <c r="JPB10" s="87"/>
      <c r="JPC10" s="87"/>
      <c r="JPD10" s="87"/>
      <c r="JPE10" s="87"/>
      <c r="JPF10" s="87"/>
      <c r="JPG10" s="87"/>
      <c r="JPH10" s="87"/>
      <c r="JPI10" s="87"/>
      <c r="JPJ10" s="87"/>
      <c r="JPK10" s="87"/>
      <c r="JPL10" s="87"/>
      <c r="JPM10" s="87"/>
      <c r="JPN10" s="87"/>
      <c r="JPO10" s="87"/>
      <c r="JPP10" s="87"/>
      <c r="JPQ10" s="87"/>
      <c r="JPR10" s="87"/>
      <c r="JPS10" s="87"/>
      <c r="JPT10" s="87"/>
      <c r="JPU10" s="87"/>
      <c r="JPV10" s="87"/>
      <c r="JPW10" s="87"/>
      <c r="JPX10" s="87"/>
      <c r="JPY10" s="87"/>
      <c r="JPZ10" s="87"/>
      <c r="JQA10" s="87"/>
      <c r="JQB10" s="87"/>
      <c r="JQC10" s="87"/>
      <c r="JQD10" s="87"/>
      <c r="JQE10" s="87"/>
      <c r="JQF10" s="87"/>
      <c r="JQG10" s="87"/>
      <c r="JQH10" s="87"/>
      <c r="JQI10" s="87"/>
      <c r="JQJ10" s="87"/>
      <c r="JQK10" s="87"/>
      <c r="JQL10" s="87"/>
      <c r="JQM10" s="87"/>
      <c r="JQN10" s="87"/>
      <c r="JQO10" s="87"/>
      <c r="JQP10" s="87"/>
      <c r="JQQ10" s="87"/>
      <c r="JQR10" s="87"/>
      <c r="JQS10" s="87"/>
      <c r="JQT10" s="87"/>
      <c r="JQU10" s="87"/>
      <c r="JQV10" s="87"/>
      <c r="JQW10" s="87"/>
      <c r="JQX10" s="87"/>
      <c r="JQY10" s="87"/>
      <c r="JQZ10" s="87"/>
      <c r="JRA10" s="87"/>
      <c r="JRB10" s="87"/>
      <c r="JRC10" s="87"/>
      <c r="JRD10" s="87"/>
      <c r="JRE10" s="87"/>
      <c r="JRF10" s="87"/>
      <c r="JRG10" s="87"/>
      <c r="JRH10" s="87"/>
      <c r="JRI10" s="87"/>
      <c r="JRJ10" s="87"/>
      <c r="JRK10" s="87"/>
      <c r="JRL10" s="87"/>
      <c r="JRM10" s="87"/>
      <c r="JRN10" s="87"/>
      <c r="JRO10" s="87"/>
      <c r="JRP10" s="87"/>
      <c r="JRQ10" s="87"/>
      <c r="JRR10" s="87"/>
      <c r="JRS10" s="87"/>
      <c r="JRT10" s="87"/>
      <c r="JRU10" s="87"/>
      <c r="JRV10" s="87"/>
      <c r="JRW10" s="87"/>
      <c r="JRX10" s="87"/>
      <c r="JRY10" s="87"/>
      <c r="JRZ10" s="87"/>
      <c r="JSA10" s="87"/>
      <c r="JSB10" s="87"/>
      <c r="JSC10" s="87"/>
      <c r="JSD10" s="87"/>
      <c r="JSE10" s="87"/>
      <c r="JSF10" s="87"/>
      <c r="JSG10" s="87"/>
      <c r="JSH10" s="87"/>
      <c r="JSI10" s="87"/>
      <c r="JSJ10" s="87"/>
      <c r="JSK10" s="87"/>
      <c r="JSL10" s="87"/>
      <c r="JSM10" s="87"/>
      <c r="JSN10" s="87"/>
      <c r="JSO10" s="87"/>
      <c r="JSP10" s="87"/>
      <c r="JSQ10" s="87"/>
      <c r="JSR10" s="87"/>
      <c r="JSS10" s="87"/>
      <c r="JST10" s="87"/>
      <c r="JSU10" s="87"/>
      <c r="JSV10" s="87"/>
      <c r="JSW10" s="87"/>
      <c r="JSX10" s="87"/>
      <c r="JSY10" s="87"/>
      <c r="JSZ10" s="87"/>
      <c r="JTA10" s="87"/>
      <c r="JTB10" s="87"/>
      <c r="JTC10" s="87"/>
      <c r="JTD10" s="87"/>
      <c r="JTE10" s="87"/>
      <c r="JTF10" s="87"/>
      <c r="JTG10" s="87"/>
      <c r="JTH10" s="87"/>
      <c r="JTI10" s="87"/>
      <c r="JTJ10" s="87"/>
      <c r="JTK10" s="87"/>
      <c r="JTL10" s="87"/>
      <c r="JTM10" s="87"/>
      <c r="JTN10" s="87"/>
      <c r="JTO10" s="87"/>
      <c r="JTP10" s="87"/>
      <c r="JTQ10" s="87"/>
      <c r="JTR10" s="87"/>
      <c r="JTS10" s="87"/>
      <c r="JTT10" s="87"/>
      <c r="JTU10" s="87"/>
      <c r="JTV10" s="87"/>
      <c r="JTW10" s="87"/>
      <c r="JTX10" s="87"/>
      <c r="JTY10" s="87"/>
      <c r="JTZ10" s="87"/>
      <c r="JUA10" s="87"/>
      <c r="JUB10" s="87"/>
      <c r="JUC10" s="87"/>
      <c r="JUD10" s="87"/>
      <c r="JUE10" s="87"/>
      <c r="JUF10" s="87"/>
      <c r="JUG10" s="87"/>
      <c r="JUH10" s="87"/>
      <c r="JUI10" s="87"/>
      <c r="JUJ10" s="87"/>
      <c r="JUK10" s="87"/>
      <c r="JUL10" s="87"/>
      <c r="JUM10" s="87"/>
      <c r="JUN10" s="87"/>
      <c r="JUO10" s="87"/>
      <c r="JUP10" s="87"/>
      <c r="JUQ10" s="87"/>
      <c r="JUR10" s="87"/>
      <c r="JUS10" s="87"/>
      <c r="JUT10" s="87"/>
      <c r="JUU10" s="87"/>
      <c r="JUV10" s="87"/>
      <c r="JUW10" s="87"/>
      <c r="JUX10" s="87"/>
      <c r="JUY10" s="87"/>
      <c r="JUZ10" s="87"/>
      <c r="JVA10" s="87"/>
      <c r="JVB10" s="87"/>
      <c r="JVC10" s="87"/>
      <c r="JVD10" s="87"/>
      <c r="JVE10" s="87"/>
      <c r="JVF10" s="87"/>
      <c r="JVG10" s="87"/>
      <c r="JVH10" s="87"/>
      <c r="JVI10" s="87"/>
      <c r="JVJ10" s="87"/>
      <c r="JVK10" s="87"/>
      <c r="JVL10" s="87"/>
      <c r="JVM10" s="87"/>
      <c r="JVN10" s="87"/>
      <c r="JVO10" s="87"/>
      <c r="JVP10" s="87"/>
      <c r="JVQ10" s="87"/>
      <c r="JVR10" s="87"/>
      <c r="JVS10" s="87"/>
      <c r="JVT10" s="87"/>
      <c r="JVU10" s="87"/>
      <c r="JVV10" s="87"/>
      <c r="JVW10" s="87"/>
      <c r="JVX10" s="87"/>
      <c r="JVY10" s="87"/>
      <c r="JVZ10" s="87"/>
      <c r="JWA10" s="87"/>
      <c r="JWB10" s="87"/>
      <c r="JWC10" s="87"/>
      <c r="JWD10" s="87"/>
      <c r="JWE10" s="87"/>
      <c r="JWF10" s="87"/>
      <c r="JWG10" s="87"/>
      <c r="JWH10" s="87"/>
      <c r="JWI10" s="87"/>
      <c r="JWJ10" s="87"/>
      <c r="JWK10" s="87"/>
      <c r="JWL10" s="87"/>
      <c r="JWM10" s="87"/>
      <c r="JWN10" s="87"/>
      <c r="JWO10" s="87"/>
      <c r="JWP10" s="87"/>
      <c r="JWQ10" s="87"/>
      <c r="JWR10" s="87"/>
      <c r="JWS10" s="87"/>
      <c r="JWT10" s="87"/>
      <c r="JWU10" s="87"/>
      <c r="JWV10" s="87"/>
      <c r="JWW10" s="87"/>
      <c r="JWX10" s="87"/>
      <c r="JWY10" s="87"/>
      <c r="JWZ10" s="87"/>
      <c r="JXA10" s="87"/>
      <c r="JXB10" s="87"/>
      <c r="JXC10" s="87"/>
      <c r="JXD10" s="87"/>
      <c r="JXE10" s="87"/>
      <c r="JXF10" s="87"/>
      <c r="JXG10" s="87"/>
      <c r="JXH10" s="87"/>
      <c r="JXI10" s="87"/>
      <c r="JXJ10" s="87"/>
      <c r="JXK10" s="87"/>
      <c r="JXL10" s="87"/>
      <c r="JXM10" s="87"/>
      <c r="JXN10" s="87"/>
      <c r="JXO10" s="87"/>
      <c r="JXP10" s="87"/>
      <c r="JXQ10" s="87"/>
      <c r="JXR10" s="87"/>
      <c r="JXS10" s="87"/>
      <c r="JXT10" s="87"/>
      <c r="JXU10" s="87"/>
      <c r="JXV10" s="87"/>
      <c r="JXW10" s="87"/>
      <c r="JXX10" s="87"/>
      <c r="JXY10" s="87"/>
      <c r="JXZ10" s="87"/>
      <c r="JYA10" s="87"/>
      <c r="JYB10" s="87"/>
      <c r="JYC10" s="87"/>
      <c r="JYD10" s="87"/>
      <c r="JYE10" s="87"/>
      <c r="JYF10" s="87"/>
      <c r="JYG10" s="87"/>
      <c r="JYH10" s="87"/>
      <c r="JYI10" s="87"/>
      <c r="JYJ10" s="87"/>
      <c r="JYK10" s="87"/>
      <c r="JYL10" s="87"/>
      <c r="JYM10" s="87"/>
      <c r="JYN10" s="87"/>
      <c r="JYO10" s="87"/>
      <c r="JYP10" s="87"/>
      <c r="JYQ10" s="87"/>
      <c r="JYR10" s="87"/>
      <c r="JYS10" s="87"/>
      <c r="JYT10" s="87"/>
      <c r="JYU10" s="87"/>
      <c r="JYV10" s="87"/>
      <c r="JYW10" s="87"/>
      <c r="JYX10" s="87"/>
      <c r="JYY10" s="87"/>
      <c r="JYZ10" s="87"/>
      <c r="JZA10" s="87"/>
      <c r="JZB10" s="87"/>
      <c r="JZC10" s="87"/>
      <c r="JZD10" s="87"/>
      <c r="JZE10" s="87"/>
      <c r="JZF10" s="87"/>
      <c r="JZG10" s="87"/>
      <c r="JZH10" s="87"/>
      <c r="JZI10" s="87"/>
      <c r="JZJ10" s="87"/>
      <c r="JZK10" s="87"/>
      <c r="JZL10" s="87"/>
      <c r="JZM10" s="87"/>
      <c r="JZN10" s="87"/>
      <c r="JZO10" s="87"/>
      <c r="JZP10" s="87"/>
      <c r="JZQ10" s="87"/>
      <c r="JZR10" s="87"/>
      <c r="JZS10" s="87"/>
      <c r="JZT10" s="87"/>
      <c r="JZU10" s="87"/>
      <c r="JZV10" s="87"/>
      <c r="JZW10" s="87"/>
      <c r="JZX10" s="87"/>
      <c r="JZY10" s="87"/>
      <c r="JZZ10" s="87"/>
      <c r="KAA10" s="87"/>
      <c r="KAB10" s="87"/>
      <c r="KAC10" s="87"/>
      <c r="KAD10" s="87"/>
      <c r="KAE10" s="87"/>
      <c r="KAF10" s="87"/>
      <c r="KAG10" s="87"/>
      <c r="KAH10" s="87"/>
      <c r="KAI10" s="87"/>
      <c r="KAJ10" s="87"/>
      <c r="KAK10" s="87"/>
      <c r="KAL10" s="87"/>
      <c r="KAM10" s="87"/>
      <c r="KAN10" s="87"/>
      <c r="KAO10" s="87"/>
      <c r="KAP10" s="87"/>
      <c r="KAQ10" s="87"/>
      <c r="KAR10" s="87"/>
      <c r="KAS10" s="87"/>
      <c r="KAT10" s="87"/>
      <c r="KAU10" s="87"/>
      <c r="KAV10" s="87"/>
      <c r="KAW10" s="87"/>
      <c r="KAX10" s="87"/>
      <c r="KAY10" s="87"/>
      <c r="KAZ10" s="87"/>
      <c r="KBA10" s="87"/>
      <c r="KBB10" s="87"/>
      <c r="KBC10" s="87"/>
      <c r="KBD10" s="87"/>
      <c r="KBE10" s="87"/>
      <c r="KBF10" s="87"/>
      <c r="KBG10" s="87"/>
      <c r="KBH10" s="87"/>
      <c r="KBI10" s="87"/>
      <c r="KBJ10" s="87"/>
      <c r="KBK10" s="87"/>
      <c r="KBL10" s="87"/>
      <c r="KBM10" s="87"/>
      <c r="KBN10" s="87"/>
      <c r="KBO10" s="87"/>
      <c r="KBP10" s="87"/>
      <c r="KBQ10" s="87"/>
      <c r="KBR10" s="87"/>
      <c r="KBS10" s="87"/>
      <c r="KBT10" s="87"/>
      <c r="KBU10" s="87"/>
      <c r="KBV10" s="87"/>
      <c r="KBW10" s="87"/>
      <c r="KBX10" s="87"/>
      <c r="KBY10" s="87"/>
      <c r="KBZ10" s="87"/>
      <c r="KCA10" s="87"/>
      <c r="KCB10" s="87"/>
      <c r="KCC10" s="87"/>
      <c r="KCD10" s="87"/>
      <c r="KCE10" s="87"/>
      <c r="KCF10" s="87"/>
      <c r="KCG10" s="87"/>
      <c r="KCH10" s="87"/>
      <c r="KCI10" s="87"/>
      <c r="KCJ10" s="87"/>
      <c r="KCK10" s="87"/>
      <c r="KCL10" s="87"/>
      <c r="KCM10" s="87"/>
      <c r="KCN10" s="87"/>
      <c r="KCO10" s="87"/>
      <c r="KCP10" s="87"/>
      <c r="KCQ10" s="87"/>
      <c r="KCR10" s="87"/>
      <c r="KCS10" s="87"/>
      <c r="KCT10" s="87"/>
      <c r="KCU10" s="87"/>
      <c r="KCV10" s="87"/>
      <c r="KCW10" s="87"/>
      <c r="KCX10" s="87"/>
      <c r="KCY10" s="87"/>
      <c r="KCZ10" s="87"/>
      <c r="KDA10" s="87"/>
      <c r="KDB10" s="87"/>
      <c r="KDC10" s="87"/>
      <c r="KDD10" s="87"/>
      <c r="KDE10" s="87"/>
      <c r="KDF10" s="87"/>
      <c r="KDG10" s="87"/>
      <c r="KDH10" s="87"/>
      <c r="KDI10" s="87"/>
      <c r="KDJ10" s="87"/>
      <c r="KDK10" s="87"/>
      <c r="KDL10" s="87"/>
      <c r="KDM10" s="87"/>
      <c r="KDN10" s="87"/>
      <c r="KDO10" s="87"/>
      <c r="KDP10" s="87"/>
      <c r="KDQ10" s="87"/>
      <c r="KDR10" s="87"/>
      <c r="KDS10" s="87"/>
      <c r="KDT10" s="87"/>
      <c r="KDU10" s="87"/>
      <c r="KDV10" s="87"/>
      <c r="KDW10" s="87"/>
      <c r="KDX10" s="87"/>
      <c r="KDY10" s="87"/>
      <c r="KDZ10" s="87"/>
      <c r="KEA10" s="87"/>
      <c r="KEB10" s="87"/>
      <c r="KEC10" s="87"/>
      <c r="KED10" s="87"/>
      <c r="KEE10" s="87"/>
      <c r="KEF10" s="87"/>
      <c r="KEG10" s="87"/>
      <c r="KEH10" s="87"/>
      <c r="KEI10" s="87"/>
      <c r="KEJ10" s="87"/>
      <c r="KEK10" s="87"/>
      <c r="KEL10" s="87"/>
      <c r="KEM10" s="87"/>
      <c r="KEN10" s="87"/>
      <c r="KEO10" s="87"/>
      <c r="KEP10" s="87"/>
      <c r="KEQ10" s="87"/>
      <c r="KER10" s="87"/>
      <c r="KES10" s="87"/>
      <c r="KET10" s="87"/>
      <c r="KEU10" s="87"/>
      <c r="KEV10" s="87"/>
      <c r="KEW10" s="87"/>
      <c r="KEX10" s="87"/>
      <c r="KEY10" s="87"/>
      <c r="KEZ10" s="87"/>
      <c r="KFA10" s="87"/>
      <c r="KFB10" s="87"/>
      <c r="KFC10" s="87"/>
      <c r="KFD10" s="87"/>
      <c r="KFE10" s="87"/>
      <c r="KFF10" s="87"/>
      <c r="KFG10" s="87"/>
      <c r="KFH10" s="87"/>
      <c r="KFI10" s="87"/>
      <c r="KFJ10" s="87"/>
      <c r="KFK10" s="87"/>
      <c r="KFL10" s="87"/>
      <c r="KFM10" s="87"/>
      <c r="KFN10" s="87"/>
      <c r="KFO10" s="87"/>
      <c r="KFP10" s="87"/>
      <c r="KFQ10" s="87"/>
      <c r="KFR10" s="87"/>
      <c r="KFS10" s="87"/>
      <c r="KFT10" s="87"/>
      <c r="KFU10" s="87"/>
      <c r="KFV10" s="87"/>
      <c r="KFW10" s="87"/>
      <c r="KFX10" s="87"/>
      <c r="KFY10" s="87"/>
      <c r="KFZ10" s="87"/>
      <c r="KGA10" s="87"/>
      <c r="KGB10" s="87"/>
      <c r="KGC10" s="87"/>
      <c r="KGD10" s="87"/>
      <c r="KGE10" s="87"/>
      <c r="KGF10" s="87"/>
      <c r="KGG10" s="87"/>
      <c r="KGH10" s="87"/>
      <c r="KGI10" s="87"/>
      <c r="KGJ10" s="87"/>
      <c r="KGK10" s="87"/>
      <c r="KGL10" s="87"/>
      <c r="KGM10" s="87"/>
      <c r="KGN10" s="87"/>
      <c r="KGO10" s="87"/>
      <c r="KGP10" s="87"/>
      <c r="KGQ10" s="87"/>
      <c r="KGR10" s="87"/>
      <c r="KGS10" s="87"/>
      <c r="KGT10" s="87"/>
      <c r="KGU10" s="87"/>
      <c r="KGV10" s="87"/>
      <c r="KGW10" s="87"/>
      <c r="KGX10" s="87"/>
      <c r="KGY10" s="87"/>
      <c r="KGZ10" s="87"/>
      <c r="KHA10" s="87"/>
      <c r="KHB10" s="87"/>
      <c r="KHC10" s="87"/>
      <c r="KHD10" s="87"/>
      <c r="KHE10" s="87"/>
      <c r="KHF10" s="87"/>
      <c r="KHG10" s="87"/>
      <c r="KHH10" s="87"/>
      <c r="KHI10" s="87"/>
      <c r="KHJ10" s="87"/>
      <c r="KHK10" s="87"/>
      <c r="KHL10" s="87"/>
      <c r="KHM10" s="87"/>
      <c r="KHN10" s="87"/>
      <c r="KHO10" s="87"/>
      <c r="KHP10" s="87"/>
      <c r="KHQ10" s="87"/>
      <c r="KHR10" s="87"/>
      <c r="KHS10" s="87"/>
      <c r="KHT10" s="87"/>
      <c r="KHU10" s="87"/>
      <c r="KHV10" s="87"/>
      <c r="KHW10" s="87"/>
      <c r="KHX10" s="87"/>
      <c r="KHY10" s="87"/>
      <c r="KHZ10" s="87"/>
      <c r="KIA10" s="87"/>
      <c r="KIB10" s="87"/>
      <c r="KIC10" s="87"/>
      <c r="KID10" s="87"/>
      <c r="KIE10" s="87"/>
      <c r="KIF10" s="87"/>
      <c r="KIG10" s="87"/>
      <c r="KIH10" s="87"/>
      <c r="KII10" s="87"/>
      <c r="KIJ10" s="87"/>
      <c r="KIK10" s="87"/>
      <c r="KIL10" s="87"/>
      <c r="KIM10" s="87"/>
      <c r="KIN10" s="87"/>
      <c r="KIO10" s="87"/>
      <c r="KIP10" s="87"/>
      <c r="KIQ10" s="87"/>
      <c r="KIR10" s="87"/>
      <c r="KIS10" s="87"/>
      <c r="KIT10" s="87"/>
      <c r="KIU10" s="87"/>
      <c r="KIV10" s="87"/>
      <c r="KIW10" s="87"/>
      <c r="KIX10" s="87"/>
      <c r="KIY10" s="87"/>
      <c r="KIZ10" s="87"/>
      <c r="KJA10" s="87"/>
      <c r="KJB10" s="87"/>
      <c r="KJC10" s="87"/>
      <c r="KJD10" s="87"/>
      <c r="KJE10" s="87"/>
      <c r="KJF10" s="87"/>
      <c r="KJG10" s="87"/>
      <c r="KJH10" s="87"/>
      <c r="KJI10" s="87"/>
      <c r="KJJ10" s="87"/>
      <c r="KJK10" s="87"/>
      <c r="KJL10" s="87"/>
      <c r="KJM10" s="87"/>
      <c r="KJN10" s="87"/>
      <c r="KJO10" s="87"/>
      <c r="KJP10" s="87"/>
      <c r="KJQ10" s="87"/>
      <c r="KJR10" s="87"/>
      <c r="KJS10" s="87"/>
      <c r="KJT10" s="87"/>
      <c r="KJU10" s="87"/>
      <c r="KJV10" s="87"/>
      <c r="KJW10" s="87"/>
      <c r="KJX10" s="87"/>
      <c r="KJY10" s="87"/>
      <c r="KJZ10" s="87"/>
      <c r="KKA10" s="87"/>
      <c r="KKB10" s="87"/>
      <c r="KKC10" s="87"/>
      <c r="KKD10" s="87"/>
      <c r="KKE10" s="87"/>
      <c r="KKF10" s="87"/>
      <c r="KKG10" s="87"/>
      <c r="KKH10" s="87"/>
      <c r="KKI10" s="87"/>
      <c r="KKJ10" s="87"/>
      <c r="KKK10" s="87"/>
      <c r="KKL10" s="87"/>
      <c r="KKM10" s="87"/>
      <c r="KKN10" s="87"/>
      <c r="KKO10" s="87"/>
      <c r="KKP10" s="87"/>
      <c r="KKQ10" s="87"/>
      <c r="KKR10" s="87"/>
      <c r="KKS10" s="87"/>
      <c r="KKT10" s="87"/>
      <c r="KKU10" s="87"/>
      <c r="KKV10" s="87"/>
      <c r="KKW10" s="87"/>
      <c r="KKX10" s="87"/>
      <c r="KKY10" s="87"/>
      <c r="KKZ10" s="87"/>
      <c r="KLA10" s="87"/>
      <c r="KLB10" s="87"/>
      <c r="KLC10" s="87"/>
      <c r="KLD10" s="87"/>
      <c r="KLE10" s="87"/>
      <c r="KLF10" s="87"/>
      <c r="KLG10" s="87"/>
      <c r="KLH10" s="87"/>
      <c r="KLI10" s="87"/>
      <c r="KLJ10" s="87"/>
      <c r="KLK10" s="87"/>
      <c r="KLL10" s="87"/>
      <c r="KLM10" s="87"/>
      <c r="KLN10" s="87"/>
      <c r="KLO10" s="87"/>
      <c r="KLP10" s="87"/>
      <c r="KLQ10" s="87"/>
      <c r="KLR10" s="87"/>
      <c r="KLS10" s="87"/>
      <c r="KLT10" s="87"/>
      <c r="KLU10" s="87"/>
      <c r="KLV10" s="87"/>
      <c r="KLW10" s="87"/>
      <c r="KLX10" s="87"/>
      <c r="KLY10" s="87"/>
      <c r="KLZ10" s="87"/>
      <c r="KMA10" s="87"/>
      <c r="KMB10" s="87"/>
      <c r="KMC10" s="87"/>
      <c r="KMD10" s="87"/>
      <c r="KME10" s="87"/>
      <c r="KMF10" s="87"/>
      <c r="KMG10" s="87"/>
      <c r="KMH10" s="87"/>
      <c r="KMI10" s="87"/>
      <c r="KMJ10" s="87"/>
      <c r="KMK10" s="87"/>
      <c r="KML10" s="87"/>
      <c r="KMM10" s="87"/>
      <c r="KMN10" s="87"/>
      <c r="KMO10" s="87"/>
      <c r="KMP10" s="87"/>
      <c r="KMQ10" s="87"/>
      <c r="KMR10" s="87"/>
      <c r="KMS10" s="87"/>
      <c r="KMT10" s="87"/>
      <c r="KMU10" s="87"/>
      <c r="KMV10" s="87"/>
      <c r="KMW10" s="87"/>
      <c r="KMX10" s="87"/>
      <c r="KMY10" s="87"/>
      <c r="KMZ10" s="87"/>
      <c r="KNA10" s="87"/>
      <c r="KNB10" s="87"/>
      <c r="KNC10" s="87"/>
      <c r="KND10" s="87"/>
      <c r="KNE10" s="87"/>
      <c r="KNF10" s="87"/>
      <c r="KNG10" s="87"/>
      <c r="KNH10" s="87"/>
      <c r="KNI10" s="87"/>
      <c r="KNJ10" s="87"/>
      <c r="KNK10" s="87"/>
      <c r="KNL10" s="87"/>
      <c r="KNM10" s="87"/>
      <c r="KNN10" s="87"/>
      <c r="KNO10" s="87"/>
      <c r="KNP10" s="87"/>
      <c r="KNQ10" s="87"/>
      <c r="KNR10" s="87"/>
      <c r="KNS10" s="87"/>
      <c r="KNT10" s="87"/>
      <c r="KNU10" s="87"/>
      <c r="KNV10" s="87"/>
      <c r="KNW10" s="87"/>
      <c r="KNX10" s="87"/>
      <c r="KNY10" s="87"/>
      <c r="KNZ10" s="87"/>
      <c r="KOA10" s="87"/>
      <c r="KOB10" s="87"/>
      <c r="KOC10" s="87"/>
      <c r="KOD10" s="87"/>
      <c r="KOE10" s="87"/>
      <c r="KOF10" s="87"/>
      <c r="KOG10" s="87"/>
      <c r="KOH10" s="87"/>
      <c r="KOI10" s="87"/>
      <c r="KOJ10" s="87"/>
      <c r="KOK10" s="87"/>
      <c r="KOL10" s="87"/>
      <c r="KOM10" s="87"/>
      <c r="KON10" s="87"/>
      <c r="KOO10" s="87"/>
      <c r="KOP10" s="87"/>
      <c r="KOQ10" s="87"/>
      <c r="KOR10" s="87"/>
      <c r="KOS10" s="87"/>
      <c r="KOT10" s="87"/>
      <c r="KOU10" s="87"/>
      <c r="KOV10" s="87"/>
      <c r="KOW10" s="87"/>
      <c r="KOX10" s="87"/>
      <c r="KOY10" s="87"/>
      <c r="KOZ10" s="87"/>
      <c r="KPA10" s="87"/>
      <c r="KPB10" s="87"/>
      <c r="KPC10" s="87"/>
      <c r="KPD10" s="87"/>
      <c r="KPE10" s="87"/>
      <c r="KPF10" s="87"/>
      <c r="KPG10" s="87"/>
      <c r="KPH10" s="87"/>
      <c r="KPI10" s="87"/>
      <c r="KPJ10" s="87"/>
      <c r="KPK10" s="87"/>
      <c r="KPL10" s="87"/>
      <c r="KPM10" s="87"/>
      <c r="KPN10" s="87"/>
      <c r="KPO10" s="87"/>
      <c r="KPP10" s="87"/>
      <c r="KPQ10" s="87"/>
      <c r="KPR10" s="87"/>
      <c r="KPS10" s="87"/>
      <c r="KPT10" s="87"/>
      <c r="KPU10" s="87"/>
      <c r="KPV10" s="87"/>
      <c r="KPW10" s="87"/>
      <c r="KPX10" s="87"/>
      <c r="KPY10" s="87"/>
      <c r="KPZ10" s="87"/>
      <c r="KQA10" s="87"/>
      <c r="KQB10" s="87"/>
      <c r="KQC10" s="87"/>
      <c r="KQD10" s="87"/>
      <c r="KQE10" s="87"/>
      <c r="KQF10" s="87"/>
      <c r="KQG10" s="87"/>
      <c r="KQH10" s="87"/>
      <c r="KQI10" s="87"/>
      <c r="KQJ10" s="87"/>
      <c r="KQK10" s="87"/>
      <c r="KQL10" s="87"/>
      <c r="KQM10" s="87"/>
      <c r="KQN10" s="87"/>
      <c r="KQO10" s="87"/>
      <c r="KQP10" s="87"/>
      <c r="KQQ10" s="87"/>
      <c r="KQR10" s="87"/>
      <c r="KQS10" s="87"/>
      <c r="KQT10" s="87"/>
      <c r="KQU10" s="87"/>
      <c r="KQV10" s="87"/>
      <c r="KQW10" s="87"/>
      <c r="KQX10" s="87"/>
      <c r="KQY10" s="87"/>
      <c r="KQZ10" s="87"/>
      <c r="KRA10" s="87"/>
      <c r="KRB10" s="87"/>
      <c r="KRC10" s="87"/>
      <c r="KRD10" s="87"/>
      <c r="KRE10" s="87"/>
      <c r="KRF10" s="87"/>
      <c r="KRG10" s="87"/>
      <c r="KRH10" s="87"/>
      <c r="KRI10" s="87"/>
      <c r="KRJ10" s="87"/>
      <c r="KRK10" s="87"/>
      <c r="KRL10" s="87"/>
      <c r="KRM10" s="87"/>
      <c r="KRN10" s="87"/>
      <c r="KRO10" s="87"/>
      <c r="KRP10" s="87"/>
      <c r="KRQ10" s="87"/>
      <c r="KRR10" s="87"/>
      <c r="KRS10" s="87"/>
      <c r="KRT10" s="87"/>
      <c r="KRU10" s="87"/>
      <c r="KRV10" s="87"/>
      <c r="KRW10" s="87"/>
      <c r="KRX10" s="87"/>
      <c r="KRY10" s="87"/>
      <c r="KRZ10" s="87"/>
      <c r="KSA10" s="87"/>
      <c r="KSB10" s="87"/>
      <c r="KSC10" s="87"/>
      <c r="KSD10" s="87"/>
      <c r="KSE10" s="87"/>
      <c r="KSF10" s="87"/>
      <c r="KSG10" s="87"/>
      <c r="KSH10" s="87"/>
      <c r="KSI10" s="87"/>
      <c r="KSJ10" s="87"/>
      <c r="KSK10" s="87"/>
      <c r="KSL10" s="87"/>
      <c r="KSM10" s="87"/>
      <c r="KSN10" s="87"/>
      <c r="KSO10" s="87"/>
      <c r="KSP10" s="87"/>
      <c r="KSQ10" s="87"/>
      <c r="KSR10" s="87"/>
      <c r="KSS10" s="87"/>
      <c r="KST10" s="87"/>
      <c r="KSU10" s="87"/>
      <c r="KSV10" s="87"/>
      <c r="KSW10" s="87"/>
      <c r="KSX10" s="87"/>
      <c r="KSY10" s="87"/>
      <c r="KSZ10" s="87"/>
      <c r="KTA10" s="87"/>
      <c r="KTB10" s="87"/>
      <c r="KTC10" s="87"/>
      <c r="KTD10" s="87"/>
      <c r="KTE10" s="87"/>
      <c r="KTF10" s="87"/>
      <c r="KTG10" s="87"/>
      <c r="KTH10" s="87"/>
      <c r="KTI10" s="87"/>
      <c r="KTJ10" s="87"/>
      <c r="KTK10" s="87"/>
      <c r="KTL10" s="87"/>
      <c r="KTM10" s="87"/>
      <c r="KTN10" s="87"/>
      <c r="KTO10" s="87"/>
      <c r="KTP10" s="87"/>
      <c r="KTQ10" s="87"/>
      <c r="KTR10" s="87"/>
      <c r="KTS10" s="87"/>
      <c r="KTT10" s="87"/>
      <c r="KTU10" s="87"/>
      <c r="KTV10" s="87"/>
      <c r="KTW10" s="87"/>
      <c r="KTX10" s="87"/>
      <c r="KTY10" s="87"/>
      <c r="KTZ10" s="87"/>
      <c r="KUA10" s="87"/>
      <c r="KUB10" s="87"/>
      <c r="KUC10" s="87"/>
      <c r="KUD10" s="87"/>
      <c r="KUE10" s="87"/>
      <c r="KUF10" s="87"/>
      <c r="KUG10" s="87"/>
      <c r="KUH10" s="87"/>
      <c r="KUI10" s="87"/>
      <c r="KUJ10" s="87"/>
      <c r="KUK10" s="87"/>
      <c r="KUL10" s="87"/>
      <c r="KUM10" s="87"/>
      <c r="KUN10" s="87"/>
      <c r="KUO10" s="87"/>
      <c r="KUP10" s="87"/>
      <c r="KUQ10" s="87"/>
      <c r="KUR10" s="87"/>
      <c r="KUS10" s="87"/>
      <c r="KUT10" s="87"/>
      <c r="KUU10" s="87"/>
      <c r="KUV10" s="87"/>
      <c r="KUW10" s="87"/>
      <c r="KUX10" s="87"/>
      <c r="KUY10" s="87"/>
      <c r="KUZ10" s="87"/>
      <c r="KVA10" s="87"/>
      <c r="KVB10" s="87"/>
      <c r="KVC10" s="87"/>
      <c r="KVD10" s="87"/>
      <c r="KVE10" s="87"/>
      <c r="KVF10" s="87"/>
      <c r="KVG10" s="87"/>
      <c r="KVH10" s="87"/>
      <c r="KVI10" s="87"/>
      <c r="KVJ10" s="87"/>
      <c r="KVK10" s="87"/>
      <c r="KVL10" s="87"/>
      <c r="KVM10" s="87"/>
      <c r="KVN10" s="87"/>
      <c r="KVO10" s="87"/>
      <c r="KVP10" s="87"/>
      <c r="KVQ10" s="87"/>
      <c r="KVR10" s="87"/>
      <c r="KVS10" s="87"/>
      <c r="KVT10" s="87"/>
      <c r="KVU10" s="87"/>
      <c r="KVV10" s="87"/>
      <c r="KVW10" s="87"/>
      <c r="KVX10" s="87"/>
      <c r="KVY10" s="87"/>
      <c r="KVZ10" s="87"/>
      <c r="KWA10" s="87"/>
      <c r="KWB10" s="87"/>
      <c r="KWC10" s="87"/>
      <c r="KWD10" s="87"/>
      <c r="KWE10" s="87"/>
      <c r="KWF10" s="87"/>
      <c r="KWG10" s="87"/>
      <c r="KWH10" s="87"/>
      <c r="KWI10" s="87"/>
      <c r="KWJ10" s="87"/>
      <c r="KWK10" s="87"/>
      <c r="KWL10" s="87"/>
      <c r="KWM10" s="87"/>
      <c r="KWN10" s="87"/>
      <c r="KWO10" s="87"/>
      <c r="KWP10" s="87"/>
      <c r="KWQ10" s="87"/>
      <c r="KWR10" s="87"/>
      <c r="KWS10" s="87"/>
      <c r="KWT10" s="87"/>
      <c r="KWU10" s="87"/>
      <c r="KWV10" s="87"/>
      <c r="KWW10" s="87"/>
      <c r="KWX10" s="87"/>
      <c r="KWY10" s="87"/>
      <c r="KWZ10" s="87"/>
      <c r="KXA10" s="87"/>
      <c r="KXB10" s="87"/>
      <c r="KXC10" s="87"/>
      <c r="KXD10" s="87"/>
      <c r="KXE10" s="87"/>
      <c r="KXF10" s="87"/>
      <c r="KXG10" s="87"/>
      <c r="KXH10" s="87"/>
      <c r="KXI10" s="87"/>
      <c r="KXJ10" s="87"/>
      <c r="KXK10" s="87"/>
      <c r="KXL10" s="87"/>
      <c r="KXM10" s="87"/>
      <c r="KXN10" s="87"/>
      <c r="KXO10" s="87"/>
      <c r="KXP10" s="87"/>
      <c r="KXQ10" s="87"/>
      <c r="KXR10" s="87"/>
      <c r="KXS10" s="87"/>
      <c r="KXT10" s="87"/>
      <c r="KXU10" s="87"/>
      <c r="KXV10" s="87"/>
      <c r="KXW10" s="87"/>
      <c r="KXX10" s="87"/>
      <c r="KXY10" s="87"/>
      <c r="KXZ10" s="87"/>
      <c r="KYA10" s="87"/>
      <c r="KYB10" s="87"/>
      <c r="KYC10" s="87"/>
      <c r="KYD10" s="87"/>
      <c r="KYE10" s="87"/>
      <c r="KYF10" s="87"/>
      <c r="KYG10" s="87"/>
      <c r="KYH10" s="87"/>
      <c r="KYI10" s="87"/>
      <c r="KYJ10" s="87"/>
      <c r="KYK10" s="87"/>
      <c r="KYL10" s="87"/>
      <c r="KYM10" s="87"/>
      <c r="KYN10" s="87"/>
      <c r="KYO10" s="87"/>
      <c r="KYP10" s="87"/>
      <c r="KYQ10" s="87"/>
      <c r="KYR10" s="87"/>
      <c r="KYS10" s="87"/>
      <c r="KYT10" s="87"/>
      <c r="KYU10" s="87"/>
      <c r="KYV10" s="87"/>
      <c r="KYW10" s="87"/>
      <c r="KYX10" s="87"/>
      <c r="KYY10" s="87"/>
      <c r="KYZ10" s="87"/>
      <c r="KZA10" s="87"/>
      <c r="KZB10" s="87"/>
      <c r="KZC10" s="87"/>
      <c r="KZD10" s="87"/>
      <c r="KZE10" s="87"/>
      <c r="KZF10" s="87"/>
      <c r="KZG10" s="87"/>
      <c r="KZH10" s="87"/>
      <c r="KZI10" s="87"/>
      <c r="KZJ10" s="87"/>
      <c r="KZK10" s="87"/>
      <c r="KZL10" s="87"/>
      <c r="KZM10" s="87"/>
      <c r="KZN10" s="87"/>
      <c r="KZO10" s="87"/>
      <c r="KZP10" s="87"/>
      <c r="KZQ10" s="87"/>
      <c r="KZR10" s="87"/>
      <c r="KZS10" s="87"/>
      <c r="KZT10" s="87"/>
      <c r="KZU10" s="87"/>
      <c r="KZV10" s="87"/>
      <c r="KZW10" s="87"/>
      <c r="KZX10" s="87"/>
      <c r="KZY10" s="87"/>
      <c r="KZZ10" s="87"/>
      <c r="LAA10" s="87"/>
      <c r="LAB10" s="87"/>
      <c r="LAC10" s="87"/>
      <c r="LAD10" s="87"/>
      <c r="LAE10" s="87"/>
      <c r="LAF10" s="87"/>
      <c r="LAG10" s="87"/>
      <c r="LAH10" s="87"/>
      <c r="LAI10" s="87"/>
      <c r="LAJ10" s="87"/>
      <c r="LAK10" s="87"/>
      <c r="LAL10" s="87"/>
      <c r="LAM10" s="87"/>
      <c r="LAN10" s="87"/>
      <c r="LAO10" s="87"/>
      <c r="LAP10" s="87"/>
      <c r="LAQ10" s="87"/>
      <c r="LAR10" s="87"/>
      <c r="LAS10" s="87"/>
      <c r="LAT10" s="87"/>
      <c r="LAU10" s="87"/>
      <c r="LAV10" s="87"/>
      <c r="LAW10" s="87"/>
      <c r="LAX10" s="87"/>
      <c r="LAY10" s="87"/>
      <c r="LAZ10" s="87"/>
      <c r="LBA10" s="87"/>
      <c r="LBB10" s="87"/>
      <c r="LBC10" s="87"/>
      <c r="LBD10" s="87"/>
      <c r="LBE10" s="87"/>
      <c r="LBF10" s="87"/>
      <c r="LBG10" s="87"/>
      <c r="LBH10" s="87"/>
      <c r="LBI10" s="87"/>
      <c r="LBJ10" s="87"/>
      <c r="LBK10" s="87"/>
      <c r="LBL10" s="87"/>
      <c r="LBM10" s="87"/>
      <c r="LBN10" s="87"/>
      <c r="LBO10" s="87"/>
      <c r="LBP10" s="87"/>
      <c r="LBQ10" s="87"/>
      <c r="LBR10" s="87"/>
      <c r="LBS10" s="87"/>
      <c r="LBT10" s="87"/>
      <c r="LBU10" s="87"/>
      <c r="LBV10" s="87"/>
      <c r="LBW10" s="87"/>
      <c r="LBX10" s="87"/>
      <c r="LBY10" s="87"/>
      <c r="LBZ10" s="87"/>
      <c r="LCA10" s="87"/>
      <c r="LCB10" s="87"/>
      <c r="LCC10" s="87"/>
      <c r="LCD10" s="87"/>
      <c r="LCE10" s="87"/>
      <c r="LCF10" s="87"/>
      <c r="LCG10" s="87"/>
      <c r="LCH10" s="87"/>
      <c r="LCI10" s="87"/>
      <c r="LCJ10" s="87"/>
      <c r="LCK10" s="87"/>
      <c r="LCL10" s="87"/>
      <c r="LCM10" s="87"/>
      <c r="LCN10" s="87"/>
      <c r="LCO10" s="87"/>
      <c r="LCP10" s="87"/>
      <c r="LCQ10" s="87"/>
      <c r="LCR10" s="87"/>
      <c r="LCS10" s="87"/>
      <c r="LCT10" s="87"/>
      <c r="LCU10" s="87"/>
      <c r="LCV10" s="87"/>
      <c r="LCW10" s="87"/>
      <c r="LCX10" s="87"/>
      <c r="LCY10" s="87"/>
      <c r="LCZ10" s="87"/>
      <c r="LDA10" s="87"/>
      <c r="LDB10" s="87"/>
      <c r="LDC10" s="87"/>
      <c r="LDD10" s="87"/>
      <c r="LDE10" s="87"/>
      <c r="LDF10" s="87"/>
      <c r="LDG10" s="87"/>
      <c r="LDH10" s="87"/>
      <c r="LDI10" s="87"/>
      <c r="LDJ10" s="87"/>
      <c r="LDK10" s="87"/>
      <c r="LDL10" s="87"/>
      <c r="LDM10" s="87"/>
      <c r="LDN10" s="87"/>
      <c r="LDO10" s="87"/>
      <c r="LDP10" s="87"/>
      <c r="LDQ10" s="87"/>
      <c r="LDR10" s="87"/>
      <c r="LDS10" s="87"/>
      <c r="LDT10" s="87"/>
      <c r="LDU10" s="87"/>
      <c r="LDV10" s="87"/>
      <c r="LDW10" s="87"/>
      <c r="LDX10" s="87"/>
      <c r="LDY10" s="87"/>
      <c r="LDZ10" s="87"/>
      <c r="LEA10" s="87"/>
      <c r="LEB10" s="87"/>
      <c r="LEC10" s="87"/>
      <c r="LED10" s="87"/>
      <c r="LEE10" s="87"/>
      <c r="LEF10" s="87"/>
      <c r="LEG10" s="87"/>
      <c r="LEH10" s="87"/>
      <c r="LEI10" s="87"/>
      <c r="LEJ10" s="87"/>
      <c r="LEK10" s="87"/>
      <c r="LEL10" s="87"/>
      <c r="LEM10" s="87"/>
      <c r="LEN10" s="87"/>
      <c r="LEO10" s="87"/>
      <c r="LEP10" s="87"/>
      <c r="LEQ10" s="87"/>
      <c r="LER10" s="87"/>
      <c r="LES10" s="87"/>
      <c r="LET10" s="87"/>
      <c r="LEU10" s="87"/>
      <c r="LEV10" s="87"/>
      <c r="LEW10" s="87"/>
      <c r="LEX10" s="87"/>
      <c r="LEY10" s="87"/>
      <c r="LEZ10" s="87"/>
      <c r="LFA10" s="87"/>
      <c r="LFB10" s="87"/>
      <c r="LFC10" s="87"/>
      <c r="LFD10" s="87"/>
      <c r="LFE10" s="87"/>
      <c r="LFF10" s="87"/>
      <c r="LFG10" s="87"/>
      <c r="LFH10" s="87"/>
      <c r="LFI10" s="87"/>
      <c r="LFJ10" s="87"/>
      <c r="LFK10" s="87"/>
      <c r="LFL10" s="87"/>
      <c r="LFM10" s="87"/>
      <c r="LFN10" s="87"/>
      <c r="LFO10" s="87"/>
      <c r="LFP10" s="87"/>
      <c r="LFQ10" s="87"/>
      <c r="LFR10" s="87"/>
      <c r="LFS10" s="87"/>
      <c r="LFT10" s="87"/>
      <c r="LFU10" s="87"/>
      <c r="LFV10" s="87"/>
      <c r="LFW10" s="87"/>
      <c r="LFX10" s="87"/>
      <c r="LFY10" s="87"/>
      <c r="LFZ10" s="87"/>
      <c r="LGA10" s="87"/>
      <c r="LGB10" s="87"/>
      <c r="LGC10" s="87"/>
      <c r="LGD10" s="87"/>
      <c r="LGE10" s="87"/>
      <c r="LGF10" s="87"/>
      <c r="LGG10" s="87"/>
      <c r="LGH10" s="87"/>
      <c r="LGI10" s="87"/>
      <c r="LGJ10" s="87"/>
      <c r="LGK10" s="87"/>
      <c r="LGL10" s="87"/>
      <c r="LGM10" s="87"/>
      <c r="LGN10" s="87"/>
      <c r="LGO10" s="87"/>
      <c r="LGP10" s="87"/>
      <c r="LGQ10" s="87"/>
      <c r="LGR10" s="87"/>
      <c r="LGS10" s="87"/>
      <c r="LGT10" s="87"/>
      <c r="LGU10" s="87"/>
      <c r="LGV10" s="87"/>
      <c r="LGW10" s="87"/>
      <c r="LGX10" s="87"/>
      <c r="LGY10" s="87"/>
      <c r="LGZ10" s="87"/>
      <c r="LHA10" s="87"/>
      <c r="LHB10" s="87"/>
      <c r="LHC10" s="87"/>
      <c r="LHD10" s="87"/>
      <c r="LHE10" s="87"/>
      <c r="LHF10" s="87"/>
      <c r="LHG10" s="87"/>
      <c r="LHH10" s="87"/>
      <c r="LHI10" s="87"/>
      <c r="LHJ10" s="87"/>
      <c r="LHK10" s="87"/>
      <c r="LHL10" s="87"/>
      <c r="LHM10" s="87"/>
      <c r="LHN10" s="87"/>
      <c r="LHO10" s="87"/>
      <c r="LHP10" s="87"/>
      <c r="LHQ10" s="87"/>
      <c r="LHR10" s="87"/>
      <c r="LHS10" s="87"/>
      <c r="LHT10" s="87"/>
      <c r="LHU10" s="87"/>
      <c r="LHV10" s="87"/>
      <c r="LHW10" s="87"/>
      <c r="LHX10" s="87"/>
      <c r="LHY10" s="87"/>
      <c r="LHZ10" s="87"/>
      <c r="LIA10" s="87"/>
      <c r="LIB10" s="87"/>
      <c r="LIC10" s="87"/>
      <c r="LID10" s="87"/>
      <c r="LIE10" s="87"/>
      <c r="LIF10" s="87"/>
      <c r="LIG10" s="87"/>
      <c r="LIH10" s="87"/>
      <c r="LII10" s="87"/>
      <c r="LIJ10" s="87"/>
      <c r="LIK10" s="87"/>
      <c r="LIL10" s="87"/>
      <c r="LIM10" s="87"/>
      <c r="LIN10" s="87"/>
      <c r="LIO10" s="87"/>
      <c r="LIP10" s="87"/>
      <c r="LIQ10" s="87"/>
      <c r="LIR10" s="87"/>
      <c r="LIS10" s="87"/>
      <c r="LIT10" s="87"/>
      <c r="LIU10" s="87"/>
      <c r="LIV10" s="87"/>
      <c r="LIW10" s="87"/>
      <c r="LIX10" s="87"/>
      <c r="LIY10" s="87"/>
      <c r="LIZ10" s="87"/>
      <c r="LJA10" s="87"/>
      <c r="LJB10" s="87"/>
      <c r="LJC10" s="87"/>
      <c r="LJD10" s="87"/>
      <c r="LJE10" s="87"/>
      <c r="LJF10" s="87"/>
      <c r="LJG10" s="87"/>
      <c r="LJH10" s="87"/>
      <c r="LJI10" s="87"/>
      <c r="LJJ10" s="87"/>
      <c r="LJK10" s="87"/>
      <c r="LJL10" s="87"/>
      <c r="LJM10" s="87"/>
      <c r="LJN10" s="87"/>
      <c r="LJO10" s="87"/>
      <c r="LJP10" s="87"/>
      <c r="LJQ10" s="87"/>
      <c r="LJR10" s="87"/>
      <c r="LJS10" s="87"/>
      <c r="LJT10" s="87"/>
      <c r="LJU10" s="87"/>
      <c r="LJV10" s="87"/>
      <c r="LJW10" s="87"/>
      <c r="LJX10" s="87"/>
      <c r="LJY10" s="87"/>
      <c r="LJZ10" s="87"/>
      <c r="LKA10" s="87"/>
      <c r="LKB10" s="87"/>
      <c r="LKC10" s="87"/>
      <c r="LKD10" s="87"/>
      <c r="LKE10" s="87"/>
      <c r="LKF10" s="87"/>
      <c r="LKG10" s="87"/>
      <c r="LKH10" s="87"/>
      <c r="LKI10" s="87"/>
      <c r="LKJ10" s="87"/>
      <c r="LKK10" s="87"/>
      <c r="LKL10" s="87"/>
      <c r="LKM10" s="87"/>
      <c r="LKN10" s="87"/>
      <c r="LKO10" s="87"/>
      <c r="LKP10" s="87"/>
      <c r="LKQ10" s="87"/>
      <c r="LKR10" s="87"/>
      <c r="LKS10" s="87"/>
      <c r="LKT10" s="87"/>
      <c r="LKU10" s="87"/>
      <c r="LKV10" s="87"/>
      <c r="LKW10" s="87"/>
      <c r="LKX10" s="87"/>
      <c r="LKY10" s="87"/>
      <c r="LKZ10" s="87"/>
      <c r="LLA10" s="87"/>
      <c r="LLB10" s="87"/>
      <c r="LLC10" s="87"/>
      <c r="LLD10" s="87"/>
      <c r="LLE10" s="87"/>
      <c r="LLF10" s="87"/>
      <c r="LLG10" s="87"/>
      <c r="LLH10" s="87"/>
      <c r="LLI10" s="87"/>
      <c r="LLJ10" s="87"/>
      <c r="LLK10" s="87"/>
      <c r="LLL10" s="87"/>
      <c r="LLM10" s="87"/>
      <c r="LLN10" s="87"/>
      <c r="LLO10" s="87"/>
      <c r="LLP10" s="87"/>
      <c r="LLQ10" s="87"/>
      <c r="LLR10" s="87"/>
      <c r="LLS10" s="87"/>
      <c r="LLT10" s="87"/>
      <c r="LLU10" s="87"/>
      <c r="LLV10" s="87"/>
      <c r="LLW10" s="87"/>
      <c r="LLX10" s="87"/>
      <c r="LLY10" s="87"/>
      <c r="LLZ10" s="87"/>
      <c r="LMA10" s="87"/>
      <c r="LMB10" s="87"/>
      <c r="LMC10" s="87"/>
      <c r="LMD10" s="87"/>
      <c r="LME10" s="87"/>
      <c r="LMF10" s="87"/>
      <c r="LMG10" s="87"/>
      <c r="LMH10" s="87"/>
      <c r="LMI10" s="87"/>
      <c r="LMJ10" s="87"/>
      <c r="LMK10" s="87"/>
      <c r="LML10" s="87"/>
      <c r="LMM10" s="87"/>
      <c r="LMN10" s="87"/>
      <c r="LMO10" s="87"/>
      <c r="LMP10" s="87"/>
      <c r="LMQ10" s="87"/>
      <c r="LMR10" s="87"/>
      <c r="LMS10" s="87"/>
      <c r="LMT10" s="87"/>
      <c r="LMU10" s="87"/>
      <c r="LMV10" s="87"/>
      <c r="LMW10" s="87"/>
      <c r="LMX10" s="87"/>
      <c r="LMY10" s="87"/>
      <c r="LMZ10" s="87"/>
      <c r="LNA10" s="87"/>
      <c r="LNB10" s="87"/>
      <c r="LNC10" s="87"/>
      <c r="LND10" s="87"/>
      <c r="LNE10" s="87"/>
      <c r="LNF10" s="87"/>
      <c r="LNG10" s="87"/>
      <c r="LNH10" s="87"/>
      <c r="LNI10" s="87"/>
      <c r="LNJ10" s="87"/>
      <c r="LNK10" s="87"/>
      <c r="LNL10" s="87"/>
      <c r="LNM10" s="87"/>
      <c r="LNN10" s="87"/>
      <c r="LNO10" s="87"/>
      <c r="LNP10" s="87"/>
      <c r="LNQ10" s="87"/>
      <c r="LNR10" s="87"/>
      <c r="LNS10" s="87"/>
      <c r="LNT10" s="87"/>
      <c r="LNU10" s="87"/>
      <c r="LNV10" s="87"/>
      <c r="LNW10" s="87"/>
      <c r="LNX10" s="87"/>
      <c r="LNY10" s="87"/>
      <c r="LNZ10" s="87"/>
      <c r="LOA10" s="87"/>
      <c r="LOB10" s="87"/>
      <c r="LOC10" s="87"/>
      <c r="LOD10" s="87"/>
      <c r="LOE10" s="87"/>
      <c r="LOF10" s="87"/>
      <c r="LOG10" s="87"/>
      <c r="LOH10" s="87"/>
      <c r="LOI10" s="87"/>
      <c r="LOJ10" s="87"/>
      <c r="LOK10" s="87"/>
      <c r="LOL10" s="87"/>
      <c r="LOM10" s="87"/>
      <c r="LON10" s="87"/>
      <c r="LOO10" s="87"/>
      <c r="LOP10" s="87"/>
      <c r="LOQ10" s="87"/>
      <c r="LOR10" s="87"/>
      <c r="LOS10" s="87"/>
      <c r="LOT10" s="87"/>
      <c r="LOU10" s="87"/>
      <c r="LOV10" s="87"/>
      <c r="LOW10" s="87"/>
      <c r="LOX10" s="87"/>
      <c r="LOY10" s="87"/>
      <c r="LOZ10" s="87"/>
      <c r="LPA10" s="87"/>
      <c r="LPB10" s="87"/>
      <c r="LPC10" s="87"/>
      <c r="LPD10" s="87"/>
      <c r="LPE10" s="87"/>
      <c r="LPF10" s="87"/>
      <c r="LPG10" s="87"/>
      <c r="LPH10" s="87"/>
      <c r="LPI10" s="87"/>
      <c r="LPJ10" s="87"/>
      <c r="LPK10" s="87"/>
      <c r="LPL10" s="87"/>
      <c r="LPM10" s="87"/>
      <c r="LPN10" s="87"/>
      <c r="LPO10" s="87"/>
      <c r="LPP10" s="87"/>
      <c r="LPQ10" s="87"/>
      <c r="LPR10" s="87"/>
      <c r="LPS10" s="87"/>
      <c r="LPT10" s="87"/>
      <c r="LPU10" s="87"/>
      <c r="LPV10" s="87"/>
      <c r="LPW10" s="87"/>
      <c r="LPX10" s="87"/>
      <c r="LPY10" s="87"/>
      <c r="LPZ10" s="87"/>
      <c r="LQA10" s="87"/>
      <c r="LQB10" s="87"/>
      <c r="LQC10" s="87"/>
      <c r="LQD10" s="87"/>
      <c r="LQE10" s="87"/>
      <c r="LQF10" s="87"/>
      <c r="LQG10" s="87"/>
      <c r="LQH10" s="87"/>
      <c r="LQI10" s="87"/>
      <c r="LQJ10" s="87"/>
      <c r="LQK10" s="87"/>
      <c r="LQL10" s="87"/>
      <c r="LQM10" s="87"/>
      <c r="LQN10" s="87"/>
      <c r="LQO10" s="87"/>
      <c r="LQP10" s="87"/>
      <c r="LQQ10" s="87"/>
      <c r="LQR10" s="87"/>
      <c r="LQS10" s="87"/>
      <c r="LQT10" s="87"/>
      <c r="LQU10" s="87"/>
      <c r="LQV10" s="87"/>
      <c r="LQW10" s="87"/>
      <c r="LQX10" s="87"/>
      <c r="LQY10" s="87"/>
      <c r="LQZ10" s="87"/>
      <c r="LRA10" s="87"/>
      <c r="LRB10" s="87"/>
      <c r="LRC10" s="87"/>
      <c r="LRD10" s="87"/>
      <c r="LRE10" s="87"/>
      <c r="LRF10" s="87"/>
      <c r="LRG10" s="87"/>
      <c r="LRH10" s="87"/>
      <c r="LRI10" s="87"/>
      <c r="LRJ10" s="87"/>
      <c r="LRK10" s="87"/>
      <c r="LRL10" s="87"/>
      <c r="LRM10" s="87"/>
      <c r="LRN10" s="87"/>
      <c r="LRO10" s="87"/>
      <c r="LRP10" s="87"/>
      <c r="LRQ10" s="87"/>
      <c r="LRR10" s="87"/>
      <c r="LRS10" s="87"/>
      <c r="LRT10" s="87"/>
      <c r="LRU10" s="87"/>
      <c r="LRV10" s="87"/>
      <c r="LRW10" s="87"/>
      <c r="LRX10" s="87"/>
      <c r="LRY10" s="87"/>
      <c r="LRZ10" s="87"/>
      <c r="LSA10" s="87"/>
      <c r="LSB10" s="87"/>
      <c r="LSC10" s="87"/>
      <c r="LSD10" s="87"/>
      <c r="LSE10" s="87"/>
      <c r="LSF10" s="87"/>
      <c r="LSG10" s="87"/>
      <c r="LSH10" s="87"/>
      <c r="LSI10" s="87"/>
      <c r="LSJ10" s="87"/>
      <c r="LSK10" s="87"/>
      <c r="LSL10" s="87"/>
      <c r="LSM10" s="87"/>
      <c r="LSN10" s="87"/>
      <c r="LSO10" s="87"/>
      <c r="LSP10" s="87"/>
      <c r="LSQ10" s="87"/>
      <c r="LSR10" s="87"/>
      <c r="LSS10" s="87"/>
      <c r="LST10" s="87"/>
      <c r="LSU10" s="87"/>
      <c r="LSV10" s="87"/>
      <c r="LSW10" s="87"/>
      <c r="LSX10" s="87"/>
      <c r="LSY10" s="87"/>
      <c r="LSZ10" s="87"/>
      <c r="LTA10" s="87"/>
      <c r="LTB10" s="87"/>
      <c r="LTC10" s="87"/>
      <c r="LTD10" s="87"/>
      <c r="LTE10" s="87"/>
      <c r="LTF10" s="87"/>
      <c r="LTG10" s="87"/>
      <c r="LTH10" s="87"/>
      <c r="LTI10" s="87"/>
      <c r="LTJ10" s="87"/>
      <c r="LTK10" s="87"/>
      <c r="LTL10" s="87"/>
      <c r="LTM10" s="87"/>
      <c r="LTN10" s="87"/>
      <c r="LTO10" s="87"/>
      <c r="LTP10" s="87"/>
      <c r="LTQ10" s="87"/>
      <c r="LTR10" s="87"/>
      <c r="LTS10" s="87"/>
      <c r="LTT10" s="87"/>
      <c r="LTU10" s="87"/>
      <c r="LTV10" s="87"/>
      <c r="LTW10" s="87"/>
      <c r="LTX10" s="87"/>
      <c r="LTY10" s="87"/>
      <c r="LTZ10" s="87"/>
      <c r="LUA10" s="87"/>
      <c r="LUB10" s="87"/>
      <c r="LUC10" s="87"/>
      <c r="LUD10" s="87"/>
      <c r="LUE10" s="87"/>
      <c r="LUF10" s="87"/>
      <c r="LUG10" s="87"/>
      <c r="LUH10" s="87"/>
      <c r="LUI10" s="87"/>
      <c r="LUJ10" s="87"/>
      <c r="LUK10" s="87"/>
      <c r="LUL10" s="87"/>
      <c r="LUM10" s="87"/>
      <c r="LUN10" s="87"/>
      <c r="LUO10" s="87"/>
      <c r="LUP10" s="87"/>
      <c r="LUQ10" s="87"/>
      <c r="LUR10" s="87"/>
      <c r="LUS10" s="87"/>
      <c r="LUT10" s="87"/>
      <c r="LUU10" s="87"/>
      <c r="LUV10" s="87"/>
      <c r="LUW10" s="87"/>
      <c r="LUX10" s="87"/>
      <c r="LUY10" s="87"/>
      <c r="LUZ10" s="87"/>
      <c r="LVA10" s="87"/>
      <c r="LVB10" s="87"/>
      <c r="LVC10" s="87"/>
      <c r="LVD10" s="87"/>
      <c r="LVE10" s="87"/>
      <c r="LVF10" s="87"/>
      <c r="LVG10" s="87"/>
      <c r="LVH10" s="87"/>
      <c r="LVI10" s="87"/>
      <c r="LVJ10" s="87"/>
      <c r="LVK10" s="87"/>
      <c r="LVL10" s="87"/>
      <c r="LVM10" s="87"/>
      <c r="LVN10" s="87"/>
      <c r="LVO10" s="87"/>
      <c r="LVP10" s="87"/>
      <c r="LVQ10" s="87"/>
      <c r="LVR10" s="87"/>
      <c r="LVS10" s="87"/>
      <c r="LVT10" s="87"/>
      <c r="LVU10" s="87"/>
      <c r="LVV10" s="87"/>
      <c r="LVW10" s="87"/>
      <c r="LVX10" s="87"/>
      <c r="LVY10" s="87"/>
      <c r="LVZ10" s="87"/>
      <c r="LWA10" s="87"/>
      <c r="LWB10" s="87"/>
      <c r="LWC10" s="87"/>
      <c r="LWD10" s="87"/>
      <c r="LWE10" s="87"/>
      <c r="LWF10" s="87"/>
      <c r="LWG10" s="87"/>
      <c r="LWH10" s="87"/>
      <c r="LWI10" s="87"/>
      <c r="LWJ10" s="87"/>
      <c r="LWK10" s="87"/>
      <c r="LWL10" s="87"/>
      <c r="LWM10" s="87"/>
      <c r="LWN10" s="87"/>
      <c r="LWO10" s="87"/>
      <c r="LWP10" s="87"/>
      <c r="LWQ10" s="87"/>
      <c r="LWR10" s="87"/>
      <c r="LWS10" s="87"/>
      <c r="LWT10" s="87"/>
      <c r="LWU10" s="87"/>
      <c r="LWV10" s="87"/>
      <c r="LWW10" s="87"/>
      <c r="LWX10" s="87"/>
      <c r="LWY10" s="87"/>
      <c r="LWZ10" s="87"/>
      <c r="LXA10" s="87"/>
      <c r="LXB10" s="87"/>
      <c r="LXC10" s="87"/>
      <c r="LXD10" s="87"/>
      <c r="LXE10" s="87"/>
      <c r="LXF10" s="87"/>
      <c r="LXG10" s="87"/>
      <c r="LXH10" s="87"/>
      <c r="LXI10" s="87"/>
      <c r="LXJ10" s="87"/>
      <c r="LXK10" s="87"/>
      <c r="LXL10" s="87"/>
      <c r="LXM10" s="87"/>
      <c r="LXN10" s="87"/>
      <c r="LXO10" s="87"/>
      <c r="LXP10" s="87"/>
      <c r="LXQ10" s="87"/>
      <c r="LXR10" s="87"/>
      <c r="LXS10" s="87"/>
      <c r="LXT10" s="87"/>
      <c r="LXU10" s="87"/>
      <c r="LXV10" s="87"/>
      <c r="LXW10" s="87"/>
      <c r="LXX10" s="87"/>
      <c r="LXY10" s="87"/>
      <c r="LXZ10" s="87"/>
      <c r="LYA10" s="87"/>
      <c r="LYB10" s="87"/>
      <c r="LYC10" s="87"/>
      <c r="LYD10" s="87"/>
      <c r="LYE10" s="87"/>
      <c r="LYF10" s="87"/>
      <c r="LYG10" s="87"/>
      <c r="LYH10" s="87"/>
      <c r="LYI10" s="87"/>
      <c r="LYJ10" s="87"/>
      <c r="LYK10" s="87"/>
      <c r="LYL10" s="87"/>
      <c r="LYM10" s="87"/>
      <c r="LYN10" s="87"/>
      <c r="LYO10" s="87"/>
      <c r="LYP10" s="87"/>
      <c r="LYQ10" s="87"/>
      <c r="LYR10" s="87"/>
      <c r="LYS10" s="87"/>
      <c r="LYT10" s="87"/>
      <c r="LYU10" s="87"/>
      <c r="LYV10" s="87"/>
      <c r="LYW10" s="87"/>
      <c r="LYX10" s="87"/>
      <c r="LYY10" s="87"/>
      <c r="LYZ10" s="87"/>
      <c r="LZA10" s="87"/>
      <c r="LZB10" s="87"/>
      <c r="LZC10" s="87"/>
      <c r="LZD10" s="87"/>
      <c r="LZE10" s="87"/>
      <c r="LZF10" s="87"/>
      <c r="LZG10" s="87"/>
      <c r="LZH10" s="87"/>
      <c r="LZI10" s="87"/>
      <c r="LZJ10" s="87"/>
      <c r="LZK10" s="87"/>
      <c r="LZL10" s="87"/>
      <c r="LZM10" s="87"/>
      <c r="LZN10" s="87"/>
      <c r="LZO10" s="87"/>
      <c r="LZP10" s="87"/>
      <c r="LZQ10" s="87"/>
      <c r="LZR10" s="87"/>
      <c r="LZS10" s="87"/>
      <c r="LZT10" s="87"/>
      <c r="LZU10" s="87"/>
      <c r="LZV10" s="87"/>
      <c r="LZW10" s="87"/>
      <c r="LZX10" s="87"/>
      <c r="LZY10" s="87"/>
      <c r="LZZ10" s="87"/>
      <c r="MAA10" s="87"/>
      <c r="MAB10" s="87"/>
      <c r="MAC10" s="87"/>
      <c r="MAD10" s="87"/>
      <c r="MAE10" s="87"/>
      <c r="MAF10" s="87"/>
      <c r="MAG10" s="87"/>
      <c r="MAH10" s="87"/>
      <c r="MAI10" s="87"/>
      <c r="MAJ10" s="87"/>
      <c r="MAK10" s="87"/>
      <c r="MAL10" s="87"/>
      <c r="MAM10" s="87"/>
      <c r="MAN10" s="87"/>
      <c r="MAO10" s="87"/>
      <c r="MAP10" s="87"/>
      <c r="MAQ10" s="87"/>
      <c r="MAR10" s="87"/>
      <c r="MAS10" s="87"/>
      <c r="MAT10" s="87"/>
      <c r="MAU10" s="87"/>
      <c r="MAV10" s="87"/>
      <c r="MAW10" s="87"/>
      <c r="MAX10" s="87"/>
      <c r="MAY10" s="87"/>
      <c r="MAZ10" s="87"/>
      <c r="MBA10" s="87"/>
      <c r="MBB10" s="87"/>
      <c r="MBC10" s="87"/>
      <c r="MBD10" s="87"/>
      <c r="MBE10" s="87"/>
      <c r="MBF10" s="87"/>
      <c r="MBG10" s="87"/>
      <c r="MBH10" s="87"/>
      <c r="MBI10" s="87"/>
      <c r="MBJ10" s="87"/>
      <c r="MBK10" s="87"/>
      <c r="MBL10" s="87"/>
      <c r="MBM10" s="87"/>
      <c r="MBN10" s="87"/>
      <c r="MBO10" s="87"/>
      <c r="MBP10" s="87"/>
      <c r="MBQ10" s="87"/>
      <c r="MBR10" s="87"/>
      <c r="MBS10" s="87"/>
      <c r="MBT10" s="87"/>
      <c r="MBU10" s="87"/>
      <c r="MBV10" s="87"/>
      <c r="MBW10" s="87"/>
      <c r="MBX10" s="87"/>
      <c r="MBY10" s="87"/>
      <c r="MBZ10" s="87"/>
      <c r="MCA10" s="87"/>
      <c r="MCB10" s="87"/>
      <c r="MCC10" s="87"/>
      <c r="MCD10" s="87"/>
      <c r="MCE10" s="87"/>
      <c r="MCF10" s="87"/>
      <c r="MCG10" s="87"/>
      <c r="MCH10" s="87"/>
      <c r="MCI10" s="87"/>
      <c r="MCJ10" s="87"/>
      <c r="MCK10" s="87"/>
      <c r="MCL10" s="87"/>
      <c r="MCM10" s="87"/>
      <c r="MCN10" s="87"/>
      <c r="MCO10" s="87"/>
      <c r="MCP10" s="87"/>
      <c r="MCQ10" s="87"/>
      <c r="MCR10" s="87"/>
      <c r="MCS10" s="87"/>
      <c r="MCT10" s="87"/>
      <c r="MCU10" s="87"/>
      <c r="MCV10" s="87"/>
      <c r="MCW10" s="87"/>
      <c r="MCX10" s="87"/>
      <c r="MCY10" s="87"/>
      <c r="MCZ10" s="87"/>
      <c r="MDA10" s="87"/>
      <c r="MDB10" s="87"/>
      <c r="MDC10" s="87"/>
      <c r="MDD10" s="87"/>
      <c r="MDE10" s="87"/>
      <c r="MDF10" s="87"/>
      <c r="MDG10" s="87"/>
      <c r="MDH10" s="87"/>
      <c r="MDI10" s="87"/>
      <c r="MDJ10" s="87"/>
      <c r="MDK10" s="87"/>
      <c r="MDL10" s="87"/>
      <c r="MDM10" s="87"/>
      <c r="MDN10" s="87"/>
      <c r="MDO10" s="87"/>
      <c r="MDP10" s="87"/>
      <c r="MDQ10" s="87"/>
      <c r="MDR10" s="87"/>
      <c r="MDS10" s="87"/>
      <c r="MDT10" s="87"/>
      <c r="MDU10" s="87"/>
      <c r="MDV10" s="87"/>
      <c r="MDW10" s="87"/>
      <c r="MDX10" s="87"/>
      <c r="MDY10" s="87"/>
      <c r="MDZ10" s="87"/>
      <c r="MEA10" s="87"/>
      <c r="MEB10" s="87"/>
      <c r="MEC10" s="87"/>
      <c r="MED10" s="87"/>
      <c r="MEE10" s="87"/>
      <c r="MEF10" s="87"/>
      <c r="MEG10" s="87"/>
      <c r="MEH10" s="87"/>
      <c r="MEI10" s="87"/>
      <c r="MEJ10" s="87"/>
      <c r="MEK10" s="87"/>
      <c r="MEL10" s="87"/>
      <c r="MEM10" s="87"/>
      <c r="MEN10" s="87"/>
      <c r="MEO10" s="87"/>
      <c r="MEP10" s="87"/>
      <c r="MEQ10" s="87"/>
      <c r="MER10" s="87"/>
      <c r="MES10" s="87"/>
      <c r="MET10" s="87"/>
      <c r="MEU10" s="87"/>
      <c r="MEV10" s="87"/>
      <c r="MEW10" s="87"/>
      <c r="MEX10" s="87"/>
      <c r="MEY10" s="87"/>
      <c r="MEZ10" s="87"/>
      <c r="MFA10" s="87"/>
      <c r="MFB10" s="87"/>
      <c r="MFC10" s="87"/>
      <c r="MFD10" s="87"/>
      <c r="MFE10" s="87"/>
      <c r="MFF10" s="87"/>
      <c r="MFG10" s="87"/>
      <c r="MFH10" s="87"/>
      <c r="MFI10" s="87"/>
      <c r="MFJ10" s="87"/>
      <c r="MFK10" s="87"/>
      <c r="MFL10" s="87"/>
      <c r="MFM10" s="87"/>
      <c r="MFN10" s="87"/>
      <c r="MFO10" s="87"/>
      <c r="MFP10" s="87"/>
      <c r="MFQ10" s="87"/>
      <c r="MFR10" s="87"/>
      <c r="MFS10" s="87"/>
      <c r="MFT10" s="87"/>
      <c r="MFU10" s="87"/>
      <c r="MFV10" s="87"/>
      <c r="MFW10" s="87"/>
      <c r="MFX10" s="87"/>
      <c r="MFY10" s="87"/>
      <c r="MFZ10" s="87"/>
      <c r="MGA10" s="87"/>
      <c r="MGB10" s="87"/>
      <c r="MGC10" s="87"/>
      <c r="MGD10" s="87"/>
      <c r="MGE10" s="87"/>
      <c r="MGF10" s="87"/>
      <c r="MGG10" s="87"/>
      <c r="MGH10" s="87"/>
      <c r="MGI10" s="87"/>
      <c r="MGJ10" s="87"/>
      <c r="MGK10" s="87"/>
      <c r="MGL10" s="87"/>
      <c r="MGM10" s="87"/>
      <c r="MGN10" s="87"/>
      <c r="MGO10" s="87"/>
      <c r="MGP10" s="87"/>
      <c r="MGQ10" s="87"/>
      <c r="MGR10" s="87"/>
      <c r="MGS10" s="87"/>
      <c r="MGT10" s="87"/>
      <c r="MGU10" s="87"/>
      <c r="MGV10" s="87"/>
      <c r="MGW10" s="87"/>
      <c r="MGX10" s="87"/>
      <c r="MGY10" s="87"/>
      <c r="MGZ10" s="87"/>
      <c r="MHA10" s="87"/>
      <c r="MHB10" s="87"/>
      <c r="MHC10" s="87"/>
      <c r="MHD10" s="87"/>
      <c r="MHE10" s="87"/>
      <c r="MHF10" s="87"/>
      <c r="MHG10" s="87"/>
      <c r="MHH10" s="87"/>
      <c r="MHI10" s="87"/>
      <c r="MHJ10" s="87"/>
      <c r="MHK10" s="87"/>
      <c r="MHL10" s="87"/>
      <c r="MHM10" s="87"/>
      <c r="MHN10" s="87"/>
      <c r="MHO10" s="87"/>
      <c r="MHP10" s="87"/>
      <c r="MHQ10" s="87"/>
      <c r="MHR10" s="87"/>
      <c r="MHS10" s="87"/>
      <c r="MHT10" s="87"/>
      <c r="MHU10" s="87"/>
      <c r="MHV10" s="87"/>
      <c r="MHW10" s="87"/>
      <c r="MHX10" s="87"/>
      <c r="MHY10" s="87"/>
      <c r="MHZ10" s="87"/>
      <c r="MIA10" s="87"/>
      <c r="MIB10" s="87"/>
      <c r="MIC10" s="87"/>
      <c r="MID10" s="87"/>
      <c r="MIE10" s="87"/>
      <c r="MIF10" s="87"/>
      <c r="MIG10" s="87"/>
      <c r="MIH10" s="87"/>
      <c r="MII10" s="87"/>
      <c r="MIJ10" s="87"/>
      <c r="MIK10" s="87"/>
      <c r="MIL10" s="87"/>
      <c r="MIM10" s="87"/>
      <c r="MIN10" s="87"/>
      <c r="MIO10" s="87"/>
      <c r="MIP10" s="87"/>
      <c r="MIQ10" s="87"/>
      <c r="MIR10" s="87"/>
      <c r="MIS10" s="87"/>
      <c r="MIT10" s="87"/>
      <c r="MIU10" s="87"/>
      <c r="MIV10" s="87"/>
      <c r="MIW10" s="87"/>
      <c r="MIX10" s="87"/>
      <c r="MIY10" s="87"/>
      <c r="MIZ10" s="87"/>
      <c r="MJA10" s="87"/>
      <c r="MJB10" s="87"/>
      <c r="MJC10" s="87"/>
      <c r="MJD10" s="87"/>
      <c r="MJE10" s="87"/>
      <c r="MJF10" s="87"/>
      <c r="MJG10" s="87"/>
      <c r="MJH10" s="87"/>
      <c r="MJI10" s="87"/>
      <c r="MJJ10" s="87"/>
      <c r="MJK10" s="87"/>
      <c r="MJL10" s="87"/>
      <c r="MJM10" s="87"/>
      <c r="MJN10" s="87"/>
      <c r="MJO10" s="87"/>
      <c r="MJP10" s="87"/>
      <c r="MJQ10" s="87"/>
      <c r="MJR10" s="87"/>
      <c r="MJS10" s="87"/>
      <c r="MJT10" s="87"/>
      <c r="MJU10" s="87"/>
      <c r="MJV10" s="87"/>
      <c r="MJW10" s="87"/>
      <c r="MJX10" s="87"/>
      <c r="MJY10" s="87"/>
      <c r="MJZ10" s="87"/>
      <c r="MKA10" s="87"/>
      <c r="MKB10" s="87"/>
      <c r="MKC10" s="87"/>
      <c r="MKD10" s="87"/>
      <c r="MKE10" s="87"/>
      <c r="MKF10" s="87"/>
      <c r="MKG10" s="87"/>
      <c r="MKH10" s="87"/>
      <c r="MKI10" s="87"/>
      <c r="MKJ10" s="87"/>
      <c r="MKK10" s="87"/>
      <c r="MKL10" s="87"/>
      <c r="MKM10" s="87"/>
      <c r="MKN10" s="87"/>
      <c r="MKO10" s="87"/>
      <c r="MKP10" s="87"/>
      <c r="MKQ10" s="87"/>
      <c r="MKR10" s="87"/>
      <c r="MKS10" s="87"/>
      <c r="MKT10" s="87"/>
      <c r="MKU10" s="87"/>
      <c r="MKV10" s="87"/>
      <c r="MKW10" s="87"/>
      <c r="MKX10" s="87"/>
      <c r="MKY10" s="87"/>
      <c r="MKZ10" s="87"/>
      <c r="MLA10" s="87"/>
      <c r="MLB10" s="87"/>
      <c r="MLC10" s="87"/>
      <c r="MLD10" s="87"/>
      <c r="MLE10" s="87"/>
      <c r="MLF10" s="87"/>
      <c r="MLG10" s="87"/>
      <c r="MLH10" s="87"/>
      <c r="MLI10" s="87"/>
      <c r="MLJ10" s="87"/>
      <c r="MLK10" s="87"/>
      <c r="MLL10" s="87"/>
      <c r="MLM10" s="87"/>
      <c r="MLN10" s="87"/>
      <c r="MLO10" s="87"/>
      <c r="MLP10" s="87"/>
      <c r="MLQ10" s="87"/>
      <c r="MLR10" s="87"/>
      <c r="MLS10" s="87"/>
      <c r="MLT10" s="87"/>
      <c r="MLU10" s="87"/>
      <c r="MLV10" s="87"/>
      <c r="MLW10" s="87"/>
      <c r="MLX10" s="87"/>
      <c r="MLY10" s="87"/>
      <c r="MLZ10" s="87"/>
      <c r="MMA10" s="87"/>
      <c r="MMB10" s="87"/>
      <c r="MMC10" s="87"/>
      <c r="MMD10" s="87"/>
      <c r="MME10" s="87"/>
      <c r="MMF10" s="87"/>
      <c r="MMG10" s="87"/>
      <c r="MMH10" s="87"/>
      <c r="MMI10" s="87"/>
      <c r="MMJ10" s="87"/>
      <c r="MMK10" s="87"/>
      <c r="MML10" s="87"/>
      <c r="MMM10" s="87"/>
      <c r="MMN10" s="87"/>
      <c r="MMO10" s="87"/>
      <c r="MMP10" s="87"/>
      <c r="MMQ10" s="87"/>
      <c r="MMR10" s="87"/>
      <c r="MMS10" s="87"/>
      <c r="MMT10" s="87"/>
      <c r="MMU10" s="87"/>
      <c r="MMV10" s="87"/>
      <c r="MMW10" s="87"/>
      <c r="MMX10" s="87"/>
      <c r="MMY10" s="87"/>
      <c r="MMZ10" s="87"/>
      <c r="MNA10" s="87"/>
      <c r="MNB10" s="87"/>
      <c r="MNC10" s="87"/>
      <c r="MND10" s="87"/>
      <c r="MNE10" s="87"/>
      <c r="MNF10" s="87"/>
      <c r="MNG10" s="87"/>
      <c r="MNH10" s="87"/>
      <c r="MNI10" s="87"/>
      <c r="MNJ10" s="87"/>
      <c r="MNK10" s="87"/>
      <c r="MNL10" s="87"/>
      <c r="MNM10" s="87"/>
      <c r="MNN10" s="87"/>
      <c r="MNO10" s="87"/>
      <c r="MNP10" s="87"/>
      <c r="MNQ10" s="87"/>
      <c r="MNR10" s="87"/>
      <c r="MNS10" s="87"/>
      <c r="MNT10" s="87"/>
      <c r="MNU10" s="87"/>
      <c r="MNV10" s="87"/>
      <c r="MNW10" s="87"/>
      <c r="MNX10" s="87"/>
      <c r="MNY10" s="87"/>
      <c r="MNZ10" s="87"/>
      <c r="MOA10" s="87"/>
      <c r="MOB10" s="87"/>
      <c r="MOC10" s="87"/>
      <c r="MOD10" s="87"/>
      <c r="MOE10" s="87"/>
      <c r="MOF10" s="87"/>
      <c r="MOG10" s="87"/>
      <c r="MOH10" s="87"/>
      <c r="MOI10" s="87"/>
      <c r="MOJ10" s="87"/>
      <c r="MOK10" s="87"/>
      <c r="MOL10" s="87"/>
      <c r="MOM10" s="87"/>
      <c r="MON10" s="87"/>
      <c r="MOO10" s="87"/>
      <c r="MOP10" s="87"/>
      <c r="MOQ10" s="87"/>
      <c r="MOR10" s="87"/>
      <c r="MOS10" s="87"/>
      <c r="MOT10" s="87"/>
      <c r="MOU10" s="87"/>
      <c r="MOV10" s="87"/>
      <c r="MOW10" s="87"/>
      <c r="MOX10" s="87"/>
      <c r="MOY10" s="87"/>
      <c r="MOZ10" s="87"/>
      <c r="MPA10" s="87"/>
      <c r="MPB10" s="87"/>
      <c r="MPC10" s="87"/>
      <c r="MPD10" s="87"/>
      <c r="MPE10" s="87"/>
      <c r="MPF10" s="87"/>
      <c r="MPG10" s="87"/>
      <c r="MPH10" s="87"/>
      <c r="MPI10" s="87"/>
      <c r="MPJ10" s="87"/>
      <c r="MPK10" s="87"/>
      <c r="MPL10" s="87"/>
      <c r="MPM10" s="87"/>
      <c r="MPN10" s="87"/>
      <c r="MPO10" s="87"/>
      <c r="MPP10" s="87"/>
      <c r="MPQ10" s="87"/>
      <c r="MPR10" s="87"/>
      <c r="MPS10" s="87"/>
      <c r="MPT10" s="87"/>
      <c r="MPU10" s="87"/>
      <c r="MPV10" s="87"/>
      <c r="MPW10" s="87"/>
      <c r="MPX10" s="87"/>
      <c r="MPY10" s="87"/>
      <c r="MPZ10" s="87"/>
      <c r="MQA10" s="87"/>
      <c r="MQB10" s="87"/>
      <c r="MQC10" s="87"/>
      <c r="MQD10" s="87"/>
      <c r="MQE10" s="87"/>
      <c r="MQF10" s="87"/>
      <c r="MQG10" s="87"/>
      <c r="MQH10" s="87"/>
      <c r="MQI10" s="87"/>
      <c r="MQJ10" s="87"/>
      <c r="MQK10" s="87"/>
      <c r="MQL10" s="87"/>
      <c r="MQM10" s="87"/>
      <c r="MQN10" s="87"/>
      <c r="MQO10" s="87"/>
      <c r="MQP10" s="87"/>
      <c r="MQQ10" s="87"/>
      <c r="MQR10" s="87"/>
      <c r="MQS10" s="87"/>
      <c r="MQT10" s="87"/>
      <c r="MQU10" s="87"/>
      <c r="MQV10" s="87"/>
      <c r="MQW10" s="87"/>
      <c r="MQX10" s="87"/>
      <c r="MQY10" s="87"/>
      <c r="MQZ10" s="87"/>
      <c r="MRA10" s="87"/>
      <c r="MRB10" s="87"/>
      <c r="MRC10" s="87"/>
      <c r="MRD10" s="87"/>
      <c r="MRE10" s="87"/>
      <c r="MRF10" s="87"/>
      <c r="MRG10" s="87"/>
      <c r="MRH10" s="87"/>
      <c r="MRI10" s="87"/>
      <c r="MRJ10" s="87"/>
      <c r="MRK10" s="87"/>
      <c r="MRL10" s="87"/>
      <c r="MRM10" s="87"/>
      <c r="MRN10" s="87"/>
      <c r="MRO10" s="87"/>
      <c r="MRP10" s="87"/>
      <c r="MRQ10" s="87"/>
      <c r="MRR10" s="87"/>
      <c r="MRS10" s="87"/>
      <c r="MRT10" s="87"/>
      <c r="MRU10" s="87"/>
      <c r="MRV10" s="87"/>
      <c r="MRW10" s="87"/>
      <c r="MRX10" s="87"/>
      <c r="MRY10" s="87"/>
      <c r="MRZ10" s="87"/>
      <c r="MSA10" s="87"/>
      <c r="MSB10" s="87"/>
      <c r="MSC10" s="87"/>
      <c r="MSD10" s="87"/>
      <c r="MSE10" s="87"/>
      <c r="MSF10" s="87"/>
      <c r="MSG10" s="87"/>
      <c r="MSH10" s="87"/>
      <c r="MSI10" s="87"/>
      <c r="MSJ10" s="87"/>
      <c r="MSK10" s="87"/>
      <c r="MSL10" s="87"/>
      <c r="MSM10" s="87"/>
      <c r="MSN10" s="87"/>
      <c r="MSO10" s="87"/>
      <c r="MSP10" s="87"/>
      <c r="MSQ10" s="87"/>
      <c r="MSR10" s="87"/>
      <c r="MSS10" s="87"/>
      <c r="MST10" s="87"/>
      <c r="MSU10" s="87"/>
      <c r="MSV10" s="87"/>
      <c r="MSW10" s="87"/>
      <c r="MSX10" s="87"/>
      <c r="MSY10" s="87"/>
      <c r="MSZ10" s="87"/>
      <c r="MTA10" s="87"/>
      <c r="MTB10" s="87"/>
      <c r="MTC10" s="87"/>
      <c r="MTD10" s="87"/>
      <c r="MTE10" s="87"/>
      <c r="MTF10" s="87"/>
      <c r="MTG10" s="87"/>
      <c r="MTH10" s="87"/>
      <c r="MTI10" s="87"/>
      <c r="MTJ10" s="87"/>
      <c r="MTK10" s="87"/>
      <c r="MTL10" s="87"/>
      <c r="MTM10" s="87"/>
      <c r="MTN10" s="87"/>
      <c r="MTO10" s="87"/>
      <c r="MTP10" s="87"/>
      <c r="MTQ10" s="87"/>
      <c r="MTR10" s="87"/>
      <c r="MTS10" s="87"/>
      <c r="MTT10" s="87"/>
      <c r="MTU10" s="87"/>
      <c r="MTV10" s="87"/>
      <c r="MTW10" s="87"/>
      <c r="MTX10" s="87"/>
      <c r="MTY10" s="87"/>
      <c r="MTZ10" s="87"/>
      <c r="MUA10" s="87"/>
      <c r="MUB10" s="87"/>
      <c r="MUC10" s="87"/>
      <c r="MUD10" s="87"/>
      <c r="MUE10" s="87"/>
      <c r="MUF10" s="87"/>
      <c r="MUG10" s="87"/>
      <c r="MUH10" s="87"/>
      <c r="MUI10" s="87"/>
      <c r="MUJ10" s="87"/>
      <c r="MUK10" s="87"/>
      <c r="MUL10" s="87"/>
      <c r="MUM10" s="87"/>
      <c r="MUN10" s="87"/>
      <c r="MUO10" s="87"/>
      <c r="MUP10" s="87"/>
      <c r="MUQ10" s="87"/>
      <c r="MUR10" s="87"/>
      <c r="MUS10" s="87"/>
      <c r="MUT10" s="87"/>
      <c r="MUU10" s="87"/>
      <c r="MUV10" s="87"/>
      <c r="MUW10" s="87"/>
      <c r="MUX10" s="87"/>
      <c r="MUY10" s="87"/>
      <c r="MUZ10" s="87"/>
      <c r="MVA10" s="87"/>
      <c r="MVB10" s="87"/>
      <c r="MVC10" s="87"/>
      <c r="MVD10" s="87"/>
      <c r="MVE10" s="87"/>
      <c r="MVF10" s="87"/>
      <c r="MVG10" s="87"/>
      <c r="MVH10" s="87"/>
      <c r="MVI10" s="87"/>
      <c r="MVJ10" s="87"/>
      <c r="MVK10" s="87"/>
      <c r="MVL10" s="87"/>
      <c r="MVM10" s="87"/>
      <c r="MVN10" s="87"/>
      <c r="MVO10" s="87"/>
      <c r="MVP10" s="87"/>
      <c r="MVQ10" s="87"/>
      <c r="MVR10" s="87"/>
      <c r="MVS10" s="87"/>
      <c r="MVT10" s="87"/>
      <c r="MVU10" s="87"/>
      <c r="MVV10" s="87"/>
      <c r="MVW10" s="87"/>
      <c r="MVX10" s="87"/>
      <c r="MVY10" s="87"/>
      <c r="MVZ10" s="87"/>
      <c r="MWA10" s="87"/>
      <c r="MWB10" s="87"/>
      <c r="MWC10" s="87"/>
      <c r="MWD10" s="87"/>
      <c r="MWE10" s="87"/>
      <c r="MWF10" s="87"/>
      <c r="MWG10" s="87"/>
      <c r="MWH10" s="87"/>
      <c r="MWI10" s="87"/>
      <c r="MWJ10" s="87"/>
      <c r="MWK10" s="87"/>
      <c r="MWL10" s="87"/>
      <c r="MWM10" s="87"/>
      <c r="MWN10" s="87"/>
      <c r="MWO10" s="87"/>
      <c r="MWP10" s="87"/>
      <c r="MWQ10" s="87"/>
      <c r="MWR10" s="87"/>
      <c r="MWS10" s="87"/>
      <c r="MWT10" s="87"/>
      <c r="MWU10" s="87"/>
      <c r="MWV10" s="87"/>
      <c r="MWW10" s="87"/>
      <c r="MWX10" s="87"/>
      <c r="MWY10" s="87"/>
      <c r="MWZ10" s="87"/>
      <c r="MXA10" s="87"/>
      <c r="MXB10" s="87"/>
      <c r="MXC10" s="87"/>
      <c r="MXD10" s="87"/>
      <c r="MXE10" s="87"/>
      <c r="MXF10" s="87"/>
      <c r="MXG10" s="87"/>
      <c r="MXH10" s="87"/>
      <c r="MXI10" s="87"/>
      <c r="MXJ10" s="87"/>
      <c r="MXK10" s="87"/>
      <c r="MXL10" s="87"/>
      <c r="MXM10" s="87"/>
      <c r="MXN10" s="87"/>
      <c r="MXO10" s="87"/>
      <c r="MXP10" s="87"/>
      <c r="MXQ10" s="87"/>
      <c r="MXR10" s="87"/>
      <c r="MXS10" s="87"/>
      <c r="MXT10" s="87"/>
      <c r="MXU10" s="87"/>
      <c r="MXV10" s="87"/>
      <c r="MXW10" s="87"/>
      <c r="MXX10" s="87"/>
      <c r="MXY10" s="87"/>
      <c r="MXZ10" s="87"/>
      <c r="MYA10" s="87"/>
      <c r="MYB10" s="87"/>
      <c r="MYC10" s="87"/>
      <c r="MYD10" s="87"/>
      <c r="MYE10" s="87"/>
      <c r="MYF10" s="87"/>
      <c r="MYG10" s="87"/>
      <c r="MYH10" s="87"/>
      <c r="MYI10" s="87"/>
      <c r="MYJ10" s="87"/>
      <c r="MYK10" s="87"/>
      <c r="MYL10" s="87"/>
      <c r="MYM10" s="87"/>
      <c r="MYN10" s="87"/>
      <c r="MYO10" s="87"/>
      <c r="MYP10" s="87"/>
      <c r="MYQ10" s="87"/>
      <c r="MYR10" s="87"/>
      <c r="MYS10" s="87"/>
      <c r="MYT10" s="87"/>
      <c r="MYU10" s="87"/>
      <c r="MYV10" s="87"/>
      <c r="MYW10" s="87"/>
      <c r="MYX10" s="87"/>
      <c r="MYY10" s="87"/>
      <c r="MYZ10" s="87"/>
      <c r="MZA10" s="87"/>
      <c r="MZB10" s="87"/>
      <c r="MZC10" s="87"/>
      <c r="MZD10" s="87"/>
      <c r="MZE10" s="87"/>
      <c r="MZF10" s="87"/>
      <c r="MZG10" s="87"/>
      <c r="MZH10" s="87"/>
      <c r="MZI10" s="87"/>
      <c r="MZJ10" s="87"/>
      <c r="MZK10" s="87"/>
      <c r="MZL10" s="87"/>
      <c r="MZM10" s="87"/>
      <c r="MZN10" s="87"/>
      <c r="MZO10" s="87"/>
      <c r="MZP10" s="87"/>
      <c r="MZQ10" s="87"/>
      <c r="MZR10" s="87"/>
      <c r="MZS10" s="87"/>
      <c r="MZT10" s="87"/>
      <c r="MZU10" s="87"/>
      <c r="MZV10" s="87"/>
      <c r="MZW10" s="87"/>
      <c r="MZX10" s="87"/>
      <c r="MZY10" s="87"/>
      <c r="MZZ10" s="87"/>
      <c r="NAA10" s="87"/>
      <c r="NAB10" s="87"/>
      <c r="NAC10" s="87"/>
      <c r="NAD10" s="87"/>
      <c r="NAE10" s="87"/>
      <c r="NAF10" s="87"/>
      <c r="NAG10" s="87"/>
      <c r="NAH10" s="87"/>
      <c r="NAI10" s="87"/>
      <c r="NAJ10" s="87"/>
      <c r="NAK10" s="87"/>
      <c r="NAL10" s="87"/>
      <c r="NAM10" s="87"/>
      <c r="NAN10" s="87"/>
      <c r="NAO10" s="87"/>
      <c r="NAP10" s="87"/>
      <c r="NAQ10" s="87"/>
      <c r="NAR10" s="87"/>
      <c r="NAS10" s="87"/>
      <c r="NAT10" s="87"/>
      <c r="NAU10" s="87"/>
      <c r="NAV10" s="87"/>
      <c r="NAW10" s="87"/>
      <c r="NAX10" s="87"/>
      <c r="NAY10" s="87"/>
      <c r="NAZ10" s="87"/>
      <c r="NBA10" s="87"/>
      <c r="NBB10" s="87"/>
      <c r="NBC10" s="87"/>
      <c r="NBD10" s="87"/>
      <c r="NBE10" s="87"/>
      <c r="NBF10" s="87"/>
      <c r="NBG10" s="87"/>
      <c r="NBH10" s="87"/>
      <c r="NBI10" s="87"/>
      <c r="NBJ10" s="87"/>
      <c r="NBK10" s="87"/>
      <c r="NBL10" s="87"/>
      <c r="NBM10" s="87"/>
      <c r="NBN10" s="87"/>
      <c r="NBO10" s="87"/>
      <c r="NBP10" s="87"/>
      <c r="NBQ10" s="87"/>
      <c r="NBR10" s="87"/>
      <c r="NBS10" s="87"/>
      <c r="NBT10" s="87"/>
      <c r="NBU10" s="87"/>
      <c r="NBV10" s="87"/>
      <c r="NBW10" s="87"/>
      <c r="NBX10" s="87"/>
      <c r="NBY10" s="87"/>
      <c r="NBZ10" s="87"/>
      <c r="NCA10" s="87"/>
      <c r="NCB10" s="87"/>
      <c r="NCC10" s="87"/>
      <c r="NCD10" s="87"/>
      <c r="NCE10" s="87"/>
      <c r="NCF10" s="87"/>
      <c r="NCG10" s="87"/>
      <c r="NCH10" s="87"/>
      <c r="NCI10" s="87"/>
      <c r="NCJ10" s="87"/>
      <c r="NCK10" s="87"/>
      <c r="NCL10" s="87"/>
      <c r="NCM10" s="87"/>
      <c r="NCN10" s="87"/>
      <c r="NCO10" s="87"/>
      <c r="NCP10" s="87"/>
      <c r="NCQ10" s="87"/>
      <c r="NCR10" s="87"/>
      <c r="NCS10" s="87"/>
      <c r="NCT10" s="87"/>
      <c r="NCU10" s="87"/>
      <c r="NCV10" s="87"/>
      <c r="NCW10" s="87"/>
      <c r="NCX10" s="87"/>
      <c r="NCY10" s="87"/>
      <c r="NCZ10" s="87"/>
      <c r="NDA10" s="87"/>
      <c r="NDB10" s="87"/>
      <c r="NDC10" s="87"/>
      <c r="NDD10" s="87"/>
      <c r="NDE10" s="87"/>
      <c r="NDF10" s="87"/>
      <c r="NDG10" s="87"/>
      <c r="NDH10" s="87"/>
      <c r="NDI10" s="87"/>
      <c r="NDJ10" s="87"/>
      <c r="NDK10" s="87"/>
      <c r="NDL10" s="87"/>
      <c r="NDM10" s="87"/>
      <c r="NDN10" s="87"/>
      <c r="NDO10" s="87"/>
      <c r="NDP10" s="87"/>
      <c r="NDQ10" s="87"/>
      <c r="NDR10" s="87"/>
      <c r="NDS10" s="87"/>
      <c r="NDT10" s="87"/>
      <c r="NDU10" s="87"/>
      <c r="NDV10" s="87"/>
      <c r="NDW10" s="87"/>
      <c r="NDX10" s="87"/>
      <c r="NDY10" s="87"/>
      <c r="NDZ10" s="87"/>
      <c r="NEA10" s="87"/>
      <c r="NEB10" s="87"/>
      <c r="NEC10" s="87"/>
      <c r="NED10" s="87"/>
      <c r="NEE10" s="87"/>
      <c r="NEF10" s="87"/>
      <c r="NEG10" s="87"/>
      <c r="NEH10" s="87"/>
      <c r="NEI10" s="87"/>
      <c r="NEJ10" s="87"/>
      <c r="NEK10" s="87"/>
      <c r="NEL10" s="87"/>
      <c r="NEM10" s="87"/>
      <c r="NEN10" s="87"/>
      <c r="NEO10" s="87"/>
      <c r="NEP10" s="87"/>
      <c r="NEQ10" s="87"/>
      <c r="NER10" s="87"/>
      <c r="NES10" s="87"/>
      <c r="NET10" s="87"/>
      <c r="NEU10" s="87"/>
      <c r="NEV10" s="87"/>
      <c r="NEW10" s="87"/>
      <c r="NEX10" s="87"/>
      <c r="NEY10" s="87"/>
      <c r="NEZ10" s="87"/>
      <c r="NFA10" s="87"/>
      <c r="NFB10" s="87"/>
      <c r="NFC10" s="87"/>
      <c r="NFD10" s="87"/>
      <c r="NFE10" s="87"/>
      <c r="NFF10" s="87"/>
      <c r="NFG10" s="87"/>
      <c r="NFH10" s="87"/>
      <c r="NFI10" s="87"/>
      <c r="NFJ10" s="87"/>
      <c r="NFK10" s="87"/>
      <c r="NFL10" s="87"/>
      <c r="NFM10" s="87"/>
      <c r="NFN10" s="87"/>
      <c r="NFO10" s="87"/>
      <c r="NFP10" s="87"/>
      <c r="NFQ10" s="87"/>
      <c r="NFR10" s="87"/>
      <c r="NFS10" s="87"/>
      <c r="NFT10" s="87"/>
      <c r="NFU10" s="87"/>
      <c r="NFV10" s="87"/>
      <c r="NFW10" s="87"/>
      <c r="NFX10" s="87"/>
      <c r="NFY10" s="87"/>
      <c r="NFZ10" s="87"/>
      <c r="NGA10" s="87"/>
      <c r="NGB10" s="87"/>
      <c r="NGC10" s="87"/>
      <c r="NGD10" s="87"/>
      <c r="NGE10" s="87"/>
      <c r="NGF10" s="87"/>
      <c r="NGG10" s="87"/>
      <c r="NGH10" s="87"/>
      <c r="NGI10" s="87"/>
      <c r="NGJ10" s="87"/>
      <c r="NGK10" s="87"/>
      <c r="NGL10" s="87"/>
      <c r="NGM10" s="87"/>
      <c r="NGN10" s="87"/>
      <c r="NGO10" s="87"/>
      <c r="NGP10" s="87"/>
      <c r="NGQ10" s="87"/>
      <c r="NGR10" s="87"/>
      <c r="NGS10" s="87"/>
      <c r="NGT10" s="87"/>
      <c r="NGU10" s="87"/>
      <c r="NGV10" s="87"/>
      <c r="NGW10" s="87"/>
      <c r="NGX10" s="87"/>
      <c r="NGY10" s="87"/>
      <c r="NGZ10" s="87"/>
      <c r="NHA10" s="87"/>
      <c r="NHB10" s="87"/>
      <c r="NHC10" s="87"/>
      <c r="NHD10" s="87"/>
      <c r="NHE10" s="87"/>
      <c r="NHF10" s="87"/>
      <c r="NHG10" s="87"/>
      <c r="NHH10" s="87"/>
      <c r="NHI10" s="87"/>
      <c r="NHJ10" s="87"/>
      <c r="NHK10" s="87"/>
      <c r="NHL10" s="87"/>
      <c r="NHM10" s="87"/>
      <c r="NHN10" s="87"/>
      <c r="NHO10" s="87"/>
      <c r="NHP10" s="87"/>
      <c r="NHQ10" s="87"/>
      <c r="NHR10" s="87"/>
      <c r="NHS10" s="87"/>
      <c r="NHT10" s="87"/>
      <c r="NHU10" s="87"/>
      <c r="NHV10" s="87"/>
      <c r="NHW10" s="87"/>
      <c r="NHX10" s="87"/>
      <c r="NHY10" s="87"/>
      <c r="NHZ10" s="87"/>
      <c r="NIA10" s="87"/>
      <c r="NIB10" s="87"/>
      <c r="NIC10" s="87"/>
      <c r="NID10" s="87"/>
      <c r="NIE10" s="87"/>
      <c r="NIF10" s="87"/>
      <c r="NIG10" s="87"/>
      <c r="NIH10" s="87"/>
      <c r="NII10" s="87"/>
      <c r="NIJ10" s="87"/>
      <c r="NIK10" s="87"/>
      <c r="NIL10" s="87"/>
      <c r="NIM10" s="87"/>
      <c r="NIN10" s="87"/>
      <c r="NIO10" s="87"/>
      <c r="NIP10" s="87"/>
      <c r="NIQ10" s="87"/>
      <c r="NIR10" s="87"/>
      <c r="NIS10" s="87"/>
      <c r="NIT10" s="87"/>
      <c r="NIU10" s="87"/>
      <c r="NIV10" s="87"/>
      <c r="NIW10" s="87"/>
      <c r="NIX10" s="87"/>
      <c r="NIY10" s="87"/>
      <c r="NIZ10" s="87"/>
      <c r="NJA10" s="87"/>
      <c r="NJB10" s="87"/>
      <c r="NJC10" s="87"/>
      <c r="NJD10" s="87"/>
      <c r="NJE10" s="87"/>
      <c r="NJF10" s="87"/>
      <c r="NJG10" s="87"/>
      <c r="NJH10" s="87"/>
      <c r="NJI10" s="87"/>
      <c r="NJJ10" s="87"/>
      <c r="NJK10" s="87"/>
      <c r="NJL10" s="87"/>
      <c r="NJM10" s="87"/>
      <c r="NJN10" s="87"/>
      <c r="NJO10" s="87"/>
      <c r="NJP10" s="87"/>
      <c r="NJQ10" s="87"/>
      <c r="NJR10" s="87"/>
      <c r="NJS10" s="87"/>
      <c r="NJT10" s="87"/>
      <c r="NJU10" s="87"/>
      <c r="NJV10" s="87"/>
      <c r="NJW10" s="87"/>
      <c r="NJX10" s="87"/>
      <c r="NJY10" s="87"/>
      <c r="NJZ10" s="87"/>
      <c r="NKA10" s="87"/>
      <c r="NKB10" s="87"/>
      <c r="NKC10" s="87"/>
      <c r="NKD10" s="87"/>
      <c r="NKE10" s="87"/>
      <c r="NKF10" s="87"/>
      <c r="NKG10" s="87"/>
      <c r="NKH10" s="87"/>
      <c r="NKI10" s="87"/>
      <c r="NKJ10" s="87"/>
      <c r="NKK10" s="87"/>
      <c r="NKL10" s="87"/>
      <c r="NKM10" s="87"/>
      <c r="NKN10" s="87"/>
      <c r="NKO10" s="87"/>
      <c r="NKP10" s="87"/>
      <c r="NKQ10" s="87"/>
      <c r="NKR10" s="87"/>
      <c r="NKS10" s="87"/>
      <c r="NKT10" s="87"/>
      <c r="NKU10" s="87"/>
      <c r="NKV10" s="87"/>
      <c r="NKW10" s="87"/>
      <c r="NKX10" s="87"/>
      <c r="NKY10" s="87"/>
      <c r="NKZ10" s="87"/>
      <c r="NLA10" s="87"/>
      <c r="NLB10" s="87"/>
      <c r="NLC10" s="87"/>
      <c r="NLD10" s="87"/>
      <c r="NLE10" s="87"/>
      <c r="NLF10" s="87"/>
      <c r="NLG10" s="87"/>
      <c r="NLH10" s="87"/>
      <c r="NLI10" s="87"/>
      <c r="NLJ10" s="87"/>
      <c r="NLK10" s="87"/>
      <c r="NLL10" s="87"/>
      <c r="NLM10" s="87"/>
      <c r="NLN10" s="87"/>
      <c r="NLO10" s="87"/>
      <c r="NLP10" s="87"/>
      <c r="NLQ10" s="87"/>
      <c r="NLR10" s="87"/>
      <c r="NLS10" s="87"/>
      <c r="NLT10" s="87"/>
      <c r="NLU10" s="87"/>
      <c r="NLV10" s="87"/>
      <c r="NLW10" s="87"/>
      <c r="NLX10" s="87"/>
      <c r="NLY10" s="87"/>
      <c r="NLZ10" s="87"/>
      <c r="NMA10" s="87"/>
      <c r="NMB10" s="87"/>
      <c r="NMC10" s="87"/>
      <c r="NMD10" s="87"/>
      <c r="NME10" s="87"/>
      <c r="NMF10" s="87"/>
      <c r="NMG10" s="87"/>
      <c r="NMH10" s="87"/>
      <c r="NMI10" s="87"/>
      <c r="NMJ10" s="87"/>
      <c r="NMK10" s="87"/>
      <c r="NML10" s="87"/>
      <c r="NMM10" s="87"/>
      <c r="NMN10" s="87"/>
      <c r="NMO10" s="87"/>
      <c r="NMP10" s="87"/>
      <c r="NMQ10" s="87"/>
      <c r="NMR10" s="87"/>
      <c r="NMS10" s="87"/>
      <c r="NMT10" s="87"/>
      <c r="NMU10" s="87"/>
      <c r="NMV10" s="87"/>
      <c r="NMW10" s="87"/>
      <c r="NMX10" s="87"/>
      <c r="NMY10" s="87"/>
      <c r="NMZ10" s="87"/>
      <c r="NNA10" s="87"/>
      <c r="NNB10" s="87"/>
      <c r="NNC10" s="87"/>
      <c r="NND10" s="87"/>
      <c r="NNE10" s="87"/>
      <c r="NNF10" s="87"/>
      <c r="NNG10" s="87"/>
      <c r="NNH10" s="87"/>
      <c r="NNI10" s="87"/>
      <c r="NNJ10" s="87"/>
      <c r="NNK10" s="87"/>
      <c r="NNL10" s="87"/>
      <c r="NNM10" s="87"/>
      <c r="NNN10" s="87"/>
      <c r="NNO10" s="87"/>
      <c r="NNP10" s="87"/>
      <c r="NNQ10" s="87"/>
      <c r="NNR10" s="87"/>
      <c r="NNS10" s="87"/>
      <c r="NNT10" s="87"/>
      <c r="NNU10" s="87"/>
      <c r="NNV10" s="87"/>
      <c r="NNW10" s="87"/>
      <c r="NNX10" s="87"/>
      <c r="NNY10" s="87"/>
      <c r="NNZ10" s="87"/>
      <c r="NOA10" s="87"/>
      <c r="NOB10" s="87"/>
      <c r="NOC10" s="87"/>
      <c r="NOD10" s="87"/>
      <c r="NOE10" s="87"/>
      <c r="NOF10" s="87"/>
      <c r="NOG10" s="87"/>
      <c r="NOH10" s="87"/>
      <c r="NOI10" s="87"/>
      <c r="NOJ10" s="87"/>
      <c r="NOK10" s="87"/>
      <c r="NOL10" s="87"/>
      <c r="NOM10" s="87"/>
      <c r="NON10" s="87"/>
      <c r="NOO10" s="87"/>
      <c r="NOP10" s="87"/>
      <c r="NOQ10" s="87"/>
      <c r="NOR10" s="87"/>
      <c r="NOS10" s="87"/>
      <c r="NOT10" s="87"/>
      <c r="NOU10" s="87"/>
      <c r="NOV10" s="87"/>
      <c r="NOW10" s="87"/>
      <c r="NOX10" s="87"/>
      <c r="NOY10" s="87"/>
      <c r="NOZ10" s="87"/>
      <c r="NPA10" s="87"/>
      <c r="NPB10" s="87"/>
      <c r="NPC10" s="87"/>
      <c r="NPD10" s="87"/>
      <c r="NPE10" s="87"/>
      <c r="NPF10" s="87"/>
      <c r="NPG10" s="87"/>
      <c r="NPH10" s="87"/>
      <c r="NPI10" s="87"/>
      <c r="NPJ10" s="87"/>
      <c r="NPK10" s="87"/>
      <c r="NPL10" s="87"/>
      <c r="NPM10" s="87"/>
      <c r="NPN10" s="87"/>
      <c r="NPO10" s="87"/>
      <c r="NPP10" s="87"/>
      <c r="NPQ10" s="87"/>
      <c r="NPR10" s="87"/>
      <c r="NPS10" s="87"/>
      <c r="NPT10" s="87"/>
      <c r="NPU10" s="87"/>
      <c r="NPV10" s="87"/>
      <c r="NPW10" s="87"/>
      <c r="NPX10" s="87"/>
      <c r="NPY10" s="87"/>
      <c r="NPZ10" s="87"/>
      <c r="NQA10" s="87"/>
      <c r="NQB10" s="87"/>
      <c r="NQC10" s="87"/>
      <c r="NQD10" s="87"/>
      <c r="NQE10" s="87"/>
      <c r="NQF10" s="87"/>
      <c r="NQG10" s="87"/>
      <c r="NQH10" s="87"/>
      <c r="NQI10" s="87"/>
      <c r="NQJ10" s="87"/>
      <c r="NQK10" s="87"/>
      <c r="NQL10" s="87"/>
      <c r="NQM10" s="87"/>
      <c r="NQN10" s="87"/>
      <c r="NQO10" s="87"/>
      <c r="NQP10" s="87"/>
      <c r="NQQ10" s="87"/>
      <c r="NQR10" s="87"/>
      <c r="NQS10" s="87"/>
      <c r="NQT10" s="87"/>
      <c r="NQU10" s="87"/>
      <c r="NQV10" s="87"/>
      <c r="NQW10" s="87"/>
      <c r="NQX10" s="87"/>
      <c r="NQY10" s="87"/>
      <c r="NQZ10" s="87"/>
      <c r="NRA10" s="87"/>
      <c r="NRB10" s="87"/>
      <c r="NRC10" s="87"/>
      <c r="NRD10" s="87"/>
      <c r="NRE10" s="87"/>
      <c r="NRF10" s="87"/>
      <c r="NRG10" s="87"/>
      <c r="NRH10" s="87"/>
      <c r="NRI10" s="87"/>
      <c r="NRJ10" s="87"/>
      <c r="NRK10" s="87"/>
      <c r="NRL10" s="87"/>
      <c r="NRM10" s="87"/>
      <c r="NRN10" s="87"/>
      <c r="NRO10" s="87"/>
      <c r="NRP10" s="87"/>
      <c r="NRQ10" s="87"/>
      <c r="NRR10" s="87"/>
      <c r="NRS10" s="87"/>
      <c r="NRT10" s="87"/>
      <c r="NRU10" s="87"/>
      <c r="NRV10" s="87"/>
      <c r="NRW10" s="87"/>
      <c r="NRX10" s="87"/>
      <c r="NRY10" s="87"/>
      <c r="NRZ10" s="87"/>
      <c r="NSA10" s="87"/>
      <c r="NSB10" s="87"/>
      <c r="NSC10" s="87"/>
      <c r="NSD10" s="87"/>
      <c r="NSE10" s="87"/>
      <c r="NSF10" s="87"/>
      <c r="NSG10" s="87"/>
      <c r="NSH10" s="87"/>
      <c r="NSI10" s="87"/>
      <c r="NSJ10" s="87"/>
      <c r="NSK10" s="87"/>
      <c r="NSL10" s="87"/>
      <c r="NSM10" s="87"/>
      <c r="NSN10" s="87"/>
      <c r="NSO10" s="87"/>
      <c r="NSP10" s="87"/>
      <c r="NSQ10" s="87"/>
      <c r="NSR10" s="87"/>
      <c r="NSS10" s="87"/>
      <c r="NST10" s="87"/>
      <c r="NSU10" s="87"/>
      <c r="NSV10" s="87"/>
      <c r="NSW10" s="87"/>
      <c r="NSX10" s="87"/>
      <c r="NSY10" s="87"/>
      <c r="NSZ10" s="87"/>
      <c r="NTA10" s="87"/>
      <c r="NTB10" s="87"/>
      <c r="NTC10" s="87"/>
      <c r="NTD10" s="87"/>
      <c r="NTE10" s="87"/>
      <c r="NTF10" s="87"/>
      <c r="NTG10" s="87"/>
      <c r="NTH10" s="87"/>
      <c r="NTI10" s="87"/>
      <c r="NTJ10" s="87"/>
      <c r="NTK10" s="87"/>
      <c r="NTL10" s="87"/>
      <c r="NTM10" s="87"/>
      <c r="NTN10" s="87"/>
      <c r="NTO10" s="87"/>
      <c r="NTP10" s="87"/>
      <c r="NTQ10" s="87"/>
      <c r="NTR10" s="87"/>
      <c r="NTS10" s="87"/>
      <c r="NTT10" s="87"/>
      <c r="NTU10" s="87"/>
      <c r="NTV10" s="87"/>
      <c r="NTW10" s="87"/>
      <c r="NTX10" s="87"/>
      <c r="NTY10" s="87"/>
      <c r="NTZ10" s="87"/>
      <c r="NUA10" s="87"/>
      <c r="NUB10" s="87"/>
      <c r="NUC10" s="87"/>
      <c r="NUD10" s="87"/>
      <c r="NUE10" s="87"/>
      <c r="NUF10" s="87"/>
      <c r="NUG10" s="87"/>
      <c r="NUH10" s="87"/>
      <c r="NUI10" s="87"/>
      <c r="NUJ10" s="87"/>
      <c r="NUK10" s="87"/>
      <c r="NUL10" s="87"/>
      <c r="NUM10" s="87"/>
      <c r="NUN10" s="87"/>
      <c r="NUO10" s="87"/>
      <c r="NUP10" s="87"/>
      <c r="NUQ10" s="87"/>
      <c r="NUR10" s="87"/>
      <c r="NUS10" s="87"/>
      <c r="NUT10" s="87"/>
      <c r="NUU10" s="87"/>
      <c r="NUV10" s="87"/>
      <c r="NUW10" s="87"/>
      <c r="NUX10" s="87"/>
      <c r="NUY10" s="87"/>
      <c r="NUZ10" s="87"/>
      <c r="NVA10" s="87"/>
      <c r="NVB10" s="87"/>
      <c r="NVC10" s="87"/>
      <c r="NVD10" s="87"/>
      <c r="NVE10" s="87"/>
      <c r="NVF10" s="87"/>
      <c r="NVG10" s="87"/>
      <c r="NVH10" s="87"/>
      <c r="NVI10" s="87"/>
      <c r="NVJ10" s="87"/>
      <c r="NVK10" s="87"/>
      <c r="NVL10" s="87"/>
      <c r="NVM10" s="87"/>
      <c r="NVN10" s="87"/>
      <c r="NVO10" s="87"/>
      <c r="NVP10" s="87"/>
      <c r="NVQ10" s="87"/>
      <c r="NVR10" s="87"/>
      <c r="NVS10" s="87"/>
      <c r="NVT10" s="87"/>
      <c r="NVU10" s="87"/>
      <c r="NVV10" s="87"/>
      <c r="NVW10" s="87"/>
      <c r="NVX10" s="87"/>
      <c r="NVY10" s="87"/>
      <c r="NVZ10" s="87"/>
      <c r="NWA10" s="87"/>
      <c r="NWB10" s="87"/>
      <c r="NWC10" s="87"/>
      <c r="NWD10" s="87"/>
      <c r="NWE10" s="87"/>
      <c r="NWF10" s="87"/>
      <c r="NWG10" s="87"/>
      <c r="NWH10" s="87"/>
      <c r="NWI10" s="87"/>
      <c r="NWJ10" s="87"/>
      <c r="NWK10" s="87"/>
      <c r="NWL10" s="87"/>
      <c r="NWM10" s="87"/>
      <c r="NWN10" s="87"/>
      <c r="NWO10" s="87"/>
      <c r="NWP10" s="87"/>
      <c r="NWQ10" s="87"/>
      <c r="NWR10" s="87"/>
      <c r="NWS10" s="87"/>
      <c r="NWT10" s="87"/>
      <c r="NWU10" s="87"/>
      <c r="NWV10" s="87"/>
      <c r="NWW10" s="87"/>
      <c r="NWX10" s="87"/>
      <c r="NWY10" s="87"/>
      <c r="NWZ10" s="87"/>
      <c r="NXA10" s="87"/>
      <c r="NXB10" s="87"/>
      <c r="NXC10" s="87"/>
      <c r="NXD10" s="87"/>
      <c r="NXE10" s="87"/>
      <c r="NXF10" s="87"/>
      <c r="NXG10" s="87"/>
      <c r="NXH10" s="87"/>
      <c r="NXI10" s="87"/>
      <c r="NXJ10" s="87"/>
      <c r="NXK10" s="87"/>
      <c r="NXL10" s="87"/>
      <c r="NXM10" s="87"/>
      <c r="NXN10" s="87"/>
      <c r="NXO10" s="87"/>
      <c r="NXP10" s="87"/>
      <c r="NXQ10" s="87"/>
      <c r="NXR10" s="87"/>
      <c r="NXS10" s="87"/>
      <c r="NXT10" s="87"/>
      <c r="NXU10" s="87"/>
      <c r="NXV10" s="87"/>
      <c r="NXW10" s="87"/>
      <c r="NXX10" s="87"/>
      <c r="NXY10" s="87"/>
      <c r="NXZ10" s="87"/>
      <c r="NYA10" s="87"/>
      <c r="NYB10" s="87"/>
      <c r="NYC10" s="87"/>
      <c r="NYD10" s="87"/>
      <c r="NYE10" s="87"/>
      <c r="NYF10" s="87"/>
      <c r="NYG10" s="87"/>
      <c r="NYH10" s="87"/>
      <c r="NYI10" s="87"/>
      <c r="NYJ10" s="87"/>
      <c r="NYK10" s="87"/>
      <c r="NYL10" s="87"/>
      <c r="NYM10" s="87"/>
      <c r="NYN10" s="87"/>
      <c r="NYO10" s="87"/>
      <c r="NYP10" s="87"/>
      <c r="NYQ10" s="87"/>
      <c r="NYR10" s="87"/>
      <c r="NYS10" s="87"/>
      <c r="NYT10" s="87"/>
      <c r="NYU10" s="87"/>
      <c r="NYV10" s="87"/>
      <c r="NYW10" s="87"/>
      <c r="NYX10" s="87"/>
      <c r="NYY10" s="87"/>
      <c r="NYZ10" s="87"/>
      <c r="NZA10" s="87"/>
      <c r="NZB10" s="87"/>
      <c r="NZC10" s="87"/>
      <c r="NZD10" s="87"/>
      <c r="NZE10" s="87"/>
      <c r="NZF10" s="87"/>
      <c r="NZG10" s="87"/>
      <c r="NZH10" s="87"/>
      <c r="NZI10" s="87"/>
      <c r="NZJ10" s="87"/>
      <c r="NZK10" s="87"/>
      <c r="NZL10" s="87"/>
      <c r="NZM10" s="87"/>
      <c r="NZN10" s="87"/>
      <c r="NZO10" s="87"/>
      <c r="NZP10" s="87"/>
      <c r="NZQ10" s="87"/>
      <c r="NZR10" s="87"/>
      <c r="NZS10" s="87"/>
      <c r="NZT10" s="87"/>
      <c r="NZU10" s="87"/>
      <c r="NZV10" s="87"/>
      <c r="NZW10" s="87"/>
      <c r="NZX10" s="87"/>
      <c r="NZY10" s="87"/>
      <c r="NZZ10" s="87"/>
      <c r="OAA10" s="87"/>
      <c r="OAB10" s="87"/>
      <c r="OAC10" s="87"/>
      <c r="OAD10" s="87"/>
      <c r="OAE10" s="87"/>
      <c r="OAF10" s="87"/>
      <c r="OAG10" s="87"/>
      <c r="OAH10" s="87"/>
      <c r="OAI10" s="87"/>
      <c r="OAJ10" s="87"/>
      <c r="OAK10" s="87"/>
      <c r="OAL10" s="87"/>
      <c r="OAM10" s="87"/>
      <c r="OAN10" s="87"/>
      <c r="OAO10" s="87"/>
      <c r="OAP10" s="87"/>
      <c r="OAQ10" s="87"/>
      <c r="OAR10" s="87"/>
      <c r="OAS10" s="87"/>
      <c r="OAT10" s="87"/>
      <c r="OAU10" s="87"/>
      <c r="OAV10" s="87"/>
      <c r="OAW10" s="87"/>
      <c r="OAX10" s="87"/>
      <c r="OAY10" s="87"/>
      <c r="OAZ10" s="87"/>
      <c r="OBA10" s="87"/>
      <c r="OBB10" s="87"/>
      <c r="OBC10" s="87"/>
      <c r="OBD10" s="87"/>
      <c r="OBE10" s="87"/>
      <c r="OBF10" s="87"/>
      <c r="OBG10" s="87"/>
      <c r="OBH10" s="87"/>
      <c r="OBI10" s="87"/>
      <c r="OBJ10" s="87"/>
      <c r="OBK10" s="87"/>
      <c r="OBL10" s="87"/>
      <c r="OBM10" s="87"/>
      <c r="OBN10" s="87"/>
      <c r="OBO10" s="87"/>
      <c r="OBP10" s="87"/>
      <c r="OBQ10" s="87"/>
      <c r="OBR10" s="87"/>
      <c r="OBS10" s="87"/>
      <c r="OBT10" s="87"/>
      <c r="OBU10" s="87"/>
      <c r="OBV10" s="87"/>
      <c r="OBW10" s="87"/>
      <c r="OBX10" s="87"/>
      <c r="OBY10" s="87"/>
      <c r="OBZ10" s="87"/>
      <c r="OCA10" s="87"/>
      <c r="OCB10" s="87"/>
      <c r="OCC10" s="87"/>
      <c r="OCD10" s="87"/>
      <c r="OCE10" s="87"/>
      <c r="OCF10" s="87"/>
      <c r="OCG10" s="87"/>
      <c r="OCH10" s="87"/>
      <c r="OCI10" s="87"/>
      <c r="OCJ10" s="87"/>
      <c r="OCK10" s="87"/>
      <c r="OCL10" s="87"/>
      <c r="OCM10" s="87"/>
      <c r="OCN10" s="87"/>
      <c r="OCO10" s="87"/>
      <c r="OCP10" s="87"/>
      <c r="OCQ10" s="87"/>
      <c r="OCR10" s="87"/>
      <c r="OCS10" s="87"/>
      <c r="OCT10" s="87"/>
      <c r="OCU10" s="87"/>
      <c r="OCV10" s="87"/>
      <c r="OCW10" s="87"/>
      <c r="OCX10" s="87"/>
      <c r="OCY10" s="87"/>
      <c r="OCZ10" s="87"/>
      <c r="ODA10" s="87"/>
      <c r="ODB10" s="87"/>
      <c r="ODC10" s="87"/>
      <c r="ODD10" s="87"/>
      <c r="ODE10" s="87"/>
      <c r="ODF10" s="87"/>
      <c r="ODG10" s="87"/>
      <c r="ODH10" s="87"/>
      <c r="ODI10" s="87"/>
      <c r="ODJ10" s="87"/>
      <c r="ODK10" s="87"/>
      <c r="ODL10" s="87"/>
      <c r="ODM10" s="87"/>
      <c r="ODN10" s="87"/>
      <c r="ODO10" s="87"/>
      <c r="ODP10" s="87"/>
      <c r="ODQ10" s="87"/>
      <c r="ODR10" s="87"/>
      <c r="ODS10" s="87"/>
      <c r="ODT10" s="87"/>
      <c r="ODU10" s="87"/>
      <c r="ODV10" s="87"/>
      <c r="ODW10" s="87"/>
      <c r="ODX10" s="87"/>
      <c r="ODY10" s="87"/>
      <c r="ODZ10" s="87"/>
      <c r="OEA10" s="87"/>
      <c r="OEB10" s="87"/>
      <c r="OEC10" s="87"/>
      <c r="OED10" s="87"/>
      <c r="OEE10" s="87"/>
      <c r="OEF10" s="87"/>
      <c r="OEG10" s="87"/>
      <c r="OEH10" s="87"/>
      <c r="OEI10" s="87"/>
      <c r="OEJ10" s="87"/>
      <c r="OEK10" s="87"/>
      <c r="OEL10" s="87"/>
      <c r="OEM10" s="87"/>
      <c r="OEN10" s="87"/>
      <c r="OEO10" s="87"/>
      <c r="OEP10" s="87"/>
      <c r="OEQ10" s="87"/>
      <c r="OER10" s="87"/>
      <c r="OES10" s="87"/>
      <c r="OET10" s="87"/>
      <c r="OEU10" s="87"/>
      <c r="OEV10" s="87"/>
      <c r="OEW10" s="87"/>
      <c r="OEX10" s="87"/>
      <c r="OEY10" s="87"/>
      <c r="OEZ10" s="87"/>
      <c r="OFA10" s="87"/>
      <c r="OFB10" s="87"/>
      <c r="OFC10" s="87"/>
      <c r="OFD10" s="87"/>
      <c r="OFE10" s="87"/>
      <c r="OFF10" s="87"/>
      <c r="OFG10" s="87"/>
      <c r="OFH10" s="87"/>
      <c r="OFI10" s="87"/>
      <c r="OFJ10" s="87"/>
      <c r="OFK10" s="87"/>
      <c r="OFL10" s="87"/>
      <c r="OFM10" s="87"/>
      <c r="OFN10" s="87"/>
      <c r="OFO10" s="87"/>
      <c r="OFP10" s="87"/>
      <c r="OFQ10" s="87"/>
      <c r="OFR10" s="87"/>
      <c r="OFS10" s="87"/>
      <c r="OFT10" s="87"/>
      <c r="OFU10" s="87"/>
      <c r="OFV10" s="87"/>
      <c r="OFW10" s="87"/>
      <c r="OFX10" s="87"/>
      <c r="OFY10" s="87"/>
      <c r="OFZ10" s="87"/>
      <c r="OGA10" s="87"/>
      <c r="OGB10" s="87"/>
      <c r="OGC10" s="87"/>
      <c r="OGD10" s="87"/>
      <c r="OGE10" s="87"/>
      <c r="OGF10" s="87"/>
      <c r="OGG10" s="87"/>
      <c r="OGH10" s="87"/>
      <c r="OGI10" s="87"/>
      <c r="OGJ10" s="87"/>
      <c r="OGK10" s="87"/>
      <c r="OGL10" s="87"/>
      <c r="OGM10" s="87"/>
      <c r="OGN10" s="87"/>
      <c r="OGO10" s="87"/>
      <c r="OGP10" s="87"/>
      <c r="OGQ10" s="87"/>
      <c r="OGR10" s="87"/>
      <c r="OGS10" s="87"/>
      <c r="OGT10" s="87"/>
      <c r="OGU10" s="87"/>
      <c r="OGV10" s="87"/>
      <c r="OGW10" s="87"/>
      <c r="OGX10" s="87"/>
      <c r="OGY10" s="87"/>
      <c r="OGZ10" s="87"/>
      <c r="OHA10" s="87"/>
      <c r="OHB10" s="87"/>
      <c r="OHC10" s="87"/>
      <c r="OHD10" s="87"/>
      <c r="OHE10" s="87"/>
      <c r="OHF10" s="87"/>
      <c r="OHG10" s="87"/>
      <c r="OHH10" s="87"/>
      <c r="OHI10" s="87"/>
      <c r="OHJ10" s="87"/>
      <c r="OHK10" s="87"/>
      <c r="OHL10" s="87"/>
      <c r="OHM10" s="87"/>
      <c r="OHN10" s="87"/>
      <c r="OHO10" s="87"/>
      <c r="OHP10" s="87"/>
      <c r="OHQ10" s="87"/>
      <c r="OHR10" s="87"/>
      <c r="OHS10" s="87"/>
      <c r="OHT10" s="87"/>
      <c r="OHU10" s="87"/>
      <c r="OHV10" s="87"/>
      <c r="OHW10" s="87"/>
      <c r="OHX10" s="87"/>
      <c r="OHY10" s="87"/>
      <c r="OHZ10" s="87"/>
      <c r="OIA10" s="87"/>
      <c r="OIB10" s="87"/>
      <c r="OIC10" s="87"/>
      <c r="OID10" s="87"/>
      <c r="OIE10" s="87"/>
      <c r="OIF10" s="87"/>
      <c r="OIG10" s="87"/>
      <c r="OIH10" s="87"/>
      <c r="OII10" s="87"/>
      <c r="OIJ10" s="87"/>
      <c r="OIK10" s="87"/>
      <c r="OIL10" s="87"/>
      <c r="OIM10" s="87"/>
      <c r="OIN10" s="87"/>
      <c r="OIO10" s="87"/>
      <c r="OIP10" s="87"/>
      <c r="OIQ10" s="87"/>
      <c r="OIR10" s="87"/>
      <c r="OIS10" s="87"/>
      <c r="OIT10" s="87"/>
      <c r="OIU10" s="87"/>
      <c r="OIV10" s="87"/>
      <c r="OIW10" s="87"/>
      <c r="OIX10" s="87"/>
      <c r="OIY10" s="87"/>
      <c r="OIZ10" s="87"/>
      <c r="OJA10" s="87"/>
      <c r="OJB10" s="87"/>
      <c r="OJC10" s="87"/>
      <c r="OJD10" s="87"/>
      <c r="OJE10" s="87"/>
      <c r="OJF10" s="87"/>
      <c r="OJG10" s="87"/>
      <c r="OJH10" s="87"/>
      <c r="OJI10" s="87"/>
      <c r="OJJ10" s="87"/>
      <c r="OJK10" s="87"/>
      <c r="OJL10" s="87"/>
      <c r="OJM10" s="87"/>
      <c r="OJN10" s="87"/>
      <c r="OJO10" s="87"/>
      <c r="OJP10" s="87"/>
      <c r="OJQ10" s="87"/>
      <c r="OJR10" s="87"/>
      <c r="OJS10" s="87"/>
      <c r="OJT10" s="87"/>
      <c r="OJU10" s="87"/>
      <c r="OJV10" s="87"/>
      <c r="OJW10" s="87"/>
      <c r="OJX10" s="87"/>
      <c r="OJY10" s="87"/>
      <c r="OJZ10" s="87"/>
      <c r="OKA10" s="87"/>
      <c r="OKB10" s="87"/>
      <c r="OKC10" s="87"/>
      <c r="OKD10" s="87"/>
      <c r="OKE10" s="87"/>
      <c r="OKF10" s="87"/>
      <c r="OKG10" s="87"/>
      <c r="OKH10" s="87"/>
      <c r="OKI10" s="87"/>
      <c r="OKJ10" s="87"/>
      <c r="OKK10" s="87"/>
      <c r="OKL10" s="87"/>
      <c r="OKM10" s="87"/>
      <c r="OKN10" s="87"/>
      <c r="OKO10" s="87"/>
      <c r="OKP10" s="87"/>
      <c r="OKQ10" s="87"/>
      <c r="OKR10" s="87"/>
      <c r="OKS10" s="87"/>
      <c r="OKT10" s="87"/>
      <c r="OKU10" s="87"/>
      <c r="OKV10" s="87"/>
      <c r="OKW10" s="87"/>
      <c r="OKX10" s="87"/>
      <c r="OKY10" s="87"/>
      <c r="OKZ10" s="87"/>
      <c r="OLA10" s="87"/>
      <c r="OLB10" s="87"/>
      <c r="OLC10" s="87"/>
      <c r="OLD10" s="87"/>
      <c r="OLE10" s="87"/>
      <c r="OLF10" s="87"/>
      <c r="OLG10" s="87"/>
      <c r="OLH10" s="87"/>
      <c r="OLI10" s="87"/>
      <c r="OLJ10" s="87"/>
      <c r="OLK10" s="87"/>
      <c r="OLL10" s="87"/>
      <c r="OLM10" s="87"/>
      <c r="OLN10" s="87"/>
      <c r="OLO10" s="87"/>
      <c r="OLP10" s="87"/>
      <c r="OLQ10" s="87"/>
      <c r="OLR10" s="87"/>
      <c r="OLS10" s="87"/>
      <c r="OLT10" s="87"/>
      <c r="OLU10" s="87"/>
      <c r="OLV10" s="87"/>
      <c r="OLW10" s="87"/>
      <c r="OLX10" s="87"/>
      <c r="OLY10" s="87"/>
      <c r="OLZ10" s="87"/>
      <c r="OMA10" s="87"/>
      <c r="OMB10" s="87"/>
      <c r="OMC10" s="87"/>
      <c r="OMD10" s="87"/>
      <c r="OME10" s="87"/>
      <c r="OMF10" s="87"/>
      <c r="OMG10" s="87"/>
      <c r="OMH10" s="87"/>
      <c r="OMI10" s="87"/>
      <c r="OMJ10" s="87"/>
      <c r="OMK10" s="87"/>
      <c r="OML10" s="87"/>
      <c r="OMM10" s="87"/>
      <c r="OMN10" s="87"/>
      <c r="OMO10" s="87"/>
      <c r="OMP10" s="87"/>
      <c r="OMQ10" s="87"/>
      <c r="OMR10" s="87"/>
      <c r="OMS10" s="87"/>
      <c r="OMT10" s="87"/>
      <c r="OMU10" s="87"/>
      <c r="OMV10" s="87"/>
      <c r="OMW10" s="87"/>
      <c r="OMX10" s="87"/>
      <c r="OMY10" s="87"/>
      <c r="OMZ10" s="87"/>
      <c r="ONA10" s="87"/>
      <c r="ONB10" s="87"/>
      <c r="ONC10" s="87"/>
      <c r="OND10" s="87"/>
      <c r="ONE10" s="87"/>
      <c r="ONF10" s="87"/>
      <c r="ONG10" s="87"/>
      <c r="ONH10" s="87"/>
      <c r="ONI10" s="87"/>
      <c r="ONJ10" s="87"/>
      <c r="ONK10" s="87"/>
      <c r="ONL10" s="87"/>
      <c r="ONM10" s="87"/>
      <c r="ONN10" s="87"/>
      <c r="ONO10" s="87"/>
      <c r="ONP10" s="87"/>
      <c r="ONQ10" s="87"/>
      <c r="ONR10" s="87"/>
      <c r="ONS10" s="87"/>
      <c r="ONT10" s="87"/>
      <c r="ONU10" s="87"/>
      <c r="ONV10" s="87"/>
      <c r="ONW10" s="87"/>
      <c r="ONX10" s="87"/>
      <c r="ONY10" s="87"/>
      <c r="ONZ10" s="87"/>
      <c r="OOA10" s="87"/>
      <c r="OOB10" s="87"/>
      <c r="OOC10" s="87"/>
      <c r="OOD10" s="87"/>
      <c r="OOE10" s="87"/>
      <c r="OOF10" s="87"/>
      <c r="OOG10" s="87"/>
      <c r="OOH10" s="87"/>
      <c r="OOI10" s="87"/>
      <c r="OOJ10" s="87"/>
      <c r="OOK10" s="87"/>
      <c r="OOL10" s="87"/>
      <c r="OOM10" s="87"/>
      <c r="OON10" s="87"/>
      <c r="OOO10" s="87"/>
      <c r="OOP10" s="87"/>
      <c r="OOQ10" s="87"/>
      <c r="OOR10" s="87"/>
      <c r="OOS10" s="87"/>
      <c r="OOT10" s="87"/>
      <c r="OOU10" s="87"/>
      <c r="OOV10" s="87"/>
      <c r="OOW10" s="87"/>
      <c r="OOX10" s="87"/>
      <c r="OOY10" s="87"/>
      <c r="OOZ10" s="87"/>
      <c r="OPA10" s="87"/>
      <c r="OPB10" s="87"/>
      <c r="OPC10" s="87"/>
      <c r="OPD10" s="87"/>
      <c r="OPE10" s="87"/>
      <c r="OPF10" s="87"/>
      <c r="OPG10" s="87"/>
      <c r="OPH10" s="87"/>
      <c r="OPI10" s="87"/>
      <c r="OPJ10" s="87"/>
      <c r="OPK10" s="87"/>
      <c r="OPL10" s="87"/>
      <c r="OPM10" s="87"/>
      <c r="OPN10" s="87"/>
      <c r="OPO10" s="87"/>
      <c r="OPP10" s="87"/>
      <c r="OPQ10" s="87"/>
      <c r="OPR10" s="87"/>
      <c r="OPS10" s="87"/>
      <c r="OPT10" s="87"/>
      <c r="OPU10" s="87"/>
      <c r="OPV10" s="87"/>
      <c r="OPW10" s="87"/>
      <c r="OPX10" s="87"/>
      <c r="OPY10" s="87"/>
      <c r="OPZ10" s="87"/>
      <c r="OQA10" s="87"/>
      <c r="OQB10" s="87"/>
      <c r="OQC10" s="87"/>
      <c r="OQD10" s="87"/>
      <c r="OQE10" s="87"/>
      <c r="OQF10" s="87"/>
      <c r="OQG10" s="87"/>
      <c r="OQH10" s="87"/>
      <c r="OQI10" s="87"/>
      <c r="OQJ10" s="87"/>
      <c r="OQK10" s="87"/>
      <c r="OQL10" s="87"/>
      <c r="OQM10" s="87"/>
      <c r="OQN10" s="87"/>
      <c r="OQO10" s="87"/>
      <c r="OQP10" s="87"/>
      <c r="OQQ10" s="87"/>
      <c r="OQR10" s="87"/>
      <c r="OQS10" s="87"/>
      <c r="OQT10" s="87"/>
      <c r="OQU10" s="87"/>
      <c r="OQV10" s="87"/>
      <c r="OQW10" s="87"/>
      <c r="OQX10" s="87"/>
      <c r="OQY10" s="87"/>
      <c r="OQZ10" s="87"/>
      <c r="ORA10" s="87"/>
      <c r="ORB10" s="87"/>
      <c r="ORC10" s="87"/>
      <c r="ORD10" s="87"/>
      <c r="ORE10" s="87"/>
      <c r="ORF10" s="87"/>
      <c r="ORG10" s="87"/>
      <c r="ORH10" s="87"/>
      <c r="ORI10" s="87"/>
      <c r="ORJ10" s="87"/>
      <c r="ORK10" s="87"/>
      <c r="ORL10" s="87"/>
      <c r="ORM10" s="87"/>
      <c r="ORN10" s="87"/>
      <c r="ORO10" s="87"/>
      <c r="ORP10" s="87"/>
      <c r="ORQ10" s="87"/>
      <c r="ORR10" s="87"/>
      <c r="ORS10" s="87"/>
      <c r="ORT10" s="87"/>
      <c r="ORU10" s="87"/>
      <c r="ORV10" s="87"/>
      <c r="ORW10" s="87"/>
      <c r="ORX10" s="87"/>
      <c r="ORY10" s="87"/>
      <c r="ORZ10" s="87"/>
      <c r="OSA10" s="87"/>
      <c r="OSB10" s="87"/>
      <c r="OSC10" s="87"/>
      <c r="OSD10" s="87"/>
      <c r="OSE10" s="87"/>
      <c r="OSF10" s="87"/>
      <c r="OSG10" s="87"/>
      <c r="OSH10" s="87"/>
      <c r="OSI10" s="87"/>
      <c r="OSJ10" s="87"/>
      <c r="OSK10" s="87"/>
      <c r="OSL10" s="87"/>
      <c r="OSM10" s="87"/>
      <c r="OSN10" s="87"/>
      <c r="OSO10" s="87"/>
      <c r="OSP10" s="87"/>
      <c r="OSQ10" s="87"/>
      <c r="OSR10" s="87"/>
      <c r="OSS10" s="87"/>
      <c r="OST10" s="87"/>
      <c r="OSU10" s="87"/>
      <c r="OSV10" s="87"/>
      <c r="OSW10" s="87"/>
      <c r="OSX10" s="87"/>
      <c r="OSY10" s="87"/>
      <c r="OSZ10" s="87"/>
      <c r="OTA10" s="87"/>
      <c r="OTB10" s="87"/>
      <c r="OTC10" s="87"/>
      <c r="OTD10" s="87"/>
      <c r="OTE10" s="87"/>
      <c r="OTF10" s="87"/>
      <c r="OTG10" s="87"/>
      <c r="OTH10" s="87"/>
      <c r="OTI10" s="87"/>
      <c r="OTJ10" s="87"/>
      <c r="OTK10" s="87"/>
      <c r="OTL10" s="87"/>
      <c r="OTM10" s="87"/>
      <c r="OTN10" s="87"/>
      <c r="OTO10" s="87"/>
      <c r="OTP10" s="87"/>
      <c r="OTQ10" s="87"/>
      <c r="OTR10" s="87"/>
      <c r="OTS10" s="87"/>
      <c r="OTT10" s="87"/>
      <c r="OTU10" s="87"/>
      <c r="OTV10" s="87"/>
      <c r="OTW10" s="87"/>
      <c r="OTX10" s="87"/>
      <c r="OTY10" s="87"/>
      <c r="OTZ10" s="87"/>
      <c r="OUA10" s="87"/>
      <c r="OUB10" s="87"/>
      <c r="OUC10" s="87"/>
      <c r="OUD10" s="87"/>
      <c r="OUE10" s="87"/>
      <c r="OUF10" s="87"/>
      <c r="OUG10" s="87"/>
      <c r="OUH10" s="87"/>
      <c r="OUI10" s="87"/>
      <c r="OUJ10" s="87"/>
      <c r="OUK10" s="87"/>
      <c r="OUL10" s="87"/>
      <c r="OUM10" s="87"/>
      <c r="OUN10" s="87"/>
      <c r="OUO10" s="87"/>
      <c r="OUP10" s="87"/>
      <c r="OUQ10" s="87"/>
      <c r="OUR10" s="87"/>
      <c r="OUS10" s="87"/>
      <c r="OUT10" s="87"/>
      <c r="OUU10" s="87"/>
      <c r="OUV10" s="87"/>
      <c r="OUW10" s="87"/>
      <c r="OUX10" s="87"/>
      <c r="OUY10" s="87"/>
      <c r="OUZ10" s="87"/>
      <c r="OVA10" s="87"/>
      <c r="OVB10" s="87"/>
      <c r="OVC10" s="87"/>
      <c r="OVD10" s="87"/>
      <c r="OVE10" s="87"/>
      <c r="OVF10" s="87"/>
      <c r="OVG10" s="87"/>
      <c r="OVH10" s="87"/>
      <c r="OVI10" s="87"/>
      <c r="OVJ10" s="87"/>
      <c r="OVK10" s="87"/>
      <c r="OVL10" s="87"/>
      <c r="OVM10" s="87"/>
      <c r="OVN10" s="87"/>
      <c r="OVO10" s="87"/>
      <c r="OVP10" s="87"/>
      <c r="OVQ10" s="87"/>
      <c r="OVR10" s="87"/>
      <c r="OVS10" s="87"/>
      <c r="OVT10" s="87"/>
      <c r="OVU10" s="87"/>
      <c r="OVV10" s="87"/>
      <c r="OVW10" s="87"/>
      <c r="OVX10" s="87"/>
      <c r="OVY10" s="87"/>
      <c r="OVZ10" s="87"/>
      <c r="OWA10" s="87"/>
      <c r="OWB10" s="87"/>
      <c r="OWC10" s="87"/>
      <c r="OWD10" s="87"/>
      <c r="OWE10" s="87"/>
      <c r="OWF10" s="87"/>
      <c r="OWG10" s="87"/>
      <c r="OWH10" s="87"/>
      <c r="OWI10" s="87"/>
      <c r="OWJ10" s="87"/>
      <c r="OWK10" s="87"/>
      <c r="OWL10" s="87"/>
      <c r="OWM10" s="87"/>
      <c r="OWN10" s="87"/>
      <c r="OWO10" s="87"/>
      <c r="OWP10" s="87"/>
      <c r="OWQ10" s="87"/>
      <c r="OWR10" s="87"/>
      <c r="OWS10" s="87"/>
      <c r="OWT10" s="87"/>
      <c r="OWU10" s="87"/>
      <c r="OWV10" s="87"/>
      <c r="OWW10" s="87"/>
      <c r="OWX10" s="87"/>
      <c r="OWY10" s="87"/>
      <c r="OWZ10" s="87"/>
      <c r="OXA10" s="87"/>
      <c r="OXB10" s="87"/>
      <c r="OXC10" s="87"/>
      <c r="OXD10" s="87"/>
      <c r="OXE10" s="87"/>
      <c r="OXF10" s="87"/>
      <c r="OXG10" s="87"/>
      <c r="OXH10" s="87"/>
      <c r="OXI10" s="87"/>
      <c r="OXJ10" s="87"/>
      <c r="OXK10" s="87"/>
      <c r="OXL10" s="87"/>
      <c r="OXM10" s="87"/>
      <c r="OXN10" s="87"/>
      <c r="OXO10" s="87"/>
      <c r="OXP10" s="87"/>
      <c r="OXQ10" s="87"/>
      <c r="OXR10" s="87"/>
      <c r="OXS10" s="87"/>
      <c r="OXT10" s="87"/>
      <c r="OXU10" s="87"/>
      <c r="OXV10" s="87"/>
      <c r="OXW10" s="87"/>
      <c r="OXX10" s="87"/>
      <c r="OXY10" s="87"/>
      <c r="OXZ10" s="87"/>
      <c r="OYA10" s="87"/>
      <c r="OYB10" s="87"/>
      <c r="OYC10" s="87"/>
      <c r="OYD10" s="87"/>
      <c r="OYE10" s="87"/>
      <c r="OYF10" s="87"/>
      <c r="OYG10" s="87"/>
      <c r="OYH10" s="87"/>
      <c r="OYI10" s="87"/>
      <c r="OYJ10" s="87"/>
      <c r="OYK10" s="87"/>
      <c r="OYL10" s="87"/>
      <c r="OYM10" s="87"/>
      <c r="OYN10" s="87"/>
      <c r="OYO10" s="87"/>
      <c r="OYP10" s="87"/>
      <c r="OYQ10" s="87"/>
      <c r="OYR10" s="87"/>
      <c r="OYS10" s="87"/>
      <c r="OYT10" s="87"/>
      <c r="OYU10" s="87"/>
      <c r="OYV10" s="87"/>
      <c r="OYW10" s="87"/>
      <c r="OYX10" s="87"/>
      <c r="OYY10" s="87"/>
      <c r="OYZ10" s="87"/>
      <c r="OZA10" s="87"/>
      <c r="OZB10" s="87"/>
      <c r="OZC10" s="87"/>
      <c r="OZD10" s="87"/>
      <c r="OZE10" s="87"/>
      <c r="OZF10" s="87"/>
      <c r="OZG10" s="87"/>
      <c r="OZH10" s="87"/>
      <c r="OZI10" s="87"/>
      <c r="OZJ10" s="87"/>
      <c r="OZK10" s="87"/>
      <c r="OZL10" s="87"/>
      <c r="OZM10" s="87"/>
      <c r="OZN10" s="87"/>
      <c r="OZO10" s="87"/>
      <c r="OZP10" s="87"/>
      <c r="OZQ10" s="87"/>
      <c r="OZR10" s="87"/>
      <c r="OZS10" s="87"/>
      <c r="OZT10" s="87"/>
      <c r="OZU10" s="87"/>
      <c r="OZV10" s="87"/>
      <c r="OZW10" s="87"/>
      <c r="OZX10" s="87"/>
      <c r="OZY10" s="87"/>
      <c r="OZZ10" s="87"/>
      <c r="PAA10" s="87"/>
      <c r="PAB10" s="87"/>
      <c r="PAC10" s="87"/>
      <c r="PAD10" s="87"/>
      <c r="PAE10" s="87"/>
      <c r="PAF10" s="87"/>
      <c r="PAG10" s="87"/>
      <c r="PAH10" s="87"/>
      <c r="PAI10" s="87"/>
      <c r="PAJ10" s="87"/>
      <c r="PAK10" s="87"/>
      <c r="PAL10" s="87"/>
      <c r="PAM10" s="87"/>
      <c r="PAN10" s="87"/>
      <c r="PAO10" s="87"/>
      <c r="PAP10" s="87"/>
      <c r="PAQ10" s="87"/>
      <c r="PAR10" s="87"/>
      <c r="PAS10" s="87"/>
      <c r="PAT10" s="87"/>
      <c r="PAU10" s="87"/>
      <c r="PAV10" s="87"/>
      <c r="PAW10" s="87"/>
      <c r="PAX10" s="87"/>
      <c r="PAY10" s="87"/>
      <c r="PAZ10" s="87"/>
      <c r="PBA10" s="87"/>
      <c r="PBB10" s="87"/>
      <c r="PBC10" s="87"/>
      <c r="PBD10" s="87"/>
      <c r="PBE10" s="87"/>
      <c r="PBF10" s="87"/>
      <c r="PBG10" s="87"/>
      <c r="PBH10" s="87"/>
      <c r="PBI10" s="87"/>
      <c r="PBJ10" s="87"/>
      <c r="PBK10" s="87"/>
      <c r="PBL10" s="87"/>
      <c r="PBM10" s="87"/>
      <c r="PBN10" s="87"/>
      <c r="PBO10" s="87"/>
      <c r="PBP10" s="87"/>
      <c r="PBQ10" s="87"/>
      <c r="PBR10" s="87"/>
      <c r="PBS10" s="87"/>
      <c r="PBT10" s="87"/>
      <c r="PBU10" s="87"/>
      <c r="PBV10" s="87"/>
      <c r="PBW10" s="87"/>
      <c r="PBX10" s="87"/>
      <c r="PBY10" s="87"/>
      <c r="PBZ10" s="87"/>
      <c r="PCA10" s="87"/>
      <c r="PCB10" s="87"/>
      <c r="PCC10" s="87"/>
      <c r="PCD10" s="87"/>
      <c r="PCE10" s="87"/>
      <c r="PCF10" s="87"/>
      <c r="PCG10" s="87"/>
      <c r="PCH10" s="87"/>
      <c r="PCI10" s="87"/>
      <c r="PCJ10" s="87"/>
      <c r="PCK10" s="87"/>
      <c r="PCL10" s="87"/>
      <c r="PCM10" s="87"/>
      <c r="PCN10" s="87"/>
      <c r="PCO10" s="87"/>
      <c r="PCP10" s="87"/>
      <c r="PCQ10" s="87"/>
      <c r="PCR10" s="87"/>
      <c r="PCS10" s="87"/>
      <c r="PCT10" s="87"/>
      <c r="PCU10" s="87"/>
      <c r="PCV10" s="87"/>
      <c r="PCW10" s="87"/>
      <c r="PCX10" s="87"/>
      <c r="PCY10" s="87"/>
      <c r="PCZ10" s="87"/>
      <c r="PDA10" s="87"/>
      <c r="PDB10" s="87"/>
      <c r="PDC10" s="87"/>
      <c r="PDD10" s="87"/>
      <c r="PDE10" s="87"/>
      <c r="PDF10" s="87"/>
      <c r="PDG10" s="87"/>
      <c r="PDH10" s="87"/>
      <c r="PDI10" s="87"/>
      <c r="PDJ10" s="87"/>
      <c r="PDK10" s="87"/>
      <c r="PDL10" s="87"/>
      <c r="PDM10" s="87"/>
      <c r="PDN10" s="87"/>
      <c r="PDO10" s="87"/>
      <c r="PDP10" s="87"/>
      <c r="PDQ10" s="87"/>
      <c r="PDR10" s="87"/>
      <c r="PDS10" s="87"/>
      <c r="PDT10" s="87"/>
      <c r="PDU10" s="87"/>
      <c r="PDV10" s="87"/>
      <c r="PDW10" s="87"/>
      <c r="PDX10" s="87"/>
      <c r="PDY10" s="87"/>
      <c r="PDZ10" s="87"/>
      <c r="PEA10" s="87"/>
      <c r="PEB10" s="87"/>
      <c r="PEC10" s="87"/>
      <c r="PED10" s="87"/>
      <c r="PEE10" s="87"/>
      <c r="PEF10" s="87"/>
      <c r="PEG10" s="87"/>
      <c r="PEH10" s="87"/>
      <c r="PEI10" s="87"/>
      <c r="PEJ10" s="87"/>
      <c r="PEK10" s="87"/>
      <c r="PEL10" s="87"/>
      <c r="PEM10" s="87"/>
      <c r="PEN10" s="87"/>
      <c r="PEO10" s="87"/>
      <c r="PEP10" s="87"/>
      <c r="PEQ10" s="87"/>
      <c r="PER10" s="87"/>
      <c r="PES10" s="87"/>
      <c r="PET10" s="87"/>
      <c r="PEU10" s="87"/>
      <c r="PEV10" s="87"/>
      <c r="PEW10" s="87"/>
      <c r="PEX10" s="87"/>
      <c r="PEY10" s="87"/>
      <c r="PEZ10" s="87"/>
      <c r="PFA10" s="87"/>
      <c r="PFB10" s="87"/>
      <c r="PFC10" s="87"/>
      <c r="PFD10" s="87"/>
      <c r="PFE10" s="87"/>
      <c r="PFF10" s="87"/>
      <c r="PFG10" s="87"/>
      <c r="PFH10" s="87"/>
      <c r="PFI10" s="87"/>
      <c r="PFJ10" s="87"/>
      <c r="PFK10" s="87"/>
      <c r="PFL10" s="87"/>
      <c r="PFM10" s="87"/>
      <c r="PFN10" s="87"/>
      <c r="PFO10" s="87"/>
      <c r="PFP10" s="87"/>
      <c r="PFQ10" s="87"/>
      <c r="PFR10" s="87"/>
      <c r="PFS10" s="87"/>
      <c r="PFT10" s="87"/>
      <c r="PFU10" s="87"/>
      <c r="PFV10" s="87"/>
      <c r="PFW10" s="87"/>
      <c r="PFX10" s="87"/>
      <c r="PFY10" s="87"/>
      <c r="PFZ10" s="87"/>
      <c r="PGA10" s="87"/>
      <c r="PGB10" s="87"/>
      <c r="PGC10" s="87"/>
      <c r="PGD10" s="87"/>
      <c r="PGE10" s="87"/>
      <c r="PGF10" s="87"/>
      <c r="PGG10" s="87"/>
      <c r="PGH10" s="87"/>
      <c r="PGI10" s="87"/>
      <c r="PGJ10" s="87"/>
      <c r="PGK10" s="87"/>
      <c r="PGL10" s="87"/>
      <c r="PGM10" s="87"/>
      <c r="PGN10" s="87"/>
      <c r="PGO10" s="87"/>
      <c r="PGP10" s="87"/>
      <c r="PGQ10" s="87"/>
      <c r="PGR10" s="87"/>
      <c r="PGS10" s="87"/>
      <c r="PGT10" s="87"/>
      <c r="PGU10" s="87"/>
      <c r="PGV10" s="87"/>
      <c r="PGW10" s="87"/>
      <c r="PGX10" s="87"/>
      <c r="PGY10" s="87"/>
      <c r="PGZ10" s="87"/>
      <c r="PHA10" s="87"/>
      <c r="PHB10" s="87"/>
      <c r="PHC10" s="87"/>
      <c r="PHD10" s="87"/>
      <c r="PHE10" s="87"/>
      <c r="PHF10" s="87"/>
      <c r="PHG10" s="87"/>
      <c r="PHH10" s="87"/>
      <c r="PHI10" s="87"/>
      <c r="PHJ10" s="87"/>
      <c r="PHK10" s="87"/>
      <c r="PHL10" s="87"/>
      <c r="PHM10" s="87"/>
      <c r="PHN10" s="87"/>
      <c r="PHO10" s="87"/>
      <c r="PHP10" s="87"/>
      <c r="PHQ10" s="87"/>
      <c r="PHR10" s="87"/>
      <c r="PHS10" s="87"/>
      <c r="PHT10" s="87"/>
      <c r="PHU10" s="87"/>
      <c r="PHV10" s="87"/>
      <c r="PHW10" s="87"/>
      <c r="PHX10" s="87"/>
      <c r="PHY10" s="87"/>
      <c r="PHZ10" s="87"/>
      <c r="PIA10" s="87"/>
      <c r="PIB10" s="87"/>
      <c r="PIC10" s="87"/>
      <c r="PID10" s="87"/>
      <c r="PIE10" s="87"/>
      <c r="PIF10" s="87"/>
      <c r="PIG10" s="87"/>
      <c r="PIH10" s="87"/>
      <c r="PII10" s="87"/>
      <c r="PIJ10" s="87"/>
      <c r="PIK10" s="87"/>
      <c r="PIL10" s="87"/>
      <c r="PIM10" s="87"/>
      <c r="PIN10" s="87"/>
      <c r="PIO10" s="87"/>
      <c r="PIP10" s="87"/>
      <c r="PIQ10" s="87"/>
      <c r="PIR10" s="87"/>
      <c r="PIS10" s="87"/>
      <c r="PIT10" s="87"/>
      <c r="PIU10" s="87"/>
      <c r="PIV10" s="87"/>
      <c r="PIW10" s="87"/>
      <c r="PIX10" s="87"/>
      <c r="PIY10" s="87"/>
      <c r="PIZ10" s="87"/>
      <c r="PJA10" s="87"/>
      <c r="PJB10" s="87"/>
      <c r="PJC10" s="87"/>
      <c r="PJD10" s="87"/>
      <c r="PJE10" s="87"/>
      <c r="PJF10" s="87"/>
      <c r="PJG10" s="87"/>
      <c r="PJH10" s="87"/>
      <c r="PJI10" s="87"/>
      <c r="PJJ10" s="87"/>
      <c r="PJK10" s="87"/>
      <c r="PJL10" s="87"/>
      <c r="PJM10" s="87"/>
      <c r="PJN10" s="87"/>
      <c r="PJO10" s="87"/>
      <c r="PJP10" s="87"/>
      <c r="PJQ10" s="87"/>
      <c r="PJR10" s="87"/>
      <c r="PJS10" s="87"/>
      <c r="PJT10" s="87"/>
      <c r="PJU10" s="87"/>
      <c r="PJV10" s="87"/>
      <c r="PJW10" s="87"/>
      <c r="PJX10" s="87"/>
      <c r="PJY10" s="87"/>
      <c r="PJZ10" s="87"/>
      <c r="PKA10" s="87"/>
      <c r="PKB10" s="87"/>
      <c r="PKC10" s="87"/>
      <c r="PKD10" s="87"/>
      <c r="PKE10" s="87"/>
      <c r="PKF10" s="87"/>
      <c r="PKG10" s="87"/>
      <c r="PKH10" s="87"/>
      <c r="PKI10" s="87"/>
      <c r="PKJ10" s="87"/>
      <c r="PKK10" s="87"/>
      <c r="PKL10" s="87"/>
      <c r="PKM10" s="87"/>
      <c r="PKN10" s="87"/>
      <c r="PKO10" s="87"/>
      <c r="PKP10" s="87"/>
      <c r="PKQ10" s="87"/>
      <c r="PKR10" s="87"/>
      <c r="PKS10" s="87"/>
      <c r="PKT10" s="87"/>
      <c r="PKU10" s="87"/>
      <c r="PKV10" s="87"/>
      <c r="PKW10" s="87"/>
      <c r="PKX10" s="87"/>
      <c r="PKY10" s="87"/>
      <c r="PKZ10" s="87"/>
      <c r="PLA10" s="87"/>
      <c r="PLB10" s="87"/>
      <c r="PLC10" s="87"/>
      <c r="PLD10" s="87"/>
      <c r="PLE10" s="87"/>
      <c r="PLF10" s="87"/>
      <c r="PLG10" s="87"/>
      <c r="PLH10" s="87"/>
      <c r="PLI10" s="87"/>
      <c r="PLJ10" s="87"/>
      <c r="PLK10" s="87"/>
      <c r="PLL10" s="87"/>
      <c r="PLM10" s="87"/>
      <c r="PLN10" s="87"/>
      <c r="PLO10" s="87"/>
      <c r="PLP10" s="87"/>
      <c r="PLQ10" s="87"/>
      <c r="PLR10" s="87"/>
      <c r="PLS10" s="87"/>
      <c r="PLT10" s="87"/>
      <c r="PLU10" s="87"/>
      <c r="PLV10" s="87"/>
      <c r="PLW10" s="87"/>
      <c r="PLX10" s="87"/>
      <c r="PLY10" s="87"/>
      <c r="PLZ10" s="87"/>
      <c r="PMA10" s="87"/>
      <c r="PMB10" s="87"/>
      <c r="PMC10" s="87"/>
      <c r="PMD10" s="87"/>
      <c r="PME10" s="87"/>
      <c r="PMF10" s="87"/>
      <c r="PMG10" s="87"/>
      <c r="PMH10" s="87"/>
      <c r="PMI10" s="87"/>
      <c r="PMJ10" s="87"/>
      <c r="PMK10" s="87"/>
      <c r="PML10" s="87"/>
      <c r="PMM10" s="87"/>
      <c r="PMN10" s="87"/>
      <c r="PMO10" s="87"/>
      <c r="PMP10" s="87"/>
      <c r="PMQ10" s="87"/>
      <c r="PMR10" s="87"/>
      <c r="PMS10" s="87"/>
      <c r="PMT10" s="87"/>
      <c r="PMU10" s="87"/>
      <c r="PMV10" s="87"/>
      <c r="PMW10" s="87"/>
      <c r="PMX10" s="87"/>
      <c r="PMY10" s="87"/>
      <c r="PMZ10" s="87"/>
      <c r="PNA10" s="87"/>
      <c r="PNB10" s="87"/>
      <c r="PNC10" s="87"/>
      <c r="PND10" s="87"/>
      <c r="PNE10" s="87"/>
      <c r="PNF10" s="87"/>
      <c r="PNG10" s="87"/>
      <c r="PNH10" s="87"/>
      <c r="PNI10" s="87"/>
      <c r="PNJ10" s="87"/>
      <c r="PNK10" s="87"/>
      <c r="PNL10" s="87"/>
      <c r="PNM10" s="87"/>
      <c r="PNN10" s="87"/>
      <c r="PNO10" s="87"/>
      <c r="PNP10" s="87"/>
      <c r="PNQ10" s="87"/>
      <c r="PNR10" s="87"/>
      <c r="PNS10" s="87"/>
      <c r="PNT10" s="87"/>
      <c r="PNU10" s="87"/>
      <c r="PNV10" s="87"/>
      <c r="PNW10" s="87"/>
      <c r="PNX10" s="87"/>
      <c r="PNY10" s="87"/>
      <c r="PNZ10" s="87"/>
      <c r="POA10" s="87"/>
      <c r="POB10" s="87"/>
      <c r="POC10" s="87"/>
      <c r="POD10" s="87"/>
      <c r="POE10" s="87"/>
      <c r="POF10" s="87"/>
      <c r="POG10" s="87"/>
      <c r="POH10" s="87"/>
      <c r="POI10" s="87"/>
      <c r="POJ10" s="87"/>
      <c r="POK10" s="87"/>
      <c r="POL10" s="87"/>
      <c r="POM10" s="87"/>
      <c r="PON10" s="87"/>
      <c r="POO10" s="87"/>
      <c r="POP10" s="87"/>
      <c r="POQ10" s="87"/>
      <c r="POR10" s="87"/>
      <c r="POS10" s="87"/>
      <c r="POT10" s="87"/>
      <c r="POU10" s="87"/>
      <c r="POV10" s="87"/>
      <c r="POW10" s="87"/>
      <c r="POX10" s="87"/>
      <c r="POY10" s="87"/>
      <c r="POZ10" s="87"/>
      <c r="PPA10" s="87"/>
      <c r="PPB10" s="87"/>
      <c r="PPC10" s="87"/>
      <c r="PPD10" s="87"/>
      <c r="PPE10" s="87"/>
      <c r="PPF10" s="87"/>
      <c r="PPG10" s="87"/>
      <c r="PPH10" s="87"/>
      <c r="PPI10" s="87"/>
      <c r="PPJ10" s="87"/>
      <c r="PPK10" s="87"/>
      <c r="PPL10" s="87"/>
      <c r="PPM10" s="87"/>
      <c r="PPN10" s="87"/>
      <c r="PPO10" s="87"/>
      <c r="PPP10" s="87"/>
      <c r="PPQ10" s="87"/>
      <c r="PPR10" s="87"/>
      <c r="PPS10" s="87"/>
      <c r="PPT10" s="87"/>
      <c r="PPU10" s="87"/>
      <c r="PPV10" s="87"/>
      <c r="PPW10" s="87"/>
      <c r="PPX10" s="87"/>
      <c r="PPY10" s="87"/>
      <c r="PPZ10" s="87"/>
      <c r="PQA10" s="87"/>
      <c r="PQB10" s="87"/>
      <c r="PQC10" s="87"/>
      <c r="PQD10" s="87"/>
      <c r="PQE10" s="87"/>
      <c r="PQF10" s="87"/>
      <c r="PQG10" s="87"/>
      <c r="PQH10" s="87"/>
      <c r="PQI10" s="87"/>
      <c r="PQJ10" s="87"/>
      <c r="PQK10" s="87"/>
      <c r="PQL10" s="87"/>
      <c r="PQM10" s="87"/>
      <c r="PQN10" s="87"/>
      <c r="PQO10" s="87"/>
      <c r="PQP10" s="87"/>
      <c r="PQQ10" s="87"/>
      <c r="PQR10" s="87"/>
      <c r="PQS10" s="87"/>
      <c r="PQT10" s="87"/>
      <c r="PQU10" s="87"/>
      <c r="PQV10" s="87"/>
      <c r="PQW10" s="87"/>
      <c r="PQX10" s="87"/>
      <c r="PQY10" s="87"/>
      <c r="PQZ10" s="87"/>
      <c r="PRA10" s="87"/>
      <c r="PRB10" s="87"/>
      <c r="PRC10" s="87"/>
      <c r="PRD10" s="87"/>
      <c r="PRE10" s="87"/>
      <c r="PRF10" s="87"/>
      <c r="PRG10" s="87"/>
      <c r="PRH10" s="87"/>
      <c r="PRI10" s="87"/>
      <c r="PRJ10" s="87"/>
      <c r="PRK10" s="87"/>
      <c r="PRL10" s="87"/>
      <c r="PRM10" s="87"/>
      <c r="PRN10" s="87"/>
      <c r="PRO10" s="87"/>
      <c r="PRP10" s="87"/>
      <c r="PRQ10" s="87"/>
      <c r="PRR10" s="87"/>
      <c r="PRS10" s="87"/>
      <c r="PRT10" s="87"/>
      <c r="PRU10" s="87"/>
      <c r="PRV10" s="87"/>
      <c r="PRW10" s="87"/>
      <c r="PRX10" s="87"/>
      <c r="PRY10" s="87"/>
      <c r="PRZ10" s="87"/>
      <c r="PSA10" s="87"/>
      <c r="PSB10" s="87"/>
      <c r="PSC10" s="87"/>
      <c r="PSD10" s="87"/>
      <c r="PSE10" s="87"/>
      <c r="PSF10" s="87"/>
      <c r="PSG10" s="87"/>
      <c r="PSH10" s="87"/>
      <c r="PSI10" s="87"/>
      <c r="PSJ10" s="87"/>
      <c r="PSK10" s="87"/>
      <c r="PSL10" s="87"/>
      <c r="PSM10" s="87"/>
      <c r="PSN10" s="87"/>
      <c r="PSO10" s="87"/>
      <c r="PSP10" s="87"/>
      <c r="PSQ10" s="87"/>
      <c r="PSR10" s="87"/>
      <c r="PSS10" s="87"/>
      <c r="PST10" s="87"/>
      <c r="PSU10" s="87"/>
      <c r="PSV10" s="87"/>
      <c r="PSW10" s="87"/>
      <c r="PSX10" s="87"/>
      <c r="PSY10" s="87"/>
      <c r="PSZ10" s="87"/>
      <c r="PTA10" s="87"/>
      <c r="PTB10" s="87"/>
      <c r="PTC10" s="87"/>
      <c r="PTD10" s="87"/>
      <c r="PTE10" s="87"/>
      <c r="PTF10" s="87"/>
      <c r="PTG10" s="87"/>
      <c r="PTH10" s="87"/>
      <c r="PTI10" s="87"/>
      <c r="PTJ10" s="87"/>
      <c r="PTK10" s="87"/>
      <c r="PTL10" s="87"/>
      <c r="PTM10" s="87"/>
      <c r="PTN10" s="87"/>
      <c r="PTO10" s="87"/>
      <c r="PTP10" s="87"/>
      <c r="PTQ10" s="87"/>
      <c r="PTR10" s="87"/>
      <c r="PTS10" s="87"/>
      <c r="PTT10" s="87"/>
      <c r="PTU10" s="87"/>
      <c r="PTV10" s="87"/>
      <c r="PTW10" s="87"/>
      <c r="PTX10" s="87"/>
      <c r="PTY10" s="87"/>
      <c r="PTZ10" s="87"/>
      <c r="PUA10" s="87"/>
      <c r="PUB10" s="87"/>
      <c r="PUC10" s="87"/>
      <c r="PUD10" s="87"/>
      <c r="PUE10" s="87"/>
      <c r="PUF10" s="87"/>
      <c r="PUG10" s="87"/>
      <c r="PUH10" s="87"/>
      <c r="PUI10" s="87"/>
      <c r="PUJ10" s="87"/>
      <c r="PUK10" s="87"/>
      <c r="PUL10" s="87"/>
      <c r="PUM10" s="87"/>
      <c r="PUN10" s="87"/>
      <c r="PUO10" s="87"/>
      <c r="PUP10" s="87"/>
      <c r="PUQ10" s="87"/>
      <c r="PUR10" s="87"/>
      <c r="PUS10" s="87"/>
      <c r="PUT10" s="87"/>
      <c r="PUU10" s="87"/>
      <c r="PUV10" s="87"/>
      <c r="PUW10" s="87"/>
      <c r="PUX10" s="87"/>
      <c r="PUY10" s="87"/>
      <c r="PUZ10" s="87"/>
      <c r="PVA10" s="87"/>
      <c r="PVB10" s="87"/>
      <c r="PVC10" s="87"/>
      <c r="PVD10" s="87"/>
      <c r="PVE10" s="87"/>
      <c r="PVF10" s="87"/>
      <c r="PVG10" s="87"/>
      <c r="PVH10" s="87"/>
      <c r="PVI10" s="87"/>
      <c r="PVJ10" s="87"/>
      <c r="PVK10" s="87"/>
      <c r="PVL10" s="87"/>
      <c r="PVM10" s="87"/>
      <c r="PVN10" s="87"/>
      <c r="PVO10" s="87"/>
      <c r="PVP10" s="87"/>
      <c r="PVQ10" s="87"/>
      <c r="PVR10" s="87"/>
      <c r="PVS10" s="87"/>
      <c r="PVT10" s="87"/>
      <c r="PVU10" s="87"/>
      <c r="PVV10" s="87"/>
      <c r="PVW10" s="87"/>
      <c r="PVX10" s="87"/>
      <c r="PVY10" s="87"/>
      <c r="PVZ10" s="87"/>
      <c r="PWA10" s="87"/>
      <c r="PWB10" s="87"/>
      <c r="PWC10" s="87"/>
      <c r="PWD10" s="87"/>
      <c r="PWE10" s="87"/>
      <c r="PWF10" s="87"/>
      <c r="PWG10" s="87"/>
      <c r="PWH10" s="87"/>
      <c r="PWI10" s="87"/>
      <c r="PWJ10" s="87"/>
      <c r="PWK10" s="87"/>
      <c r="PWL10" s="87"/>
      <c r="PWM10" s="87"/>
      <c r="PWN10" s="87"/>
      <c r="PWO10" s="87"/>
      <c r="PWP10" s="87"/>
      <c r="PWQ10" s="87"/>
      <c r="PWR10" s="87"/>
      <c r="PWS10" s="87"/>
      <c r="PWT10" s="87"/>
      <c r="PWU10" s="87"/>
      <c r="PWV10" s="87"/>
      <c r="PWW10" s="87"/>
      <c r="PWX10" s="87"/>
      <c r="PWY10" s="87"/>
      <c r="PWZ10" s="87"/>
      <c r="PXA10" s="87"/>
      <c r="PXB10" s="87"/>
      <c r="PXC10" s="87"/>
      <c r="PXD10" s="87"/>
      <c r="PXE10" s="87"/>
      <c r="PXF10" s="87"/>
      <c r="PXG10" s="87"/>
      <c r="PXH10" s="87"/>
      <c r="PXI10" s="87"/>
      <c r="PXJ10" s="87"/>
      <c r="PXK10" s="87"/>
      <c r="PXL10" s="87"/>
      <c r="PXM10" s="87"/>
      <c r="PXN10" s="87"/>
      <c r="PXO10" s="87"/>
      <c r="PXP10" s="87"/>
      <c r="PXQ10" s="87"/>
      <c r="PXR10" s="87"/>
      <c r="PXS10" s="87"/>
      <c r="PXT10" s="87"/>
      <c r="PXU10" s="87"/>
      <c r="PXV10" s="87"/>
      <c r="PXW10" s="87"/>
      <c r="PXX10" s="87"/>
      <c r="PXY10" s="87"/>
      <c r="PXZ10" s="87"/>
      <c r="PYA10" s="87"/>
      <c r="PYB10" s="87"/>
      <c r="PYC10" s="87"/>
      <c r="PYD10" s="87"/>
      <c r="PYE10" s="87"/>
      <c r="PYF10" s="87"/>
      <c r="PYG10" s="87"/>
      <c r="PYH10" s="87"/>
      <c r="PYI10" s="87"/>
      <c r="PYJ10" s="87"/>
      <c r="PYK10" s="87"/>
      <c r="PYL10" s="87"/>
      <c r="PYM10" s="87"/>
      <c r="PYN10" s="87"/>
      <c r="PYO10" s="87"/>
      <c r="PYP10" s="87"/>
      <c r="PYQ10" s="87"/>
      <c r="PYR10" s="87"/>
      <c r="PYS10" s="87"/>
      <c r="PYT10" s="87"/>
      <c r="PYU10" s="87"/>
      <c r="PYV10" s="87"/>
      <c r="PYW10" s="87"/>
      <c r="PYX10" s="87"/>
      <c r="PYY10" s="87"/>
      <c r="PYZ10" s="87"/>
      <c r="PZA10" s="87"/>
      <c r="PZB10" s="87"/>
      <c r="PZC10" s="87"/>
      <c r="PZD10" s="87"/>
      <c r="PZE10" s="87"/>
      <c r="PZF10" s="87"/>
      <c r="PZG10" s="87"/>
      <c r="PZH10" s="87"/>
      <c r="PZI10" s="87"/>
      <c r="PZJ10" s="87"/>
      <c r="PZK10" s="87"/>
      <c r="PZL10" s="87"/>
      <c r="PZM10" s="87"/>
      <c r="PZN10" s="87"/>
      <c r="PZO10" s="87"/>
      <c r="PZP10" s="87"/>
      <c r="PZQ10" s="87"/>
      <c r="PZR10" s="87"/>
      <c r="PZS10" s="87"/>
      <c r="PZT10" s="87"/>
      <c r="PZU10" s="87"/>
      <c r="PZV10" s="87"/>
      <c r="PZW10" s="87"/>
      <c r="PZX10" s="87"/>
      <c r="PZY10" s="87"/>
      <c r="PZZ10" s="87"/>
      <c r="QAA10" s="87"/>
      <c r="QAB10" s="87"/>
      <c r="QAC10" s="87"/>
      <c r="QAD10" s="87"/>
      <c r="QAE10" s="87"/>
      <c r="QAF10" s="87"/>
      <c r="QAG10" s="87"/>
      <c r="QAH10" s="87"/>
      <c r="QAI10" s="87"/>
      <c r="QAJ10" s="87"/>
      <c r="QAK10" s="87"/>
      <c r="QAL10" s="87"/>
      <c r="QAM10" s="87"/>
      <c r="QAN10" s="87"/>
      <c r="QAO10" s="87"/>
      <c r="QAP10" s="87"/>
      <c r="QAQ10" s="87"/>
      <c r="QAR10" s="87"/>
      <c r="QAS10" s="87"/>
      <c r="QAT10" s="87"/>
      <c r="QAU10" s="87"/>
      <c r="QAV10" s="87"/>
      <c r="QAW10" s="87"/>
      <c r="QAX10" s="87"/>
      <c r="QAY10" s="87"/>
      <c r="QAZ10" s="87"/>
      <c r="QBA10" s="87"/>
      <c r="QBB10" s="87"/>
      <c r="QBC10" s="87"/>
      <c r="QBD10" s="87"/>
      <c r="QBE10" s="87"/>
      <c r="QBF10" s="87"/>
      <c r="QBG10" s="87"/>
      <c r="QBH10" s="87"/>
      <c r="QBI10" s="87"/>
      <c r="QBJ10" s="87"/>
      <c r="QBK10" s="87"/>
      <c r="QBL10" s="87"/>
      <c r="QBM10" s="87"/>
      <c r="QBN10" s="87"/>
      <c r="QBO10" s="87"/>
      <c r="QBP10" s="87"/>
      <c r="QBQ10" s="87"/>
      <c r="QBR10" s="87"/>
      <c r="QBS10" s="87"/>
      <c r="QBT10" s="87"/>
      <c r="QBU10" s="87"/>
      <c r="QBV10" s="87"/>
      <c r="QBW10" s="87"/>
      <c r="QBX10" s="87"/>
      <c r="QBY10" s="87"/>
      <c r="QBZ10" s="87"/>
      <c r="QCA10" s="87"/>
      <c r="QCB10" s="87"/>
      <c r="QCC10" s="87"/>
      <c r="QCD10" s="87"/>
      <c r="QCE10" s="87"/>
      <c r="QCF10" s="87"/>
      <c r="QCG10" s="87"/>
      <c r="QCH10" s="87"/>
      <c r="QCI10" s="87"/>
      <c r="QCJ10" s="87"/>
      <c r="QCK10" s="87"/>
      <c r="QCL10" s="87"/>
      <c r="QCM10" s="87"/>
      <c r="QCN10" s="87"/>
      <c r="QCO10" s="87"/>
      <c r="QCP10" s="87"/>
      <c r="QCQ10" s="87"/>
      <c r="QCR10" s="87"/>
      <c r="QCS10" s="87"/>
      <c r="QCT10" s="87"/>
      <c r="QCU10" s="87"/>
      <c r="QCV10" s="87"/>
      <c r="QCW10" s="87"/>
      <c r="QCX10" s="87"/>
      <c r="QCY10" s="87"/>
      <c r="QCZ10" s="87"/>
      <c r="QDA10" s="87"/>
      <c r="QDB10" s="87"/>
      <c r="QDC10" s="87"/>
      <c r="QDD10" s="87"/>
      <c r="QDE10" s="87"/>
      <c r="QDF10" s="87"/>
      <c r="QDG10" s="87"/>
      <c r="QDH10" s="87"/>
      <c r="QDI10" s="87"/>
      <c r="QDJ10" s="87"/>
      <c r="QDK10" s="87"/>
      <c r="QDL10" s="87"/>
      <c r="QDM10" s="87"/>
      <c r="QDN10" s="87"/>
      <c r="QDO10" s="87"/>
      <c r="QDP10" s="87"/>
      <c r="QDQ10" s="87"/>
      <c r="QDR10" s="87"/>
      <c r="QDS10" s="87"/>
      <c r="QDT10" s="87"/>
      <c r="QDU10" s="87"/>
      <c r="QDV10" s="87"/>
      <c r="QDW10" s="87"/>
      <c r="QDX10" s="87"/>
      <c r="QDY10" s="87"/>
      <c r="QDZ10" s="87"/>
      <c r="QEA10" s="87"/>
      <c r="QEB10" s="87"/>
      <c r="QEC10" s="87"/>
      <c r="QED10" s="87"/>
      <c r="QEE10" s="87"/>
      <c r="QEF10" s="87"/>
      <c r="QEG10" s="87"/>
      <c r="QEH10" s="87"/>
      <c r="QEI10" s="87"/>
      <c r="QEJ10" s="87"/>
      <c r="QEK10" s="87"/>
      <c r="QEL10" s="87"/>
      <c r="QEM10" s="87"/>
      <c r="QEN10" s="87"/>
      <c r="QEO10" s="87"/>
      <c r="QEP10" s="87"/>
      <c r="QEQ10" s="87"/>
      <c r="QER10" s="87"/>
      <c r="QES10" s="87"/>
      <c r="QET10" s="87"/>
      <c r="QEU10" s="87"/>
      <c r="QEV10" s="87"/>
      <c r="QEW10" s="87"/>
      <c r="QEX10" s="87"/>
      <c r="QEY10" s="87"/>
      <c r="QEZ10" s="87"/>
      <c r="QFA10" s="87"/>
      <c r="QFB10" s="87"/>
      <c r="QFC10" s="87"/>
      <c r="QFD10" s="87"/>
      <c r="QFE10" s="87"/>
      <c r="QFF10" s="87"/>
      <c r="QFG10" s="87"/>
      <c r="QFH10" s="87"/>
      <c r="QFI10" s="87"/>
      <c r="QFJ10" s="87"/>
      <c r="QFK10" s="87"/>
      <c r="QFL10" s="87"/>
      <c r="QFM10" s="87"/>
      <c r="QFN10" s="87"/>
      <c r="QFO10" s="87"/>
      <c r="QFP10" s="87"/>
      <c r="QFQ10" s="87"/>
      <c r="QFR10" s="87"/>
      <c r="QFS10" s="87"/>
      <c r="QFT10" s="87"/>
      <c r="QFU10" s="87"/>
      <c r="QFV10" s="87"/>
      <c r="QFW10" s="87"/>
      <c r="QFX10" s="87"/>
      <c r="QFY10" s="87"/>
      <c r="QFZ10" s="87"/>
      <c r="QGA10" s="87"/>
      <c r="QGB10" s="87"/>
      <c r="QGC10" s="87"/>
      <c r="QGD10" s="87"/>
      <c r="QGE10" s="87"/>
      <c r="QGF10" s="87"/>
      <c r="QGG10" s="87"/>
      <c r="QGH10" s="87"/>
      <c r="QGI10" s="87"/>
      <c r="QGJ10" s="87"/>
      <c r="QGK10" s="87"/>
      <c r="QGL10" s="87"/>
      <c r="QGM10" s="87"/>
      <c r="QGN10" s="87"/>
      <c r="QGO10" s="87"/>
      <c r="QGP10" s="87"/>
      <c r="QGQ10" s="87"/>
      <c r="QGR10" s="87"/>
      <c r="QGS10" s="87"/>
      <c r="QGT10" s="87"/>
      <c r="QGU10" s="87"/>
      <c r="QGV10" s="87"/>
      <c r="QGW10" s="87"/>
      <c r="QGX10" s="87"/>
      <c r="QGY10" s="87"/>
      <c r="QGZ10" s="87"/>
      <c r="QHA10" s="87"/>
      <c r="QHB10" s="87"/>
      <c r="QHC10" s="87"/>
      <c r="QHD10" s="87"/>
      <c r="QHE10" s="87"/>
      <c r="QHF10" s="87"/>
      <c r="QHG10" s="87"/>
      <c r="QHH10" s="87"/>
      <c r="QHI10" s="87"/>
      <c r="QHJ10" s="87"/>
      <c r="QHK10" s="87"/>
      <c r="QHL10" s="87"/>
      <c r="QHM10" s="87"/>
      <c r="QHN10" s="87"/>
      <c r="QHO10" s="87"/>
      <c r="QHP10" s="87"/>
      <c r="QHQ10" s="87"/>
      <c r="QHR10" s="87"/>
      <c r="QHS10" s="87"/>
      <c r="QHT10" s="87"/>
      <c r="QHU10" s="87"/>
      <c r="QHV10" s="87"/>
      <c r="QHW10" s="87"/>
      <c r="QHX10" s="87"/>
      <c r="QHY10" s="87"/>
      <c r="QHZ10" s="87"/>
      <c r="QIA10" s="87"/>
      <c r="QIB10" s="87"/>
      <c r="QIC10" s="87"/>
      <c r="QID10" s="87"/>
      <c r="QIE10" s="87"/>
      <c r="QIF10" s="87"/>
      <c r="QIG10" s="87"/>
      <c r="QIH10" s="87"/>
      <c r="QII10" s="87"/>
      <c r="QIJ10" s="87"/>
      <c r="QIK10" s="87"/>
      <c r="QIL10" s="87"/>
      <c r="QIM10" s="87"/>
      <c r="QIN10" s="87"/>
      <c r="QIO10" s="87"/>
      <c r="QIP10" s="87"/>
      <c r="QIQ10" s="87"/>
      <c r="QIR10" s="87"/>
      <c r="QIS10" s="87"/>
      <c r="QIT10" s="87"/>
      <c r="QIU10" s="87"/>
      <c r="QIV10" s="87"/>
      <c r="QIW10" s="87"/>
      <c r="QIX10" s="87"/>
      <c r="QIY10" s="87"/>
      <c r="QIZ10" s="87"/>
      <c r="QJA10" s="87"/>
      <c r="QJB10" s="87"/>
      <c r="QJC10" s="87"/>
      <c r="QJD10" s="87"/>
      <c r="QJE10" s="87"/>
      <c r="QJF10" s="87"/>
      <c r="QJG10" s="87"/>
      <c r="QJH10" s="87"/>
      <c r="QJI10" s="87"/>
      <c r="QJJ10" s="87"/>
      <c r="QJK10" s="87"/>
      <c r="QJL10" s="87"/>
      <c r="QJM10" s="87"/>
      <c r="QJN10" s="87"/>
      <c r="QJO10" s="87"/>
      <c r="QJP10" s="87"/>
      <c r="QJQ10" s="87"/>
      <c r="QJR10" s="87"/>
      <c r="QJS10" s="87"/>
      <c r="QJT10" s="87"/>
      <c r="QJU10" s="87"/>
      <c r="QJV10" s="87"/>
      <c r="QJW10" s="87"/>
      <c r="QJX10" s="87"/>
      <c r="QJY10" s="87"/>
      <c r="QJZ10" s="87"/>
      <c r="QKA10" s="87"/>
      <c r="QKB10" s="87"/>
      <c r="QKC10" s="87"/>
      <c r="QKD10" s="87"/>
      <c r="QKE10" s="87"/>
      <c r="QKF10" s="87"/>
      <c r="QKG10" s="87"/>
      <c r="QKH10" s="87"/>
      <c r="QKI10" s="87"/>
      <c r="QKJ10" s="87"/>
      <c r="QKK10" s="87"/>
      <c r="QKL10" s="87"/>
      <c r="QKM10" s="87"/>
      <c r="QKN10" s="87"/>
      <c r="QKO10" s="87"/>
      <c r="QKP10" s="87"/>
      <c r="QKQ10" s="87"/>
      <c r="QKR10" s="87"/>
      <c r="QKS10" s="87"/>
      <c r="QKT10" s="87"/>
      <c r="QKU10" s="87"/>
      <c r="QKV10" s="87"/>
      <c r="QKW10" s="87"/>
      <c r="QKX10" s="87"/>
      <c r="QKY10" s="87"/>
      <c r="QKZ10" s="87"/>
      <c r="QLA10" s="87"/>
      <c r="QLB10" s="87"/>
      <c r="QLC10" s="87"/>
      <c r="QLD10" s="87"/>
      <c r="QLE10" s="87"/>
      <c r="QLF10" s="87"/>
      <c r="QLG10" s="87"/>
      <c r="QLH10" s="87"/>
      <c r="QLI10" s="87"/>
      <c r="QLJ10" s="87"/>
      <c r="QLK10" s="87"/>
      <c r="QLL10" s="87"/>
      <c r="QLM10" s="87"/>
      <c r="QLN10" s="87"/>
      <c r="QLO10" s="87"/>
      <c r="QLP10" s="87"/>
      <c r="QLQ10" s="87"/>
      <c r="QLR10" s="87"/>
      <c r="QLS10" s="87"/>
      <c r="QLT10" s="87"/>
      <c r="QLU10" s="87"/>
      <c r="QLV10" s="87"/>
      <c r="QLW10" s="87"/>
      <c r="QLX10" s="87"/>
      <c r="QLY10" s="87"/>
      <c r="QLZ10" s="87"/>
      <c r="QMA10" s="87"/>
      <c r="QMB10" s="87"/>
      <c r="QMC10" s="87"/>
      <c r="QMD10" s="87"/>
      <c r="QME10" s="87"/>
      <c r="QMF10" s="87"/>
      <c r="QMG10" s="87"/>
      <c r="QMH10" s="87"/>
      <c r="QMI10" s="87"/>
      <c r="QMJ10" s="87"/>
      <c r="QMK10" s="87"/>
      <c r="QML10" s="87"/>
      <c r="QMM10" s="87"/>
      <c r="QMN10" s="87"/>
      <c r="QMO10" s="87"/>
      <c r="QMP10" s="87"/>
      <c r="QMQ10" s="87"/>
      <c r="QMR10" s="87"/>
      <c r="QMS10" s="87"/>
      <c r="QMT10" s="87"/>
      <c r="QMU10" s="87"/>
      <c r="QMV10" s="87"/>
      <c r="QMW10" s="87"/>
      <c r="QMX10" s="87"/>
      <c r="QMY10" s="87"/>
      <c r="QMZ10" s="87"/>
      <c r="QNA10" s="87"/>
      <c r="QNB10" s="87"/>
      <c r="QNC10" s="87"/>
      <c r="QND10" s="87"/>
      <c r="QNE10" s="87"/>
      <c r="QNF10" s="87"/>
      <c r="QNG10" s="87"/>
      <c r="QNH10" s="87"/>
      <c r="QNI10" s="87"/>
      <c r="QNJ10" s="87"/>
      <c r="QNK10" s="87"/>
      <c r="QNL10" s="87"/>
      <c r="QNM10" s="87"/>
      <c r="QNN10" s="87"/>
      <c r="QNO10" s="87"/>
      <c r="QNP10" s="87"/>
      <c r="QNQ10" s="87"/>
      <c r="QNR10" s="87"/>
      <c r="QNS10" s="87"/>
      <c r="QNT10" s="87"/>
      <c r="QNU10" s="87"/>
      <c r="QNV10" s="87"/>
      <c r="QNW10" s="87"/>
      <c r="QNX10" s="87"/>
      <c r="QNY10" s="87"/>
      <c r="QNZ10" s="87"/>
      <c r="QOA10" s="87"/>
      <c r="QOB10" s="87"/>
      <c r="QOC10" s="87"/>
      <c r="QOD10" s="87"/>
      <c r="QOE10" s="87"/>
      <c r="QOF10" s="87"/>
      <c r="QOG10" s="87"/>
      <c r="QOH10" s="87"/>
      <c r="QOI10" s="87"/>
      <c r="QOJ10" s="87"/>
      <c r="QOK10" s="87"/>
      <c r="QOL10" s="87"/>
      <c r="QOM10" s="87"/>
      <c r="QON10" s="87"/>
      <c r="QOO10" s="87"/>
      <c r="QOP10" s="87"/>
      <c r="QOQ10" s="87"/>
      <c r="QOR10" s="87"/>
      <c r="QOS10" s="87"/>
      <c r="QOT10" s="87"/>
      <c r="QOU10" s="87"/>
      <c r="QOV10" s="87"/>
      <c r="QOW10" s="87"/>
      <c r="QOX10" s="87"/>
      <c r="QOY10" s="87"/>
      <c r="QOZ10" s="87"/>
      <c r="QPA10" s="87"/>
      <c r="QPB10" s="87"/>
      <c r="QPC10" s="87"/>
      <c r="QPD10" s="87"/>
      <c r="QPE10" s="87"/>
      <c r="QPF10" s="87"/>
      <c r="QPG10" s="87"/>
      <c r="QPH10" s="87"/>
      <c r="QPI10" s="87"/>
      <c r="QPJ10" s="87"/>
      <c r="QPK10" s="87"/>
      <c r="QPL10" s="87"/>
      <c r="QPM10" s="87"/>
      <c r="QPN10" s="87"/>
      <c r="QPO10" s="87"/>
      <c r="QPP10" s="87"/>
      <c r="QPQ10" s="87"/>
      <c r="QPR10" s="87"/>
      <c r="QPS10" s="87"/>
      <c r="QPT10" s="87"/>
      <c r="QPU10" s="87"/>
      <c r="QPV10" s="87"/>
      <c r="QPW10" s="87"/>
      <c r="QPX10" s="87"/>
      <c r="QPY10" s="87"/>
      <c r="QPZ10" s="87"/>
      <c r="QQA10" s="87"/>
      <c r="QQB10" s="87"/>
      <c r="QQC10" s="87"/>
      <c r="QQD10" s="87"/>
      <c r="QQE10" s="87"/>
      <c r="QQF10" s="87"/>
      <c r="QQG10" s="87"/>
      <c r="QQH10" s="87"/>
      <c r="QQI10" s="87"/>
      <c r="QQJ10" s="87"/>
      <c r="QQK10" s="87"/>
      <c r="QQL10" s="87"/>
      <c r="QQM10" s="87"/>
      <c r="QQN10" s="87"/>
      <c r="QQO10" s="87"/>
      <c r="QQP10" s="87"/>
      <c r="QQQ10" s="87"/>
      <c r="QQR10" s="87"/>
      <c r="QQS10" s="87"/>
      <c r="QQT10" s="87"/>
      <c r="QQU10" s="87"/>
      <c r="QQV10" s="87"/>
      <c r="QQW10" s="87"/>
      <c r="QQX10" s="87"/>
      <c r="QQY10" s="87"/>
      <c r="QQZ10" s="87"/>
      <c r="QRA10" s="87"/>
      <c r="QRB10" s="87"/>
      <c r="QRC10" s="87"/>
      <c r="QRD10" s="87"/>
      <c r="QRE10" s="87"/>
      <c r="QRF10" s="87"/>
      <c r="QRG10" s="87"/>
      <c r="QRH10" s="87"/>
      <c r="QRI10" s="87"/>
      <c r="QRJ10" s="87"/>
      <c r="QRK10" s="87"/>
      <c r="QRL10" s="87"/>
      <c r="QRM10" s="87"/>
      <c r="QRN10" s="87"/>
      <c r="QRO10" s="87"/>
      <c r="QRP10" s="87"/>
      <c r="QRQ10" s="87"/>
      <c r="QRR10" s="87"/>
      <c r="QRS10" s="87"/>
      <c r="QRT10" s="87"/>
      <c r="QRU10" s="87"/>
      <c r="QRV10" s="87"/>
      <c r="QRW10" s="87"/>
      <c r="QRX10" s="87"/>
      <c r="QRY10" s="87"/>
      <c r="QRZ10" s="87"/>
      <c r="QSA10" s="87"/>
      <c r="QSB10" s="87"/>
      <c r="QSC10" s="87"/>
      <c r="QSD10" s="87"/>
      <c r="QSE10" s="87"/>
      <c r="QSF10" s="87"/>
      <c r="QSG10" s="87"/>
      <c r="QSH10" s="87"/>
      <c r="QSI10" s="87"/>
      <c r="QSJ10" s="87"/>
      <c r="QSK10" s="87"/>
      <c r="QSL10" s="87"/>
      <c r="QSM10" s="87"/>
      <c r="QSN10" s="87"/>
      <c r="QSO10" s="87"/>
      <c r="QSP10" s="87"/>
      <c r="QSQ10" s="87"/>
      <c r="QSR10" s="87"/>
      <c r="QSS10" s="87"/>
      <c r="QST10" s="87"/>
      <c r="QSU10" s="87"/>
      <c r="QSV10" s="87"/>
      <c r="QSW10" s="87"/>
      <c r="QSX10" s="87"/>
      <c r="QSY10" s="87"/>
      <c r="QSZ10" s="87"/>
      <c r="QTA10" s="87"/>
      <c r="QTB10" s="87"/>
      <c r="QTC10" s="87"/>
      <c r="QTD10" s="87"/>
      <c r="QTE10" s="87"/>
      <c r="QTF10" s="87"/>
      <c r="QTG10" s="87"/>
      <c r="QTH10" s="87"/>
      <c r="QTI10" s="87"/>
      <c r="QTJ10" s="87"/>
      <c r="QTK10" s="87"/>
      <c r="QTL10" s="87"/>
      <c r="QTM10" s="87"/>
      <c r="QTN10" s="87"/>
      <c r="QTO10" s="87"/>
      <c r="QTP10" s="87"/>
      <c r="QTQ10" s="87"/>
      <c r="QTR10" s="87"/>
      <c r="QTS10" s="87"/>
      <c r="QTT10" s="87"/>
      <c r="QTU10" s="87"/>
      <c r="QTV10" s="87"/>
      <c r="QTW10" s="87"/>
      <c r="QTX10" s="87"/>
      <c r="QTY10" s="87"/>
      <c r="QTZ10" s="87"/>
      <c r="QUA10" s="87"/>
      <c r="QUB10" s="87"/>
      <c r="QUC10" s="87"/>
      <c r="QUD10" s="87"/>
      <c r="QUE10" s="87"/>
      <c r="QUF10" s="87"/>
      <c r="QUG10" s="87"/>
      <c r="QUH10" s="87"/>
      <c r="QUI10" s="87"/>
      <c r="QUJ10" s="87"/>
      <c r="QUK10" s="87"/>
      <c r="QUL10" s="87"/>
      <c r="QUM10" s="87"/>
      <c r="QUN10" s="87"/>
      <c r="QUO10" s="87"/>
      <c r="QUP10" s="87"/>
      <c r="QUQ10" s="87"/>
      <c r="QUR10" s="87"/>
      <c r="QUS10" s="87"/>
      <c r="QUT10" s="87"/>
      <c r="QUU10" s="87"/>
      <c r="QUV10" s="87"/>
      <c r="QUW10" s="87"/>
      <c r="QUX10" s="87"/>
      <c r="QUY10" s="87"/>
      <c r="QUZ10" s="87"/>
      <c r="QVA10" s="87"/>
      <c r="QVB10" s="87"/>
      <c r="QVC10" s="87"/>
      <c r="QVD10" s="87"/>
      <c r="QVE10" s="87"/>
      <c r="QVF10" s="87"/>
      <c r="QVG10" s="87"/>
      <c r="QVH10" s="87"/>
      <c r="QVI10" s="87"/>
      <c r="QVJ10" s="87"/>
      <c r="QVK10" s="87"/>
      <c r="QVL10" s="87"/>
      <c r="QVM10" s="87"/>
      <c r="QVN10" s="87"/>
      <c r="QVO10" s="87"/>
      <c r="QVP10" s="87"/>
      <c r="QVQ10" s="87"/>
      <c r="QVR10" s="87"/>
      <c r="QVS10" s="87"/>
      <c r="QVT10" s="87"/>
      <c r="QVU10" s="87"/>
      <c r="QVV10" s="87"/>
      <c r="QVW10" s="87"/>
      <c r="QVX10" s="87"/>
      <c r="QVY10" s="87"/>
      <c r="QVZ10" s="87"/>
      <c r="QWA10" s="87"/>
      <c r="QWB10" s="87"/>
      <c r="QWC10" s="87"/>
      <c r="QWD10" s="87"/>
      <c r="QWE10" s="87"/>
      <c r="QWF10" s="87"/>
      <c r="QWG10" s="87"/>
      <c r="QWH10" s="87"/>
      <c r="QWI10" s="87"/>
      <c r="QWJ10" s="87"/>
      <c r="QWK10" s="87"/>
      <c r="QWL10" s="87"/>
      <c r="QWM10" s="87"/>
      <c r="QWN10" s="87"/>
      <c r="QWO10" s="87"/>
      <c r="QWP10" s="87"/>
      <c r="QWQ10" s="87"/>
      <c r="QWR10" s="87"/>
      <c r="QWS10" s="87"/>
      <c r="QWT10" s="87"/>
      <c r="QWU10" s="87"/>
      <c r="QWV10" s="87"/>
      <c r="QWW10" s="87"/>
      <c r="QWX10" s="87"/>
      <c r="QWY10" s="87"/>
      <c r="QWZ10" s="87"/>
      <c r="QXA10" s="87"/>
      <c r="QXB10" s="87"/>
      <c r="QXC10" s="87"/>
      <c r="QXD10" s="87"/>
      <c r="QXE10" s="87"/>
      <c r="QXF10" s="87"/>
      <c r="QXG10" s="87"/>
      <c r="QXH10" s="87"/>
      <c r="QXI10" s="87"/>
      <c r="QXJ10" s="87"/>
      <c r="QXK10" s="87"/>
      <c r="QXL10" s="87"/>
      <c r="QXM10" s="87"/>
      <c r="QXN10" s="87"/>
      <c r="QXO10" s="87"/>
      <c r="QXP10" s="87"/>
      <c r="QXQ10" s="87"/>
      <c r="QXR10" s="87"/>
      <c r="QXS10" s="87"/>
      <c r="QXT10" s="87"/>
      <c r="QXU10" s="87"/>
      <c r="QXV10" s="87"/>
      <c r="QXW10" s="87"/>
      <c r="QXX10" s="87"/>
      <c r="QXY10" s="87"/>
      <c r="QXZ10" s="87"/>
      <c r="QYA10" s="87"/>
      <c r="QYB10" s="87"/>
      <c r="QYC10" s="87"/>
      <c r="QYD10" s="87"/>
      <c r="QYE10" s="87"/>
      <c r="QYF10" s="87"/>
      <c r="QYG10" s="87"/>
      <c r="QYH10" s="87"/>
      <c r="QYI10" s="87"/>
      <c r="QYJ10" s="87"/>
      <c r="QYK10" s="87"/>
      <c r="QYL10" s="87"/>
      <c r="QYM10" s="87"/>
      <c r="QYN10" s="87"/>
      <c r="QYO10" s="87"/>
      <c r="QYP10" s="87"/>
      <c r="QYQ10" s="87"/>
      <c r="QYR10" s="87"/>
      <c r="QYS10" s="87"/>
      <c r="QYT10" s="87"/>
      <c r="QYU10" s="87"/>
      <c r="QYV10" s="87"/>
      <c r="QYW10" s="87"/>
      <c r="QYX10" s="87"/>
      <c r="QYY10" s="87"/>
      <c r="QYZ10" s="87"/>
      <c r="QZA10" s="87"/>
      <c r="QZB10" s="87"/>
      <c r="QZC10" s="87"/>
      <c r="QZD10" s="87"/>
      <c r="QZE10" s="87"/>
      <c r="QZF10" s="87"/>
      <c r="QZG10" s="87"/>
      <c r="QZH10" s="87"/>
      <c r="QZI10" s="87"/>
      <c r="QZJ10" s="87"/>
      <c r="QZK10" s="87"/>
      <c r="QZL10" s="87"/>
      <c r="QZM10" s="87"/>
      <c r="QZN10" s="87"/>
      <c r="QZO10" s="87"/>
      <c r="QZP10" s="87"/>
      <c r="QZQ10" s="87"/>
      <c r="QZR10" s="87"/>
      <c r="QZS10" s="87"/>
      <c r="QZT10" s="87"/>
      <c r="QZU10" s="87"/>
      <c r="QZV10" s="87"/>
      <c r="QZW10" s="87"/>
      <c r="QZX10" s="87"/>
      <c r="QZY10" s="87"/>
      <c r="QZZ10" s="87"/>
      <c r="RAA10" s="87"/>
      <c r="RAB10" s="87"/>
      <c r="RAC10" s="87"/>
      <c r="RAD10" s="87"/>
      <c r="RAE10" s="87"/>
      <c r="RAF10" s="87"/>
      <c r="RAG10" s="87"/>
      <c r="RAH10" s="87"/>
      <c r="RAI10" s="87"/>
      <c r="RAJ10" s="87"/>
      <c r="RAK10" s="87"/>
      <c r="RAL10" s="87"/>
      <c r="RAM10" s="87"/>
      <c r="RAN10" s="87"/>
      <c r="RAO10" s="87"/>
      <c r="RAP10" s="87"/>
      <c r="RAQ10" s="87"/>
      <c r="RAR10" s="87"/>
      <c r="RAS10" s="87"/>
      <c r="RAT10" s="87"/>
      <c r="RAU10" s="87"/>
      <c r="RAV10" s="87"/>
      <c r="RAW10" s="87"/>
      <c r="RAX10" s="87"/>
      <c r="RAY10" s="87"/>
      <c r="RAZ10" s="87"/>
      <c r="RBA10" s="87"/>
      <c r="RBB10" s="87"/>
      <c r="RBC10" s="87"/>
      <c r="RBD10" s="87"/>
      <c r="RBE10" s="87"/>
      <c r="RBF10" s="87"/>
      <c r="RBG10" s="87"/>
      <c r="RBH10" s="87"/>
      <c r="RBI10" s="87"/>
      <c r="RBJ10" s="87"/>
      <c r="RBK10" s="87"/>
      <c r="RBL10" s="87"/>
      <c r="RBM10" s="87"/>
      <c r="RBN10" s="87"/>
      <c r="RBO10" s="87"/>
      <c r="RBP10" s="87"/>
      <c r="RBQ10" s="87"/>
      <c r="RBR10" s="87"/>
      <c r="RBS10" s="87"/>
      <c r="RBT10" s="87"/>
      <c r="RBU10" s="87"/>
      <c r="RBV10" s="87"/>
      <c r="RBW10" s="87"/>
      <c r="RBX10" s="87"/>
      <c r="RBY10" s="87"/>
      <c r="RBZ10" s="87"/>
      <c r="RCA10" s="87"/>
      <c r="RCB10" s="87"/>
      <c r="RCC10" s="87"/>
      <c r="RCD10" s="87"/>
      <c r="RCE10" s="87"/>
      <c r="RCF10" s="87"/>
      <c r="RCG10" s="87"/>
      <c r="RCH10" s="87"/>
      <c r="RCI10" s="87"/>
      <c r="RCJ10" s="87"/>
      <c r="RCK10" s="87"/>
      <c r="RCL10" s="87"/>
      <c r="RCM10" s="87"/>
      <c r="RCN10" s="87"/>
      <c r="RCO10" s="87"/>
      <c r="RCP10" s="87"/>
      <c r="RCQ10" s="87"/>
      <c r="RCR10" s="87"/>
      <c r="RCS10" s="87"/>
      <c r="RCT10" s="87"/>
      <c r="RCU10" s="87"/>
      <c r="RCV10" s="87"/>
      <c r="RCW10" s="87"/>
      <c r="RCX10" s="87"/>
      <c r="RCY10" s="87"/>
      <c r="RCZ10" s="87"/>
      <c r="RDA10" s="87"/>
      <c r="RDB10" s="87"/>
      <c r="RDC10" s="87"/>
      <c r="RDD10" s="87"/>
      <c r="RDE10" s="87"/>
      <c r="RDF10" s="87"/>
      <c r="RDG10" s="87"/>
      <c r="RDH10" s="87"/>
      <c r="RDI10" s="87"/>
      <c r="RDJ10" s="87"/>
      <c r="RDK10" s="87"/>
      <c r="RDL10" s="87"/>
      <c r="RDM10" s="87"/>
      <c r="RDN10" s="87"/>
      <c r="RDO10" s="87"/>
      <c r="RDP10" s="87"/>
      <c r="RDQ10" s="87"/>
      <c r="RDR10" s="87"/>
      <c r="RDS10" s="87"/>
      <c r="RDT10" s="87"/>
      <c r="RDU10" s="87"/>
      <c r="RDV10" s="87"/>
      <c r="RDW10" s="87"/>
      <c r="RDX10" s="87"/>
      <c r="RDY10" s="87"/>
      <c r="RDZ10" s="87"/>
      <c r="REA10" s="87"/>
      <c r="REB10" s="87"/>
      <c r="REC10" s="87"/>
      <c r="RED10" s="87"/>
      <c r="REE10" s="87"/>
      <c r="REF10" s="87"/>
      <c r="REG10" s="87"/>
      <c r="REH10" s="87"/>
      <c r="REI10" s="87"/>
      <c r="REJ10" s="87"/>
      <c r="REK10" s="87"/>
      <c r="REL10" s="87"/>
      <c r="REM10" s="87"/>
      <c r="REN10" s="87"/>
      <c r="REO10" s="87"/>
      <c r="REP10" s="87"/>
      <c r="REQ10" s="87"/>
      <c r="RER10" s="87"/>
      <c r="RES10" s="87"/>
      <c r="RET10" s="87"/>
      <c r="REU10" s="87"/>
      <c r="REV10" s="87"/>
      <c r="REW10" s="87"/>
      <c r="REX10" s="87"/>
      <c r="REY10" s="87"/>
      <c r="REZ10" s="87"/>
      <c r="RFA10" s="87"/>
      <c r="RFB10" s="87"/>
      <c r="RFC10" s="87"/>
      <c r="RFD10" s="87"/>
      <c r="RFE10" s="87"/>
      <c r="RFF10" s="87"/>
      <c r="RFG10" s="87"/>
      <c r="RFH10" s="87"/>
      <c r="RFI10" s="87"/>
      <c r="RFJ10" s="87"/>
      <c r="RFK10" s="87"/>
      <c r="RFL10" s="87"/>
      <c r="RFM10" s="87"/>
      <c r="RFN10" s="87"/>
      <c r="RFO10" s="87"/>
      <c r="RFP10" s="87"/>
      <c r="RFQ10" s="87"/>
      <c r="RFR10" s="87"/>
      <c r="RFS10" s="87"/>
      <c r="RFT10" s="87"/>
      <c r="RFU10" s="87"/>
      <c r="RFV10" s="87"/>
      <c r="RFW10" s="87"/>
      <c r="RFX10" s="87"/>
      <c r="RFY10" s="87"/>
      <c r="RFZ10" s="87"/>
      <c r="RGA10" s="87"/>
      <c r="RGB10" s="87"/>
      <c r="RGC10" s="87"/>
      <c r="RGD10" s="87"/>
      <c r="RGE10" s="87"/>
      <c r="RGF10" s="87"/>
      <c r="RGG10" s="87"/>
      <c r="RGH10" s="87"/>
      <c r="RGI10" s="87"/>
      <c r="RGJ10" s="87"/>
      <c r="RGK10" s="87"/>
      <c r="RGL10" s="87"/>
      <c r="RGM10" s="87"/>
      <c r="RGN10" s="87"/>
      <c r="RGO10" s="87"/>
      <c r="RGP10" s="87"/>
      <c r="RGQ10" s="87"/>
      <c r="RGR10" s="87"/>
      <c r="RGS10" s="87"/>
      <c r="RGT10" s="87"/>
      <c r="RGU10" s="87"/>
      <c r="RGV10" s="87"/>
      <c r="RGW10" s="87"/>
      <c r="RGX10" s="87"/>
      <c r="RGY10" s="87"/>
      <c r="RGZ10" s="87"/>
      <c r="RHA10" s="87"/>
      <c r="RHB10" s="87"/>
      <c r="RHC10" s="87"/>
      <c r="RHD10" s="87"/>
      <c r="RHE10" s="87"/>
      <c r="RHF10" s="87"/>
      <c r="RHG10" s="87"/>
      <c r="RHH10" s="87"/>
      <c r="RHI10" s="87"/>
      <c r="RHJ10" s="87"/>
      <c r="RHK10" s="87"/>
      <c r="RHL10" s="87"/>
      <c r="RHM10" s="87"/>
      <c r="RHN10" s="87"/>
      <c r="RHO10" s="87"/>
      <c r="RHP10" s="87"/>
      <c r="RHQ10" s="87"/>
      <c r="RHR10" s="87"/>
      <c r="RHS10" s="87"/>
      <c r="RHT10" s="87"/>
      <c r="RHU10" s="87"/>
      <c r="RHV10" s="87"/>
      <c r="RHW10" s="87"/>
      <c r="RHX10" s="87"/>
      <c r="RHY10" s="87"/>
      <c r="RHZ10" s="87"/>
      <c r="RIA10" s="87"/>
      <c r="RIB10" s="87"/>
      <c r="RIC10" s="87"/>
      <c r="RID10" s="87"/>
      <c r="RIE10" s="87"/>
      <c r="RIF10" s="87"/>
      <c r="RIG10" s="87"/>
      <c r="RIH10" s="87"/>
      <c r="RII10" s="87"/>
      <c r="RIJ10" s="87"/>
      <c r="RIK10" s="87"/>
      <c r="RIL10" s="87"/>
      <c r="RIM10" s="87"/>
      <c r="RIN10" s="87"/>
      <c r="RIO10" s="87"/>
      <c r="RIP10" s="87"/>
      <c r="RIQ10" s="87"/>
      <c r="RIR10" s="87"/>
      <c r="RIS10" s="87"/>
      <c r="RIT10" s="87"/>
      <c r="RIU10" s="87"/>
      <c r="RIV10" s="87"/>
      <c r="RIW10" s="87"/>
      <c r="RIX10" s="87"/>
      <c r="RIY10" s="87"/>
      <c r="RIZ10" s="87"/>
      <c r="RJA10" s="87"/>
      <c r="RJB10" s="87"/>
      <c r="RJC10" s="87"/>
      <c r="RJD10" s="87"/>
      <c r="RJE10" s="87"/>
      <c r="RJF10" s="87"/>
      <c r="RJG10" s="87"/>
      <c r="RJH10" s="87"/>
      <c r="RJI10" s="87"/>
      <c r="RJJ10" s="87"/>
      <c r="RJK10" s="87"/>
      <c r="RJL10" s="87"/>
      <c r="RJM10" s="87"/>
      <c r="RJN10" s="87"/>
      <c r="RJO10" s="87"/>
      <c r="RJP10" s="87"/>
      <c r="RJQ10" s="87"/>
      <c r="RJR10" s="87"/>
      <c r="RJS10" s="87"/>
      <c r="RJT10" s="87"/>
      <c r="RJU10" s="87"/>
      <c r="RJV10" s="87"/>
      <c r="RJW10" s="87"/>
      <c r="RJX10" s="87"/>
      <c r="RJY10" s="87"/>
      <c r="RJZ10" s="87"/>
      <c r="RKA10" s="87"/>
      <c r="RKB10" s="87"/>
      <c r="RKC10" s="87"/>
      <c r="RKD10" s="87"/>
      <c r="RKE10" s="87"/>
      <c r="RKF10" s="87"/>
      <c r="RKG10" s="87"/>
      <c r="RKH10" s="87"/>
      <c r="RKI10" s="87"/>
      <c r="RKJ10" s="87"/>
      <c r="RKK10" s="87"/>
      <c r="RKL10" s="87"/>
      <c r="RKM10" s="87"/>
      <c r="RKN10" s="87"/>
      <c r="RKO10" s="87"/>
      <c r="RKP10" s="87"/>
      <c r="RKQ10" s="87"/>
      <c r="RKR10" s="87"/>
      <c r="RKS10" s="87"/>
      <c r="RKT10" s="87"/>
      <c r="RKU10" s="87"/>
      <c r="RKV10" s="87"/>
      <c r="RKW10" s="87"/>
      <c r="RKX10" s="87"/>
      <c r="RKY10" s="87"/>
      <c r="RKZ10" s="87"/>
      <c r="RLA10" s="87"/>
      <c r="RLB10" s="87"/>
      <c r="RLC10" s="87"/>
      <c r="RLD10" s="87"/>
      <c r="RLE10" s="87"/>
      <c r="RLF10" s="87"/>
      <c r="RLG10" s="87"/>
      <c r="RLH10" s="87"/>
      <c r="RLI10" s="87"/>
      <c r="RLJ10" s="87"/>
      <c r="RLK10" s="87"/>
      <c r="RLL10" s="87"/>
      <c r="RLM10" s="87"/>
      <c r="RLN10" s="87"/>
      <c r="RLO10" s="87"/>
      <c r="RLP10" s="87"/>
      <c r="RLQ10" s="87"/>
      <c r="RLR10" s="87"/>
      <c r="RLS10" s="87"/>
      <c r="RLT10" s="87"/>
      <c r="RLU10" s="87"/>
      <c r="RLV10" s="87"/>
      <c r="RLW10" s="87"/>
      <c r="RLX10" s="87"/>
      <c r="RLY10" s="87"/>
      <c r="RLZ10" s="87"/>
      <c r="RMA10" s="87"/>
      <c r="RMB10" s="87"/>
      <c r="RMC10" s="87"/>
      <c r="RMD10" s="87"/>
      <c r="RME10" s="87"/>
      <c r="RMF10" s="87"/>
      <c r="RMG10" s="87"/>
      <c r="RMH10" s="87"/>
      <c r="RMI10" s="87"/>
      <c r="RMJ10" s="87"/>
      <c r="RMK10" s="87"/>
      <c r="RML10" s="87"/>
      <c r="RMM10" s="87"/>
      <c r="RMN10" s="87"/>
      <c r="RMO10" s="87"/>
      <c r="RMP10" s="87"/>
      <c r="RMQ10" s="87"/>
      <c r="RMR10" s="87"/>
      <c r="RMS10" s="87"/>
      <c r="RMT10" s="87"/>
      <c r="RMU10" s="87"/>
      <c r="RMV10" s="87"/>
      <c r="RMW10" s="87"/>
      <c r="RMX10" s="87"/>
      <c r="RMY10" s="87"/>
      <c r="RMZ10" s="87"/>
      <c r="RNA10" s="87"/>
      <c r="RNB10" s="87"/>
      <c r="RNC10" s="87"/>
      <c r="RND10" s="87"/>
      <c r="RNE10" s="87"/>
      <c r="RNF10" s="87"/>
      <c r="RNG10" s="87"/>
      <c r="RNH10" s="87"/>
      <c r="RNI10" s="87"/>
      <c r="RNJ10" s="87"/>
      <c r="RNK10" s="87"/>
      <c r="RNL10" s="87"/>
      <c r="RNM10" s="87"/>
      <c r="RNN10" s="87"/>
      <c r="RNO10" s="87"/>
      <c r="RNP10" s="87"/>
      <c r="RNQ10" s="87"/>
      <c r="RNR10" s="87"/>
      <c r="RNS10" s="87"/>
      <c r="RNT10" s="87"/>
      <c r="RNU10" s="87"/>
      <c r="RNV10" s="87"/>
      <c r="RNW10" s="87"/>
      <c r="RNX10" s="87"/>
      <c r="RNY10" s="87"/>
      <c r="RNZ10" s="87"/>
      <c r="ROA10" s="87"/>
      <c r="ROB10" s="87"/>
      <c r="ROC10" s="87"/>
      <c r="ROD10" s="87"/>
      <c r="ROE10" s="87"/>
      <c r="ROF10" s="87"/>
      <c r="ROG10" s="87"/>
      <c r="ROH10" s="87"/>
      <c r="ROI10" s="87"/>
      <c r="ROJ10" s="87"/>
      <c r="ROK10" s="87"/>
      <c r="ROL10" s="87"/>
      <c r="ROM10" s="87"/>
      <c r="RON10" s="87"/>
      <c r="ROO10" s="87"/>
      <c r="ROP10" s="87"/>
      <c r="ROQ10" s="87"/>
      <c r="ROR10" s="87"/>
      <c r="ROS10" s="87"/>
      <c r="ROT10" s="87"/>
      <c r="ROU10" s="87"/>
      <c r="ROV10" s="87"/>
      <c r="ROW10" s="87"/>
      <c r="ROX10" s="87"/>
      <c r="ROY10" s="87"/>
      <c r="ROZ10" s="87"/>
      <c r="RPA10" s="87"/>
      <c r="RPB10" s="87"/>
      <c r="RPC10" s="87"/>
      <c r="RPD10" s="87"/>
      <c r="RPE10" s="87"/>
      <c r="RPF10" s="87"/>
      <c r="RPG10" s="87"/>
      <c r="RPH10" s="87"/>
      <c r="RPI10" s="87"/>
      <c r="RPJ10" s="87"/>
      <c r="RPK10" s="87"/>
      <c r="RPL10" s="87"/>
      <c r="RPM10" s="87"/>
      <c r="RPN10" s="87"/>
      <c r="RPO10" s="87"/>
      <c r="RPP10" s="87"/>
      <c r="RPQ10" s="87"/>
      <c r="RPR10" s="87"/>
      <c r="RPS10" s="87"/>
      <c r="RPT10" s="87"/>
      <c r="RPU10" s="87"/>
      <c r="RPV10" s="87"/>
      <c r="RPW10" s="87"/>
      <c r="RPX10" s="87"/>
      <c r="RPY10" s="87"/>
      <c r="RPZ10" s="87"/>
      <c r="RQA10" s="87"/>
      <c r="RQB10" s="87"/>
      <c r="RQC10" s="87"/>
      <c r="RQD10" s="87"/>
      <c r="RQE10" s="87"/>
      <c r="RQF10" s="87"/>
      <c r="RQG10" s="87"/>
      <c r="RQH10" s="87"/>
      <c r="RQI10" s="87"/>
      <c r="RQJ10" s="87"/>
      <c r="RQK10" s="87"/>
      <c r="RQL10" s="87"/>
      <c r="RQM10" s="87"/>
      <c r="RQN10" s="87"/>
      <c r="RQO10" s="87"/>
      <c r="RQP10" s="87"/>
      <c r="RQQ10" s="87"/>
      <c r="RQR10" s="87"/>
      <c r="RQS10" s="87"/>
      <c r="RQT10" s="87"/>
      <c r="RQU10" s="87"/>
      <c r="RQV10" s="87"/>
      <c r="RQW10" s="87"/>
      <c r="RQX10" s="87"/>
      <c r="RQY10" s="87"/>
      <c r="RQZ10" s="87"/>
      <c r="RRA10" s="87"/>
      <c r="RRB10" s="87"/>
      <c r="RRC10" s="87"/>
      <c r="RRD10" s="87"/>
      <c r="RRE10" s="87"/>
      <c r="RRF10" s="87"/>
      <c r="RRG10" s="87"/>
      <c r="RRH10" s="87"/>
      <c r="RRI10" s="87"/>
      <c r="RRJ10" s="87"/>
      <c r="RRK10" s="87"/>
      <c r="RRL10" s="87"/>
      <c r="RRM10" s="87"/>
      <c r="RRN10" s="87"/>
      <c r="RRO10" s="87"/>
      <c r="RRP10" s="87"/>
      <c r="RRQ10" s="87"/>
      <c r="RRR10" s="87"/>
      <c r="RRS10" s="87"/>
      <c r="RRT10" s="87"/>
      <c r="RRU10" s="87"/>
      <c r="RRV10" s="87"/>
      <c r="RRW10" s="87"/>
      <c r="RRX10" s="87"/>
      <c r="RRY10" s="87"/>
      <c r="RRZ10" s="87"/>
      <c r="RSA10" s="87"/>
      <c r="RSB10" s="87"/>
      <c r="RSC10" s="87"/>
      <c r="RSD10" s="87"/>
      <c r="RSE10" s="87"/>
      <c r="RSF10" s="87"/>
      <c r="RSG10" s="87"/>
      <c r="RSH10" s="87"/>
      <c r="RSI10" s="87"/>
      <c r="RSJ10" s="87"/>
      <c r="RSK10" s="87"/>
      <c r="RSL10" s="87"/>
      <c r="RSM10" s="87"/>
      <c r="RSN10" s="87"/>
      <c r="RSO10" s="87"/>
      <c r="RSP10" s="87"/>
      <c r="RSQ10" s="87"/>
      <c r="RSR10" s="87"/>
      <c r="RSS10" s="87"/>
      <c r="RST10" s="87"/>
      <c r="RSU10" s="87"/>
      <c r="RSV10" s="87"/>
      <c r="RSW10" s="87"/>
      <c r="RSX10" s="87"/>
      <c r="RSY10" s="87"/>
      <c r="RSZ10" s="87"/>
      <c r="RTA10" s="87"/>
      <c r="RTB10" s="87"/>
      <c r="RTC10" s="87"/>
      <c r="RTD10" s="87"/>
      <c r="RTE10" s="87"/>
      <c r="RTF10" s="87"/>
      <c r="RTG10" s="87"/>
      <c r="RTH10" s="87"/>
      <c r="RTI10" s="87"/>
      <c r="RTJ10" s="87"/>
      <c r="RTK10" s="87"/>
      <c r="RTL10" s="87"/>
      <c r="RTM10" s="87"/>
      <c r="RTN10" s="87"/>
      <c r="RTO10" s="87"/>
      <c r="RTP10" s="87"/>
      <c r="RTQ10" s="87"/>
      <c r="RTR10" s="87"/>
      <c r="RTS10" s="87"/>
      <c r="RTT10" s="87"/>
      <c r="RTU10" s="87"/>
      <c r="RTV10" s="87"/>
      <c r="RTW10" s="87"/>
      <c r="RTX10" s="87"/>
      <c r="RTY10" s="87"/>
      <c r="RTZ10" s="87"/>
      <c r="RUA10" s="87"/>
      <c r="RUB10" s="87"/>
      <c r="RUC10" s="87"/>
      <c r="RUD10" s="87"/>
      <c r="RUE10" s="87"/>
      <c r="RUF10" s="87"/>
      <c r="RUG10" s="87"/>
      <c r="RUH10" s="87"/>
      <c r="RUI10" s="87"/>
      <c r="RUJ10" s="87"/>
      <c r="RUK10" s="87"/>
      <c r="RUL10" s="87"/>
      <c r="RUM10" s="87"/>
      <c r="RUN10" s="87"/>
      <c r="RUO10" s="87"/>
      <c r="RUP10" s="87"/>
      <c r="RUQ10" s="87"/>
      <c r="RUR10" s="87"/>
      <c r="RUS10" s="87"/>
      <c r="RUT10" s="87"/>
      <c r="RUU10" s="87"/>
      <c r="RUV10" s="87"/>
      <c r="RUW10" s="87"/>
      <c r="RUX10" s="87"/>
      <c r="RUY10" s="87"/>
      <c r="RUZ10" s="87"/>
      <c r="RVA10" s="87"/>
      <c r="RVB10" s="87"/>
      <c r="RVC10" s="87"/>
      <c r="RVD10" s="87"/>
      <c r="RVE10" s="87"/>
      <c r="RVF10" s="87"/>
      <c r="RVG10" s="87"/>
      <c r="RVH10" s="87"/>
      <c r="RVI10" s="87"/>
      <c r="RVJ10" s="87"/>
      <c r="RVK10" s="87"/>
      <c r="RVL10" s="87"/>
      <c r="RVM10" s="87"/>
      <c r="RVN10" s="87"/>
      <c r="RVO10" s="87"/>
      <c r="RVP10" s="87"/>
      <c r="RVQ10" s="87"/>
      <c r="RVR10" s="87"/>
      <c r="RVS10" s="87"/>
      <c r="RVT10" s="87"/>
      <c r="RVU10" s="87"/>
      <c r="RVV10" s="87"/>
      <c r="RVW10" s="87"/>
      <c r="RVX10" s="87"/>
      <c r="RVY10" s="87"/>
      <c r="RVZ10" s="87"/>
      <c r="RWA10" s="87"/>
      <c r="RWB10" s="87"/>
      <c r="RWC10" s="87"/>
      <c r="RWD10" s="87"/>
      <c r="RWE10" s="87"/>
      <c r="RWF10" s="87"/>
      <c r="RWG10" s="87"/>
      <c r="RWH10" s="87"/>
      <c r="RWI10" s="87"/>
      <c r="RWJ10" s="87"/>
      <c r="RWK10" s="87"/>
      <c r="RWL10" s="87"/>
      <c r="RWM10" s="87"/>
      <c r="RWN10" s="87"/>
      <c r="RWO10" s="87"/>
      <c r="RWP10" s="87"/>
      <c r="RWQ10" s="87"/>
      <c r="RWR10" s="87"/>
      <c r="RWS10" s="87"/>
      <c r="RWT10" s="87"/>
      <c r="RWU10" s="87"/>
      <c r="RWV10" s="87"/>
      <c r="RWW10" s="87"/>
      <c r="RWX10" s="87"/>
      <c r="RWY10" s="87"/>
      <c r="RWZ10" s="87"/>
      <c r="RXA10" s="87"/>
      <c r="RXB10" s="87"/>
      <c r="RXC10" s="87"/>
      <c r="RXD10" s="87"/>
      <c r="RXE10" s="87"/>
      <c r="RXF10" s="87"/>
      <c r="RXG10" s="87"/>
      <c r="RXH10" s="87"/>
      <c r="RXI10" s="87"/>
      <c r="RXJ10" s="87"/>
      <c r="RXK10" s="87"/>
      <c r="RXL10" s="87"/>
      <c r="RXM10" s="87"/>
      <c r="RXN10" s="87"/>
      <c r="RXO10" s="87"/>
      <c r="RXP10" s="87"/>
      <c r="RXQ10" s="87"/>
      <c r="RXR10" s="87"/>
      <c r="RXS10" s="87"/>
      <c r="RXT10" s="87"/>
      <c r="RXU10" s="87"/>
      <c r="RXV10" s="87"/>
      <c r="RXW10" s="87"/>
      <c r="RXX10" s="87"/>
      <c r="RXY10" s="87"/>
      <c r="RXZ10" s="87"/>
      <c r="RYA10" s="87"/>
      <c r="RYB10" s="87"/>
      <c r="RYC10" s="87"/>
      <c r="RYD10" s="87"/>
      <c r="RYE10" s="87"/>
      <c r="RYF10" s="87"/>
      <c r="RYG10" s="87"/>
      <c r="RYH10" s="87"/>
      <c r="RYI10" s="87"/>
      <c r="RYJ10" s="87"/>
      <c r="RYK10" s="87"/>
      <c r="RYL10" s="87"/>
      <c r="RYM10" s="87"/>
      <c r="RYN10" s="87"/>
      <c r="RYO10" s="87"/>
      <c r="RYP10" s="87"/>
      <c r="RYQ10" s="87"/>
      <c r="RYR10" s="87"/>
      <c r="RYS10" s="87"/>
      <c r="RYT10" s="87"/>
      <c r="RYU10" s="87"/>
      <c r="RYV10" s="87"/>
      <c r="RYW10" s="87"/>
      <c r="RYX10" s="87"/>
      <c r="RYY10" s="87"/>
      <c r="RYZ10" s="87"/>
      <c r="RZA10" s="87"/>
      <c r="RZB10" s="87"/>
      <c r="RZC10" s="87"/>
      <c r="RZD10" s="87"/>
      <c r="RZE10" s="87"/>
      <c r="RZF10" s="87"/>
      <c r="RZG10" s="87"/>
      <c r="RZH10" s="87"/>
      <c r="RZI10" s="87"/>
      <c r="RZJ10" s="87"/>
      <c r="RZK10" s="87"/>
      <c r="RZL10" s="87"/>
      <c r="RZM10" s="87"/>
      <c r="RZN10" s="87"/>
      <c r="RZO10" s="87"/>
      <c r="RZP10" s="87"/>
      <c r="RZQ10" s="87"/>
      <c r="RZR10" s="87"/>
      <c r="RZS10" s="87"/>
      <c r="RZT10" s="87"/>
      <c r="RZU10" s="87"/>
      <c r="RZV10" s="87"/>
      <c r="RZW10" s="87"/>
      <c r="RZX10" s="87"/>
      <c r="RZY10" s="87"/>
      <c r="RZZ10" s="87"/>
      <c r="SAA10" s="87"/>
      <c r="SAB10" s="87"/>
      <c r="SAC10" s="87"/>
      <c r="SAD10" s="87"/>
      <c r="SAE10" s="87"/>
      <c r="SAF10" s="87"/>
      <c r="SAG10" s="87"/>
      <c r="SAH10" s="87"/>
      <c r="SAI10" s="87"/>
      <c r="SAJ10" s="87"/>
      <c r="SAK10" s="87"/>
      <c r="SAL10" s="87"/>
      <c r="SAM10" s="87"/>
      <c r="SAN10" s="87"/>
      <c r="SAO10" s="87"/>
      <c r="SAP10" s="87"/>
      <c r="SAQ10" s="87"/>
      <c r="SAR10" s="87"/>
      <c r="SAS10" s="87"/>
      <c r="SAT10" s="87"/>
      <c r="SAU10" s="87"/>
      <c r="SAV10" s="87"/>
      <c r="SAW10" s="87"/>
      <c r="SAX10" s="87"/>
      <c r="SAY10" s="87"/>
      <c r="SAZ10" s="87"/>
      <c r="SBA10" s="87"/>
      <c r="SBB10" s="87"/>
      <c r="SBC10" s="87"/>
      <c r="SBD10" s="87"/>
      <c r="SBE10" s="87"/>
      <c r="SBF10" s="87"/>
      <c r="SBG10" s="87"/>
      <c r="SBH10" s="87"/>
      <c r="SBI10" s="87"/>
      <c r="SBJ10" s="87"/>
      <c r="SBK10" s="87"/>
      <c r="SBL10" s="87"/>
      <c r="SBM10" s="87"/>
      <c r="SBN10" s="87"/>
      <c r="SBO10" s="87"/>
      <c r="SBP10" s="87"/>
      <c r="SBQ10" s="87"/>
      <c r="SBR10" s="87"/>
      <c r="SBS10" s="87"/>
      <c r="SBT10" s="87"/>
      <c r="SBU10" s="87"/>
      <c r="SBV10" s="87"/>
      <c r="SBW10" s="87"/>
      <c r="SBX10" s="87"/>
      <c r="SBY10" s="87"/>
      <c r="SBZ10" s="87"/>
      <c r="SCA10" s="87"/>
      <c r="SCB10" s="87"/>
      <c r="SCC10" s="87"/>
      <c r="SCD10" s="87"/>
      <c r="SCE10" s="87"/>
      <c r="SCF10" s="87"/>
      <c r="SCG10" s="87"/>
      <c r="SCH10" s="87"/>
      <c r="SCI10" s="87"/>
      <c r="SCJ10" s="87"/>
      <c r="SCK10" s="87"/>
      <c r="SCL10" s="87"/>
      <c r="SCM10" s="87"/>
      <c r="SCN10" s="87"/>
      <c r="SCO10" s="87"/>
      <c r="SCP10" s="87"/>
      <c r="SCQ10" s="87"/>
      <c r="SCR10" s="87"/>
      <c r="SCS10" s="87"/>
      <c r="SCT10" s="87"/>
      <c r="SCU10" s="87"/>
      <c r="SCV10" s="87"/>
      <c r="SCW10" s="87"/>
      <c r="SCX10" s="87"/>
      <c r="SCY10" s="87"/>
      <c r="SCZ10" s="87"/>
      <c r="SDA10" s="87"/>
      <c r="SDB10" s="87"/>
      <c r="SDC10" s="87"/>
      <c r="SDD10" s="87"/>
      <c r="SDE10" s="87"/>
      <c r="SDF10" s="87"/>
      <c r="SDG10" s="87"/>
      <c r="SDH10" s="87"/>
      <c r="SDI10" s="87"/>
      <c r="SDJ10" s="87"/>
      <c r="SDK10" s="87"/>
      <c r="SDL10" s="87"/>
      <c r="SDM10" s="87"/>
      <c r="SDN10" s="87"/>
      <c r="SDO10" s="87"/>
      <c r="SDP10" s="87"/>
      <c r="SDQ10" s="87"/>
      <c r="SDR10" s="87"/>
      <c r="SDS10" s="87"/>
      <c r="SDT10" s="87"/>
      <c r="SDU10" s="87"/>
      <c r="SDV10" s="87"/>
      <c r="SDW10" s="87"/>
      <c r="SDX10" s="87"/>
      <c r="SDY10" s="87"/>
      <c r="SDZ10" s="87"/>
      <c r="SEA10" s="87"/>
      <c r="SEB10" s="87"/>
      <c r="SEC10" s="87"/>
      <c r="SED10" s="87"/>
      <c r="SEE10" s="87"/>
      <c r="SEF10" s="87"/>
      <c r="SEG10" s="87"/>
      <c r="SEH10" s="87"/>
      <c r="SEI10" s="87"/>
      <c r="SEJ10" s="87"/>
      <c r="SEK10" s="87"/>
      <c r="SEL10" s="87"/>
      <c r="SEM10" s="87"/>
      <c r="SEN10" s="87"/>
      <c r="SEO10" s="87"/>
      <c r="SEP10" s="87"/>
      <c r="SEQ10" s="87"/>
      <c r="SER10" s="87"/>
      <c r="SES10" s="87"/>
      <c r="SET10" s="87"/>
      <c r="SEU10" s="87"/>
      <c r="SEV10" s="87"/>
      <c r="SEW10" s="87"/>
      <c r="SEX10" s="87"/>
      <c r="SEY10" s="87"/>
      <c r="SEZ10" s="87"/>
      <c r="SFA10" s="87"/>
      <c r="SFB10" s="87"/>
      <c r="SFC10" s="87"/>
      <c r="SFD10" s="87"/>
      <c r="SFE10" s="87"/>
      <c r="SFF10" s="87"/>
      <c r="SFG10" s="87"/>
      <c r="SFH10" s="87"/>
      <c r="SFI10" s="87"/>
      <c r="SFJ10" s="87"/>
      <c r="SFK10" s="87"/>
      <c r="SFL10" s="87"/>
      <c r="SFM10" s="87"/>
      <c r="SFN10" s="87"/>
      <c r="SFO10" s="87"/>
      <c r="SFP10" s="87"/>
      <c r="SFQ10" s="87"/>
      <c r="SFR10" s="87"/>
      <c r="SFS10" s="87"/>
      <c r="SFT10" s="87"/>
      <c r="SFU10" s="87"/>
      <c r="SFV10" s="87"/>
      <c r="SFW10" s="87"/>
      <c r="SFX10" s="87"/>
      <c r="SFY10" s="87"/>
      <c r="SFZ10" s="87"/>
      <c r="SGA10" s="87"/>
      <c r="SGB10" s="87"/>
      <c r="SGC10" s="87"/>
      <c r="SGD10" s="87"/>
      <c r="SGE10" s="87"/>
      <c r="SGF10" s="87"/>
      <c r="SGG10" s="87"/>
      <c r="SGH10" s="87"/>
      <c r="SGI10" s="87"/>
      <c r="SGJ10" s="87"/>
      <c r="SGK10" s="87"/>
      <c r="SGL10" s="87"/>
      <c r="SGM10" s="87"/>
      <c r="SGN10" s="87"/>
      <c r="SGO10" s="87"/>
      <c r="SGP10" s="87"/>
      <c r="SGQ10" s="87"/>
      <c r="SGR10" s="87"/>
      <c r="SGS10" s="87"/>
      <c r="SGT10" s="87"/>
      <c r="SGU10" s="87"/>
      <c r="SGV10" s="87"/>
      <c r="SGW10" s="87"/>
      <c r="SGX10" s="87"/>
      <c r="SGY10" s="87"/>
      <c r="SGZ10" s="87"/>
      <c r="SHA10" s="87"/>
      <c r="SHB10" s="87"/>
      <c r="SHC10" s="87"/>
      <c r="SHD10" s="87"/>
      <c r="SHE10" s="87"/>
      <c r="SHF10" s="87"/>
      <c r="SHG10" s="87"/>
      <c r="SHH10" s="87"/>
      <c r="SHI10" s="87"/>
      <c r="SHJ10" s="87"/>
      <c r="SHK10" s="87"/>
      <c r="SHL10" s="87"/>
      <c r="SHM10" s="87"/>
      <c r="SHN10" s="87"/>
      <c r="SHO10" s="87"/>
      <c r="SHP10" s="87"/>
      <c r="SHQ10" s="87"/>
      <c r="SHR10" s="87"/>
      <c r="SHS10" s="87"/>
      <c r="SHT10" s="87"/>
      <c r="SHU10" s="87"/>
      <c r="SHV10" s="87"/>
      <c r="SHW10" s="87"/>
      <c r="SHX10" s="87"/>
      <c r="SHY10" s="87"/>
      <c r="SHZ10" s="87"/>
      <c r="SIA10" s="87"/>
      <c r="SIB10" s="87"/>
      <c r="SIC10" s="87"/>
      <c r="SID10" s="87"/>
      <c r="SIE10" s="87"/>
      <c r="SIF10" s="87"/>
      <c r="SIG10" s="87"/>
      <c r="SIH10" s="87"/>
      <c r="SII10" s="87"/>
      <c r="SIJ10" s="87"/>
      <c r="SIK10" s="87"/>
      <c r="SIL10" s="87"/>
      <c r="SIM10" s="87"/>
      <c r="SIN10" s="87"/>
      <c r="SIO10" s="87"/>
      <c r="SIP10" s="87"/>
      <c r="SIQ10" s="87"/>
      <c r="SIR10" s="87"/>
      <c r="SIS10" s="87"/>
      <c r="SIT10" s="87"/>
      <c r="SIU10" s="87"/>
      <c r="SIV10" s="87"/>
      <c r="SIW10" s="87"/>
      <c r="SIX10" s="87"/>
      <c r="SIY10" s="87"/>
      <c r="SIZ10" s="87"/>
      <c r="SJA10" s="87"/>
      <c r="SJB10" s="87"/>
      <c r="SJC10" s="87"/>
      <c r="SJD10" s="87"/>
      <c r="SJE10" s="87"/>
      <c r="SJF10" s="87"/>
      <c r="SJG10" s="87"/>
      <c r="SJH10" s="87"/>
      <c r="SJI10" s="87"/>
      <c r="SJJ10" s="87"/>
      <c r="SJK10" s="87"/>
      <c r="SJL10" s="87"/>
      <c r="SJM10" s="87"/>
      <c r="SJN10" s="87"/>
      <c r="SJO10" s="87"/>
      <c r="SJP10" s="87"/>
      <c r="SJQ10" s="87"/>
      <c r="SJR10" s="87"/>
      <c r="SJS10" s="87"/>
      <c r="SJT10" s="87"/>
      <c r="SJU10" s="87"/>
      <c r="SJV10" s="87"/>
      <c r="SJW10" s="87"/>
      <c r="SJX10" s="87"/>
      <c r="SJY10" s="87"/>
      <c r="SJZ10" s="87"/>
      <c r="SKA10" s="87"/>
      <c r="SKB10" s="87"/>
      <c r="SKC10" s="87"/>
      <c r="SKD10" s="87"/>
      <c r="SKE10" s="87"/>
      <c r="SKF10" s="87"/>
      <c r="SKG10" s="87"/>
      <c r="SKH10" s="87"/>
      <c r="SKI10" s="87"/>
      <c r="SKJ10" s="87"/>
      <c r="SKK10" s="87"/>
      <c r="SKL10" s="87"/>
      <c r="SKM10" s="87"/>
      <c r="SKN10" s="87"/>
      <c r="SKO10" s="87"/>
      <c r="SKP10" s="87"/>
      <c r="SKQ10" s="87"/>
      <c r="SKR10" s="87"/>
      <c r="SKS10" s="87"/>
      <c r="SKT10" s="87"/>
      <c r="SKU10" s="87"/>
      <c r="SKV10" s="87"/>
      <c r="SKW10" s="87"/>
      <c r="SKX10" s="87"/>
      <c r="SKY10" s="87"/>
      <c r="SKZ10" s="87"/>
      <c r="SLA10" s="87"/>
      <c r="SLB10" s="87"/>
      <c r="SLC10" s="87"/>
      <c r="SLD10" s="87"/>
      <c r="SLE10" s="87"/>
      <c r="SLF10" s="87"/>
      <c r="SLG10" s="87"/>
      <c r="SLH10" s="87"/>
      <c r="SLI10" s="87"/>
      <c r="SLJ10" s="87"/>
      <c r="SLK10" s="87"/>
      <c r="SLL10" s="87"/>
      <c r="SLM10" s="87"/>
      <c r="SLN10" s="87"/>
      <c r="SLO10" s="87"/>
      <c r="SLP10" s="87"/>
      <c r="SLQ10" s="87"/>
      <c r="SLR10" s="87"/>
      <c r="SLS10" s="87"/>
      <c r="SLT10" s="87"/>
      <c r="SLU10" s="87"/>
      <c r="SLV10" s="87"/>
      <c r="SLW10" s="87"/>
      <c r="SLX10" s="87"/>
      <c r="SLY10" s="87"/>
      <c r="SLZ10" s="87"/>
      <c r="SMA10" s="87"/>
      <c r="SMB10" s="87"/>
      <c r="SMC10" s="87"/>
      <c r="SMD10" s="87"/>
      <c r="SME10" s="87"/>
      <c r="SMF10" s="87"/>
      <c r="SMG10" s="87"/>
      <c r="SMH10" s="87"/>
      <c r="SMI10" s="87"/>
      <c r="SMJ10" s="87"/>
      <c r="SMK10" s="87"/>
      <c r="SML10" s="87"/>
      <c r="SMM10" s="87"/>
      <c r="SMN10" s="87"/>
      <c r="SMO10" s="87"/>
      <c r="SMP10" s="87"/>
      <c r="SMQ10" s="87"/>
      <c r="SMR10" s="87"/>
      <c r="SMS10" s="87"/>
      <c r="SMT10" s="87"/>
      <c r="SMU10" s="87"/>
      <c r="SMV10" s="87"/>
      <c r="SMW10" s="87"/>
      <c r="SMX10" s="87"/>
      <c r="SMY10" s="87"/>
      <c r="SMZ10" s="87"/>
      <c r="SNA10" s="87"/>
      <c r="SNB10" s="87"/>
      <c r="SNC10" s="87"/>
      <c r="SND10" s="87"/>
      <c r="SNE10" s="87"/>
      <c r="SNF10" s="87"/>
      <c r="SNG10" s="87"/>
      <c r="SNH10" s="87"/>
      <c r="SNI10" s="87"/>
      <c r="SNJ10" s="87"/>
      <c r="SNK10" s="87"/>
      <c r="SNL10" s="87"/>
      <c r="SNM10" s="87"/>
      <c r="SNN10" s="87"/>
      <c r="SNO10" s="87"/>
      <c r="SNP10" s="87"/>
      <c r="SNQ10" s="87"/>
      <c r="SNR10" s="87"/>
      <c r="SNS10" s="87"/>
      <c r="SNT10" s="87"/>
      <c r="SNU10" s="87"/>
      <c r="SNV10" s="87"/>
      <c r="SNW10" s="87"/>
      <c r="SNX10" s="87"/>
      <c r="SNY10" s="87"/>
      <c r="SNZ10" s="87"/>
      <c r="SOA10" s="87"/>
      <c r="SOB10" s="87"/>
      <c r="SOC10" s="87"/>
      <c r="SOD10" s="87"/>
      <c r="SOE10" s="87"/>
      <c r="SOF10" s="87"/>
      <c r="SOG10" s="87"/>
      <c r="SOH10" s="87"/>
      <c r="SOI10" s="87"/>
      <c r="SOJ10" s="87"/>
      <c r="SOK10" s="87"/>
      <c r="SOL10" s="87"/>
      <c r="SOM10" s="87"/>
      <c r="SON10" s="87"/>
      <c r="SOO10" s="87"/>
      <c r="SOP10" s="87"/>
      <c r="SOQ10" s="87"/>
      <c r="SOR10" s="87"/>
      <c r="SOS10" s="87"/>
      <c r="SOT10" s="87"/>
      <c r="SOU10" s="87"/>
      <c r="SOV10" s="87"/>
      <c r="SOW10" s="87"/>
      <c r="SOX10" s="87"/>
      <c r="SOY10" s="87"/>
      <c r="SOZ10" s="87"/>
      <c r="SPA10" s="87"/>
      <c r="SPB10" s="87"/>
      <c r="SPC10" s="87"/>
      <c r="SPD10" s="87"/>
      <c r="SPE10" s="87"/>
      <c r="SPF10" s="87"/>
      <c r="SPG10" s="87"/>
      <c r="SPH10" s="87"/>
      <c r="SPI10" s="87"/>
      <c r="SPJ10" s="87"/>
      <c r="SPK10" s="87"/>
      <c r="SPL10" s="87"/>
      <c r="SPM10" s="87"/>
      <c r="SPN10" s="87"/>
      <c r="SPO10" s="87"/>
      <c r="SPP10" s="87"/>
      <c r="SPQ10" s="87"/>
      <c r="SPR10" s="87"/>
      <c r="SPS10" s="87"/>
      <c r="SPT10" s="87"/>
      <c r="SPU10" s="87"/>
      <c r="SPV10" s="87"/>
      <c r="SPW10" s="87"/>
      <c r="SPX10" s="87"/>
      <c r="SPY10" s="87"/>
      <c r="SPZ10" s="87"/>
      <c r="SQA10" s="87"/>
      <c r="SQB10" s="87"/>
      <c r="SQC10" s="87"/>
      <c r="SQD10" s="87"/>
      <c r="SQE10" s="87"/>
      <c r="SQF10" s="87"/>
      <c r="SQG10" s="87"/>
      <c r="SQH10" s="87"/>
      <c r="SQI10" s="87"/>
      <c r="SQJ10" s="87"/>
      <c r="SQK10" s="87"/>
      <c r="SQL10" s="87"/>
      <c r="SQM10" s="87"/>
      <c r="SQN10" s="87"/>
      <c r="SQO10" s="87"/>
      <c r="SQP10" s="87"/>
      <c r="SQQ10" s="87"/>
      <c r="SQR10" s="87"/>
      <c r="SQS10" s="87"/>
      <c r="SQT10" s="87"/>
      <c r="SQU10" s="87"/>
      <c r="SQV10" s="87"/>
      <c r="SQW10" s="87"/>
      <c r="SQX10" s="87"/>
      <c r="SQY10" s="87"/>
      <c r="SQZ10" s="87"/>
      <c r="SRA10" s="87"/>
      <c r="SRB10" s="87"/>
      <c r="SRC10" s="87"/>
      <c r="SRD10" s="87"/>
      <c r="SRE10" s="87"/>
      <c r="SRF10" s="87"/>
      <c r="SRG10" s="87"/>
      <c r="SRH10" s="87"/>
      <c r="SRI10" s="87"/>
      <c r="SRJ10" s="87"/>
      <c r="SRK10" s="87"/>
      <c r="SRL10" s="87"/>
      <c r="SRM10" s="87"/>
      <c r="SRN10" s="87"/>
      <c r="SRO10" s="87"/>
      <c r="SRP10" s="87"/>
      <c r="SRQ10" s="87"/>
      <c r="SRR10" s="87"/>
      <c r="SRS10" s="87"/>
      <c r="SRT10" s="87"/>
      <c r="SRU10" s="87"/>
      <c r="SRV10" s="87"/>
      <c r="SRW10" s="87"/>
      <c r="SRX10" s="87"/>
      <c r="SRY10" s="87"/>
      <c r="SRZ10" s="87"/>
      <c r="SSA10" s="87"/>
      <c r="SSB10" s="87"/>
      <c r="SSC10" s="87"/>
      <c r="SSD10" s="87"/>
      <c r="SSE10" s="87"/>
      <c r="SSF10" s="87"/>
      <c r="SSG10" s="87"/>
      <c r="SSH10" s="87"/>
      <c r="SSI10" s="87"/>
      <c r="SSJ10" s="87"/>
      <c r="SSK10" s="87"/>
      <c r="SSL10" s="87"/>
      <c r="SSM10" s="87"/>
      <c r="SSN10" s="87"/>
      <c r="SSO10" s="87"/>
      <c r="SSP10" s="87"/>
      <c r="SSQ10" s="87"/>
      <c r="SSR10" s="87"/>
      <c r="SSS10" s="87"/>
      <c r="SST10" s="87"/>
      <c r="SSU10" s="87"/>
      <c r="SSV10" s="87"/>
      <c r="SSW10" s="87"/>
      <c r="SSX10" s="87"/>
      <c r="SSY10" s="87"/>
      <c r="SSZ10" s="87"/>
      <c r="STA10" s="87"/>
      <c r="STB10" s="87"/>
      <c r="STC10" s="87"/>
      <c r="STD10" s="87"/>
      <c r="STE10" s="87"/>
      <c r="STF10" s="87"/>
      <c r="STG10" s="87"/>
      <c r="STH10" s="87"/>
      <c r="STI10" s="87"/>
      <c r="STJ10" s="87"/>
      <c r="STK10" s="87"/>
      <c r="STL10" s="87"/>
      <c r="STM10" s="87"/>
      <c r="STN10" s="87"/>
      <c r="STO10" s="87"/>
      <c r="STP10" s="87"/>
      <c r="STQ10" s="87"/>
      <c r="STR10" s="87"/>
      <c r="STS10" s="87"/>
      <c r="STT10" s="87"/>
      <c r="STU10" s="87"/>
      <c r="STV10" s="87"/>
      <c r="STW10" s="87"/>
      <c r="STX10" s="87"/>
      <c r="STY10" s="87"/>
      <c r="STZ10" s="87"/>
      <c r="SUA10" s="87"/>
      <c r="SUB10" s="87"/>
      <c r="SUC10" s="87"/>
      <c r="SUD10" s="87"/>
      <c r="SUE10" s="87"/>
      <c r="SUF10" s="87"/>
      <c r="SUG10" s="87"/>
      <c r="SUH10" s="87"/>
      <c r="SUI10" s="87"/>
      <c r="SUJ10" s="87"/>
      <c r="SUK10" s="87"/>
      <c r="SUL10" s="87"/>
      <c r="SUM10" s="87"/>
      <c r="SUN10" s="87"/>
      <c r="SUO10" s="87"/>
      <c r="SUP10" s="87"/>
      <c r="SUQ10" s="87"/>
      <c r="SUR10" s="87"/>
      <c r="SUS10" s="87"/>
      <c r="SUT10" s="87"/>
      <c r="SUU10" s="87"/>
      <c r="SUV10" s="87"/>
      <c r="SUW10" s="87"/>
      <c r="SUX10" s="87"/>
      <c r="SUY10" s="87"/>
      <c r="SUZ10" s="87"/>
      <c r="SVA10" s="87"/>
      <c r="SVB10" s="87"/>
      <c r="SVC10" s="87"/>
      <c r="SVD10" s="87"/>
      <c r="SVE10" s="87"/>
      <c r="SVF10" s="87"/>
      <c r="SVG10" s="87"/>
      <c r="SVH10" s="87"/>
      <c r="SVI10" s="87"/>
      <c r="SVJ10" s="87"/>
      <c r="SVK10" s="87"/>
      <c r="SVL10" s="87"/>
      <c r="SVM10" s="87"/>
      <c r="SVN10" s="87"/>
      <c r="SVO10" s="87"/>
      <c r="SVP10" s="87"/>
      <c r="SVQ10" s="87"/>
      <c r="SVR10" s="87"/>
      <c r="SVS10" s="87"/>
      <c r="SVT10" s="87"/>
      <c r="SVU10" s="87"/>
      <c r="SVV10" s="87"/>
      <c r="SVW10" s="87"/>
      <c r="SVX10" s="87"/>
      <c r="SVY10" s="87"/>
      <c r="SVZ10" s="87"/>
      <c r="SWA10" s="87"/>
      <c r="SWB10" s="87"/>
      <c r="SWC10" s="87"/>
      <c r="SWD10" s="87"/>
      <c r="SWE10" s="87"/>
      <c r="SWF10" s="87"/>
      <c r="SWG10" s="87"/>
      <c r="SWH10" s="87"/>
      <c r="SWI10" s="87"/>
      <c r="SWJ10" s="87"/>
      <c r="SWK10" s="87"/>
      <c r="SWL10" s="87"/>
      <c r="SWM10" s="87"/>
      <c r="SWN10" s="87"/>
      <c r="SWO10" s="87"/>
      <c r="SWP10" s="87"/>
      <c r="SWQ10" s="87"/>
      <c r="SWR10" s="87"/>
      <c r="SWS10" s="87"/>
      <c r="SWT10" s="87"/>
      <c r="SWU10" s="87"/>
      <c r="SWV10" s="87"/>
      <c r="SWW10" s="87"/>
      <c r="SWX10" s="87"/>
      <c r="SWY10" s="87"/>
      <c r="SWZ10" s="87"/>
      <c r="SXA10" s="87"/>
      <c r="SXB10" s="87"/>
      <c r="SXC10" s="87"/>
      <c r="SXD10" s="87"/>
      <c r="SXE10" s="87"/>
      <c r="SXF10" s="87"/>
      <c r="SXG10" s="87"/>
      <c r="SXH10" s="87"/>
      <c r="SXI10" s="87"/>
      <c r="SXJ10" s="87"/>
      <c r="SXK10" s="87"/>
      <c r="SXL10" s="87"/>
      <c r="SXM10" s="87"/>
      <c r="SXN10" s="87"/>
      <c r="SXO10" s="87"/>
      <c r="SXP10" s="87"/>
      <c r="SXQ10" s="87"/>
      <c r="SXR10" s="87"/>
      <c r="SXS10" s="87"/>
      <c r="SXT10" s="87"/>
      <c r="SXU10" s="87"/>
      <c r="SXV10" s="87"/>
      <c r="SXW10" s="87"/>
      <c r="SXX10" s="87"/>
      <c r="SXY10" s="87"/>
      <c r="SXZ10" s="87"/>
      <c r="SYA10" s="87"/>
      <c r="SYB10" s="87"/>
      <c r="SYC10" s="87"/>
      <c r="SYD10" s="87"/>
      <c r="SYE10" s="87"/>
      <c r="SYF10" s="87"/>
      <c r="SYG10" s="87"/>
      <c r="SYH10" s="87"/>
      <c r="SYI10" s="87"/>
      <c r="SYJ10" s="87"/>
      <c r="SYK10" s="87"/>
      <c r="SYL10" s="87"/>
      <c r="SYM10" s="87"/>
      <c r="SYN10" s="87"/>
      <c r="SYO10" s="87"/>
      <c r="SYP10" s="87"/>
      <c r="SYQ10" s="87"/>
      <c r="SYR10" s="87"/>
      <c r="SYS10" s="87"/>
      <c r="SYT10" s="87"/>
      <c r="SYU10" s="87"/>
      <c r="SYV10" s="87"/>
      <c r="SYW10" s="87"/>
      <c r="SYX10" s="87"/>
      <c r="SYY10" s="87"/>
      <c r="SYZ10" s="87"/>
      <c r="SZA10" s="87"/>
      <c r="SZB10" s="87"/>
      <c r="SZC10" s="87"/>
      <c r="SZD10" s="87"/>
      <c r="SZE10" s="87"/>
      <c r="SZF10" s="87"/>
      <c r="SZG10" s="87"/>
      <c r="SZH10" s="87"/>
      <c r="SZI10" s="87"/>
      <c r="SZJ10" s="87"/>
      <c r="SZK10" s="87"/>
      <c r="SZL10" s="87"/>
      <c r="SZM10" s="87"/>
      <c r="SZN10" s="87"/>
      <c r="SZO10" s="87"/>
      <c r="SZP10" s="87"/>
      <c r="SZQ10" s="87"/>
      <c r="SZR10" s="87"/>
      <c r="SZS10" s="87"/>
      <c r="SZT10" s="87"/>
      <c r="SZU10" s="87"/>
      <c r="SZV10" s="87"/>
      <c r="SZW10" s="87"/>
      <c r="SZX10" s="87"/>
      <c r="SZY10" s="87"/>
      <c r="SZZ10" s="87"/>
      <c r="TAA10" s="87"/>
      <c r="TAB10" s="87"/>
      <c r="TAC10" s="87"/>
      <c r="TAD10" s="87"/>
      <c r="TAE10" s="87"/>
      <c r="TAF10" s="87"/>
      <c r="TAG10" s="87"/>
      <c r="TAH10" s="87"/>
      <c r="TAI10" s="87"/>
      <c r="TAJ10" s="87"/>
      <c r="TAK10" s="87"/>
      <c r="TAL10" s="87"/>
      <c r="TAM10" s="87"/>
      <c r="TAN10" s="87"/>
      <c r="TAO10" s="87"/>
      <c r="TAP10" s="87"/>
      <c r="TAQ10" s="87"/>
      <c r="TAR10" s="87"/>
      <c r="TAS10" s="87"/>
      <c r="TAT10" s="87"/>
      <c r="TAU10" s="87"/>
      <c r="TAV10" s="87"/>
      <c r="TAW10" s="87"/>
      <c r="TAX10" s="87"/>
      <c r="TAY10" s="87"/>
      <c r="TAZ10" s="87"/>
      <c r="TBA10" s="87"/>
      <c r="TBB10" s="87"/>
      <c r="TBC10" s="87"/>
      <c r="TBD10" s="87"/>
      <c r="TBE10" s="87"/>
      <c r="TBF10" s="87"/>
      <c r="TBG10" s="87"/>
      <c r="TBH10" s="87"/>
      <c r="TBI10" s="87"/>
      <c r="TBJ10" s="87"/>
      <c r="TBK10" s="87"/>
      <c r="TBL10" s="87"/>
      <c r="TBM10" s="87"/>
      <c r="TBN10" s="87"/>
      <c r="TBO10" s="87"/>
      <c r="TBP10" s="87"/>
      <c r="TBQ10" s="87"/>
      <c r="TBR10" s="87"/>
      <c r="TBS10" s="87"/>
      <c r="TBT10" s="87"/>
      <c r="TBU10" s="87"/>
      <c r="TBV10" s="87"/>
      <c r="TBW10" s="87"/>
      <c r="TBX10" s="87"/>
      <c r="TBY10" s="87"/>
      <c r="TBZ10" s="87"/>
      <c r="TCA10" s="87"/>
      <c r="TCB10" s="87"/>
      <c r="TCC10" s="87"/>
      <c r="TCD10" s="87"/>
      <c r="TCE10" s="87"/>
      <c r="TCF10" s="87"/>
      <c r="TCG10" s="87"/>
      <c r="TCH10" s="87"/>
      <c r="TCI10" s="87"/>
      <c r="TCJ10" s="87"/>
      <c r="TCK10" s="87"/>
      <c r="TCL10" s="87"/>
      <c r="TCM10" s="87"/>
      <c r="TCN10" s="87"/>
      <c r="TCO10" s="87"/>
      <c r="TCP10" s="87"/>
      <c r="TCQ10" s="87"/>
      <c r="TCR10" s="87"/>
      <c r="TCS10" s="87"/>
      <c r="TCT10" s="87"/>
      <c r="TCU10" s="87"/>
      <c r="TCV10" s="87"/>
      <c r="TCW10" s="87"/>
      <c r="TCX10" s="87"/>
      <c r="TCY10" s="87"/>
      <c r="TCZ10" s="87"/>
      <c r="TDA10" s="87"/>
      <c r="TDB10" s="87"/>
      <c r="TDC10" s="87"/>
      <c r="TDD10" s="87"/>
      <c r="TDE10" s="87"/>
      <c r="TDF10" s="87"/>
      <c r="TDG10" s="87"/>
      <c r="TDH10" s="87"/>
      <c r="TDI10" s="87"/>
      <c r="TDJ10" s="87"/>
      <c r="TDK10" s="87"/>
      <c r="TDL10" s="87"/>
      <c r="TDM10" s="87"/>
      <c r="TDN10" s="87"/>
      <c r="TDO10" s="87"/>
      <c r="TDP10" s="87"/>
      <c r="TDQ10" s="87"/>
      <c r="TDR10" s="87"/>
      <c r="TDS10" s="87"/>
      <c r="TDT10" s="87"/>
      <c r="TDU10" s="87"/>
      <c r="TDV10" s="87"/>
      <c r="TDW10" s="87"/>
      <c r="TDX10" s="87"/>
      <c r="TDY10" s="87"/>
      <c r="TDZ10" s="87"/>
      <c r="TEA10" s="87"/>
      <c r="TEB10" s="87"/>
      <c r="TEC10" s="87"/>
      <c r="TED10" s="87"/>
      <c r="TEE10" s="87"/>
      <c r="TEF10" s="87"/>
      <c r="TEG10" s="87"/>
      <c r="TEH10" s="87"/>
      <c r="TEI10" s="87"/>
      <c r="TEJ10" s="87"/>
      <c r="TEK10" s="87"/>
      <c r="TEL10" s="87"/>
      <c r="TEM10" s="87"/>
      <c r="TEN10" s="87"/>
      <c r="TEO10" s="87"/>
      <c r="TEP10" s="87"/>
      <c r="TEQ10" s="87"/>
      <c r="TER10" s="87"/>
      <c r="TES10" s="87"/>
      <c r="TET10" s="87"/>
      <c r="TEU10" s="87"/>
      <c r="TEV10" s="87"/>
      <c r="TEW10" s="87"/>
      <c r="TEX10" s="87"/>
      <c r="TEY10" s="87"/>
      <c r="TEZ10" s="87"/>
      <c r="TFA10" s="87"/>
      <c r="TFB10" s="87"/>
      <c r="TFC10" s="87"/>
      <c r="TFD10" s="87"/>
      <c r="TFE10" s="87"/>
      <c r="TFF10" s="87"/>
      <c r="TFG10" s="87"/>
      <c r="TFH10" s="87"/>
      <c r="TFI10" s="87"/>
      <c r="TFJ10" s="87"/>
      <c r="TFK10" s="87"/>
      <c r="TFL10" s="87"/>
      <c r="TFM10" s="87"/>
      <c r="TFN10" s="87"/>
      <c r="TFO10" s="87"/>
      <c r="TFP10" s="87"/>
      <c r="TFQ10" s="87"/>
      <c r="TFR10" s="87"/>
      <c r="TFS10" s="87"/>
      <c r="TFT10" s="87"/>
      <c r="TFU10" s="87"/>
      <c r="TFV10" s="87"/>
      <c r="TFW10" s="87"/>
      <c r="TFX10" s="87"/>
      <c r="TFY10" s="87"/>
      <c r="TFZ10" s="87"/>
      <c r="TGA10" s="87"/>
      <c r="TGB10" s="87"/>
      <c r="TGC10" s="87"/>
      <c r="TGD10" s="87"/>
      <c r="TGE10" s="87"/>
      <c r="TGF10" s="87"/>
      <c r="TGG10" s="87"/>
      <c r="TGH10" s="87"/>
      <c r="TGI10" s="87"/>
      <c r="TGJ10" s="87"/>
      <c r="TGK10" s="87"/>
      <c r="TGL10" s="87"/>
      <c r="TGM10" s="87"/>
      <c r="TGN10" s="87"/>
      <c r="TGO10" s="87"/>
      <c r="TGP10" s="87"/>
      <c r="TGQ10" s="87"/>
      <c r="TGR10" s="87"/>
      <c r="TGS10" s="87"/>
      <c r="TGT10" s="87"/>
      <c r="TGU10" s="87"/>
      <c r="TGV10" s="87"/>
      <c r="TGW10" s="87"/>
      <c r="TGX10" s="87"/>
      <c r="TGY10" s="87"/>
      <c r="TGZ10" s="87"/>
      <c r="THA10" s="87"/>
      <c r="THB10" s="87"/>
      <c r="THC10" s="87"/>
      <c r="THD10" s="87"/>
      <c r="THE10" s="87"/>
      <c r="THF10" s="87"/>
      <c r="THG10" s="87"/>
      <c r="THH10" s="87"/>
      <c r="THI10" s="87"/>
      <c r="THJ10" s="87"/>
      <c r="THK10" s="87"/>
      <c r="THL10" s="87"/>
      <c r="THM10" s="87"/>
      <c r="THN10" s="87"/>
      <c r="THO10" s="87"/>
      <c r="THP10" s="87"/>
      <c r="THQ10" s="87"/>
      <c r="THR10" s="87"/>
      <c r="THS10" s="87"/>
      <c r="THT10" s="87"/>
      <c r="THU10" s="87"/>
      <c r="THV10" s="87"/>
      <c r="THW10" s="87"/>
      <c r="THX10" s="87"/>
      <c r="THY10" s="87"/>
      <c r="THZ10" s="87"/>
      <c r="TIA10" s="87"/>
      <c r="TIB10" s="87"/>
      <c r="TIC10" s="87"/>
      <c r="TID10" s="87"/>
      <c r="TIE10" s="87"/>
      <c r="TIF10" s="87"/>
      <c r="TIG10" s="87"/>
      <c r="TIH10" s="87"/>
      <c r="TII10" s="87"/>
      <c r="TIJ10" s="87"/>
      <c r="TIK10" s="87"/>
      <c r="TIL10" s="87"/>
      <c r="TIM10" s="87"/>
      <c r="TIN10" s="87"/>
      <c r="TIO10" s="87"/>
      <c r="TIP10" s="87"/>
      <c r="TIQ10" s="87"/>
      <c r="TIR10" s="87"/>
      <c r="TIS10" s="87"/>
      <c r="TIT10" s="87"/>
      <c r="TIU10" s="87"/>
      <c r="TIV10" s="87"/>
      <c r="TIW10" s="87"/>
      <c r="TIX10" s="87"/>
      <c r="TIY10" s="87"/>
      <c r="TIZ10" s="87"/>
      <c r="TJA10" s="87"/>
      <c r="TJB10" s="87"/>
      <c r="TJC10" s="87"/>
      <c r="TJD10" s="87"/>
      <c r="TJE10" s="87"/>
      <c r="TJF10" s="87"/>
      <c r="TJG10" s="87"/>
      <c r="TJH10" s="87"/>
      <c r="TJI10" s="87"/>
      <c r="TJJ10" s="87"/>
      <c r="TJK10" s="87"/>
      <c r="TJL10" s="87"/>
      <c r="TJM10" s="87"/>
      <c r="TJN10" s="87"/>
      <c r="TJO10" s="87"/>
      <c r="TJP10" s="87"/>
      <c r="TJQ10" s="87"/>
      <c r="TJR10" s="87"/>
      <c r="TJS10" s="87"/>
      <c r="TJT10" s="87"/>
      <c r="TJU10" s="87"/>
      <c r="TJV10" s="87"/>
      <c r="TJW10" s="87"/>
      <c r="TJX10" s="87"/>
      <c r="TJY10" s="87"/>
      <c r="TJZ10" s="87"/>
      <c r="TKA10" s="87"/>
      <c r="TKB10" s="87"/>
      <c r="TKC10" s="87"/>
      <c r="TKD10" s="87"/>
      <c r="TKE10" s="87"/>
      <c r="TKF10" s="87"/>
      <c r="TKG10" s="87"/>
      <c r="TKH10" s="87"/>
      <c r="TKI10" s="87"/>
      <c r="TKJ10" s="87"/>
      <c r="TKK10" s="87"/>
      <c r="TKL10" s="87"/>
      <c r="TKM10" s="87"/>
      <c r="TKN10" s="87"/>
      <c r="TKO10" s="87"/>
      <c r="TKP10" s="87"/>
      <c r="TKQ10" s="87"/>
      <c r="TKR10" s="87"/>
      <c r="TKS10" s="87"/>
      <c r="TKT10" s="87"/>
      <c r="TKU10" s="87"/>
      <c r="TKV10" s="87"/>
      <c r="TKW10" s="87"/>
      <c r="TKX10" s="87"/>
      <c r="TKY10" s="87"/>
      <c r="TKZ10" s="87"/>
      <c r="TLA10" s="87"/>
      <c r="TLB10" s="87"/>
      <c r="TLC10" s="87"/>
      <c r="TLD10" s="87"/>
      <c r="TLE10" s="87"/>
      <c r="TLF10" s="87"/>
      <c r="TLG10" s="87"/>
      <c r="TLH10" s="87"/>
      <c r="TLI10" s="87"/>
      <c r="TLJ10" s="87"/>
      <c r="TLK10" s="87"/>
      <c r="TLL10" s="87"/>
      <c r="TLM10" s="87"/>
      <c r="TLN10" s="87"/>
      <c r="TLO10" s="87"/>
      <c r="TLP10" s="87"/>
      <c r="TLQ10" s="87"/>
      <c r="TLR10" s="87"/>
      <c r="TLS10" s="87"/>
      <c r="TLT10" s="87"/>
      <c r="TLU10" s="87"/>
      <c r="TLV10" s="87"/>
      <c r="TLW10" s="87"/>
      <c r="TLX10" s="87"/>
      <c r="TLY10" s="87"/>
      <c r="TLZ10" s="87"/>
      <c r="TMA10" s="87"/>
      <c r="TMB10" s="87"/>
      <c r="TMC10" s="87"/>
      <c r="TMD10" s="87"/>
      <c r="TME10" s="87"/>
      <c r="TMF10" s="87"/>
      <c r="TMG10" s="87"/>
      <c r="TMH10" s="87"/>
      <c r="TMI10" s="87"/>
      <c r="TMJ10" s="87"/>
      <c r="TMK10" s="87"/>
      <c r="TML10" s="87"/>
      <c r="TMM10" s="87"/>
      <c r="TMN10" s="87"/>
      <c r="TMO10" s="87"/>
      <c r="TMP10" s="87"/>
      <c r="TMQ10" s="87"/>
      <c r="TMR10" s="87"/>
      <c r="TMS10" s="87"/>
      <c r="TMT10" s="87"/>
      <c r="TMU10" s="87"/>
      <c r="TMV10" s="87"/>
      <c r="TMW10" s="87"/>
      <c r="TMX10" s="87"/>
      <c r="TMY10" s="87"/>
      <c r="TMZ10" s="87"/>
      <c r="TNA10" s="87"/>
      <c r="TNB10" s="87"/>
      <c r="TNC10" s="87"/>
      <c r="TND10" s="87"/>
      <c r="TNE10" s="87"/>
      <c r="TNF10" s="87"/>
      <c r="TNG10" s="87"/>
      <c r="TNH10" s="87"/>
      <c r="TNI10" s="87"/>
      <c r="TNJ10" s="87"/>
      <c r="TNK10" s="87"/>
      <c r="TNL10" s="87"/>
      <c r="TNM10" s="87"/>
      <c r="TNN10" s="87"/>
      <c r="TNO10" s="87"/>
      <c r="TNP10" s="87"/>
      <c r="TNQ10" s="87"/>
      <c r="TNR10" s="87"/>
      <c r="TNS10" s="87"/>
      <c r="TNT10" s="87"/>
      <c r="TNU10" s="87"/>
      <c r="TNV10" s="87"/>
      <c r="TNW10" s="87"/>
      <c r="TNX10" s="87"/>
      <c r="TNY10" s="87"/>
      <c r="TNZ10" s="87"/>
      <c r="TOA10" s="87"/>
      <c r="TOB10" s="87"/>
      <c r="TOC10" s="87"/>
      <c r="TOD10" s="87"/>
      <c r="TOE10" s="87"/>
      <c r="TOF10" s="87"/>
      <c r="TOG10" s="87"/>
      <c r="TOH10" s="87"/>
      <c r="TOI10" s="87"/>
      <c r="TOJ10" s="87"/>
      <c r="TOK10" s="87"/>
      <c r="TOL10" s="87"/>
      <c r="TOM10" s="87"/>
      <c r="TON10" s="87"/>
      <c r="TOO10" s="87"/>
      <c r="TOP10" s="87"/>
      <c r="TOQ10" s="87"/>
      <c r="TOR10" s="87"/>
      <c r="TOS10" s="87"/>
      <c r="TOT10" s="87"/>
      <c r="TOU10" s="87"/>
      <c r="TOV10" s="87"/>
      <c r="TOW10" s="87"/>
      <c r="TOX10" s="87"/>
      <c r="TOY10" s="87"/>
      <c r="TOZ10" s="87"/>
      <c r="TPA10" s="87"/>
      <c r="TPB10" s="87"/>
      <c r="TPC10" s="87"/>
      <c r="TPD10" s="87"/>
      <c r="TPE10" s="87"/>
      <c r="TPF10" s="87"/>
      <c r="TPG10" s="87"/>
      <c r="TPH10" s="87"/>
      <c r="TPI10" s="87"/>
      <c r="TPJ10" s="87"/>
      <c r="TPK10" s="87"/>
      <c r="TPL10" s="87"/>
      <c r="TPM10" s="87"/>
      <c r="TPN10" s="87"/>
      <c r="TPO10" s="87"/>
      <c r="TPP10" s="87"/>
      <c r="TPQ10" s="87"/>
      <c r="TPR10" s="87"/>
      <c r="TPS10" s="87"/>
      <c r="TPT10" s="87"/>
      <c r="TPU10" s="87"/>
      <c r="TPV10" s="87"/>
      <c r="TPW10" s="87"/>
      <c r="TPX10" s="87"/>
      <c r="TPY10" s="87"/>
      <c r="TPZ10" s="87"/>
      <c r="TQA10" s="87"/>
      <c r="TQB10" s="87"/>
      <c r="TQC10" s="87"/>
      <c r="TQD10" s="87"/>
      <c r="TQE10" s="87"/>
      <c r="TQF10" s="87"/>
      <c r="TQG10" s="87"/>
      <c r="TQH10" s="87"/>
      <c r="TQI10" s="87"/>
      <c r="TQJ10" s="87"/>
      <c r="TQK10" s="87"/>
      <c r="TQL10" s="87"/>
      <c r="TQM10" s="87"/>
      <c r="TQN10" s="87"/>
      <c r="TQO10" s="87"/>
      <c r="TQP10" s="87"/>
      <c r="TQQ10" s="87"/>
      <c r="TQR10" s="87"/>
      <c r="TQS10" s="87"/>
      <c r="TQT10" s="87"/>
      <c r="TQU10" s="87"/>
      <c r="TQV10" s="87"/>
      <c r="TQW10" s="87"/>
      <c r="TQX10" s="87"/>
      <c r="TQY10" s="87"/>
      <c r="TQZ10" s="87"/>
      <c r="TRA10" s="87"/>
      <c r="TRB10" s="87"/>
      <c r="TRC10" s="87"/>
      <c r="TRD10" s="87"/>
      <c r="TRE10" s="87"/>
      <c r="TRF10" s="87"/>
      <c r="TRG10" s="87"/>
      <c r="TRH10" s="87"/>
      <c r="TRI10" s="87"/>
      <c r="TRJ10" s="87"/>
      <c r="TRK10" s="87"/>
      <c r="TRL10" s="87"/>
      <c r="TRM10" s="87"/>
      <c r="TRN10" s="87"/>
      <c r="TRO10" s="87"/>
      <c r="TRP10" s="87"/>
      <c r="TRQ10" s="87"/>
      <c r="TRR10" s="87"/>
      <c r="TRS10" s="87"/>
      <c r="TRT10" s="87"/>
      <c r="TRU10" s="87"/>
      <c r="TRV10" s="87"/>
      <c r="TRW10" s="87"/>
      <c r="TRX10" s="87"/>
      <c r="TRY10" s="87"/>
      <c r="TRZ10" s="87"/>
      <c r="TSA10" s="87"/>
      <c r="TSB10" s="87"/>
      <c r="TSC10" s="87"/>
      <c r="TSD10" s="87"/>
      <c r="TSE10" s="87"/>
      <c r="TSF10" s="87"/>
      <c r="TSG10" s="87"/>
      <c r="TSH10" s="87"/>
      <c r="TSI10" s="87"/>
      <c r="TSJ10" s="87"/>
      <c r="TSK10" s="87"/>
      <c r="TSL10" s="87"/>
      <c r="TSM10" s="87"/>
      <c r="TSN10" s="87"/>
      <c r="TSO10" s="87"/>
      <c r="TSP10" s="87"/>
      <c r="TSQ10" s="87"/>
      <c r="TSR10" s="87"/>
      <c r="TSS10" s="87"/>
      <c r="TST10" s="87"/>
      <c r="TSU10" s="87"/>
      <c r="TSV10" s="87"/>
      <c r="TSW10" s="87"/>
      <c r="TSX10" s="87"/>
      <c r="TSY10" s="87"/>
      <c r="TSZ10" s="87"/>
      <c r="TTA10" s="87"/>
      <c r="TTB10" s="87"/>
      <c r="TTC10" s="87"/>
      <c r="TTD10" s="87"/>
      <c r="TTE10" s="87"/>
      <c r="TTF10" s="87"/>
      <c r="TTG10" s="87"/>
      <c r="TTH10" s="87"/>
      <c r="TTI10" s="87"/>
      <c r="TTJ10" s="87"/>
      <c r="TTK10" s="87"/>
      <c r="TTL10" s="87"/>
      <c r="TTM10" s="87"/>
      <c r="TTN10" s="87"/>
      <c r="TTO10" s="87"/>
      <c r="TTP10" s="87"/>
      <c r="TTQ10" s="87"/>
      <c r="TTR10" s="87"/>
      <c r="TTS10" s="87"/>
      <c r="TTT10" s="87"/>
      <c r="TTU10" s="87"/>
      <c r="TTV10" s="87"/>
      <c r="TTW10" s="87"/>
      <c r="TTX10" s="87"/>
      <c r="TTY10" s="87"/>
      <c r="TTZ10" s="87"/>
      <c r="TUA10" s="87"/>
      <c r="TUB10" s="87"/>
      <c r="TUC10" s="87"/>
      <c r="TUD10" s="87"/>
      <c r="TUE10" s="87"/>
      <c r="TUF10" s="87"/>
      <c r="TUG10" s="87"/>
      <c r="TUH10" s="87"/>
      <c r="TUI10" s="87"/>
      <c r="TUJ10" s="87"/>
      <c r="TUK10" s="87"/>
      <c r="TUL10" s="87"/>
      <c r="TUM10" s="87"/>
      <c r="TUN10" s="87"/>
      <c r="TUO10" s="87"/>
      <c r="TUP10" s="87"/>
      <c r="TUQ10" s="87"/>
      <c r="TUR10" s="87"/>
      <c r="TUS10" s="87"/>
      <c r="TUT10" s="87"/>
      <c r="TUU10" s="87"/>
      <c r="TUV10" s="87"/>
      <c r="TUW10" s="87"/>
      <c r="TUX10" s="87"/>
      <c r="TUY10" s="87"/>
      <c r="TUZ10" s="87"/>
      <c r="TVA10" s="87"/>
      <c r="TVB10" s="87"/>
      <c r="TVC10" s="87"/>
      <c r="TVD10" s="87"/>
      <c r="TVE10" s="87"/>
      <c r="TVF10" s="87"/>
      <c r="TVG10" s="87"/>
      <c r="TVH10" s="87"/>
      <c r="TVI10" s="87"/>
      <c r="TVJ10" s="87"/>
      <c r="TVK10" s="87"/>
      <c r="TVL10" s="87"/>
      <c r="TVM10" s="87"/>
      <c r="TVN10" s="87"/>
      <c r="TVO10" s="87"/>
      <c r="TVP10" s="87"/>
      <c r="TVQ10" s="87"/>
      <c r="TVR10" s="87"/>
      <c r="TVS10" s="87"/>
      <c r="TVT10" s="87"/>
      <c r="TVU10" s="87"/>
      <c r="TVV10" s="87"/>
      <c r="TVW10" s="87"/>
      <c r="TVX10" s="87"/>
      <c r="TVY10" s="87"/>
      <c r="TVZ10" s="87"/>
      <c r="TWA10" s="87"/>
      <c r="TWB10" s="87"/>
      <c r="TWC10" s="87"/>
      <c r="TWD10" s="87"/>
      <c r="TWE10" s="87"/>
      <c r="TWF10" s="87"/>
      <c r="TWG10" s="87"/>
      <c r="TWH10" s="87"/>
      <c r="TWI10" s="87"/>
      <c r="TWJ10" s="87"/>
      <c r="TWK10" s="87"/>
      <c r="TWL10" s="87"/>
      <c r="TWM10" s="87"/>
      <c r="TWN10" s="87"/>
      <c r="TWO10" s="87"/>
      <c r="TWP10" s="87"/>
      <c r="TWQ10" s="87"/>
      <c r="TWR10" s="87"/>
      <c r="TWS10" s="87"/>
      <c r="TWT10" s="87"/>
      <c r="TWU10" s="87"/>
      <c r="TWV10" s="87"/>
      <c r="TWW10" s="87"/>
      <c r="TWX10" s="87"/>
      <c r="TWY10" s="87"/>
      <c r="TWZ10" s="87"/>
      <c r="TXA10" s="87"/>
      <c r="TXB10" s="87"/>
      <c r="TXC10" s="87"/>
      <c r="TXD10" s="87"/>
      <c r="TXE10" s="87"/>
      <c r="TXF10" s="87"/>
      <c r="TXG10" s="87"/>
      <c r="TXH10" s="87"/>
      <c r="TXI10" s="87"/>
      <c r="TXJ10" s="87"/>
      <c r="TXK10" s="87"/>
      <c r="TXL10" s="87"/>
      <c r="TXM10" s="87"/>
      <c r="TXN10" s="87"/>
      <c r="TXO10" s="87"/>
      <c r="TXP10" s="87"/>
      <c r="TXQ10" s="87"/>
      <c r="TXR10" s="87"/>
      <c r="TXS10" s="87"/>
      <c r="TXT10" s="87"/>
      <c r="TXU10" s="87"/>
      <c r="TXV10" s="87"/>
      <c r="TXW10" s="87"/>
      <c r="TXX10" s="87"/>
      <c r="TXY10" s="87"/>
      <c r="TXZ10" s="87"/>
      <c r="TYA10" s="87"/>
      <c r="TYB10" s="87"/>
      <c r="TYC10" s="87"/>
      <c r="TYD10" s="87"/>
      <c r="TYE10" s="87"/>
      <c r="TYF10" s="87"/>
      <c r="TYG10" s="87"/>
      <c r="TYH10" s="87"/>
      <c r="TYI10" s="87"/>
      <c r="TYJ10" s="87"/>
      <c r="TYK10" s="87"/>
      <c r="TYL10" s="87"/>
      <c r="TYM10" s="87"/>
      <c r="TYN10" s="87"/>
      <c r="TYO10" s="87"/>
      <c r="TYP10" s="87"/>
      <c r="TYQ10" s="87"/>
      <c r="TYR10" s="87"/>
      <c r="TYS10" s="87"/>
      <c r="TYT10" s="87"/>
      <c r="TYU10" s="87"/>
      <c r="TYV10" s="87"/>
      <c r="TYW10" s="87"/>
      <c r="TYX10" s="87"/>
      <c r="TYY10" s="87"/>
      <c r="TYZ10" s="87"/>
      <c r="TZA10" s="87"/>
      <c r="TZB10" s="87"/>
      <c r="TZC10" s="87"/>
      <c r="TZD10" s="87"/>
      <c r="TZE10" s="87"/>
      <c r="TZF10" s="87"/>
      <c r="TZG10" s="87"/>
      <c r="TZH10" s="87"/>
      <c r="TZI10" s="87"/>
      <c r="TZJ10" s="87"/>
      <c r="TZK10" s="87"/>
      <c r="TZL10" s="87"/>
      <c r="TZM10" s="87"/>
      <c r="TZN10" s="87"/>
      <c r="TZO10" s="87"/>
      <c r="TZP10" s="87"/>
      <c r="TZQ10" s="87"/>
      <c r="TZR10" s="87"/>
      <c r="TZS10" s="87"/>
      <c r="TZT10" s="87"/>
      <c r="TZU10" s="87"/>
      <c r="TZV10" s="87"/>
      <c r="TZW10" s="87"/>
      <c r="TZX10" s="87"/>
      <c r="TZY10" s="87"/>
      <c r="TZZ10" s="87"/>
      <c r="UAA10" s="87"/>
      <c r="UAB10" s="87"/>
      <c r="UAC10" s="87"/>
      <c r="UAD10" s="87"/>
      <c r="UAE10" s="87"/>
      <c r="UAF10" s="87"/>
      <c r="UAG10" s="87"/>
      <c r="UAH10" s="87"/>
      <c r="UAI10" s="87"/>
      <c r="UAJ10" s="87"/>
      <c r="UAK10" s="87"/>
      <c r="UAL10" s="87"/>
      <c r="UAM10" s="87"/>
      <c r="UAN10" s="87"/>
      <c r="UAO10" s="87"/>
      <c r="UAP10" s="87"/>
      <c r="UAQ10" s="87"/>
      <c r="UAR10" s="87"/>
      <c r="UAS10" s="87"/>
      <c r="UAT10" s="87"/>
      <c r="UAU10" s="87"/>
      <c r="UAV10" s="87"/>
      <c r="UAW10" s="87"/>
      <c r="UAX10" s="87"/>
      <c r="UAY10" s="87"/>
      <c r="UAZ10" s="87"/>
      <c r="UBA10" s="87"/>
      <c r="UBB10" s="87"/>
      <c r="UBC10" s="87"/>
      <c r="UBD10" s="87"/>
      <c r="UBE10" s="87"/>
      <c r="UBF10" s="87"/>
      <c r="UBG10" s="87"/>
      <c r="UBH10" s="87"/>
      <c r="UBI10" s="87"/>
      <c r="UBJ10" s="87"/>
      <c r="UBK10" s="87"/>
      <c r="UBL10" s="87"/>
      <c r="UBM10" s="87"/>
      <c r="UBN10" s="87"/>
      <c r="UBO10" s="87"/>
      <c r="UBP10" s="87"/>
      <c r="UBQ10" s="87"/>
      <c r="UBR10" s="87"/>
      <c r="UBS10" s="87"/>
      <c r="UBT10" s="87"/>
      <c r="UBU10" s="87"/>
      <c r="UBV10" s="87"/>
      <c r="UBW10" s="87"/>
      <c r="UBX10" s="87"/>
      <c r="UBY10" s="87"/>
      <c r="UBZ10" s="87"/>
      <c r="UCA10" s="87"/>
      <c r="UCB10" s="87"/>
      <c r="UCC10" s="87"/>
      <c r="UCD10" s="87"/>
      <c r="UCE10" s="87"/>
      <c r="UCF10" s="87"/>
      <c r="UCG10" s="87"/>
      <c r="UCH10" s="87"/>
      <c r="UCI10" s="87"/>
      <c r="UCJ10" s="87"/>
      <c r="UCK10" s="87"/>
      <c r="UCL10" s="87"/>
      <c r="UCM10" s="87"/>
      <c r="UCN10" s="87"/>
      <c r="UCO10" s="87"/>
      <c r="UCP10" s="87"/>
      <c r="UCQ10" s="87"/>
      <c r="UCR10" s="87"/>
      <c r="UCS10" s="87"/>
      <c r="UCT10" s="87"/>
      <c r="UCU10" s="87"/>
      <c r="UCV10" s="87"/>
      <c r="UCW10" s="87"/>
      <c r="UCX10" s="87"/>
      <c r="UCY10" s="87"/>
      <c r="UCZ10" s="87"/>
      <c r="UDA10" s="87"/>
      <c r="UDB10" s="87"/>
      <c r="UDC10" s="87"/>
      <c r="UDD10" s="87"/>
      <c r="UDE10" s="87"/>
      <c r="UDF10" s="87"/>
      <c r="UDG10" s="87"/>
      <c r="UDH10" s="87"/>
      <c r="UDI10" s="87"/>
      <c r="UDJ10" s="87"/>
      <c r="UDK10" s="87"/>
      <c r="UDL10" s="87"/>
      <c r="UDM10" s="87"/>
      <c r="UDN10" s="87"/>
      <c r="UDO10" s="87"/>
      <c r="UDP10" s="87"/>
      <c r="UDQ10" s="87"/>
      <c r="UDR10" s="87"/>
      <c r="UDS10" s="87"/>
      <c r="UDT10" s="87"/>
      <c r="UDU10" s="87"/>
      <c r="UDV10" s="87"/>
      <c r="UDW10" s="87"/>
      <c r="UDX10" s="87"/>
      <c r="UDY10" s="87"/>
      <c r="UDZ10" s="87"/>
      <c r="UEA10" s="87"/>
      <c r="UEB10" s="87"/>
      <c r="UEC10" s="87"/>
      <c r="UED10" s="87"/>
      <c r="UEE10" s="87"/>
      <c r="UEF10" s="87"/>
      <c r="UEG10" s="87"/>
      <c r="UEH10" s="87"/>
      <c r="UEI10" s="87"/>
      <c r="UEJ10" s="87"/>
      <c r="UEK10" s="87"/>
      <c r="UEL10" s="87"/>
      <c r="UEM10" s="87"/>
      <c r="UEN10" s="87"/>
      <c r="UEO10" s="87"/>
      <c r="UEP10" s="87"/>
      <c r="UEQ10" s="87"/>
      <c r="UER10" s="87"/>
      <c r="UES10" s="87"/>
      <c r="UET10" s="87"/>
      <c r="UEU10" s="87"/>
      <c r="UEV10" s="87"/>
      <c r="UEW10" s="87"/>
      <c r="UEX10" s="87"/>
      <c r="UEY10" s="87"/>
      <c r="UEZ10" s="87"/>
      <c r="UFA10" s="87"/>
      <c r="UFB10" s="87"/>
      <c r="UFC10" s="87"/>
      <c r="UFD10" s="87"/>
      <c r="UFE10" s="87"/>
      <c r="UFF10" s="87"/>
      <c r="UFG10" s="87"/>
      <c r="UFH10" s="87"/>
      <c r="UFI10" s="87"/>
      <c r="UFJ10" s="87"/>
      <c r="UFK10" s="87"/>
      <c r="UFL10" s="87"/>
      <c r="UFM10" s="87"/>
      <c r="UFN10" s="87"/>
      <c r="UFO10" s="87"/>
      <c r="UFP10" s="87"/>
      <c r="UFQ10" s="87"/>
      <c r="UFR10" s="87"/>
      <c r="UFS10" s="87"/>
      <c r="UFT10" s="87"/>
      <c r="UFU10" s="87"/>
      <c r="UFV10" s="87"/>
      <c r="UFW10" s="87"/>
      <c r="UFX10" s="87"/>
      <c r="UFY10" s="87"/>
      <c r="UFZ10" s="87"/>
      <c r="UGA10" s="87"/>
      <c r="UGB10" s="87"/>
      <c r="UGC10" s="87"/>
      <c r="UGD10" s="87"/>
      <c r="UGE10" s="87"/>
      <c r="UGF10" s="87"/>
      <c r="UGG10" s="87"/>
      <c r="UGH10" s="87"/>
      <c r="UGI10" s="87"/>
      <c r="UGJ10" s="87"/>
      <c r="UGK10" s="87"/>
      <c r="UGL10" s="87"/>
      <c r="UGM10" s="87"/>
      <c r="UGN10" s="87"/>
      <c r="UGO10" s="87"/>
      <c r="UGP10" s="87"/>
      <c r="UGQ10" s="87"/>
      <c r="UGR10" s="87"/>
      <c r="UGS10" s="87"/>
      <c r="UGT10" s="87"/>
      <c r="UGU10" s="87"/>
      <c r="UGV10" s="87"/>
      <c r="UGW10" s="87"/>
      <c r="UGX10" s="87"/>
      <c r="UGY10" s="87"/>
      <c r="UGZ10" s="87"/>
      <c r="UHA10" s="87"/>
      <c r="UHB10" s="87"/>
      <c r="UHC10" s="87"/>
      <c r="UHD10" s="87"/>
      <c r="UHE10" s="87"/>
      <c r="UHF10" s="87"/>
      <c r="UHG10" s="87"/>
      <c r="UHH10" s="87"/>
      <c r="UHI10" s="87"/>
      <c r="UHJ10" s="87"/>
      <c r="UHK10" s="87"/>
      <c r="UHL10" s="87"/>
      <c r="UHM10" s="87"/>
      <c r="UHN10" s="87"/>
      <c r="UHO10" s="87"/>
      <c r="UHP10" s="87"/>
      <c r="UHQ10" s="87"/>
      <c r="UHR10" s="87"/>
      <c r="UHS10" s="87"/>
      <c r="UHT10" s="87"/>
      <c r="UHU10" s="87"/>
      <c r="UHV10" s="87"/>
      <c r="UHW10" s="87"/>
      <c r="UHX10" s="87"/>
      <c r="UHY10" s="87"/>
      <c r="UHZ10" s="87"/>
      <c r="UIA10" s="87"/>
      <c r="UIB10" s="87"/>
      <c r="UIC10" s="87"/>
      <c r="UID10" s="87"/>
      <c r="UIE10" s="87"/>
      <c r="UIF10" s="87"/>
      <c r="UIG10" s="87"/>
      <c r="UIH10" s="87"/>
      <c r="UII10" s="87"/>
      <c r="UIJ10" s="87"/>
      <c r="UIK10" s="87"/>
      <c r="UIL10" s="87"/>
      <c r="UIM10" s="87"/>
      <c r="UIN10" s="87"/>
      <c r="UIO10" s="87"/>
      <c r="UIP10" s="87"/>
      <c r="UIQ10" s="87"/>
      <c r="UIR10" s="87"/>
      <c r="UIS10" s="87"/>
      <c r="UIT10" s="87"/>
      <c r="UIU10" s="87"/>
      <c r="UIV10" s="87"/>
      <c r="UIW10" s="87"/>
      <c r="UIX10" s="87"/>
      <c r="UIY10" s="87"/>
      <c r="UIZ10" s="87"/>
      <c r="UJA10" s="87"/>
      <c r="UJB10" s="87"/>
      <c r="UJC10" s="87"/>
      <c r="UJD10" s="87"/>
      <c r="UJE10" s="87"/>
      <c r="UJF10" s="87"/>
      <c r="UJG10" s="87"/>
      <c r="UJH10" s="87"/>
      <c r="UJI10" s="87"/>
      <c r="UJJ10" s="87"/>
      <c r="UJK10" s="87"/>
      <c r="UJL10" s="87"/>
      <c r="UJM10" s="87"/>
      <c r="UJN10" s="87"/>
      <c r="UJO10" s="87"/>
      <c r="UJP10" s="87"/>
      <c r="UJQ10" s="87"/>
      <c r="UJR10" s="87"/>
      <c r="UJS10" s="87"/>
      <c r="UJT10" s="87"/>
      <c r="UJU10" s="87"/>
      <c r="UJV10" s="87"/>
      <c r="UJW10" s="87"/>
      <c r="UJX10" s="87"/>
      <c r="UJY10" s="87"/>
      <c r="UJZ10" s="87"/>
      <c r="UKA10" s="87"/>
      <c r="UKB10" s="87"/>
      <c r="UKC10" s="87"/>
      <c r="UKD10" s="87"/>
      <c r="UKE10" s="87"/>
      <c r="UKF10" s="87"/>
      <c r="UKG10" s="87"/>
      <c r="UKH10" s="87"/>
      <c r="UKI10" s="87"/>
      <c r="UKJ10" s="87"/>
      <c r="UKK10" s="87"/>
      <c r="UKL10" s="87"/>
      <c r="UKM10" s="87"/>
      <c r="UKN10" s="87"/>
      <c r="UKO10" s="87"/>
      <c r="UKP10" s="87"/>
      <c r="UKQ10" s="87"/>
      <c r="UKR10" s="87"/>
      <c r="UKS10" s="87"/>
      <c r="UKT10" s="87"/>
      <c r="UKU10" s="87"/>
      <c r="UKV10" s="87"/>
      <c r="UKW10" s="87"/>
      <c r="UKX10" s="87"/>
      <c r="UKY10" s="87"/>
      <c r="UKZ10" s="87"/>
      <c r="ULA10" s="87"/>
      <c r="ULB10" s="87"/>
      <c r="ULC10" s="87"/>
      <c r="ULD10" s="87"/>
      <c r="ULE10" s="87"/>
      <c r="ULF10" s="87"/>
      <c r="ULG10" s="87"/>
      <c r="ULH10" s="87"/>
      <c r="ULI10" s="87"/>
      <c r="ULJ10" s="87"/>
      <c r="ULK10" s="87"/>
      <c r="ULL10" s="87"/>
      <c r="ULM10" s="87"/>
      <c r="ULN10" s="87"/>
      <c r="ULO10" s="87"/>
      <c r="ULP10" s="87"/>
      <c r="ULQ10" s="87"/>
      <c r="ULR10" s="87"/>
      <c r="ULS10" s="87"/>
      <c r="ULT10" s="87"/>
      <c r="ULU10" s="87"/>
      <c r="ULV10" s="87"/>
      <c r="ULW10" s="87"/>
      <c r="ULX10" s="87"/>
      <c r="ULY10" s="87"/>
      <c r="ULZ10" s="87"/>
      <c r="UMA10" s="87"/>
      <c r="UMB10" s="87"/>
      <c r="UMC10" s="87"/>
      <c r="UMD10" s="87"/>
      <c r="UME10" s="87"/>
      <c r="UMF10" s="87"/>
      <c r="UMG10" s="87"/>
      <c r="UMH10" s="87"/>
      <c r="UMI10" s="87"/>
      <c r="UMJ10" s="87"/>
      <c r="UMK10" s="87"/>
      <c r="UML10" s="87"/>
      <c r="UMM10" s="87"/>
      <c r="UMN10" s="87"/>
      <c r="UMO10" s="87"/>
      <c r="UMP10" s="87"/>
      <c r="UMQ10" s="87"/>
      <c r="UMR10" s="87"/>
      <c r="UMS10" s="87"/>
      <c r="UMT10" s="87"/>
      <c r="UMU10" s="87"/>
      <c r="UMV10" s="87"/>
      <c r="UMW10" s="87"/>
      <c r="UMX10" s="87"/>
      <c r="UMY10" s="87"/>
      <c r="UMZ10" s="87"/>
      <c r="UNA10" s="87"/>
      <c r="UNB10" s="87"/>
      <c r="UNC10" s="87"/>
      <c r="UND10" s="87"/>
      <c r="UNE10" s="87"/>
      <c r="UNF10" s="87"/>
      <c r="UNG10" s="87"/>
      <c r="UNH10" s="87"/>
      <c r="UNI10" s="87"/>
      <c r="UNJ10" s="87"/>
      <c r="UNK10" s="87"/>
      <c r="UNL10" s="87"/>
      <c r="UNM10" s="87"/>
      <c r="UNN10" s="87"/>
      <c r="UNO10" s="87"/>
      <c r="UNP10" s="87"/>
      <c r="UNQ10" s="87"/>
      <c r="UNR10" s="87"/>
      <c r="UNS10" s="87"/>
      <c r="UNT10" s="87"/>
      <c r="UNU10" s="87"/>
      <c r="UNV10" s="87"/>
      <c r="UNW10" s="87"/>
      <c r="UNX10" s="87"/>
      <c r="UNY10" s="87"/>
      <c r="UNZ10" s="87"/>
      <c r="UOA10" s="87"/>
      <c r="UOB10" s="87"/>
      <c r="UOC10" s="87"/>
      <c r="UOD10" s="87"/>
      <c r="UOE10" s="87"/>
      <c r="UOF10" s="87"/>
      <c r="UOG10" s="87"/>
      <c r="UOH10" s="87"/>
      <c r="UOI10" s="87"/>
      <c r="UOJ10" s="87"/>
      <c r="UOK10" s="87"/>
      <c r="UOL10" s="87"/>
      <c r="UOM10" s="87"/>
      <c r="UON10" s="87"/>
      <c r="UOO10" s="87"/>
      <c r="UOP10" s="87"/>
      <c r="UOQ10" s="87"/>
      <c r="UOR10" s="87"/>
      <c r="UOS10" s="87"/>
      <c r="UOT10" s="87"/>
      <c r="UOU10" s="87"/>
      <c r="UOV10" s="87"/>
      <c r="UOW10" s="87"/>
      <c r="UOX10" s="87"/>
      <c r="UOY10" s="87"/>
      <c r="UOZ10" s="87"/>
      <c r="UPA10" s="87"/>
      <c r="UPB10" s="87"/>
      <c r="UPC10" s="87"/>
      <c r="UPD10" s="87"/>
      <c r="UPE10" s="87"/>
      <c r="UPF10" s="87"/>
      <c r="UPG10" s="87"/>
      <c r="UPH10" s="87"/>
      <c r="UPI10" s="87"/>
      <c r="UPJ10" s="87"/>
      <c r="UPK10" s="87"/>
      <c r="UPL10" s="87"/>
      <c r="UPM10" s="87"/>
      <c r="UPN10" s="87"/>
      <c r="UPO10" s="87"/>
      <c r="UPP10" s="87"/>
      <c r="UPQ10" s="87"/>
      <c r="UPR10" s="87"/>
      <c r="UPS10" s="87"/>
      <c r="UPT10" s="87"/>
      <c r="UPU10" s="87"/>
      <c r="UPV10" s="87"/>
      <c r="UPW10" s="87"/>
      <c r="UPX10" s="87"/>
      <c r="UPY10" s="87"/>
      <c r="UPZ10" s="87"/>
      <c r="UQA10" s="87"/>
      <c r="UQB10" s="87"/>
      <c r="UQC10" s="87"/>
      <c r="UQD10" s="87"/>
      <c r="UQE10" s="87"/>
      <c r="UQF10" s="87"/>
      <c r="UQG10" s="87"/>
      <c r="UQH10" s="87"/>
      <c r="UQI10" s="87"/>
      <c r="UQJ10" s="87"/>
      <c r="UQK10" s="87"/>
      <c r="UQL10" s="87"/>
      <c r="UQM10" s="87"/>
      <c r="UQN10" s="87"/>
      <c r="UQO10" s="87"/>
      <c r="UQP10" s="87"/>
      <c r="UQQ10" s="87"/>
      <c r="UQR10" s="87"/>
      <c r="UQS10" s="87"/>
      <c r="UQT10" s="87"/>
      <c r="UQU10" s="87"/>
      <c r="UQV10" s="87"/>
      <c r="UQW10" s="87"/>
      <c r="UQX10" s="87"/>
      <c r="UQY10" s="87"/>
      <c r="UQZ10" s="87"/>
      <c r="URA10" s="87"/>
      <c r="URB10" s="87"/>
      <c r="URC10" s="87"/>
      <c r="URD10" s="87"/>
      <c r="URE10" s="87"/>
      <c r="URF10" s="87"/>
      <c r="URG10" s="87"/>
      <c r="URH10" s="87"/>
      <c r="URI10" s="87"/>
      <c r="URJ10" s="87"/>
      <c r="URK10" s="87"/>
      <c r="URL10" s="87"/>
      <c r="URM10" s="87"/>
      <c r="URN10" s="87"/>
      <c r="URO10" s="87"/>
      <c r="URP10" s="87"/>
      <c r="URQ10" s="87"/>
      <c r="URR10" s="87"/>
      <c r="URS10" s="87"/>
      <c r="URT10" s="87"/>
      <c r="URU10" s="87"/>
      <c r="URV10" s="87"/>
      <c r="URW10" s="87"/>
      <c r="URX10" s="87"/>
      <c r="URY10" s="87"/>
      <c r="URZ10" s="87"/>
      <c r="USA10" s="87"/>
      <c r="USB10" s="87"/>
      <c r="USC10" s="87"/>
      <c r="USD10" s="87"/>
      <c r="USE10" s="87"/>
      <c r="USF10" s="87"/>
      <c r="USG10" s="87"/>
      <c r="USH10" s="87"/>
      <c r="USI10" s="87"/>
      <c r="USJ10" s="87"/>
      <c r="USK10" s="87"/>
      <c r="USL10" s="87"/>
      <c r="USM10" s="87"/>
      <c r="USN10" s="87"/>
      <c r="USO10" s="87"/>
      <c r="USP10" s="87"/>
      <c r="USQ10" s="87"/>
      <c r="USR10" s="87"/>
      <c r="USS10" s="87"/>
      <c r="UST10" s="87"/>
      <c r="USU10" s="87"/>
      <c r="USV10" s="87"/>
      <c r="USW10" s="87"/>
      <c r="USX10" s="87"/>
      <c r="USY10" s="87"/>
      <c r="USZ10" s="87"/>
      <c r="UTA10" s="87"/>
      <c r="UTB10" s="87"/>
      <c r="UTC10" s="87"/>
      <c r="UTD10" s="87"/>
      <c r="UTE10" s="87"/>
      <c r="UTF10" s="87"/>
      <c r="UTG10" s="87"/>
      <c r="UTH10" s="87"/>
      <c r="UTI10" s="87"/>
      <c r="UTJ10" s="87"/>
      <c r="UTK10" s="87"/>
      <c r="UTL10" s="87"/>
      <c r="UTM10" s="87"/>
      <c r="UTN10" s="87"/>
      <c r="UTO10" s="87"/>
      <c r="UTP10" s="87"/>
      <c r="UTQ10" s="87"/>
      <c r="UTR10" s="87"/>
      <c r="UTS10" s="87"/>
      <c r="UTT10" s="87"/>
      <c r="UTU10" s="87"/>
      <c r="UTV10" s="87"/>
      <c r="UTW10" s="87"/>
      <c r="UTX10" s="87"/>
      <c r="UTY10" s="87"/>
      <c r="UTZ10" s="87"/>
      <c r="UUA10" s="87"/>
      <c r="UUB10" s="87"/>
      <c r="UUC10" s="87"/>
      <c r="UUD10" s="87"/>
      <c r="UUE10" s="87"/>
      <c r="UUF10" s="87"/>
      <c r="UUG10" s="87"/>
      <c r="UUH10" s="87"/>
      <c r="UUI10" s="87"/>
      <c r="UUJ10" s="87"/>
      <c r="UUK10" s="87"/>
      <c r="UUL10" s="87"/>
      <c r="UUM10" s="87"/>
      <c r="UUN10" s="87"/>
      <c r="UUO10" s="87"/>
      <c r="UUP10" s="87"/>
      <c r="UUQ10" s="87"/>
      <c r="UUR10" s="87"/>
      <c r="UUS10" s="87"/>
      <c r="UUT10" s="87"/>
      <c r="UUU10" s="87"/>
      <c r="UUV10" s="87"/>
      <c r="UUW10" s="87"/>
      <c r="UUX10" s="87"/>
      <c r="UUY10" s="87"/>
      <c r="UUZ10" s="87"/>
      <c r="UVA10" s="87"/>
      <c r="UVB10" s="87"/>
      <c r="UVC10" s="87"/>
      <c r="UVD10" s="87"/>
      <c r="UVE10" s="87"/>
      <c r="UVF10" s="87"/>
      <c r="UVG10" s="87"/>
      <c r="UVH10" s="87"/>
      <c r="UVI10" s="87"/>
      <c r="UVJ10" s="87"/>
      <c r="UVK10" s="87"/>
      <c r="UVL10" s="87"/>
      <c r="UVM10" s="87"/>
      <c r="UVN10" s="87"/>
      <c r="UVO10" s="87"/>
      <c r="UVP10" s="87"/>
      <c r="UVQ10" s="87"/>
      <c r="UVR10" s="87"/>
      <c r="UVS10" s="87"/>
      <c r="UVT10" s="87"/>
      <c r="UVU10" s="87"/>
      <c r="UVV10" s="87"/>
      <c r="UVW10" s="87"/>
      <c r="UVX10" s="87"/>
      <c r="UVY10" s="87"/>
      <c r="UVZ10" s="87"/>
      <c r="UWA10" s="87"/>
      <c r="UWB10" s="87"/>
      <c r="UWC10" s="87"/>
      <c r="UWD10" s="87"/>
      <c r="UWE10" s="87"/>
      <c r="UWF10" s="87"/>
      <c r="UWG10" s="87"/>
      <c r="UWH10" s="87"/>
      <c r="UWI10" s="87"/>
      <c r="UWJ10" s="87"/>
      <c r="UWK10" s="87"/>
      <c r="UWL10" s="87"/>
      <c r="UWM10" s="87"/>
      <c r="UWN10" s="87"/>
      <c r="UWO10" s="87"/>
      <c r="UWP10" s="87"/>
      <c r="UWQ10" s="87"/>
      <c r="UWR10" s="87"/>
      <c r="UWS10" s="87"/>
      <c r="UWT10" s="87"/>
      <c r="UWU10" s="87"/>
      <c r="UWV10" s="87"/>
      <c r="UWW10" s="87"/>
      <c r="UWX10" s="87"/>
      <c r="UWY10" s="87"/>
      <c r="UWZ10" s="87"/>
      <c r="UXA10" s="87"/>
      <c r="UXB10" s="87"/>
      <c r="UXC10" s="87"/>
      <c r="UXD10" s="87"/>
      <c r="UXE10" s="87"/>
      <c r="UXF10" s="87"/>
      <c r="UXG10" s="87"/>
      <c r="UXH10" s="87"/>
      <c r="UXI10" s="87"/>
      <c r="UXJ10" s="87"/>
      <c r="UXK10" s="87"/>
      <c r="UXL10" s="87"/>
      <c r="UXM10" s="87"/>
      <c r="UXN10" s="87"/>
      <c r="UXO10" s="87"/>
      <c r="UXP10" s="87"/>
      <c r="UXQ10" s="87"/>
      <c r="UXR10" s="87"/>
      <c r="UXS10" s="87"/>
      <c r="UXT10" s="87"/>
      <c r="UXU10" s="87"/>
      <c r="UXV10" s="87"/>
      <c r="UXW10" s="87"/>
      <c r="UXX10" s="87"/>
      <c r="UXY10" s="87"/>
      <c r="UXZ10" s="87"/>
      <c r="UYA10" s="87"/>
      <c r="UYB10" s="87"/>
      <c r="UYC10" s="87"/>
      <c r="UYD10" s="87"/>
      <c r="UYE10" s="87"/>
      <c r="UYF10" s="87"/>
      <c r="UYG10" s="87"/>
      <c r="UYH10" s="87"/>
      <c r="UYI10" s="87"/>
      <c r="UYJ10" s="87"/>
      <c r="UYK10" s="87"/>
      <c r="UYL10" s="87"/>
      <c r="UYM10" s="87"/>
      <c r="UYN10" s="87"/>
      <c r="UYO10" s="87"/>
      <c r="UYP10" s="87"/>
      <c r="UYQ10" s="87"/>
      <c r="UYR10" s="87"/>
      <c r="UYS10" s="87"/>
      <c r="UYT10" s="87"/>
      <c r="UYU10" s="87"/>
      <c r="UYV10" s="87"/>
      <c r="UYW10" s="87"/>
      <c r="UYX10" s="87"/>
      <c r="UYY10" s="87"/>
      <c r="UYZ10" s="87"/>
      <c r="UZA10" s="87"/>
      <c r="UZB10" s="87"/>
      <c r="UZC10" s="87"/>
      <c r="UZD10" s="87"/>
      <c r="UZE10" s="87"/>
      <c r="UZF10" s="87"/>
      <c r="UZG10" s="87"/>
      <c r="UZH10" s="87"/>
      <c r="UZI10" s="87"/>
      <c r="UZJ10" s="87"/>
      <c r="UZK10" s="87"/>
      <c r="UZL10" s="87"/>
      <c r="UZM10" s="87"/>
      <c r="UZN10" s="87"/>
      <c r="UZO10" s="87"/>
      <c r="UZP10" s="87"/>
      <c r="UZQ10" s="87"/>
      <c r="UZR10" s="87"/>
      <c r="UZS10" s="87"/>
      <c r="UZT10" s="87"/>
      <c r="UZU10" s="87"/>
      <c r="UZV10" s="87"/>
      <c r="UZW10" s="87"/>
      <c r="UZX10" s="87"/>
      <c r="UZY10" s="87"/>
      <c r="UZZ10" s="87"/>
      <c r="VAA10" s="87"/>
      <c r="VAB10" s="87"/>
      <c r="VAC10" s="87"/>
      <c r="VAD10" s="87"/>
      <c r="VAE10" s="87"/>
      <c r="VAF10" s="87"/>
      <c r="VAG10" s="87"/>
      <c r="VAH10" s="87"/>
      <c r="VAI10" s="87"/>
      <c r="VAJ10" s="87"/>
      <c r="VAK10" s="87"/>
      <c r="VAL10" s="87"/>
      <c r="VAM10" s="87"/>
      <c r="VAN10" s="87"/>
      <c r="VAO10" s="87"/>
      <c r="VAP10" s="87"/>
      <c r="VAQ10" s="87"/>
      <c r="VAR10" s="87"/>
      <c r="VAS10" s="87"/>
      <c r="VAT10" s="87"/>
      <c r="VAU10" s="87"/>
      <c r="VAV10" s="87"/>
      <c r="VAW10" s="87"/>
      <c r="VAX10" s="87"/>
      <c r="VAY10" s="87"/>
      <c r="VAZ10" s="87"/>
      <c r="VBA10" s="87"/>
      <c r="VBB10" s="87"/>
      <c r="VBC10" s="87"/>
      <c r="VBD10" s="87"/>
      <c r="VBE10" s="87"/>
      <c r="VBF10" s="87"/>
      <c r="VBG10" s="87"/>
      <c r="VBH10" s="87"/>
      <c r="VBI10" s="87"/>
      <c r="VBJ10" s="87"/>
      <c r="VBK10" s="87"/>
      <c r="VBL10" s="87"/>
      <c r="VBM10" s="87"/>
      <c r="VBN10" s="87"/>
      <c r="VBO10" s="87"/>
      <c r="VBP10" s="87"/>
      <c r="VBQ10" s="87"/>
      <c r="VBR10" s="87"/>
      <c r="VBS10" s="87"/>
      <c r="VBT10" s="87"/>
      <c r="VBU10" s="87"/>
      <c r="VBV10" s="87"/>
      <c r="VBW10" s="87"/>
      <c r="VBX10" s="87"/>
      <c r="VBY10" s="87"/>
      <c r="VBZ10" s="87"/>
      <c r="VCA10" s="87"/>
      <c r="VCB10" s="87"/>
      <c r="VCC10" s="87"/>
      <c r="VCD10" s="87"/>
      <c r="VCE10" s="87"/>
      <c r="VCF10" s="87"/>
      <c r="VCG10" s="87"/>
      <c r="VCH10" s="87"/>
      <c r="VCI10" s="87"/>
      <c r="VCJ10" s="87"/>
      <c r="VCK10" s="87"/>
      <c r="VCL10" s="87"/>
      <c r="VCM10" s="87"/>
      <c r="VCN10" s="87"/>
      <c r="VCO10" s="87"/>
      <c r="VCP10" s="87"/>
      <c r="VCQ10" s="87"/>
      <c r="VCR10" s="87"/>
      <c r="VCS10" s="87"/>
      <c r="VCT10" s="87"/>
      <c r="VCU10" s="87"/>
      <c r="VCV10" s="87"/>
      <c r="VCW10" s="87"/>
      <c r="VCX10" s="87"/>
      <c r="VCY10" s="87"/>
      <c r="VCZ10" s="87"/>
      <c r="VDA10" s="87"/>
      <c r="VDB10" s="87"/>
      <c r="VDC10" s="87"/>
      <c r="VDD10" s="87"/>
      <c r="VDE10" s="87"/>
      <c r="VDF10" s="87"/>
      <c r="VDG10" s="87"/>
      <c r="VDH10" s="87"/>
      <c r="VDI10" s="87"/>
      <c r="VDJ10" s="87"/>
      <c r="VDK10" s="87"/>
      <c r="VDL10" s="87"/>
      <c r="VDM10" s="87"/>
      <c r="VDN10" s="87"/>
      <c r="VDO10" s="87"/>
      <c r="VDP10" s="87"/>
      <c r="VDQ10" s="87"/>
      <c r="VDR10" s="87"/>
      <c r="VDS10" s="87"/>
      <c r="VDT10" s="87"/>
      <c r="VDU10" s="87"/>
      <c r="VDV10" s="87"/>
      <c r="VDW10" s="87"/>
      <c r="VDX10" s="87"/>
      <c r="VDY10" s="87"/>
      <c r="VDZ10" s="87"/>
      <c r="VEA10" s="87"/>
      <c r="VEB10" s="87"/>
      <c r="VEC10" s="87"/>
      <c r="VED10" s="87"/>
      <c r="VEE10" s="87"/>
      <c r="VEF10" s="87"/>
      <c r="VEG10" s="87"/>
      <c r="VEH10" s="87"/>
      <c r="VEI10" s="87"/>
      <c r="VEJ10" s="87"/>
      <c r="VEK10" s="87"/>
      <c r="VEL10" s="87"/>
      <c r="VEM10" s="87"/>
      <c r="VEN10" s="87"/>
      <c r="VEO10" s="87"/>
      <c r="VEP10" s="87"/>
      <c r="VEQ10" s="87"/>
      <c r="VER10" s="87"/>
      <c r="VES10" s="87"/>
      <c r="VET10" s="87"/>
      <c r="VEU10" s="87"/>
      <c r="VEV10" s="87"/>
      <c r="VEW10" s="87"/>
      <c r="VEX10" s="87"/>
      <c r="VEY10" s="87"/>
      <c r="VEZ10" s="87"/>
      <c r="VFA10" s="87"/>
      <c r="VFB10" s="87"/>
      <c r="VFC10" s="87"/>
      <c r="VFD10" s="87"/>
      <c r="VFE10" s="87"/>
      <c r="VFF10" s="87"/>
      <c r="VFG10" s="87"/>
      <c r="VFH10" s="87"/>
      <c r="VFI10" s="87"/>
      <c r="VFJ10" s="87"/>
      <c r="VFK10" s="87"/>
      <c r="VFL10" s="87"/>
      <c r="VFM10" s="87"/>
      <c r="VFN10" s="87"/>
      <c r="VFO10" s="87"/>
      <c r="VFP10" s="87"/>
      <c r="VFQ10" s="87"/>
      <c r="VFR10" s="87"/>
      <c r="VFS10" s="87"/>
      <c r="VFT10" s="87"/>
      <c r="VFU10" s="87"/>
      <c r="VFV10" s="87"/>
      <c r="VFW10" s="87"/>
      <c r="VFX10" s="87"/>
      <c r="VFY10" s="87"/>
      <c r="VFZ10" s="87"/>
      <c r="VGA10" s="87"/>
      <c r="VGB10" s="87"/>
      <c r="VGC10" s="87"/>
      <c r="VGD10" s="87"/>
      <c r="VGE10" s="87"/>
      <c r="VGF10" s="87"/>
      <c r="VGG10" s="87"/>
      <c r="VGH10" s="87"/>
      <c r="VGI10" s="87"/>
      <c r="VGJ10" s="87"/>
      <c r="VGK10" s="87"/>
      <c r="VGL10" s="87"/>
      <c r="VGM10" s="87"/>
      <c r="VGN10" s="87"/>
      <c r="VGO10" s="87"/>
      <c r="VGP10" s="87"/>
      <c r="VGQ10" s="87"/>
      <c r="VGR10" s="87"/>
      <c r="VGS10" s="87"/>
      <c r="VGT10" s="87"/>
      <c r="VGU10" s="87"/>
      <c r="VGV10" s="87"/>
      <c r="VGW10" s="87"/>
      <c r="VGX10" s="87"/>
      <c r="VGY10" s="87"/>
      <c r="VGZ10" s="87"/>
      <c r="VHA10" s="87"/>
      <c r="VHB10" s="87"/>
      <c r="VHC10" s="87"/>
      <c r="VHD10" s="87"/>
      <c r="VHE10" s="87"/>
      <c r="VHF10" s="87"/>
      <c r="VHG10" s="87"/>
      <c r="VHH10" s="87"/>
      <c r="VHI10" s="87"/>
      <c r="VHJ10" s="87"/>
      <c r="VHK10" s="87"/>
      <c r="VHL10" s="87"/>
      <c r="VHM10" s="87"/>
      <c r="VHN10" s="87"/>
      <c r="VHO10" s="87"/>
      <c r="VHP10" s="87"/>
      <c r="VHQ10" s="87"/>
      <c r="VHR10" s="87"/>
      <c r="VHS10" s="87"/>
      <c r="VHT10" s="87"/>
      <c r="VHU10" s="87"/>
      <c r="VHV10" s="87"/>
      <c r="VHW10" s="87"/>
      <c r="VHX10" s="87"/>
      <c r="VHY10" s="87"/>
      <c r="VHZ10" s="87"/>
      <c r="VIA10" s="87"/>
      <c r="VIB10" s="87"/>
      <c r="VIC10" s="87"/>
      <c r="VID10" s="87"/>
      <c r="VIE10" s="87"/>
      <c r="VIF10" s="87"/>
      <c r="VIG10" s="87"/>
      <c r="VIH10" s="87"/>
      <c r="VII10" s="87"/>
      <c r="VIJ10" s="87"/>
      <c r="VIK10" s="87"/>
      <c r="VIL10" s="87"/>
      <c r="VIM10" s="87"/>
      <c r="VIN10" s="87"/>
      <c r="VIO10" s="87"/>
      <c r="VIP10" s="87"/>
      <c r="VIQ10" s="87"/>
      <c r="VIR10" s="87"/>
      <c r="VIS10" s="87"/>
      <c r="VIT10" s="87"/>
      <c r="VIU10" s="87"/>
      <c r="VIV10" s="87"/>
      <c r="VIW10" s="87"/>
      <c r="VIX10" s="87"/>
      <c r="VIY10" s="87"/>
      <c r="VIZ10" s="87"/>
      <c r="VJA10" s="87"/>
      <c r="VJB10" s="87"/>
      <c r="VJC10" s="87"/>
      <c r="VJD10" s="87"/>
      <c r="VJE10" s="87"/>
      <c r="VJF10" s="87"/>
      <c r="VJG10" s="87"/>
      <c r="VJH10" s="87"/>
      <c r="VJI10" s="87"/>
      <c r="VJJ10" s="87"/>
      <c r="VJK10" s="87"/>
      <c r="VJL10" s="87"/>
      <c r="VJM10" s="87"/>
      <c r="VJN10" s="87"/>
      <c r="VJO10" s="87"/>
      <c r="VJP10" s="87"/>
      <c r="VJQ10" s="87"/>
      <c r="VJR10" s="87"/>
      <c r="VJS10" s="87"/>
      <c r="VJT10" s="87"/>
      <c r="VJU10" s="87"/>
      <c r="VJV10" s="87"/>
      <c r="VJW10" s="87"/>
      <c r="VJX10" s="87"/>
      <c r="VJY10" s="87"/>
      <c r="VJZ10" s="87"/>
      <c r="VKA10" s="87"/>
      <c r="VKB10" s="87"/>
      <c r="VKC10" s="87"/>
      <c r="VKD10" s="87"/>
      <c r="VKE10" s="87"/>
      <c r="VKF10" s="87"/>
      <c r="VKG10" s="87"/>
      <c r="VKH10" s="87"/>
      <c r="VKI10" s="87"/>
      <c r="VKJ10" s="87"/>
      <c r="VKK10" s="87"/>
      <c r="VKL10" s="87"/>
      <c r="VKM10" s="87"/>
      <c r="VKN10" s="87"/>
      <c r="VKO10" s="87"/>
      <c r="VKP10" s="87"/>
      <c r="VKQ10" s="87"/>
      <c r="VKR10" s="87"/>
      <c r="VKS10" s="87"/>
      <c r="VKT10" s="87"/>
      <c r="VKU10" s="87"/>
      <c r="VKV10" s="87"/>
      <c r="VKW10" s="87"/>
      <c r="VKX10" s="87"/>
      <c r="VKY10" s="87"/>
      <c r="VKZ10" s="87"/>
      <c r="VLA10" s="87"/>
      <c r="VLB10" s="87"/>
      <c r="VLC10" s="87"/>
      <c r="VLD10" s="87"/>
      <c r="VLE10" s="87"/>
      <c r="VLF10" s="87"/>
      <c r="VLG10" s="87"/>
      <c r="VLH10" s="87"/>
      <c r="VLI10" s="87"/>
      <c r="VLJ10" s="87"/>
      <c r="VLK10" s="87"/>
      <c r="VLL10" s="87"/>
      <c r="VLM10" s="87"/>
      <c r="VLN10" s="87"/>
      <c r="VLO10" s="87"/>
      <c r="VLP10" s="87"/>
      <c r="VLQ10" s="87"/>
      <c r="VLR10" s="87"/>
      <c r="VLS10" s="87"/>
      <c r="VLT10" s="87"/>
      <c r="VLU10" s="87"/>
      <c r="VLV10" s="87"/>
      <c r="VLW10" s="87"/>
      <c r="VLX10" s="87"/>
      <c r="VLY10" s="87"/>
      <c r="VLZ10" s="87"/>
      <c r="VMA10" s="87"/>
      <c r="VMB10" s="87"/>
      <c r="VMC10" s="87"/>
      <c r="VMD10" s="87"/>
      <c r="VME10" s="87"/>
      <c r="VMF10" s="87"/>
      <c r="VMG10" s="87"/>
      <c r="VMH10" s="87"/>
      <c r="VMI10" s="87"/>
      <c r="VMJ10" s="87"/>
      <c r="VMK10" s="87"/>
      <c r="VML10" s="87"/>
      <c r="VMM10" s="87"/>
      <c r="VMN10" s="87"/>
      <c r="VMO10" s="87"/>
      <c r="VMP10" s="87"/>
      <c r="VMQ10" s="87"/>
      <c r="VMR10" s="87"/>
      <c r="VMS10" s="87"/>
      <c r="VMT10" s="87"/>
      <c r="VMU10" s="87"/>
      <c r="VMV10" s="87"/>
      <c r="VMW10" s="87"/>
      <c r="VMX10" s="87"/>
      <c r="VMY10" s="87"/>
      <c r="VMZ10" s="87"/>
      <c r="VNA10" s="87"/>
      <c r="VNB10" s="87"/>
      <c r="VNC10" s="87"/>
      <c r="VND10" s="87"/>
      <c r="VNE10" s="87"/>
      <c r="VNF10" s="87"/>
      <c r="VNG10" s="87"/>
      <c r="VNH10" s="87"/>
      <c r="VNI10" s="87"/>
      <c r="VNJ10" s="87"/>
      <c r="VNK10" s="87"/>
      <c r="VNL10" s="87"/>
      <c r="VNM10" s="87"/>
      <c r="VNN10" s="87"/>
      <c r="VNO10" s="87"/>
      <c r="VNP10" s="87"/>
      <c r="VNQ10" s="87"/>
      <c r="VNR10" s="87"/>
      <c r="VNS10" s="87"/>
      <c r="VNT10" s="87"/>
      <c r="VNU10" s="87"/>
      <c r="VNV10" s="87"/>
      <c r="VNW10" s="87"/>
      <c r="VNX10" s="87"/>
      <c r="VNY10" s="87"/>
      <c r="VNZ10" s="87"/>
      <c r="VOA10" s="87"/>
      <c r="VOB10" s="87"/>
      <c r="VOC10" s="87"/>
      <c r="VOD10" s="87"/>
      <c r="VOE10" s="87"/>
      <c r="VOF10" s="87"/>
      <c r="VOG10" s="87"/>
      <c r="VOH10" s="87"/>
      <c r="VOI10" s="87"/>
      <c r="VOJ10" s="87"/>
      <c r="VOK10" s="87"/>
      <c r="VOL10" s="87"/>
      <c r="VOM10" s="87"/>
      <c r="VON10" s="87"/>
      <c r="VOO10" s="87"/>
      <c r="VOP10" s="87"/>
      <c r="VOQ10" s="87"/>
      <c r="VOR10" s="87"/>
      <c r="VOS10" s="87"/>
      <c r="VOT10" s="87"/>
      <c r="VOU10" s="87"/>
      <c r="VOV10" s="87"/>
      <c r="VOW10" s="87"/>
      <c r="VOX10" s="87"/>
      <c r="VOY10" s="87"/>
      <c r="VOZ10" s="87"/>
      <c r="VPA10" s="87"/>
      <c r="VPB10" s="87"/>
      <c r="VPC10" s="87"/>
      <c r="VPD10" s="87"/>
      <c r="VPE10" s="87"/>
      <c r="VPF10" s="87"/>
      <c r="VPG10" s="87"/>
      <c r="VPH10" s="87"/>
      <c r="VPI10" s="87"/>
      <c r="VPJ10" s="87"/>
      <c r="VPK10" s="87"/>
      <c r="VPL10" s="87"/>
      <c r="VPM10" s="87"/>
      <c r="VPN10" s="87"/>
      <c r="VPO10" s="87"/>
      <c r="VPP10" s="87"/>
      <c r="VPQ10" s="87"/>
      <c r="VPR10" s="87"/>
      <c r="VPS10" s="87"/>
      <c r="VPT10" s="87"/>
      <c r="VPU10" s="87"/>
      <c r="VPV10" s="87"/>
      <c r="VPW10" s="87"/>
      <c r="VPX10" s="87"/>
      <c r="VPY10" s="87"/>
      <c r="VPZ10" s="87"/>
      <c r="VQA10" s="87"/>
      <c r="VQB10" s="87"/>
      <c r="VQC10" s="87"/>
      <c r="VQD10" s="87"/>
      <c r="VQE10" s="87"/>
      <c r="VQF10" s="87"/>
      <c r="VQG10" s="87"/>
      <c r="VQH10" s="87"/>
      <c r="VQI10" s="87"/>
      <c r="VQJ10" s="87"/>
      <c r="VQK10" s="87"/>
      <c r="VQL10" s="87"/>
      <c r="VQM10" s="87"/>
      <c r="VQN10" s="87"/>
      <c r="VQO10" s="87"/>
      <c r="VQP10" s="87"/>
      <c r="VQQ10" s="87"/>
      <c r="VQR10" s="87"/>
      <c r="VQS10" s="87"/>
      <c r="VQT10" s="87"/>
      <c r="VQU10" s="87"/>
      <c r="VQV10" s="87"/>
      <c r="VQW10" s="87"/>
      <c r="VQX10" s="87"/>
      <c r="VQY10" s="87"/>
      <c r="VQZ10" s="87"/>
      <c r="VRA10" s="87"/>
      <c r="VRB10" s="87"/>
      <c r="VRC10" s="87"/>
      <c r="VRD10" s="87"/>
      <c r="VRE10" s="87"/>
      <c r="VRF10" s="87"/>
      <c r="VRG10" s="87"/>
      <c r="VRH10" s="87"/>
      <c r="VRI10" s="87"/>
      <c r="VRJ10" s="87"/>
      <c r="VRK10" s="87"/>
      <c r="VRL10" s="87"/>
      <c r="VRM10" s="87"/>
      <c r="VRN10" s="87"/>
      <c r="VRO10" s="87"/>
      <c r="VRP10" s="87"/>
      <c r="VRQ10" s="87"/>
      <c r="VRR10" s="87"/>
      <c r="VRS10" s="87"/>
      <c r="VRT10" s="87"/>
      <c r="VRU10" s="87"/>
      <c r="VRV10" s="87"/>
      <c r="VRW10" s="87"/>
      <c r="VRX10" s="87"/>
      <c r="VRY10" s="87"/>
      <c r="VRZ10" s="87"/>
      <c r="VSA10" s="87"/>
      <c r="VSB10" s="87"/>
      <c r="VSC10" s="87"/>
      <c r="VSD10" s="87"/>
      <c r="VSE10" s="87"/>
      <c r="VSF10" s="87"/>
      <c r="VSG10" s="87"/>
      <c r="VSH10" s="87"/>
      <c r="VSI10" s="87"/>
      <c r="VSJ10" s="87"/>
      <c r="VSK10" s="87"/>
      <c r="VSL10" s="87"/>
      <c r="VSM10" s="87"/>
      <c r="VSN10" s="87"/>
      <c r="VSO10" s="87"/>
      <c r="VSP10" s="87"/>
      <c r="VSQ10" s="87"/>
      <c r="VSR10" s="87"/>
      <c r="VSS10" s="87"/>
      <c r="VST10" s="87"/>
      <c r="VSU10" s="87"/>
      <c r="VSV10" s="87"/>
      <c r="VSW10" s="87"/>
      <c r="VSX10" s="87"/>
      <c r="VSY10" s="87"/>
      <c r="VSZ10" s="87"/>
      <c r="VTA10" s="87"/>
      <c r="VTB10" s="87"/>
      <c r="VTC10" s="87"/>
      <c r="VTD10" s="87"/>
      <c r="VTE10" s="87"/>
      <c r="VTF10" s="87"/>
      <c r="VTG10" s="87"/>
      <c r="VTH10" s="87"/>
      <c r="VTI10" s="87"/>
      <c r="VTJ10" s="87"/>
      <c r="VTK10" s="87"/>
      <c r="VTL10" s="87"/>
      <c r="VTM10" s="87"/>
      <c r="VTN10" s="87"/>
      <c r="VTO10" s="87"/>
      <c r="VTP10" s="87"/>
      <c r="VTQ10" s="87"/>
      <c r="VTR10" s="87"/>
      <c r="VTS10" s="87"/>
      <c r="VTT10" s="87"/>
      <c r="VTU10" s="87"/>
      <c r="VTV10" s="87"/>
      <c r="VTW10" s="87"/>
      <c r="VTX10" s="87"/>
      <c r="VTY10" s="87"/>
      <c r="VTZ10" s="87"/>
      <c r="VUA10" s="87"/>
      <c r="VUB10" s="87"/>
      <c r="VUC10" s="87"/>
      <c r="VUD10" s="87"/>
      <c r="VUE10" s="87"/>
      <c r="VUF10" s="87"/>
      <c r="VUG10" s="87"/>
      <c r="VUH10" s="87"/>
      <c r="VUI10" s="87"/>
      <c r="VUJ10" s="87"/>
      <c r="VUK10" s="87"/>
      <c r="VUL10" s="87"/>
      <c r="VUM10" s="87"/>
      <c r="VUN10" s="87"/>
      <c r="VUO10" s="87"/>
      <c r="VUP10" s="87"/>
      <c r="VUQ10" s="87"/>
      <c r="VUR10" s="87"/>
      <c r="VUS10" s="87"/>
      <c r="VUT10" s="87"/>
      <c r="VUU10" s="87"/>
      <c r="VUV10" s="87"/>
      <c r="VUW10" s="87"/>
      <c r="VUX10" s="87"/>
      <c r="VUY10" s="87"/>
      <c r="VUZ10" s="87"/>
      <c r="VVA10" s="87"/>
      <c r="VVB10" s="87"/>
      <c r="VVC10" s="87"/>
      <c r="VVD10" s="87"/>
      <c r="VVE10" s="87"/>
      <c r="VVF10" s="87"/>
      <c r="VVG10" s="87"/>
      <c r="VVH10" s="87"/>
      <c r="VVI10" s="87"/>
      <c r="VVJ10" s="87"/>
      <c r="VVK10" s="87"/>
      <c r="VVL10" s="87"/>
      <c r="VVM10" s="87"/>
      <c r="VVN10" s="87"/>
      <c r="VVO10" s="87"/>
      <c r="VVP10" s="87"/>
      <c r="VVQ10" s="87"/>
      <c r="VVR10" s="87"/>
      <c r="VVS10" s="87"/>
      <c r="VVT10" s="87"/>
      <c r="VVU10" s="87"/>
      <c r="VVV10" s="87"/>
      <c r="VVW10" s="87"/>
      <c r="VVX10" s="87"/>
      <c r="VVY10" s="87"/>
      <c r="VVZ10" s="87"/>
      <c r="VWA10" s="87"/>
      <c r="VWB10" s="87"/>
      <c r="VWC10" s="87"/>
      <c r="VWD10" s="87"/>
      <c r="VWE10" s="87"/>
      <c r="VWF10" s="87"/>
      <c r="VWG10" s="87"/>
      <c r="VWH10" s="87"/>
      <c r="VWI10" s="87"/>
      <c r="VWJ10" s="87"/>
      <c r="VWK10" s="87"/>
      <c r="VWL10" s="87"/>
      <c r="VWM10" s="87"/>
      <c r="VWN10" s="87"/>
      <c r="VWO10" s="87"/>
      <c r="VWP10" s="87"/>
      <c r="VWQ10" s="87"/>
      <c r="VWR10" s="87"/>
      <c r="VWS10" s="87"/>
      <c r="VWT10" s="87"/>
      <c r="VWU10" s="87"/>
      <c r="VWV10" s="87"/>
      <c r="VWW10" s="87"/>
      <c r="VWX10" s="87"/>
      <c r="VWY10" s="87"/>
      <c r="VWZ10" s="87"/>
      <c r="VXA10" s="87"/>
      <c r="VXB10" s="87"/>
      <c r="VXC10" s="87"/>
      <c r="VXD10" s="87"/>
      <c r="VXE10" s="87"/>
      <c r="VXF10" s="87"/>
      <c r="VXG10" s="87"/>
      <c r="VXH10" s="87"/>
      <c r="VXI10" s="87"/>
      <c r="VXJ10" s="87"/>
      <c r="VXK10" s="87"/>
      <c r="VXL10" s="87"/>
      <c r="VXM10" s="87"/>
      <c r="VXN10" s="87"/>
      <c r="VXO10" s="87"/>
      <c r="VXP10" s="87"/>
      <c r="VXQ10" s="87"/>
      <c r="VXR10" s="87"/>
      <c r="VXS10" s="87"/>
      <c r="VXT10" s="87"/>
      <c r="VXU10" s="87"/>
      <c r="VXV10" s="87"/>
      <c r="VXW10" s="87"/>
      <c r="VXX10" s="87"/>
      <c r="VXY10" s="87"/>
      <c r="VXZ10" s="87"/>
      <c r="VYA10" s="87"/>
      <c r="VYB10" s="87"/>
      <c r="VYC10" s="87"/>
      <c r="VYD10" s="87"/>
      <c r="VYE10" s="87"/>
      <c r="VYF10" s="87"/>
      <c r="VYG10" s="87"/>
      <c r="VYH10" s="87"/>
      <c r="VYI10" s="87"/>
      <c r="VYJ10" s="87"/>
      <c r="VYK10" s="87"/>
      <c r="VYL10" s="87"/>
      <c r="VYM10" s="87"/>
      <c r="VYN10" s="87"/>
      <c r="VYO10" s="87"/>
      <c r="VYP10" s="87"/>
      <c r="VYQ10" s="87"/>
      <c r="VYR10" s="87"/>
      <c r="VYS10" s="87"/>
      <c r="VYT10" s="87"/>
      <c r="VYU10" s="87"/>
      <c r="VYV10" s="87"/>
      <c r="VYW10" s="87"/>
      <c r="VYX10" s="87"/>
      <c r="VYY10" s="87"/>
      <c r="VYZ10" s="87"/>
      <c r="VZA10" s="87"/>
      <c r="VZB10" s="87"/>
      <c r="VZC10" s="87"/>
      <c r="VZD10" s="87"/>
      <c r="VZE10" s="87"/>
      <c r="VZF10" s="87"/>
      <c r="VZG10" s="87"/>
      <c r="VZH10" s="87"/>
      <c r="VZI10" s="87"/>
      <c r="VZJ10" s="87"/>
      <c r="VZK10" s="87"/>
      <c r="VZL10" s="87"/>
      <c r="VZM10" s="87"/>
      <c r="VZN10" s="87"/>
      <c r="VZO10" s="87"/>
      <c r="VZP10" s="87"/>
      <c r="VZQ10" s="87"/>
      <c r="VZR10" s="87"/>
      <c r="VZS10" s="87"/>
      <c r="VZT10" s="87"/>
      <c r="VZU10" s="87"/>
      <c r="VZV10" s="87"/>
      <c r="VZW10" s="87"/>
      <c r="VZX10" s="87"/>
      <c r="VZY10" s="87"/>
      <c r="VZZ10" s="87"/>
      <c r="WAA10" s="87"/>
      <c r="WAB10" s="87"/>
      <c r="WAC10" s="87"/>
      <c r="WAD10" s="87"/>
      <c r="WAE10" s="87"/>
      <c r="WAF10" s="87"/>
      <c r="WAG10" s="87"/>
      <c r="WAH10" s="87"/>
      <c r="WAI10" s="87"/>
      <c r="WAJ10" s="87"/>
      <c r="WAK10" s="87"/>
      <c r="WAL10" s="87"/>
      <c r="WAM10" s="87"/>
      <c r="WAN10" s="87"/>
      <c r="WAO10" s="87"/>
      <c r="WAP10" s="87"/>
      <c r="WAQ10" s="87"/>
      <c r="WAR10" s="87"/>
      <c r="WAS10" s="87"/>
      <c r="WAT10" s="87"/>
      <c r="WAU10" s="87"/>
      <c r="WAV10" s="87"/>
      <c r="WAW10" s="87"/>
      <c r="WAX10" s="87"/>
      <c r="WAY10" s="87"/>
      <c r="WAZ10" s="87"/>
      <c r="WBA10" s="87"/>
      <c r="WBB10" s="87"/>
      <c r="WBC10" s="87"/>
      <c r="WBD10" s="87"/>
      <c r="WBE10" s="87"/>
      <c r="WBF10" s="87"/>
      <c r="WBG10" s="87"/>
      <c r="WBH10" s="87"/>
      <c r="WBI10" s="87"/>
      <c r="WBJ10" s="87"/>
      <c r="WBK10" s="87"/>
      <c r="WBL10" s="87"/>
      <c r="WBM10" s="87"/>
      <c r="WBN10" s="87"/>
      <c r="WBO10" s="87"/>
      <c r="WBP10" s="87"/>
      <c r="WBQ10" s="87"/>
      <c r="WBR10" s="87"/>
      <c r="WBS10" s="87"/>
      <c r="WBT10" s="87"/>
      <c r="WBU10" s="87"/>
      <c r="WBV10" s="87"/>
      <c r="WBW10" s="87"/>
      <c r="WBX10" s="87"/>
      <c r="WBY10" s="87"/>
      <c r="WBZ10" s="87"/>
      <c r="WCA10" s="87"/>
      <c r="WCB10" s="87"/>
      <c r="WCC10" s="87"/>
      <c r="WCD10" s="87"/>
      <c r="WCE10" s="87"/>
      <c r="WCF10" s="87"/>
      <c r="WCG10" s="87"/>
      <c r="WCH10" s="87"/>
      <c r="WCI10" s="87"/>
      <c r="WCJ10" s="87"/>
      <c r="WCK10" s="87"/>
      <c r="WCL10" s="87"/>
      <c r="WCM10" s="87"/>
      <c r="WCN10" s="87"/>
      <c r="WCO10" s="87"/>
      <c r="WCP10" s="87"/>
      <c r="WCQ10" s="87"/>
      <c r="WCR10" s="87"/>
      <c r="WCS10" s="87"/>
      <c r="WCT10" s="87"/>
      <c r="WCU10" s="87"/>
      <c r="WCV10" s="87"/>
      <c r="WCW10" s="87"/>
      <c r="WCX10" s="87"/>
      <c r="WCY10" s="87"/>
      <c r="WCZ10" s="87"/>
      <c r="WDA10" s="87"/>
      <c r="WDB10" s="87"/>
      <c r="WDC10" s="87"/>
      <c r="WDD10" s="87"/>
      <c r="WDE10" s="87"/>
      <c r="WDF10" s="87"/>
      <c r="WDG10" s="87"/>
      <c r="WDH10" s="87"/>
      <c r="WDI10" s="87"/>
      <c r="WDJ10" s="87"/>
      <c r="WDK10" s="87"/>
      <c r="WDL10" s="87"/>
      <c r="WDM10" s="87"/>
      <c r="WDN10" s="87"/>
      <c r="WDO10" s="87"/>
      <c r="WDP10" s="87"/>
      <c r="WDQ10" s="87"/>
      <c r="WDR10" s="87"/>
      <c r="WDS10" s="87"/>
      <c r="WDT10" s="87"/>
      <c r="WDU10" s="87"/>
      <c r="WDV10" s="87"/>
      <c r="WDW10" s="87"/>
      <c r="WDX10" s="87"/>
      <c r="WDY10" s="87"/>
      <c r="WDZ10" s="87"/>
      <c r="WEA10" s="87"/>
      <c r="WEB10" s="87"/>
      <c r="WEC10" s="87"/>
      <c r="WED10" s="87"/>
      <c r="WEE10" s="87"/>
      <c r="WEF10" s="87"/>
      <c r="WEG10" s="87"/>
      <c r="WEH10" s="87"/>
      <c r="WEI10" s="87"/>
      <c r="WEJ10" s="87"/>
      <c r="WEK10" s="87"/>
      <c r="WEL10" s="87"/>
      <c r="WEM10" s="87"/>
      <c r="WEN10" s="87"/>
      <c r="WEO10" s="87"/>
      <c r="WEP10" s="87"/>
      <c r="WEQ10" s="87"/>
      <c r="WER10" s="87"/>
      <c r="WES10" s="87"/>
      <c r="WET10" s="87"/>
      <c r="WEU10" s="87"/>
      <c r="WEV10" s="87"/>
      <c r="WEW10" s="87"/>
      <c r="WEX10" s="87"/>
      <c r="WEY10" s="87"/>
      <c r="WEZ10" s="87"/>
      <c r="WFA10" s="87"/>
      <c r="WFB10" s="87"/>
      <c r="WFC10" s="87"/>
      <c r="WFD10" s="87"/>
      <c r="WFE10" s="87"/>
      <c r="WFF10" s="87"/>
      <c r="WFG10" s="87"/>
      <c r="WFH10" s="87"/>
      <c r="WFI10" s="87"/>
      <c r="WFJ10" s="87"/>
      <c r="WFK10" s="87"/>
      <c r="WFL10" s="87"/>
      <c r="WFM10" s="87"/>
      <c r="WFN10" s="87"/>
      <c r="WFO10" s="87"/>
      <c r="WFP10" s="87"/>
      <c r="WFQ10" s="87"/>
      <c r="WFR10" s="87"/>
      <c r="WFS10" s="87"/>
      <c r="WFT10" s="87"/>
      <c r="WFU10" s="87"/>
      <c r="WFV10" s="87"/>
      <c r="WFW10" s="87"/>
      <c r="WFX10" s="87"/>
      <c r="WFY10" s="87"/>
      <c r="WFZ10" s="87"/>
      <c r="WGA10" s="87"/>
      <c r="WGB10" s="87"/>
      <c r="WGC10" s="87"/>
      <c r="WGD10" s="87"/>
      <c r="WGE10" s="87"/>
      <c r="WGF10" s="87"/>
      <c r="WGG10" s="87"/>
      <c r="WGH10" s="87"/>
      <c r="WGI10" s="87"/>
      <c r="WGJ10" s="87"/>
      <c r="WGK10" s="87"/>
      <c r="WGL10" s="87"/>
      <c r="WGM10" s="87"/>
      <c r="WGN10" s="87"/>
      <c r="WGO10" s="87"/>
      <c r="WGP10" s="87"/>
      <c r="WGQ10" s="87"/>
      <c r="WGR10" s="87"/>
      <c r="WGS10" s="87"/>
      <c r="WGT10" s="87"/>
      <c r="WGU10" s="87"/>
      <c r="WGV10" s="87"/>
      <c r="WGW10" s="87"/>
      <c r="WGX10" s="87"/>
      <c r="WGY10" s="87"/>
      <c r="WGZ10" s="87"/>
      <c r="WHA10" s="87"/>
      <c r="WHB10" s="87"/>
      <c r="WHC10" s="87"/>
      <c r="WHD10" s="87"/>
      <c r="WHE10" s="87"/>
      <c r="WHF10" s="87"/>
      <c r="WHG10" s="87"/>
      <c r="WHH10" s="87"/>
      <c r="WHI10" s="87"/>
      <c r="WHJ10" s="87"/>
      <c r="WHK10" s="87"/>
      <c r="WHL10" s="87"/>
      <c r="WHM10" s="87"/>
      <c r="WHN10" s="87"/>
      <c r="WHO10" s="87"/>
      <c r="WHP10" s="87"/>
      <c r="WHQ10" s="87"/>
      <c r="WHR10" s="87"/>
      <c r="WHS10" s="87"/>
      <c r="WHT10" s="87"/>
      <c r="WHU10" s="87"/>
      <c r="WHV10" s="87"/>
      <c r="WHW10" s="87"/>
      <c r="WHX10" s="87"/>
      <c r="WHY10" s="87"/>
      <c r="WHZ10" s="87"/>
      <c r="WIA10" s="87"/>
      <c r="WIB10" s="87"/>
      <c r="WIC10" s="87"/>
      <c r="WID10" s="87"/>
      <c r="WIE10" s="87"/>
      <c r="WIF10" s="87"/>
      <c r="WIG10" s="87"/>
      <c r="WIH10" s="87"/>
      <c r="WII10" s="87"/>
      <c r="WIJ10" s="87"/>
      <c r="WIK10" s="87"/>
      <c r="WIL10" s="87"/>
      <c r="WIM10" s="87"/>
      <c r="WIN10" s="87"/>
      <c r="WIO10" s="87"/>
      <c r="WIP10" s="87"/>
      <c r="WIQ10" s="87"/>
      <c r="WIR10" s="87"/>
      <c r="WIS10" s="87"/>
      <c r="WIT10" s="87"/>
      <c r="WIU10" s="87"/>
      <c r="WIV10" s="87"/>
      <c r="WIW10" s="87"/>
      <c r="WIX10" s="87"/>
      <c r="WIY10" s="87"/>
      <c r="WIZ10" s="87"/>
      <c r="WJA10" s="87"/>
      <c r="WJB10" s="87"/>
      <c r="WJC10" s="87"/>
      <c r="WJD10" s="87"/>
      <c r="WJE10" s="87"/>
      <c r="WJF10" s="87"/>
      <c r="WJG10" s="87"/>
      <c r="WJH10" s="87"/>
      <c r="WJI10" s="87"/>
      <c r="WJJ10" s="87"/>
      <c r="WJK10" s="87"/>
      <c r="WJL10" s="87"/>
      <c r="WJM10" s="87"/>
      <c r="WJN10" s="87"/>
      <c r="WJO10" s="87"/>
      <c r="WJP10" s="87"/>
      <c r="WJQ10" s="87"/>
      <c r="WJR10" s="87"/>
      <c r="WJS10" s="87"/>
      <c r="WJT10" s="87"/>
      <c r="WJU10" s="87"/>
      <c r="WJV10" s="87"/>
      <c r="WJW10" s="87"/>
      <c r="WJX10" s="87"/>
      <c r="WJY10" s="87"/>
      <c r="WJZ10" s="87"/>
      <c r="WKA10" s="87"/>
      <c r="WKB10" s="87"/>
      <c r="WKC10" s="87"/>
      <c r="WKD10" s="87"/>
      <c r="WKE10" s="87"/>
      <c r="WKF10" s="87"/>
      <c r="WKG10" s="87"/>
      <c r="WKH10" s="87"/>
      <c r="WKI10" s="87"/>
      <c r="WKJ10" s="87"/>
      <c r="WKK10" s="87"/>
      <c r="WKL10" s="87"/>
      <c r="WKM10" s="87"/>
      <c r="WKN10" s="87"/>
      <c r="WKO10" s="87"/>
      <c r="WKP10" s="87"/>
      <c r="WKQ10" s="87"/>
      <c r="WKR10" s="87"/>
      <c r="WKS10" s="87"/>
      <c r="WKT10" s="87"/>
      <c r="WKU10" s="87"/>
      <c r="WKV10" s="87"/>
      <c r="WKW10" s="87"/>
      <c r="WKX10" s="87"/>
      <c r="WKY10" s="87"/>
      <c r="WKZ10" s="87"/>
      <c r="WLA10" s="87"/>
      <c r="WLB10" s="87"/>
      <c r="WLC10" s="87"/>
      <c r="WLD10" s="87"/>
      <c r="WLE10" s="87"/>
      <c r="WLF10" s="87"/>
      <c r="WLG10" s="87"/>
      <c r="WLH10" s="87"/>
      <c r="WLI10" s="87"/>
      <c r="WLJ10" s="87"/>
      <c r="WLK10" s="87"/>
      <c r="WLL10" s="87"/>
      <c r="WLM10" s="87"/>
      <c r="WLN10" s="87"/>
      <c r="WLO10" s="87"/>
      <c r="WLP10" s="87"/>
      <c r="WLQ10" s="87"/>
      <c r="WLR10" s="87"/>
      <c r="WLS10" s="87"/>
      <c r="WLT10" s="87"/>
      <c r="WLU10" s="87"/>
      <c r="WLV10" s="87"/>
      <c r="WLW10" s="87"/>
      <c r="WLX10" s="87"/>
      <c r="WLY10" s="87"/>
      <c r="WLZ10" s="87"/>
      <c r="WMA10" s="87"/>
      <c r="WMB10" s="87"/>
      <c r="WMC10" s="87"/>
      <c r="WMD10" s="87"/>
      <c r="WME10" s="87"/>
      <c r="WMF10" s="87"/>
      <c r="WMG10" s="87"/>
      <c r="WMH10" s="87"/>
      <c r="WMI10" s="87"/>
      <c r="WMJ10" s="87"/>
      <c r="WMK10" s="87"/>
      <c r="WML10" s="87"/>
      <c r="WMM10" s="87"/>
      <c r="WMN10" s="87"/>
      <c r="WMO10" s="87"/>
      <c r="WMP10" s="87"/>
      <c r="WMQ10" s="87"/>
      <c r="WMR10" s="87"/>
      <c r="WMS10" s="87"/>
      <c r="WMT10" s="87"/>
      <c r="WMU10" s="87"/>
      <c r="WMV10" s="87"/>
      <c r="WMW10" s="87"/>
      <c r="WMX10" s="87"/>
      <c r="WMY10" s="87"/>
      <c r="WMZ10" s="87"/>
      <c r="WNA10" s="87"/>
      <c r="WNB10" s="87"/>
      <c r="WNC10" s="87"/>
      <c r="WND10" s="87"/>
      <c r="WNE10" s="87"/>
      <c r="WNF10" s="87"/>
      <c r="WNG10" s="87"/>
      <c r="WNH10" s="87"/>
      <c r="WNI10" s="87"/>
      <c r="WNJ10" s="87"/>
      <c r="WNK10" s="87"/>
      <c r="WNL10" s="87"/>
      <c r="WNM10" s="87"/>
      <c r="WNN10" s="87"/>
      <c r="WNO10" s="87"/>
      <c r="WNP10" s="87"/>
      <c r="WNQ10" s="87"/>
      <c r="WNR10" s="87"/>
      <c r="WNS10" s="87"/>
      <c r="WNT10" s="87"/>
      <c r="WNU10" s="87"/>
      <c r="WNV10" s="87"/>
      <c r="WNW10" s="87"/>
      <c r="WNX10" s="87"/>
      <c r="WNY10" s="87"/>
      <c r="WNZ10" s="87"/>
      <c r="WOA10" s="87"/>
      <c r="WOB10" s="87"/>
      <c r="WOC10" s="87"/>
      <c r="WOD10" s="87"/>
      <c r="WOE10" s="87"/>
      <c r="WOF10" s="87"/>
      <c r="WOG10" s="87"/>
      <c r="WOH10" s="87"/>
      <c r="WOI10" s="87"/>
      <c r="WOJ10" s="87"/>
      <c r="WOK10" s="87"/>
      <c r="WOL10" s="87"/>
      <c r="WOM10" s="87"/>
      <c r="WON10" s="87"/>
      <c r="WOO10" s="87"/>
      <c r="WOP10" s="87"/>
      <c r="WOQ10" s="87"/>
      <c r="WOR10" s="87"/>
      <c r="WOS10" s="87"/>
      <c r="WOT10" s="87"/>
      <c r="WOU10" s="87"/>
      <c r="WOV10" s="87"/>
      <c r="WOW10" s="87"/>
      <c r="WOX10" s="87"/>
      <c r="WOY10" s="87"/>
      <c r="WOZ10" s="87"/>
      <c r="WPA10" s="87"/>
      <c r="WPB10" s="87"/>
      <c r="WPC10" s="87"/>
      <c r="WPD10" s="87"/>
      <c r="WPE10" s="87"/>
      <c r="WPF10" s="87"/>
      <c r="WPG10" s="87"/>
      <c r="WPH10" s="87"/>
      <c r="WPI10" s="87"/>
      <c r="WPJ10" s="87"/>
      <c r="WPK10" s="87"/>
      <c r="WPL10" s="87"/>
      <c r="WPM10" s="87"/>
      <c r="WPN10" s="87"/>
      <c r="WPO10" s="87"/>
      <c r="WPP10" s="87"/>
      <c r="WPQ10" s="87"/>
      <c r="WPR10" s="87"/>
      <c r="WPS10" s="87"/>
      <c r="WPT10" s="87"/>
      <c r="WPU10" s="87"/>
      <c r="WPV10" s="87"/>
      <c r="WPW10" s="87"/>
      <c r="WPX10" s="87"/>
      <c r="WPY10" s="87"/>
      <c r="WPZ10" s="87"/>
      <c r="WQA10" s="87"/>
      <c r="WQB10" s="87"/>
      <c r="WQC10" s="87"/>
      <c r="WQD10" s="87"/>
      <c r="WQE10" s="87"/>
      <c r="WQF10" s="87"/>
      <c r="WQG10" s="87"/>
      <c r="WQH10" s="87"/>
      <c r="WQI10" s="87"/>
      <c r="WQJ10" s="87"/>
      <c r="WQK10" s="87"/>
      <c r="WQL10" s="87"/>
      <c r="WQM10" s="87"/>
      <c r="WQN10" s="87"/>
      <c r="WQO10" s="87"/>
      <c r="WQP10" s="87"/>
      <c r="WQQ10" s="87"/>
      <c r="WQR10" s="87"/>
      <c r="WQS10" s="87"/>
      <c r="WQT10" s="87"/>
      <c r="WQU10" s="87"/>
      <c r="WQV10" s="87"/>
      <c r="WQW10" s="87"/>
      <c r="WQX10" s="87"/>
      <c r="WQY10" s="87"/>
      <c r="WQZ10" s="87"/>
      <c r="WRA10" s="87"/>
      <c r="WRB10" s="87"/>
      <c r="WRC10" s="87"/>
      <c r="WRD10" s="87"/>
      <c r="WRE10" s="87"/>
      <c r="WRF10" s="87"/>
      <c r="WRG10" s="87"/>
      <c r="WRH10" s="87"/>
      <c r="WRI10" s="87"/>
      <c r="WRJ10" s="87"/>
      <c r="WRK10" s="87"/>
      <c r="WRL10" s="87"/>
      <c r="WRM10" s="87"/>
      <c r="WRN10" s="87"/>
      <c r="WRO10" s="87"/>
      <c r="WRP10" s="87"/>
      <c r="WRQ10" s="87"/>
      <c r="WRR10" s="87"/>
      <c r="WRS10" s="87"/>
      <c r="WRT10" s="87"/>
      <c r="WRU10" s="87"/>
      <c r="WRV10" s="87"/>
      <c r="WRW10" s="87"/>
      <c r="WRX10" s="87"/>
      <c r="WRY10" s="87"/>
      <c r="WRZ10" s="87"/>
      <c r="WSA10" s="87"/>
      <c r="WSB10" s="87"/>
      <c r="WSC10" s="87"/>
      <c r="WSD10" s="87"/>
      <c r="WSE10" s="87"/>
      <c r="WSF10" s="87"/>
      <c r="WSG10" s="87"/>
      <c r="WSH10" s="87"/>
      <c r="WSI10" s="87"/>
      <c r="WSJ10" s="87"/>
      <c r="WSK10" s="87"/>
      <c r="WSL10" s="87"/>
      <c r="WSM10" s="87"/>
      <c r="WSN10" s="87"/>
      <c r="WSO10" s="87"/>
      <c r="WSP10" s="87"/>
      <c r="WSQ10" s="87"/>
      <c r="WSR10" s="87"/>
      <c r="WSS10" s="87"/>
      <c r="WST10" s="87"/>
      <c r="WSU10" s="87"/>
      <c r="WSV10" s="87"/>
      <c r="WSW10" s="87"/>
      <c r="WSX10" s="87"/>
      <c r="WSY10" s="87"/>
      <c r="WSZ10" s="87"/>
      <c r="WTA10" s="87"/>
      <c r="WTB10" s="87"/>
      <c r="WTC10" s="87"/>
      <c r="WTD10" s="87"/>
      <c r="WTE10" s="87"/>
      <c r="WTF10" s="87"/>
      <c r="WTG10" s="87"/>
      <c r="WTH10" s="87"/>
      <c r="WTI10" s="87"/>
      <c r="WTJ10" s="87"/>
      <c r="WTK10" s="87"/>
      <c r="WTL10" s="87"/>
      <c r="WTM10" s="87"/>
      <c r="WTN10" s="87"/>
      <c r="WTO10" s="87"/>
      <c r="WTP10" s="87"/>
      <c r="WTQ10" s="87"/>
      <c r="WTR10" s="87"/>
      <c r="WTS10" s="87"/>
      <c r="WTT10" s="87"/>
      <c r="WTU10" s="87"/>
      <c r="WTV10" s="87"/>
      <c r="WTW10" s="87"/>
      <c r="WTX10" s="87"/>
      <c r="WTY10" s="87"/>
      <c r="WTZ10" s="87"/>
      <c r="WUA10" s="87"/>
      <c r="WUB10" s="87"/>
      <c r="WUC10" s="87"/>
      <c r="WUD10" s="87"/>
      <c r="WUE10" s="87"/>
      <c r="WUF10" s="87"/>
      <c r="WUG10" s="87"/>
      <c r="WUH10" s="87"/>
      <c r="WUI10" s="87"/>
      <c r="WUJ10" s="87"/>
      <c r="WUK10" s="87"/>
      <c r="WUL10" s="87"/>
      <c r="WUM10" s="87"/>
      <c r="WUN10" s="87"/>
      <c r="WUO10" s="87"/>
      <c r="WUP10" s="87"/>
      <c r="WUQ10" s="87"/>
      <c r="WUR10" s="87"/>
      <c r="WUS10" s="87"/>
      <c r="WUT10" s="87"/>
      <c r="WUU10" s="87"/>
      <c r="WUV10" s="87"/>
      <c r="WUW10" s="87"/>
      <c r="WUX10" s="87"/>
      <c r="WUY10" s="87"/>
      <c r="WUZ10" s="87"/>
      <c r="WVA10" s="87"/>
      <c r="WVB10" s="87"/>
      <c r="WVC10" s="87"/>
      <c r="WVD10" s="87"/>
      <c r="WVE10" s="87"/>
      <c r="WVF10" s="87"/>
      <c r="WVG10" s="87"/>
      <c r="WVH10" s="87"/>
      <c r="WVI10" s="87"/>
      <c r="WVJ10" s="87"/>
      <c r="WVK10" s="87"/>
      <c r="WVL10" s="87"/>
      <c r="WVM10" s="87"/>
      <c r="WVN10" s="87"/>
      <c r="WVO10" s="87"/>
      <c r="WVP10" s="87"/>
      <c r="WVQ10" s="87"/>
      <c r="WVR10" s="87"/>
      <c r="WVS10" s="87"/>
      <c r="WVT10" s="87"/>
      <c r="WVU10" s="87"/>
      <c r="WVV10" s="87"/>
      <c r="WVW10" s="87"/>
      <c r="WVX10" s="87"/>
      <c r="WVY10" s="87"/>
      <c r="WVZ10" s="87"/>
      <c r="WWA10" s="87"/>
      <c r="WWB10" s="87"/>
      <c r="WWC10" s="87"/>
      <c r="WWD10" s="87"/>
      <c r="WWE10" s="87"/>
      <c r="WWF10" s="87"/>
      <c r="WWG10" s="87"/>
      <c r="WWH10" s="87"/>
      <c r="WWI10" s="87"/>
      <c r="WWJ10" s="87"/>
      <c r="WWK10" s="87"/>
      <c r="WWL10" s="87"/>
      <c r="WWM10" s="87"/>
      <c r="WWN10" s="87"/>
      <c r="WWO10" s="87"/>
      <c r="WWP10" s="87"/>
      <c r="WWQ10" s="87"/>
      <c r="WWR10" s="87"/>
      <c r="WWS10" s="87"/>
      <c r="WWT10" s="87"/>
      <c r="WWU10" s="87"/>
      <c r="WWV10" s="87"/>
      <c r="WWW10" s="87"/>
      <c r="WWX10" s="87"/>
      <c r="WWY10" s="87"/>
      <c r="WWZ10" s="87"/>
      <c r="WXA10" s="87"/>
      <c r="WXB10" s="87"/>
      <c r="WXC10" s="87"/>
      <c r="WXD10" s="87"/>
      <c r="WXE10" s="87"/>
      <c r="WXF10" s="87"/>
      <c r="WXG10" s="87"/>
      <c r="WXH10" s="87"/>
      <c r="WXI10" s="87"/>
      <c r="WXJ10" s="87"/>
      <c r="WXK10" s="87"/>
      <c r="WXL10" s="87"/>
      <c r="WXM10" s="87"/>
      <c r="WXN10" s="87"/>
      <c r="WXO10" s="87"/>
      <c r="WXP10" s="87"/>
      <c r="WXQ10" s="87"/>
      <c r="WXR10" s="87"/>
      <c r="WXS10" s="87"/>
      <c r="WXT10" s="87"/>
      <c r="WXU10" s="87"/>
      <c r="WXV10" s="87"/>
      <c r="WXW10" s="87"/>
      <c r="WXX10" s="87"/>
      <c r="WXY10" s="87"/>
      <c r="WXZ10" s="87"/>
      <c r="WYA10" s="87"/>
      <c r="WYB10" s="87"/>
      <c r="WYC10" s="87"/>
      <c r="WYD10" s="87"/>
      <c r="WYE10" s="87"/>
      <c r="WYF10" s="87"/>
      <c r="WYG10" s="87"/>
      <c r="WYH10" s="87"/>
      <c r="WYI10" s="87"/>
      <c r="WYJ10" s="87"/>
      <c r="WYK10" s="87"/>
      <c r="WYL10" s="87"/>
      <c r="WYM10" s="87"/>
      <c r="WYN10" s="87"/>
      <c r="WYO10" s="87"/>
      <c r="WYP10" s="87"/>
      <c r="WYQ10" s="87"/>
      <c r="WYR10" s="87"/>
      <c r="WYS10" s="87"/>
      <c r="WYT10" s="87"/>
      <c r="WYU10" s="87"/>
      <c r="WYV10" s="87"/>
      <c r="WYW10" s="87"/>
      <c r="WYX10" s="87"/>
      <c r="WYY10" s="87"/>
      <c r="WYZ10" s="87"/>
      <c r="WZA10" s="87"/>
      <c r="WZB10" s="87"/>
      <c r="WZC10" s="87"/>
      <c r="WZD10" s="87"/>
      <c r="WZE10" s="87"/>
      <c r="WZF10" s="87"/>
      <c r="WZG10" s="87"/>
      <c r="WZH10" s="87"/>
      <c r="WZI10" s="87"/>
      <c r="WZJ10" s="87"/>
      <c r="WZK10" s="87"/>
      <c r="WZL10" s="87"/>
      <c r="WZM10" s="87"/>
      <c r="WZN10" s="87"/>
      <c r="WZO10" s="87"/>
      <c r="WZP10" s="87"/>
      <c r="WZQ10" s="87"/>
      <c r="WZR10" s="87"/>
      <c r="WZS10" s="87"/>
      <c r="WZT10" s="87"/>
      <c r="WZU10" s="87"/>
      <c r="WZV10" s="87"/>
      <c r="WZW10" s="87"/>
      <c r="WZX10" s="87"/>
      <c r="WZY10" s="87"/>
      <c r="WZZ10" s="87"/>
      <c r="XAA10" s="87"/>
      <c r="XAB10" s="87"/>
      <c r="XAC10" s="87"/>
      <c r="XAD10" s="87"/>
      <c r="XAE10" s="87"/>
      <c r="XAF10" s="87"/>
      <c r="XAG10" s="87"/>
      <c r="XAH10" s="87"/>
      <c r="XAI10" s="87"/>
      <c r="XAJ10" s="87"/>
      <c r="XAK10" s="87"/>
      <c r="XAL10" s="87"/>
      <c r="XAM10" s="87"/>
      <c r="XAN10" s="87"/>
      <c r="XAO10" s="87"/>
      <c r="XAP10" s="87"/>
      <c r="XAQ10" s="87"/>
      <c r="XAR10" s="87"/>
      <c r="XAS10" s="87"/>
      <c r="XAT10" s="87"/>
      <c r="XAU10" s="87"/>
      <c r="XAV10" s="87"/>
      <c r="XAW10" s="87"/>
      <c r="XAX10" s="87"/>
      <c r="XAY10" s="87"/>
      <c r="XAZ10" s="87"/>
      <c r="XBA10" s="87"/>
      <c r="XBB10" s="87"/>
      <c r="XBC10" s="87"/>
      <c r="XBD10" s="87"/>
      <c r="XBE10" s="87"/>
      <c r="XBF10" s="87"/>
      <c r="XBG10" s="87"/>
      <c r="XBH10" s="87"/>
      <c r="XBI10" s="87"/>
      <c r="XBJ10" s="87"/>
      <c r="XBK10" s="87"/>
      <c r="XBL10" s="87"/>
      <c r="XBM10" s="87"/>
      <c r="XBN10" s="87"/>
      <c r="XBO10" s="87"/>
      <c r="XBP10" s="87"/>
      <c r="XBQ10" s="87"/>
      <c r="XBR10" s="87"/>
      <c r="XBS10" s="87"/>
      <c r="XBT10" s="87"/>
      <c r="XBU10" s="87"/>
      <c r="XBV10" s="87"/>
      <c r="XBW10" s="87"/>
      <c r="XBX10" s="87"/>
      <c r="XBY10" s="87"/>
      <c r="XBZ10" s="87"/>
      <c r="XCA10" s="87"/>
      <c r="XCB10" s="87"/>
      <c r="XCC10" s="87"/>
      <c r="XCD10" s="87"/>
      <c r="XCE10" s="87"/>
      <c r="XCF10" s="87"/>
      <c r="XCG10" s="87"/>
      <c r="XCH10" s="87"/>
      <c r="XCI10" s="87"/>
      <c r="XCJ10" s="87"/>
      <c r="XCK10" s="87"/>
      <c r="XCL10" s="87"/>
      <c r="XCM10" s="87"/>
      <c r="XCN10" s="87"/>
      <c r="XCO10" s="87"/>
      <c r="XCP10" s="87"/>
      <c r="XCQ10" s="87"/>
      <c r="XCR10" s="87"/>
      <c r="XCS10" s="87"/>
      <c r="XCT10" s="87"/>
      <c r="XCU10" s="87"/>
      <c r="XCV10" s="87"/>
    </row>
    <row r="11" spans="1:16324" ht="14.5">
      <c r="A11" s="102">
        <v>11</v>
      </c>
      <c r="B11" s="94">
        <v>100</v>
      </c>
      <c r="C11" s="103" t="s">
        <v>1007</v>
      </c>
      <c r="D11" s="100" t="s">
        <v>1007</v>
      </c>
      <c r="E11" s="95">
        <v>220</v>
      </c>
      <c r="F11" s="19" t="s">
        <v>889</v>
      </c>
      <c r="G11" s="96">
        <v>0.5</v>
      </c>
      <c r="H11" s="96">
        <f t="shared" si="0"/>
        <v>2.2727272727272729</v>
      </c>
      <c r="I11" s="95">
        <v>1</v>
      </c>
      <c r="J11" s="96">
        <v>1</v>
      </c>
      <c r="K11" s="96">
        <f t="shared" si="27"/>
        <v>0</v>
      </c>
      <c r="L11" s="97">
        <f t="shared" si="28"/>
        <v>0.5</v>
      </c>
      <c r="M11" s="97">
        <f t="shared" si="29"/>
        <v>0</v>
      </c>
      <c r="N11" s="97">
        <f t="shared" si="30"/>
        <v>0.25</v>
      </c>
      <c r="O11" s="97"/>
      <c r="P11" s="97"/>
      <c r="Q11" s="97"/>
      <c r="R11" s="97"/>
      <c r="S11" s="97"/>
      <c r="T11" s="97"/>
      <c r="U11" s="86">
        <f t="shared" ref="U11:U13" si="82">H11*1.2</f>
        <v>2.7272727272727275</v>
      </c>
      <c r="V11" s="86">
        <f t="shared" si="31"/>
        <v>15.90909090909091</v>
      </c>
      <c r="W11" s="116" t="s">
        <v>875</v>
      </c>
      <c r="X11" s="87" t="s">
        <v>301</v>
      </c>
      <c r="Y11" s="87">
        <f t="shared" si="32"/>
        <v>6</v>
      </c>
      <c r="Z11" s="87" t="str">
        <f>INDEX(автоматы!$B$3:$D$11,MATCH(Y11,автоматы!$A$3:$A$11,0),MATCH(X11,кол_пол,0))</f>
        <v>EZ9F34206</v>
      </c>
      <c r="AA11" s="87">
        <f t="shared" si="33"/>
        <v>4</v>
      </c>
      <c r="AB11" s="87" t="str">
        <f>VLOOKUP(AA11,автоматы!$H$3:$I$17,2,0)</f>
        <v>GZ1 E08</v>
      </c>
      <c r="AC11" s="87">
        <f t="shared" si="34"/>
        <v>20</v>
      </c>
      <c r="AD11" s="87" t="str">
        <f>VLOOKUP(AC11,автоматы!$N$3:$O$19,2,0)</f>
        <v>LZMB1-A20-I</v>
      </c>
      <c r="AE11" s="88">
        <f t="shared" si="35"/>
        <v>6</v>
      </c>
      <c r="AF11" s="87" t="str">
        <f>INDEX(автоматы!$T$2:$V$15,MATCH(AE11,автоматы!$S$2:$S$15,0),MATCH(X11,автоматы!$T$1:$V$1,0))</f>
        <v>iC60N C6 2P</v>
      </c>
      <c r="AG11" s="87">
        <f t="shared" si="36"/>
        <v>6</v>
      </c>
      <c r="AH11" s="87" t="str">
        <f>VLOOKUP(AG11,автоматы!$Z$3:$AA$9,2,0)</f>
        <v>A9D31606</v>
      </c>
      <c r="AI11" s="2">
        <f t="shared" si="37"/>
        <v>15</v>
      </c>
      <c r="AJ11" t="str">
        <f>VLOOKUP(AI11,автоматы!$AE$3:$AF$26,2,0)</f>
        <v>EZC100F3015</v>
      </c>
      <c r="AK11" s="3">
        <f t="shared" si="38"/>
        <v>4</v>
      </c>
      <c r="AL11" t="str">
        <f>VLOOKUP(AK11,DEKraft!$I$2:$J$16,2,0)</f>
        <v>21227DEK</v>
      </c>
      <c r="AM11">
        <f t="shared" si="39"/>
        <v>4</v>
      </c>
      <c r="AN11" t="str">
        <f>VLOOKUP(AM11,systeme!$A$33:$B$47,2,0)</f>
        <v>GM2ME08</v>
      </c>
      <c r="AO11">
        <f t="shared" si="40"/>
        <v>4</v>
      </c>
      <c r="AP11">
        <f>VLOOKUP(AO11,chint!$A$34:$B$48,2,0)</f>
        <v>495079</v>
      </c>
      <c r="AQ11" s="3">
        <f t="shared" si="41"/>
        <v>6</v>
      </c>
      <c r="AR11" t="str">
        <f>INDEX(DEKraft!$B$2:$D$13,MATCH(AQ11,DEKraft!$A$2:$A$13,0),MATCH(X11,DEKraft!$B$1:$D$1,0))</f>
        <v>13163DEK</v>
      </c>
      <c r="AS11" t="str">
        <f>INDEX(DEKraft!$B$21:$D$32,MATCH(AQ11,DEKraft!$A$21:$A$32,0),MATCH(X11,DEKraft!$B$20:$D$20,0))</f>
        <v>12285DEK</v>
      </c>
      <c r="AT11" t="str">
        <f>INDEX(systeme!$B$2:$D$10,MATCH(AQ11,systeme!$A$2:$A$10,0),MATCH(X11,systeme!$B$1:$D$1,0))</f>
        <v>C9F36206</v>
      </c>
      <c r="AU11">
        <f>INDEX(chint!$B$2:$D$10,MATCH(AQ11,chint!$A$2:$A$10,0),MATCH(X11,chint!$B$1:$D$1,0))</f>
        <v>179667</v>
      </c>
      <c r="AV11" s="3">
        <f t="shared" si="42"/>
        <v>6</v>
      </c>
      <c r="AW11" t="str">
        <f>VLOOKUP(AV11,DEKraft!$A$41:$B$47,2,0)</f>
        <v>16202DEK</v>
      </c>
      <c r="AX11">
        <f t="shared" si="43"/>
        <v>10</v>
      </c>
      <c r="AY11" t="str">
        <f>VLOOKUP(AX11,systeme!$G$2:$H$7,2,0)</f>
        <v>C9D36610</v>
      </c>
      <c r="AZ11">
        <f t="shared" si="44"/>
        <v>6</v>
      </c>
      <c r="BA11">
        <f>VLOOKUP(AV11,chint!$G$2:$H$8,2,0)</f>
        <v>689000</v>
      </c>
      <c r="BB11" s="3">
        <f t="shared" si="45"/>
        <v>25</v>
      </c>
      <c r="BC11" t="str">
        <f>VLOOKUP(BB11,DEKraft!$I$21:$J$36,2,0)</f>
        <v>28100DEK</v>
      </c>
      <c r="BD11">
        <f t="shared" si="46"/>
        <v>16</v>
      </c>
      <c r="BE11" t="str">
        <f>VLOOKUP(BD11,systeme!$A$16:$B$30,2,0)</f>
        <v>SPC100F016L3DF</v>
      </c>
      <c r="BF11">
        <f t="shared" si="47"/>
        <v>16</v>
      </c>
      <c r="BG11" s="4">
        <f>VLOOKUP(BF11,chint!$A$14:$B$31,2,0)</f>
        <v>271581</v>
      </c>
      <c r="BH11">
        <f t="shared" si="48"/>
        <v>6</v>
      </c>
      <c r="BI11" t="str">
        <f>INDEX(КЭАЗ!$B$2:$E$14,MATCH(BH11,КЭАЗ!$A$2:$A$14,0),MATCH(X11,КЭАЗ!$B$1:$D$1,0))</f>
        <v>kea.341916</v>
      </c>
      <c r="BJ11">
        <f t="shared" si="49"/>
        <v>6</v>
      </c>
      <c r="BK11" t="str">
        <f>INDEX(hy!$B$2:$D$18,MATCH(BJ11,hy!$A$2:$A$18,0),MATCH(X11,hy!$B$1:$D$1,0))</f>
        <v>HGD63M 2PMCS0000C 00006</v>
      </c>
      <c r="BL11" t="str">
        <f>VLOOKUP(BJ11,hy!$G$2:$H$15,2,0)</f>
        <v>HRO63M 1NG4С0000C00006G</v>
      </c>
      <c r="BM11">
        <f t="shared" si="50"/>
        <v>4</v>
      </c>
      <c r="BN11" t="str">
        <f>VLOOKUP(BM11,hy!$A$41:$B$55,2,0)</f>
        <v>MMS32K 0004</v>
      </c>
      <c r="BO11">
        <f t="shared" si="51"/>
        <v>100</v>
      </c>
      <c r="BP11" t="str">
        <f>VLOOKUP(BO11,hy!$A$21:$B$35,2,0)</f>
        <v>HGP100S-G 3PT4S0000C 00100H</v>
      </c>
      <c r="BQ11" s="89">
        <f>IF($W11=автоматы!$D$45,Z11,IF($W11=автоматы!$D$46,AF11,IF($W11=автоматы!$D$47,AH11,IF($W11=автоматы!$D$48,AB11,IF($W11=автоматы!$D$49,AJ11,IF($W11=автоматы!$D$50,AD11,IF($W11=автоматы!$D$51,BI11,IF($W11=автоматы!$D$52,AR11,IF($W11=автоматы!$D$53,AS11,IF($W11=автоматы!$D$54,AW11,IF($W11=автоматы!$D$55,AL11,IF($W11=автоматы!$D$56,BC11,IF($W11=автоматы!$D$57,AT11,IF($W11=автоматы!$D$58,AY11,IF($W11=автоматы!$D$59,AN11,IF($W11=автоматы!$D$60,BE11,IF($W11=автоматы!$D$61,AU11,IF($W11=автоматы!$D$62,BA11,IF($W11=автоматы!$D$63,AP11,IF($W11=автоматы!$D$64,BG11,IF($W11=автоматы!$D$65,BK11,IF($W11=автоматы!$D$66,BL11,IF($W11=автоматы!$D$67,BN11,IF($W11=автоматы!$D$68,BP11,"др"))))))))))))))))))))))))</f>
        <v>689000</v>
      </c>
      <c r="BR11" s="89">
        <f>IF($W11=автоматы!$D$45,Y11,IF($W11=автоматы!$D$46,AE11,IF($W11=автоматы!$D$47,AG11,IF($W11=автоматы!$D$48,AA11,IF($W11=автоматы!$D$49,AI11,IF($W11=автоматы!$D$50,AC11,IF($W11=автоматы!$D$51,BH11,IF($W11=автоматы!$D$52,AQ11,IF($W11=автоматы!$D$53,AQ11,IF($W11=автоматы!$D$54,AV11,IF($W11=автоматы!$D$55,AK11,IF($W11=автоматы!$D$56,BB11,IF($W11=автоматы!$D$57,AQ11,IF($W11=автоматы!$D$58,AX11,IF($W11=автоматы!$D$59,AM11,IF($W11=автоматы!$D$60,BD11,IF($W11=автоматы!$D$61,AQ11,IF($W11=автоматы!$D$62,AZ11,IF($W11=автоматы!$D$63,AO11,IF($W11=автоматы!$D$64,BF11,IF($W11=автоматы!$D$65,BJ11,IF($W11=автоматы!$D$66,BJ11,IF($W11=автоматы!$D$67,BM11,IF($W11=автоматы!$D$68,BO11,"др"))))))))))))))))))))))))</f>
        <v>6</v>
      </c>
      <c r="BS11" s="89" t="str">
        <f>CONCATENATE(IF($W11=автоматы!$A$1,Y11,IF($W11=автоматы!$H$1,VLOOKUP(AA11,автоматы!$H$3:$K$17,3,0),IF($W11=автоматы!$N$1,VLOOKUP(AC11,автоматы!$N$3:$Q$19,3,0),IF($W11=автоматы!$S$17,AE11,IF($W11=автоматы!$Z$1,AG11,IF($W11=автоматы!$AE$1,AI11,"др"))))))," А")</f>
        <v>др А</v>
      </c>
      <c r="BT11" s="89" t="str">
        <f>IF($W11=автоматы!$A$1,Y11*10,IF($W11=автоматы!$H$1,VLOOKUP(AA11,автоматы!$H$3:$K$17,4,0),IF($W11=автоматы!$N$1,VLOOKUP(AC11,автоматы!$N$3:$Q$19,4,0),IF($W11=автоматы!$S$17,AE11*10,IF($W11=автоматы!$Z$1,AG11*10,IF($W11=автоматы!$AE$1,AI11*10,"др"))))))</f>
        <v>др</v>
      </c>
      <c r="BU11" s="85"/>
      <c r="BV11" s="90" t="s">
        <v>147</v>
      </c>
      <c r="BW11" s="90">
        <v>1</v>
      </c>
      <c r="BX11" s="91">
        <v>3</v>
      </c>
      <c r="BY11" s="92">
        <v>1.5</v>
      </c>
      <c r="BZ11" s="91">
        <f>HLOOKUP(BV11,каталог!$CG$1:$CO$22,MATCH(BY11,каталог!$CF$1:$CF$22,0),0)*BW11</f>
        <v>19</v>
      </c>
      <c r="CA11" s="87" t="str">
        <f t="shared" si="52"/>
        <v>нХВО</v>
      </c>
      <c r="CB11" s="87" t="str">
        <f t="shared" si="53"/>
        <v>ВВГнг(А)-LS 3x1,5</v>
      </c>
      <c r="CC11" s="87"/>
      <c r="CD11" s="87"/>
      <c r="CE11" s="87"/>
      <c r="CF11" s="87"/>
      <c r="CG11" s="87"/>
      <c r="CH11" s="87"/>
      <c r="CI11" s="87"/>
      <c r="CJ11" s="87"/>
      <c r="CK11" s="87"/>
      <c r="CL11" s="87"/>
      <c r="CM11" s="87"/>
      <c r="CN11" s="87"/>
      <c r="CO11" s="87"/>
      <c r="CP11" s="87"/>
      <c r="CQ11" s="87"/>
      <c r="CR11" s="87"/>
      <c r="CS11" s="87"/>
      <c r="CT11" s="87"/>
      <c r="CU11" s="87"/>
      <c r="CV11" s="87"/>
      <c r="CW11" s="87"/>
      <c r="CX11" s="87"/>
      <c r="CY11" s="87"/>
      <c r="CZ11" s="87"/>
      <c r="DA11" s="87"/>
      <c r="DB11" s="87"/>
      <c r="DC11" s="87"/>
      <c r="DD11" s="87"/>
      <c r="DE11" s="87"/>
      <c r="DF11" s="87"/>
      <c r="DG11" s="87"/>
      <c r="DH11" s="87"/>
      <c r="DI11" s="87"/>
      <c r="DJ11" s="87"/>
      <c r="DK11" s="87"/>
      <c r="DL11" s="87"/>
      <c r="DM11" s="87"/>
      <c r="DN11" s="87"/>
      <c r="DO11" s="87"/>
      <c r="DP11" s="87"/>
      <c r="DQ11" s="87"/>
      <c r="DR11" s="87"/>
      <c r="DS11" s="87"/>
      <c r="DT11" s="87"/>
      <c r="DU11" s="87"/>
      <c r="DV11" s="87"/>
      <c r="DW11" s="87"/>
      <c r="DX11" s="87"/>
      <c r="DY11" s="87"/>
      <c r="DZ11" s="87"/>
      <c r="EA11" s="87"/>
      <c r="EB11" s="87"/>
      <c r="EC11" s="87"/>
      <c r="ED11" s="87"/>
      <c r="EE11" s="87"/>
      <c r="EF11" s="87"/>
      <c r="EG11" s="87"/>
      <c r="EH11" s="87"/>
      <c r="EI11" s="87"/>
      <c r="EJ11" s="87"/>
      <c r="EK11" s="87"/>
      <c r="EL11" s="87"/>
      <c r="EM11" s="87"/>
      <c r="EN11" s="87"/>
      <c r="EO11" s="87"/>
      <c r="EP11" s="87"/>
      <c r="EQ11" s="87"/>
      <c r="ER11" s="87"/>
      <c r="ES11" s="87"/>
      <c r="ET11" s="87"/>
      <c r="EU11" s="87"/>
      <c r="EV11" s="87"/>
      <c r="EW11" s="87"/>
      <c r="EX11" s="87"/>
      <c r="EY11" s="87"/>
      <c r="EZ11" s="87"/>
      <c r="FA11" s="87"/>
      <c r="FB11" s="87"/>
      <c r="FC11" s="87"/>
      <c r="FD11" s="87"/>
      <c r="FE11" s="87"/>
      <c r="FF11" s="87"/>
      <c r="FG11" s="87"/>
      <c r="FH11" s="87"/>
      <c r="FI11" s="87"/>
      <c r="FJ11" s="87"/>
      <c r="FK11" s="87"/>
      <c r="FL11" s="87"/>
      <c r="FM11" s="87"/>
      <c r="FN11" s="87"/>
      <c r="FO11" s="87"/>
      <c r="FP11" s="87"/>
      <c r="FQ11" s="87"/>
      <c r="FR11" s="87"/>
      <c r="FS11" s="87"/>
      <c r="FT11" s="87"/>
      <c r="FU11" s="87"/>
      <c r="FV11" s="87"/>
      <c r="FW11" s="87"/>
      <c r="FX11" s="87"/>
      <c r="FY11" s="87"/>
      <c r="FZ11" s="87"/>
      <c r="GA11" s="87"/>
      <c r="GB11" s="87"/>
      <c r="GC11" s="87"/>
      <c r="GD11" s="87"/>
      <c r="GE11" s="87"/>
      <c r="GF11" s="87"/>
      <c r="GG11" s="87"/>
      <c r="GH11" s="87"/>
      <c r="GI11" s="87"/>
      <c r="GJ11" s="87"/>
      <c r="GK11" s="87"/>
      <c r="GL11" s="87"/>
      <c r="GM11" s="87"/>
      <c r="GN11" s="87"/>
      <c r="GO11" s="87"/>
      <c r="GP11" s="87"/>
      <c r="GQ11" s="87"/>
      <c r="GR11" s="87"/>
      <c r="GS11" s="87"/>
      <c r="GT11" s="87"/>
      <c r="GU11" s="87"/>
      <c r="GV11" s="87"/>
      <c r="GW11" s="87"/>
      <c r="GX11" s="87"/>
      <c r="GY11" s="87"/>
      <c r="GZ11" s="87"/>
      <c r="HA11" s="87"/>
      <c r="HB11" s="87"/>
      <c r="HC11" s="87"/>
      <c r="HD11" s="87"/>
      <c r="HE11" s="87"/>
      <c r="HF11" s="87"/>
      <c r="HG11" s="87"/>
      <c r="HH11" s="87"/>
      <c r="HI11" s="87"/>
      <c r="HJ11" s="87"/>
      <c r="HK11" s="87"/>
      <c r="HL11" s="87"/>
      <c r="HM11" s="87"/>
      <c r="HN11" s="87"/>
      <c r="HO11" s="87"/>
      <c r="HP11" s="87"/>
      <c r="HQ11" s="87"/>
      <c r="HR11" s="87"/>
      <c r="HS11" s="87"/>
      <c r="HT11" s="87"/>
      <c r="HU11" s="87"/>
      <c r="HV11" s="87"/>
      <c r="HW11" s="87"/>
      <c r="HX11" s="87"/>
      <c r="HY11" s="87"/>
      <c r="HZ11" s="87"/>
      <c r="IA11" s="87"/>
      <c r="IB11" s="87"/>
      <c r="IC11" s="87"/>
      <c r="ID11" s="87"/>
      <c r="IE11" s="87"/>
      <c r="IF11" s="87"/>
      <c r="IG11" s="87"/>
      <c r="IH11" s="87"/>
      <c r="II11" s="87"/>
      <c r="IJ11" s="87"/>
      <c r="IK11" s="87"/>
      <c r="IL11" s="87"/>
      <c r="IM11" s="87"/>
      <c r="IN11" s="87"/>
      <c r="IO11" s="87"/>
      <c r="IP11" s="87"/>
      <c r="IQ11" s="87"/>
      <c r="IR11" s="87"/>
      <c r="IS11" s="87"/>
      <c r="IT11" s="87"/>
      <c r="IU11" s="87"/>
      <c r="IV11" s="87"/>
      <c r="IW11" s="87"/>
      <c r="IX11" s="87"/>
      <c r="IY11" s="87"/>
      <c r="IZ11" s="87"/>
      <c r="JA11" s="87"/>
      <c r="JB11" s="87"/>
      <c r="JC11" s="87"/>
      <c r="JD11" s="87"/>
      <c r="JE11" s="87"/>
      <c r="JF11" s="87"/>
      <c r="JG11" s="87"/>
      <c r="JH11" s="87"/>
      <c r="JI11" s="87"/>
      <c r="JJ11" s="87"/>
      <c r="JK11" s="87"/>
      <c r="JL11" s="87"/>
      <c r="JM11" s="87"/>
      <c r="JN11" s="87"/>
      <c r="JO11" s="87"/>
      <c r="JP11" s="87"/>
      <c r="JQ11" s="87"/>
      <c r="JR11" s="87"/>
      <c r="JS11" s="87"/>
      <c r="JT11" s="87"/>
      <c r="JU11" s="87"/>
      <c r="JV11" s="87"/>
      <c r="JW11" s="87"/>
      <c r="JX11" s="87"/>
      <c r="JY11" s="87"/>
      <c r="JZ11" s="87"/>
      <c r="KA11" s="87"/>
      <c r="KB11" s="87"/>
      <c r="KC11" s="87"/>
      <c r="KD11" s="87"/>
      <c r="KE11" s="87"/>
      <c r="KF11" s="87"/>
      <c r="KG11" s="87"/>
      <c r="KH11" s="87"/>
      <c r="KI11" s="87"/>
      <c r="KJ11" s="87"/>
      <c r="KK11" s="87"/>
      <c r="KL11" s="87"/>
      <c r="KM11" s="87"/>
      <c r="KN11" s="87"/>
      <c r="KO11" s="87"/>
      <c r="KP11" s="87"/>
      <c r="KQ11" s="87"/>
      <c r="KR11" s="87"/>
      <c r="KS11" s="87"/>
      <c r="KT11" s="87"/>
      <c r="KU11" s="87"/>
      <c r="KV11" s="87"/>
      <c r="KW11" s="87"/>
      <c r="KX11" s="87"/>
      <c r="KY11" s="87"/>
      <c r="KZ11" s="87"/>
      <c r="LA11" s="87"/>
      <c r="LB11" s="87"/>
      <c r="LC11" s="87"/>
      <c r="LD11" s="87"/>
      <c r="LE11" s="87"/>
      <c r="LF11" s="87"/>
      <c r="LG11" s="87"/>
      <c r="LH11" s="87"/>
      <c r="LI11" s="87"/>
      <c r="LJ11" s="87"/>
      <c r="LK11" s="87"/>
      <c r="LL11" s="87"/>
      <c r="LM11" s="87"/>
      <c r="LN11" s="87"/>
      <c r="LO11" s="87"/>
      <c r="LP11" s="87"/>
      <c r="LQ11" s="87"/>
      <c r="LR11" s="87"/>
      <c r="LS11" s="87"/>
      <c r="LT11" s="87"/>
      <c r="LU11" s="87"/>
      <c r="LV11" s="87"/>
      <c r="LW11" s="87"/>
      <c r="LX11" s="87"/>
      <c r="LY11" s="87"/>
      <c r="LZ11" s="87"/>
      <c r="MA11" s="87"/>
      <c r="MB11" s="87"/>
      <c r="MC11" s="87"/>
      <c r="MD11" s="87"/>
      <c r="ME11" s="87"/>
      <c r="MF11" s="87"/>
      <c r="MG11" s="87"/>
      <c r="MH11" s="87"/>
      <c r="MI11" s="87"/>
      <c r="MJ11" s="87"/>
      <c r="MK11" s="87"/>
      <c r="ML11" s="87"/>
      <c r="MM11" s="87"/>
      <c r="MN11" s="87"/>
      <c r="MO11" s="87"/>
      <c r="MP11" s="87"/>
      <c r="MQ11" s="87"/>
      <c r="MR11" s="87"/>
      <c r="MS11" s="87"/>
      <c r="MT11" s="87"/>
      <c r="MU11" s="87"/>
      <c r="MV11" s="87"/>
      <c r="MW11" s="87"/>
      <c r="MX11" s="87"/>
      <c r="MY11" s="87"/>
      <c r="MZ11" s="87"/>
      <c r="NA11" s="87"/>
      <c r="NB11" s="87"/>
      <c r="NC11" s="87"/>
      <c r="ND11" s="87"/>
      <c r="NE11" s="87"/>
      <c r="NF11" s="87"/>
      <c r="NG11" s="87"/>
      <c r="NH11" s="87"/>
      <c r="NI11" s="87"/>
      <c r="NJ11" s="87"/>
      <c r="NK11" s="87"/>
      <c r="NL11" s="87"/>
      <c r="NM11" s="87"/>
      <c r="NN11" s="87"/>
      <c r="NO11" s="87"/>
      <c r="NP11" s="87"/>
      <c r="NQ11" s="87"/>
      <c r="NR11" s="87"/>
      <c r="NS11" s="87"/>
      <c r="NT11" s="87"/>
      <c r="NU11" s="87"/>
      <c r="NV11" s="87"/>
      <c r="NW11" s="87"/>
      <c r="NX11" s="87"/>
      <c r="NY11" s="87"/>
      <c r="NZ11" s="87"/>
      <c r="OA11" s="87"/>
      <c r="OB11" s="87"/>
      <c r="OC11" s="87"/>
      <c r="OD11" s="87"/>
      <c r="OE11" s="87"/>
      <c r="OF11" s="87"/>
      <c r="OG11" s="87"/>
      <c r="OH11" s="87"/>
      <c r="OI11" s="87"/>
      <c r="OJ11" s="87"/>
      <c r="OK11" s="87"/>
      <c r="OL11" s="87"/>
      <c r="OM11" s="87"/>
      <c r="ON11" s="87"/>
      <c r="OO11" s="87"/>
      <c r="OP11" s="87"/>
      <c r="OQ11" s="87"/>
      <c r="OR11" s="87"/>
      <c r="OS11" s="87"/>
      <c r="OT11" s="87"/>
      <c r="OU11" s="87"/>
      <c r="OV11" s="87"/>
      <c r="OW11" s="87"/>
      <c r="OX11" s="87"/>
      <c r="OY11" s="87"/>
      <c r="OZ11" s="87"/>
      <c r="PA11" s="87"/>
      <c r="PB11" s="87"/>
      <c r="PC11" s="87"/>
      <c r="PD11" s="87"/>
      <c r="PE11" s="87"/>
      <c r="PF11" s="87"/>
      <c r="PG11" s="87"/>
      <c r="PH11" s="87"/>
      <c r="PI11" s="87"/>
      <c r="PJ11" s="87"/>
      <c r="PK11" s="87"/>
      <c r="PL11" s="87"/>
      <c r="PM11" s="87"/>
      <c r="PN11" s="87"/>
      <c r="PO11" s="87"/>
      <c r="PP11" s="87"/>
      <c r="PQ11" s="87"/>
      <c r="PR11" s="87"/>
      <c r="PS11" s="87"/>
      <c r="PT11" s="87"/>
      <c r="PU11" s="87"/>
      <c r="PV11" s="87"/>
      <c r="PW11" s="87"/>
      <c r="PX11" s="87"/>
      <c r="PY11" s="87"/>
      <c r="PZ11" s="87"/>
      <c r="QA11" s="87"/>
      <c r="QB11" s="87"/>
      <c r="QC11" s="87"/>
      <c r="QD11" s="87"/>
      <c r="QE11" s="87"/>
      <c r="QF11" s="87"/>
      <c r="QG11" s="87"/>
      <c r="QH11" s="87"/>
      <c r="QI11" s="87"/>
      <c r="QJ11" s="87"/>
      <c r="QK11" s="87"/>
      <c r="QL11" s="87"/>
      <c r="QM11" s="87"/>
      <c r="QN11" s="87"/>
      <c r="QO11" s="87"/>
      <c r="QP11" s="87"/>
      <c r="QQ11" s="87"/>
      <c r="QR11" s="87"/>
      <c r="QS11" s="87"/>
      <c r="QT11" s="87"/>
      <c r="QU11" s="87"/>
      <c r="QV11" s="87"/>
      <c r="QW11" s="87"/>
      <c r="QX11" s="87"/>
      <c r="QY11" s="87"/>
      <c r="QZ11" s="87"/>
      <c r="RA11" s="87"/>
      <c r="RB11" s="87"/>
      <c r="RC11" s="87"/>
      <c r="RD11" s="87"/>
      <c r="RE11" s="87"/>
      <c r="RF11" s="87"/>
      <c r="RG11" s="87"/>
      <c r="RH11" s="87"/>
      <c r="RI11" s="87"/>
      <c r="RJ11" s="87"/>
      <c r="RK11" s="87"/>
      <c r="RL11" s="87"/>
      <c r="RM11" s="87"/>
      <c r="RN11" s="87"/>
      <c r="RO11" s="87"/>
      <c r="RP11" s="87"/>
      <c r="RQ11" s="87"/>
      <c r="RR11" s="87"/>
      <c r="RS11" s="87"/>
      <c r="RT11" s="87"/>
      <c r="RU11" s="87"/>
      <c r="RV11" s="87"/>
      <c r="RW11" s="87"/>
      <c r="RX11" s="87"/>
      <c r="RY11" s="87"/>
      <c r="RZ11" s="87"/>
      <c r="SA11" s="87"/>
      <c r="SB11" s="87"/>
      <c r="SC11" s="87"/>
      <c r="SD11" s="87"/>
      <c r="SE11" s="87"/>
      <c r="SF11" s="87"/>
      <c r="SG11" s="87"/>
      <c r="SH11" s="87"/>
      <c r="SI11" s="87"/>
      <c r="SJ11" s="87"/>
      <c r="SK11" s="87"/>
      <c r="SL11" s="87"/>
      <c r="SM11" s="87"/>
      <c r="SN11" s="87"/>
      <c r="SO11" s="87"/>
      <c r="SP11" s="87"/>
      <c r="SQ11" s="87"/>
      <c r="SR11" s="87"/>
      <c r="SS11" s="87"/>
      <c r="ST11" s="87"/>
      <c r="SU11" s="87"/>
      <c r="SV11" s="87"/>
      <c r="SW11" s="87"/>
      <c r="SX11" s="87"/>
      <c r="SY11" s="87"/>
      <c r="SZ11" s="87"/>
      <c r="TA11" s="87"/>
      <c r="TB11" s="87"/>
      <c r="TC11" s="87"/>
      <c r="TD11" s="87"/>
      <c r="TE11" s="87"/>
      <c r="TF11" s="87"/>
      <c r="TG11" s="87"/>
      <c r="TH11" s="87"/>
      <c r="TI11" s="87"/>
      <c r="TJ11" s="87"/>
      <c r="TK11" s="87"/>
      <c r="TL11" s="87"/>
      <c r="TM11" s="87"/>
      <c r="TN11" s="87"/>
      <c r="TO11" s="87"/>
      <c r="TP11" s="87"/>
      <c r="TQ11" s="87"/>
      <c r="TR11" s="87"/>
      <c r="TS11" s="87"/>
      <c r="TT11" s="87"/>
      <c r="TU11" s="87"/>
      <c r="TV11" s="87"/>
      <c r="TW11" s="87"/>
      <c r="TX11" s="87"/>
      <c r="TY11" s="87"/>
      <c r="TZ11" s="87"/>
      <c r="UA11" s="87"/>
      <c r="UB11" s="87"/>
      <c r="UC11" s="87"/>
      <c r="UD11" s="87"/>
      <c r="UE11" s="87"/>
      <c r="UF11" s="87"/>
      <c r="UG11" s="87"/>
      <c r="UH11" s="87"/>
      <c r="UI11" s="87"/>
      <c r="UJ11" s="87"/>
      <c r="UK11" s="87"/>
      <c r="UL11" s="87"/>
      <c r="UM11" s="87"/>
      <c r="UN11" s="87"/>
      <c r="UO11" s="87"/>
      <c r="UP11" s="87"/>
      <c r="UQ11" s="87"/>
      <c r="UR11" s="87"/>
      <c r="US11" s="87"/>
      <c r="UT11" s="87"/>
      <c r="UU11" s="87"/>
      <c r="UV11" s="87"/>
      <c r="UW11" s="87"/>
      <c r="UX11" s="87"/>
      <c r="UY11" s="87"/>
      <c r="UZ11" s="87"/>
      <c r="VA11" s="87"/>
      <c r="VB11" s="87"/>
      <c r="VC11" s="87"/>
      <c r="VD11" s="87"/>
      <c r="VE11" s="87"/>
      <c r="VF11" s="87"/>
      <c r="VG11" s="87"/>
      <c r="VH11" s="87"/>
      <c r="VI11" s="87"/>
      <c r="VJ11" s="87"/>
      <c r="VK11" s="87"/>
      <c r="VL11" s="87"/>
      <c r="VM11" s="87"/>
      <c r="VN11" s="87"/>
      <c r="VO11" s="87"/>
      <c r="VP11" s="87"/>
      <c r="VQ11" s="87"/>
      <c r="VR11" s="87"/>
      <c r="VS11" s="87"/>
      <c r="VT11" s="87"/>
      <c r="VU11" s="87"/>
      <c r="VV11" s="87"/>
      <c r="VW11" s="87"/>
      <c r="VX11" s="87"/>
      <c r="VY11" s="87"/>
      <c r="VZ11" s="87"/>
      <c r="WA11" s="87"/>
      <c r="WB11" s="87"/>
      <c r="WC11" s="87"/>
      <c r="WD11" s="87"/>
      <c r="WE11" s="87"/>
      <c r="WF11" s="87"/>
      <c r="WG11" s="87"/>
      <c r="WH11" s="87"/>
      <c r="WI11" s="87"/>
      <c r="WJ11" s="87"/>
      <c r="WK11" s="87"/>
      <c r="WL11" s="87"/>
      <c r="WM11" s="87"/>
      <c r="WN11" s="87"/>
      <c r="WO11" s="87"/>
      <c r="WP11" s="87"/>
      <c r="WQ11" s="87"/>
      <c r="WR11" s="87"/>
      <c r="WS11" s="87"/>
      <c r="WT11" s="87"/>
      <c r="WU11" s="87"/>
      <c r="WV11" s="87"/>
      <c r="WW11" s="87"/>
      <c r="WX11" s="87"/>
      <c r="WY11" s="87"/>
      <c r="WZ11" s="87"/>
      <c r="XA11" s="87"/>
      <c r="XB11" s="87"/>
      <c r="XC11" s="87"/>
      <c r="XD11" s="87"/>
      <c r="XE11" s="87"/>
      <c r="XF11" s="87"/>
      <c r="XG11" s="87"/>
      <c r="XH11" s="87"/>
      <c r="XI11" s="87"/>
      <c r="XJ11" s="87"/>
      <c r="XK11" s="87"/>
      <c r="XL11" s="87"/>
      <c r="XM11" s="87"/>
      <c r="XN11" s="87"/>
      <c r="XO11" s="87"/>
      <c r="XP11" s="87"/>
      <c r="XQ11" s="87"/>
      <c r="XR11" s="87"/>
      <c r="XS11" s="87"/>
      <c r="XT11" s="87"/>
      <c r="XU11" s="87"/>
      <c r="XV11" s="87"/>
      <c r="XW11" s="87"/>
      <c r="XX11" s="87"/>
      <c r="XY11" s="87"/>
      <c r="XZ11" s="87"/>
      <c r="YA11" s="87"/>
      <c r="YB11" s="87"/>
      <c r="YC11" s="87"/>
      <c r="YD11" s="87"/>
      <c r="YE11" s="87"/>
      <c r="YF11" s="87"/>
      <c r="YG11" s="87"/>
      <c r="YH11" s="87"/>
      <c r="YI11" s="87"/>
      <c r="YJ11" s="87"/>
      <c r="YK11" s="87"/>
      <c r="YL11" s="87"/>
      <c r="YM11" s="87"/>
      <c r="YN11" s="87"/>
      <c r="YO11" s="87"/>
      <c r="YP11" s="87"/>
      <c r="YQ11" s="87"/>
      <c r="YR11" s="87"/>
      <c r="YS11" s="87"/>
      <c r="YT11" s="87"/>
      <c r="YU11" s="87"/>
      <c r="YV11" s="87"/>
      <c r="YW11" s="87"/>
      <c r="YX11" s="87"/>
      <c r="YY11" s="87"/>
      <c r="YZ11" s="87"/>
      <c r="ZA11" s="87"/>
      <c r="ZB11" s="87"/>
      <c r="ZC11" s="87"/>
      <c r="ZD11" s="87"/>
      <c r="ZE11" s="87"/>
      <c r="ZF11" s="87"/>
      <c r="ZG11" s="87"/>
      <c r="ZH11" s="87"/>
      <c r="ZI11" s="87"/>
      <c r="ZJ11" s="87"/>
      <c r="ZK11" s="87"/>
      <c r="ZL11" s="87"/>
      <c r="ZM11" s="87"/>
      <c r="ZN11" s="87"/>
      <c r="ZO11" s="87"/>
      <c r="ZP11" s="87"/>
      <c r="ZQ11" s="87"/>
      <c r="ZR11" s="87"/>
      <c r="ZS11" s="87"/>
      <c r="ZT11" s="87"/>
      <c r="ZU11" s="87"/>
      <c r="ZV11" s="87"/>
      <c r="ZW11" s="87"/>
      <c r="ZX11" s="87"/>
      <c r="ZY11" s="87"/>
      <c r="ZZ11" s="87"/>
      <c r="AAA11" s="87"/>
      <c r="AAB11" s="87"/>
      <c r="AAC11" s="87"/>
      <c r="AAD11" s="87"/>
      <c r="AAE11" s="87"/>
      <c r="AAF11" s="87"/>
      <c r="AAG11" s="87"/>
      <c r="AAH11" s="87"/>
      <c r="AAI11" s="87"/>
      <c r="AAJ11" s="87"/>
      <c r="AAK11" s="87"/>
      <c r="AAL11" s="87"/>
      <c r="AAM11" s="87"/>
      <c r="AAN11" s="87"/>
      <c r="AAO11" s="87"/>
      <c r="AAP11" s="87"/>
      <c r="AAQ11" s="87"/>
      <c r="AAR11" s="87"/>
      <c r="AAS11" s="87"/>
      <c r="AAT11" s="87"/>
      <c r="AAU11" s="87"/>
      <c r="AAV11" s="87"/>
      <c r="AAW11" s="87"/>
      <c r="AAX11" s="87"/>
      <c r="AAY11" s="87"/>
      <c r="AAZ11" s="87"/>
      <c r="ABA11" s="87"/>
      <c r="ABB11" s="87"/>
      <c r="ABC11" s="87"/>
      <c r="ABD11" s="87"/>
      <c r="ABE11" s="87"/>
      <c r="ABF11" s="87"/>
      <c r="ABG11" s="87"/>
      <c r="ABH11" s="87"/>
      <c r="ABI11" s="87"/>
      <c r="ABJ11" s="87"/>
      <c r="ABK11" s="87"/>
      <c r="ABL11" s="87"/>
      <c r="ABM11" s="87"/>
      <c r="ABN11" s="87"/>
      <c r="ABO11" s="87"/>
      <c r="ABP11" s="87"/>
      <c r="ABQ11" s="87"/>
      <c r="ABR11" s="87"/>
      <c r="ABS11" s="87"/>
      <c r="ABT11" s="87"/>
      <c r="ABU11" s="87"/>
      <c r="ABV11" s="87"/>
      <c r="ABW11" s="87"/>
      <c r="ABX11" s="87"/>
      <c r="ABY11" s="87"/>
      <c r="ABZ11" s="87"/>
      <c r="ACA11" s="87"/>
      <c r="ACB11" s="87"/>
      <c r="ACC11" s="87"/>
      <c r="ACD11" s="87"/>
      <c r="ACE11" s="87"/>
      <c r="ACF11" s="87"/>
      <c r="ACG11" s="87"/>
      <c r="ACH11" s="87"/>
      <c r="ACI11" s="87"/>
      <c r="ACJ11" s="87"/>
      <c r="ACK11" s="87"/>
      <c r="ACL11" s="87"/>
      <c r="ACM11" s="87"/>
      <c r="ACN11" s="87"/>
      <c r="ACO11" s="87"/>
      <c r="ACP11" s="87"/>
      <c r="ACQ11" s="87"/>
      <c r="ACR11" s="87"/>
      <c r="ACS11" s="87"/>
      <c r="ACT11" s="87"/>
      <c r="ACU11" s="87"/>
      <c r="ACV11" s="87"/>
      <c r="ACW11" s="87"/>
      <c r="ACX11" s="87"/>
      <c r="ACY11" s="87"/>
      <c r="ACZ11" s="87"/>
      <c r="ADA11" s="87"/>
      <c r="ADB11" s="87"/>
      <c r="ADC11" s="87"/>
      <c r="ADD11" s="87"/>
      <c r="ADE11" s="87"/>
      <c r="ADF11" s="87"/>
      <c r="ADG11" s="87"/>
      <c r="ADH11" s="87"/>
      <c r="ADI11" s="87"/>
      <c r="ADJ11" s="87"/>
      <c r="ADK11" s="87"/>
      <c r="ADL11" s="87"/>
      <c r="ADM11" s="87"/>
      <c r="ADN11" s="87"/>
      <c r="ADO11" s="87"/>
      <c r="ADP11" s="87"/>
      <c r="ADQ11" s="87"/>
      <c r="ADR11" s="87"/>
      <c r="ADS11" s="87"/>
      <c r="ADT11" s="87"/>
      <c r="ADU11" s="87"/>
      <c r="ADV11" s="87"/>
      <c r="ADW11" s="87"/>
      <c r="ADX11" s="87"/>
      <c r="ADY11" s="87"/>
      <c r="ADZ11" s="87"/>
      <c r="AEA11" s="87"/>
      <c r="AEB11" s="87"/>
      <c r="AEC11" s="87"/>
      <c r="AED11" s="87"/>
      <c r="AEE11" s="87"/>
      <c r="AEF11" s="87"/>
      <c r="AEG11" s="87"/>
      <c r="AEH11" s="87"/>
      <c r="AEI11" s="87"/>
      <c r="AEJ11" s="87"/>
      <c r="AEK11" s="87"/>
      <c r="AEL11" s="87"/>
      <c r="AEM11" s="87"/>
      <c r="AEN11" s="87"/>
      <c r="AEO11" s="87"/>
      <c r="AEP11" s="87"/>
      <c r="AEQ11" s="87"/>
      <c r="AER11" s="87"/>
      <c r="AES11" s="87"/>
      <c r="AET11" s="87"/>
      <c r="AEU11" s="87"/>
      <c r="AEV11" s="87"/>
      <c r="AEW11" s="87"/>
      <c r="AEX11" s="87"/>
      <c r="AEY11" s="87"/>
      <c r="AEZ11" s="87"/>
      <c r="AFA11" s="87"/>
      <c r="AFB11" s="87"/>
      <c r="AFC11" s="87"/>
      <c r="AFD11" s="87"/>
      <c r="AFE11" s="87"/>
      <c r="AFF11" s="87"/>
      <c r="AFG11" s="87"/>
      <c r="AFH11" s="87"/>
      <c r="AFI11" s="87"/>
      <c r="AFJ11" s="87"/>
      <c r="AFK11" s="87"/>
      <c r="AFL11" s="87"/>
      <c r="AFM11" s="87"/>
      <c r="AFN11" s="87"/>
      <c r="AFO11" s="87"/>
      <c r="AFP11" s="87"/>
      <c r="AFQ11" s="87"/>
      <c r="AFR11" s="87"/>
      <c r="AFS11" s="87"/>
      <c r="AFT11" s="87"/>
      <c r="AFU11" s="87"/>
      <c r="AFV11" s="87"/>
      <c r="AFW11" s="87"/>
      <c r="AFX11" s="87"/>
      <c r="AFY11" s="87"/>
      <c r="AFZ11" s="87"/>
      <c r="AGA11" s="87"/>
      <c r="AGB11" s="87"/>
      <c r="AGC11" s="87"/>
      <c r="AGD11" s="87"/>
      <c r="AGE11" s="87"/>
      <c r="AGF11" s="87"/>
      <c r="AGG11" s="87"/>
      <c r="AGH11" s="87"/>
      <c r="AGI11" s="87"/>
      <c r="AGJ11" s="87"/>
      <c r="AGK11" s="87"/>
      <c r="AGL11" s="87"/>
      <c r="AGM11" s="87"/>
      <c r="AGN11" s="87"/>
      <c r="AGO11" s="87"/>
      <c r="AGP11" s="87"/>
      <c r="AGQ11" s="87"/>
      <c r="AGR11" s="87"/>
      <c r="AGS11" s="87"/>
      <c r="AGT11" s="87"/>
      <c r="AGU11" s="87"/>
      <c r="AGV11" s="87"/>
      <c r="AGW11" s="87"/>
      <c r="AGX11" s="87"/>
      <c r="AGY11" s="87"/>
      <c r="AGZ11" s="87"/>
      <c r="AHA11" s="87"/>
      <c r="AHB11" s="87"/>
      <c r="AHC11" s="87"/>
      <c r="AHD11" s="87"/>
      <c r="AHE11" s="87"/>
      <c r="AHF11" s="87"/>
      <c r="AHG11" s="87"/>
      <c r="AHH11" s="87"/>
      <c r="AHI11" s="87"/>
      <c r="AHJ11" s="87"/>
      <c r="AHK11" s="87"/>
      <c r="AHL11" s="87"/>
      <c r="AHM11" s="87"/>
      <c r="AHN11" s="87"/>
      <c r="AHO11" s="87"/>
      <c r="AHP11" s="87"/>
      <c r="AHQ11" s="87"/>
      <c r="AHR11" s="87"/>
      <c r="AHS11" s="87"/>
      <c r="AHT11" s="87"/>
      <c r="AHU11" s="87"/>
      <c r="AHV11" s="87"/>
      <c r="AHW11" s="87"/>
      <c r="AHX11" s="87"/>
      <c r="AHY11" s="87"/>
      <c r="AHZ11" s="87"/>
      <c r="AIA11" s="87"/>
      <c r="AIB11" s="87"/>
      <c r="AIC11" s="87"/>
      <c r="AID11" s="87"/>
      <c r="AIE11" s="87"/>
      <c r="AIF11" s="87"/>
      <c r="AIG11" s="87"/>
      <c r="AIH11" s="87"/>
      <c r="AII11" s="87"/>
      <c r="AIJ11" s="87"/>
      <c r="AIK11" s="87"/>
      <c r="AIL11" s="87"/>
      <c r="AIM11" s="87"/>
      <c r="AIN11" s="87"/>
      <c r="AIO11" s="87"/>
      <c r="AIP11" s="87"/>
      <c r="AIQ11" s="87"/>
      <c r="AIR11" s="87"/>
      <c r="AIS11" s="87"/>
      <c r="AIT11" s="87"/>
      <c r="AIU11" s="87"/>
      <c r="AIV11" s="87"/>
      <c r="AIW11" s="87"/>
      <c r="AIX11" s="87"/>
      <c r="AIY11" s="87"/>
      <c r="AIZ11" s="87"/>
      <c r="AJA11" s="87"/>
      <c r="AJB11" s="87"/>
      <c r="AJC11" s="87"/>
      <c r="AJD11" s="87"/>
      <c r="AJE11" s="87"/>
      <c r="AJF11" s="87"/>
      <c r="AJG11" s="87"/>
      <c r="AJH11" s="87"/>
      <c r="AJI11" s="87"/>
      <c r="AJJ11" s="87"/>
      <c r="AJK11" s="87"/>
      <c r="AJL11" s="87"/>
      <c r="AJM11" s="87"/>
      <c r="AJN11" s="87"/>
      <c r="AJO11" s="87"/>
      <c r="AJP11" s="87"/>
      <c r="AJQ11" s="87"/>
      <c r="AJR11" s="87"/>
      <c r="AJS11" s="87"/>
      <c r="AJT11" s="87"/>
      <c r="AJU11" s="87"/>
      <c r="AJV11" s="87"/>
      <c r="AJW11" s="87"/>
      <c r="AJX11" s="87"/>
      <c r="AJY11" s="87"/>
      <c r="AJZ11" s="87"/>
      <c r="AKA11" s="87"/>
      <c r="AKB11" s="87"/>
      <c r="AKC11" s="87"/>
      <c r="AKD11" s="87"/>
      <c r="AKE11" s="87"/>
      <c r="AKF11" s="87"/>
      <c r="AKG11" s="87"/>
      <c r="AKH11" s="87"/>
      <c r="AKI11" s="87"/>
      <c r="AKJ11" s="87"/>
      <c r="AKK11" s="87"/>
      <c r="AKL11" s="87"/>
      <c r="AKM11" s="87"/>
      <c r="AKN11" s="87"/>
      <c r="AKO11" s="87"/>
      <c r="AKP11" s="87"/>
      <c r="AKQ11" s="87"/>
      <c r="AKR11" s="87"/>
      <c r="AKS11" s="87"/>
      <c r="AKT11" s="87"/>
      <c r="AKU11" s="87"/>
      <c r="AKV11" s="87"/>
      <c r="AKW11" s="87"/>
      <c r="AKX11" s="87"/>
      <c r="AKY11" s="87"/>
      <c r="AKZ11" s="87"/>
      <c r="ALA11" s="87"/>
      <c r="ALB11" s="87"/>
      <c r="ALC11" s="87"/>
      <c r="ALD11" s="87"/>
      <c r="ALE11" s="87"/>
      <c r="ALF11" s="87"/>
      <c r="ALG11" s="87"/>
      <c r="ALH11" s="87"/>
      <c r="ALI11" s="87"/>
      <c r="ALJ11" s="87"/>
      <c r="ALK11" s="87"/>
      <c r="ALL11" s="87"/>
      <c r="ALM11" s="87"/>
      <c r="ALN11" s="87"/>
      <c r="ALO11" s="87"/>
      <c r="ALP11" s="87"/>
      <c r="ALQ11" s="87"/>
      <c r="ALR11" s="87"/>
      <c r="ALS11" s="87"/>
      <c r="ALT11" s="87"/>
      <c r="ALU11" s="87"/>
      <c r="ALV11" s="87"/>
      <c r="ALW11" s="87"/>
      <c r="ALX11" s="87"/>
      <c r="ALY11" s="87"/>
      <c r="ALZ11" s="87"/>
      <c r="AMA11" s="87"/>
      <c r="AMB11" s="87"/>
      <c r="AMC11" s="87"/>
      <c r="AMD11" s="87"/>
      <c r="AME11" s="87"/>
      <c r="AMF11" s="87"/>
      <c r="AMG11" s="87"/>
      <c r="AMH11" s="87"/>
      <c r="AMI11" s="87"/>
      <c r="AMJ11" s="87"/>
      <c r="AMK11" s="87"/>
      <c r="AML11" s="87"/>
      <c r="AMM11" s="87"/>
      <c r="AMN11" s="87"/>
      <c r="AMO11" s="87"/>
      <c r="AMP11" s="87"/>
      <c r="AMQ11" s="87"/>
      <c r="AMR11" s="87"/>
      <c r="AMS11" s="87"/>
      <c r="AMT11" s="87"/>
      <c r="AMU11" s="87"/>
      <c r="AMV11" s="87"/>
      <c r="AMW11" s="87"/>
      <c r="AMX11" s="87"/>
      <c r="AMY11" s="87"/>
      <c r="AMZ11" s="87"/>
      <c r="ANA11" s="87"/>
      <c r="ANB11" s="87"/>
      <c r="ANC11" s="87"/>
      <c r="AND11" s="87"/>
      <c r="ANE11" s="87"/>
      <c r="ANF11" s="87"/>
      <c r="ANG11" s="87"/>
      <c r="ANH11" s="87"/>
      <c r="ANI11" s="87"/>
      <c r="ANJ11" s="87"/>
      <c r="ANK11" s="87"/>
      <c r="ANL11" s="87"/>
      <c r="ANM11" s="87"/>
      <c r="ANN11" s="87"/>
      <c r="ANO11" s="87"/>
      <c r="ANP11" s="87"/>
      <c r="ANQ11" s="87"/>
      <c r="ANR11" s="87"/>
      <c r="ANS11" s="87"/>
      <c r="ANT11" s="87"/>
      <c r="ANU11" s="87"/>
      <c r="ANV11" s="87"/>
      <c r="ANW11" s="87"/>
      <c r="ANX11" s="87"/>
      <c r="ANY11" s="87"/>
      <c r="ANZ11" s="87"/>
      <c r="AOA11" s="87"/>
      <c r="AOB11" s="87"/>
      <c r="AOC11" s="87"/>
      <c r="AOD11" s="87"/>
      <c r="AOE11" s="87"/>
      <c r="AOF11" s="87"/>
      <c r="AOG11" s="87"/>
      <c r="AOH11" s="87"/>
      <c r="AOI11" s="87"/>
      <c r="AOJ11" s="87"/>
      <c r="AOK11" s="87"/>
      <c r="AOL11" s="87"/>
      <c r="AOM11" s="87"/>
      <c r="AON11" s="87"/>
      <c r="AOO11" s="87"/>
      <c r="AOP11" s="87"/>
      <c r="AOQ11" s="87"/>
      <c r="AOR11" s="87"/>
      <c r="AOS11" s="87"/>
      <c r="AOT11" s="87"/>
      <c r="AOU11" s="87"/>
      <c r="AOV11" s="87"/>
      <c r="AOW11" s="87"/>
      <c r="AOX11" s="87"/>
      <c r="AOY11" s="87"/>
      <c r="AOZ11" s="87"/>
      <c r="APA11" s="87"/>
      <c r="APB11" s="87"/>
      <c r="APC11" s="87"/>
      <c r="APD11" s="87"/>
      <c r="APE11" s="87"/>
      <c r="APF11" s="87"/>
      <c r="APG11" s="87"/>
      <c r="APH11" s="87"/>
      <c r="API11" s="87"/>
      <c r="APJ11" s="87"/>
      <c r="APK11" s="87"/>
      <c r="APL11" s="87"/>
      <c r="APM11" s="87"/>
      <c r="APN11" s="87"/>
      <c r="APO11" s="87"/>
      <c r="APP11" s="87"/>
      <c r="APQ11" s="87"/>
      <c r="APR11" s="87"/>
      <c r="APS11" s="87"/>
      <c r="APT11" s="87"/>
      <c r="APU11" s="87"/>
      <c r="APV11" s="87"/>
      <c r="APW11" s="87"/>
      <c r="APX11" s="87"/>
      <c r="APY11" s="87"/>
      <c r="APZ11" s="87"/>
      <c r="AQA11" s="87"/>
      <c r="AQB11" s="87"/>
      <c r="AQC11" s="87"/>
      <c r="AQD11" s="87"/>
      <c r="AQE11" s="87"/>
      <c r="AQF11" s="87"/>
      <c r="AQG11" s="87"/>
      <c r="AQH11" s="87"/>
      <c r="AQI11" s="87"/>
      <c r="AQJ11" s="87"/>
      <c r="AQK11" s="87"/>
      <c r="AQL11" s="87"/>
      <c r="AQM11" s="87"/>
      <c r="AQN11" s="87"/>
      <c r="AQO11" s="87"/>
      <c r="AQP11" s="87"/>
      <c r="AQQ11" s="87"/>
      <c r="AQR11" s="87"/>
      <c r="AQS11" s="87"/>
      <c r="AQT11" s="87"/>
      <c r="AQU11" s="87"/>
      <c r="AQV11" s="87"/>
      <c r="AQW11" s="87"/>
      <c r="AQX11" s="87"/>
      <c r="AQY11" s="87"/>
      <c r="AQZ11" s="87"/>
      <c r="ARA11" s="87"/>
      <c r="ARB11" s="87"/>
      <c r="ARC11" s="87"/>
      <c r="ARD11" s="87"/>
      <c r="ARE11" s="87"/>
      <c r="ARF11" s="87"/>
      <c r="ARG11" s="87"/>
      <c r="ARH11" s="87"/>
      <c r="ARI11" s="87"/>
      <c r="ARJ11" s="87"/>
      <c r="ARK11" s="87"/>
      <c r="ARL11" s="87"/>
      <c r="ARM11" s="87"/>
      <c r="ARN11" s="87"/>
      <c r="ARO11" s="87"/>
      <c r="ARP11" s="87"/>
      <c r="ARQ11" s="87"/>
      <c r="ARR11" s="87"/>
      <c r="ARS11" s="87"/>
      <c r="ART11" s="87"/>
      <c r="ARU11" s="87"/>
      <c r="ARV11" s="87"/>
      <c r="ARW11" s="87"/>
      <c r="ARX11" s="87"/>
      <c r="ARY11" s="87"/>
      <c r="ARZ11" s="87"/>
      <c r="ASA11" s="87"/>
      <c r="ASB11" s="87"/>
      <c r="ASC11" s="87"/>
      <c r="ASD11" s="87"/>
      <c r="ASE11" s="87"/>
      <c r="ASF11" s="87"/>
      <c r="ASG11" s="87"/>
      <c r="ASH11" s="87"/>
      <c r="ASI11" s="87"/>
      <c r="ASJ11" s="87"/>
      <c r="ASK11" s="87"/>
      <c r="ASL11" s="87"/>
      <c r="ASM11" s="87"/>
      <c r="ASN11" s="87"/>
      <c r="ASO11" s="87"/>
      <c r="ASP11" s="87"/>
      <c r="ASQ11" s="87"/>
      <c r="ASR11" s="87"/>
      <c r="ASS11" s="87"/>
      <c r="AST11" s="87"/>
      <c r="ASU11" s="87"/>
      <c r="ASV11" s="87"/>
      <c r="ASW11" s="87"/>
      <c r="ASX11" s="87"/>
      <c r="ASY11" s="87"/>
      <c r="ASZ11" s="87"/>
      <c r="ATA11" s="87"/>
      <c r="ATB11" s="87"/>
      <c r="ATC11" s="87"/>
      <c r="ATD11" s="87"/>
      <c r="ATE11" s="87"/>
      <c r="ATF11" s="87"/>
      <c r="ATG11" s="87"/>
      <c r="ATH11" s="87"/>
      <c r="ATI11" s="87"/>
      <c r="ATJ11" s="87"/>
      <c r="ATK11" s="87"/>
      <c r="ATL11" s="87"/>
      <c r="ATM11" s="87"/>
      <c r="ATN11" s="87"/>
      <c r="ATO11" s="87"/>
      <c r="ATP11" s="87"/>
      <c r="ATQ11" s="87"/>
      <c r="ATR11" s="87"/>
      <c r="ATS11" s="87"/>
      <c r="ATT11" s="87"/>
      <c r="ATU11" s="87"/>
      <c r="ATV11" s="87"/>
      <c r="ATW11" s="87"/>
      <c r="ATX11" s="87"/>
      <c r="ATY11" s="87"/>
      <c r="ATZ11" s="87"/>
      <c r="AUA11" s="87"/>
      <c r="AUB11" s="87"/>
      <c r="AUC11" s="87"/>
      <c r="AUD11" s="87"/>
      <c r="AUE11" s="87"/>
      <c r="AUF11" s="87"/>
      <c r="AUG11" s="87"/>
      <c r="AUH11" s="87"/>
      <c r="AUI11" s="87"/>
      <c r="AUJ11" s="87"/>
      <c r="AUK11" s="87"/>
      <c r="AUL11" s="87"/>
      <c r="AUM11" s="87"/>
      <c r="AUN11" s="87"/>
      <c r="AUO11" s="87"/>
      <c r="AUP11" s="87"/>
      <c r="AUQ11" s="87"/>
      <c r="AUR11" s="87"/>
      <c r="AUS11" s="87"/>
      <c r="AUT11" s="87"/>
      <c r="AUU11" s="87"/>
      <c r="AUV11" s="87"/>
      <c r="AUW11" s="87"/>
      <c r="AUX11" s="87"/>
      <c r="AUY11" s="87"/>
      <c r="AUZ11" s="87"/>
      <c r="AVA11" s="87"/>
      <c r="AVB11" s="87"/>
      <c r="AVC11" s="87"/>
      <c r="AVD11" s="87"/>
      <c r="AVE11" s="87"/>
      <c r="AVF11" s="87"/>
      <c r="AVG11" s="87"/>
      <c r="AVH11" s="87"/>
      <c r="AVI11" s="87"/>
      <c r="AVJ11" s="87"/>
      <c r="AVK11" s="87"/>
      <c r="AVL11" s="87"/>
      <c r="AVM11" s="87"/>
      <c r="AVN11" s="87"/>
      <c r="AVO11" s="87"/>
      <c r="AVP11" s="87"/>
      <c r="AVQ11" s="87"/>
      <c r="AVR11" s="87"/>
      <c r="AVS11" s="87"/>
      <c r="AVT11" s="87"/>
      <c r="AVU11" s="87"/>
      <c r="AVV11" s="87"/>
      <c r="AVW11" s="87"/>
      <c r="AVX11" s="87"/>
      <c r="AVY11" s="87"/>
      <c r="AVZ11" s="87"/>
      <c r="AWA11" s="87"/>
      <c r="AWB11" s="87"/>
      <c r="AWC11" s="87"/>
      <c r="AWD11" s="87"/>
      <c r="AWE11" s="87"/>
      <c r="AWF11" s="87"/>
      <c r="AWG11" s="87"/>
      <c r="AWH11" s="87"/>
      <c r="AWI11" s="87"/>
      <c r="AWJ11" s="87"/>
      <c r="AWK11" s="87"/>
      <c r="AWL11" s="87"/>
      <c r="AWM11" s="87"/>
      <c r="AWN11" s="87"/>
      <c r="AWO11" s="87"/>
      <c r="AWP11" s="87"/>
      <c r="AWQ11" s="87"/>
      <c r="AWR11" s="87"/>
      <c r="AWS11" s="87"/>
      <c r="AWT11" s="87"/>
      <c r="AWU11" s="87"/>
      <c r="AWV11" s="87"/>
      <c r="AWW11" s="87"/>
      <c r="AWX11" s="87"/>
      <c r="AWY11" s="87"/>
      <c r="AWZ11" s="87"/>
      <c r="AXA11" s="87"/>
      <c r="AXB11" s="87"/>
      <c r="AXC11" s="87"/>
      <c r="AXD11" s="87"/>
      <c r="AXE11" s="87"/>
      <c r="AXF11" s="87"/>
      <c r="AXG11" s="87"/>
      <c r="AXH11" s="87"/>
      <c r="AXI11" s="87"/>
      <c r="AXJ11" s="87"/>
      <c r="AXK11" s="87"/>
      <c r="AXL11" s="87"/>
      <c r="AXM11" s="87"/>
      <c r="AXN11" s="87"/>
      <c r="AXO11" s="87"/>
      <c r="AXP11" s="87"/>
      <c r="AXQ11" s="87"/>
      <c r="AXR11" s="87"/>
      <c r="AXS11" s="87"/>
      <c r="AXT11" s="87"/>
      <c r="AXU11" s="87"/>
      <c r="AXV11" s="87"/>
      <c r="AXW11" s="87"/>
      <c r="AXX11" s="87"/>
      <c r="AXY11" s="87"/>
      <c r="AXZ11" s="87"/>
      <c r="AYA11" s="87"/>
      <c r="AYB11" s="87"/>
      <c r="AYC11" s="87"/>
      <c r="AYD11" s="87"/>
      <c r="AYE11" s="87"/>
      <c r="AYF11" s="87"/>
      <c r="AYG11" s="87"/>
      <c r="AYH11" s="87"/>
      <c r="AYI11" s="87"/>
      <c r="AYJ11" s="87"/>
      <c r="AYK11" s="87"/>
      <c r="AYL11" s="87"/>
      <c r="AYM11" s="87"/>
      <c r="AYN11" s="87"/>
      <c r="AYO11" s="87"/>
      <c r="AYP11" s="87"/>
      <c r="AYQ11" s="87"/>
      <c r="AYR11" s="87"/>
      <c r="AYS11" s="87"/>
      <c r="AYT11" s="87"/>
      <c r="AYU11" s="87"/>
      <c r="AYV11" s="87"/>
      <c r="AYW11" s="87"/>
      <c r="AYX11" s="87"/>
      <c r="AYY11" s="87"/>
      <c r="AYZ11" s="87"/>
      <c r="AZA11" s="87"/>
      <c r="AZB11" s="87"/>
      <c r="AZC11" s="87"/>
      <c r="AZD11" s="87"/>
      <c r="AZE11" s="87"/>
      <c r="AZF11" s="87"/>
      <c r="AZG11" s="87"/>
      <c r="AZH11" s="87"/>
      <c r="AZI11" s="87"/>
      <c r="AZJ11" s="87"/>
      <c r="AZK11" s="87"/>
      <c r="AZL11" s="87"/>
      <c r="AZM11" s="87"/>
      <c r="AZN11" s="87"/>
      <c r="AZO11" s="87"/>
      <c r="AZP11" s="87"/>
      <c r="AZQ11" s="87"/>
      <c r="AZR11" s="87"/>
      <c r="AZS11" s="87"/>
      <c r="AZT11" s="87"/>
      <c r="AZU11" s="87"/>
      <c r="AZV11" s="87"/>
      <c r="AZW11" s="87"/>
      <c r="AZX11" s="87"/>
      <c r="AZY11" s="87"/>
      <c r="AZZ11" s="87"/>
      <c r="BAA11" s="87"/>
      <c r="BAB11" s="87"/>
      <c r="BAC11" s="87"/>
      <c r="BAD11" s="87"/>
      <c r="BAE11" s="87"/>
      <c r="BAF11" s="87"/>
      <c r="BAG11" s="87"/>
      <c r="BAH11" s="87"/>
      <c r="BAI11" s="87"/>
      <c r="BAJ11" s="87"/>
      <c r="BAK11" s="87"/>
      <c r="BAL11" s="87"/>
      <c r="BAM11" s="87"/>
      <c r="BAN11" s="87"/>
      <c r="BAO11" s="87"/>
      <c r="BAP11" s="87"/>
      <c r="BAQ11" s="87"/>
      <c r="BAR11" s="87"/>
      <c r="BAS11" s="87"/>
      <c r="BAT11" s="87"/>
      <c r="BAU11" s="87"/>
      <c r="BAV11" s="87"/>
      <c r="BAW11" s="87"/>
      <c r="BAX11" s="87"/>
      <c r="BAY11" s="87"/>
      <c r="BAZ11" s="87"/>
      <c r="BBA11" s="87"/>
      <c r="BBB11" s="87"/>
      <c r="BBC11" s="87"/>
      <c r="BBD11" s="87"/>
      <c r="BBE11" s="87"/>
      <c r="BBF11" s="87"/>
      <c r="BBG11" s="87"/>
      <c r="BBH11" s="87"/>
      <c r="BBI11" s="87"/>
      <c r="BBJ11" s="87"/>
      <c r="BBK11" s="87"/>
      <c r="BBL11" s="87"/>
      <c r="BBM11" s="87"/>
      <c r="BBN11" s="87"/>
      <c r="BBO11" s="87"/>
      <c r="BBP11" s="87"/>
      <c r="BBQ11" s="87"/>
      <c r="BBR11" s="87"/>
      <c r="BBS11" s="87"/>
      <c r="BBT11" s="87"/>
      <c r="BBU11" s="87"/>
      <c r="BBV11" s="87"/>
      <c r="BBW11" s="87"/>
      <c r="BBX11" s="87"/>
      <c r="BBY11" s="87"/>
      <c r="BBZ11" s="87"/>
      <c r="BCA11" s="87"/>
      <c r="BCB11" s="87"/>
      <c r="BCC11" s="87"/>
      <c r="BCD11" s="87"/>
      <c r="BCE11" s="87"/>
      <c r="BCF11" s="87"/>
      <c r="BCG11" s="87"/>
      <c r="BCH11" s="87"/>
      <c r="BCI11" s="87"/>
      <c r="BCJ11" s="87"/>
      <c r="BCK11" s="87"/>
      <c r="BCL11" s="87"/>
      <c r="BCM11" s="87"/>
      <c r="BCN11" s="87"/>
      <c r="BCO11" s="87"/>
      <c r="BCP11" s="87"/>
      <c r="BCQ11" s="87"/>
      <c r="BCR11" s="87"/>
      <c r="BCS11" s="87"/>
      <c r="BCT11" s="87"/>
      <c r="BCU11" s="87"/>
      <c r="BCV11" s="87"/>
      <c r="BCW11" s="87"/>
      <c r="BCX11" s="87"/>
      <c r="BCY11" s="87"/>
      <c r="BCZ11" s="87"/>
      <c r="BDA11" s="87"/>
      <c r="BDB11" s="87"/>
      <c r="BDC11" s="87"/>
      <c r="BDD11" s="87"/>
      <c r="BDE11" s="87"/>
      <c r="BDF11" s="87"/>
      <c r="BDG11" s="87"/>
      <c r="BDH11" s="87"/>
      <c r="BDI11" s="87"/>
      <c r="BDJ11" s="87"/>
      <c r="BDK11" s="87"/>
      <c r="BDL11" s="87"/>
      <c r="BDM11" s="87"/>
      <c r="BDN11" s="87"/>
      <c r="BDO11" s="87"/>
      <c r="BDP11" s="87"/>
      <c r="BDQ11" s="87"/>
      <c r="BDR11" s="87"/>
      <c r="BDS11" s="87"/>
      <c r="BDT11" s="87"/>
      <c r="BDU11" s="87"/>
      <c r="BDV11" s="87"/>
      <c r="BDW11" s="87"/>
      <c r="BDX11" s="87"/>
      <c r="BDY11" s="87"/>
      <c r="BDZ11" s="87"/>
      <c r="BEA11" s="87"/>
      <c r="BEB11" s="87"/>
      <c r="BEC11" s="87"/>
      <c r="BED11" s="87"/>
      <c r="BEE11" s="87"/>
      <c r="BEF11" s="87"/>
      <c r="BEG11" s="87"/>
      <c r="BEH11" s="87"/>
      <c r="BEI11" s="87"/>
      <c r="BEJ11" s="87"/>
      <c r="BEK11" s="87"/>
      <c r="BEL11" s="87"/>
      <c r="BEM11" s="87"/>
      <c r="BEN11" s="87"/>
      <c r="BEO11" s="87"/>
      <c r="BEP11" s="87"/>
      <c r="BEQ11" s="87"/>
      <c r="BER11" s="87"/>
      <c r="BES11" s="87"/>
      <c r="BET11" s="87"/>
      <c r="BEU11" s="87"/>
      <c r="BEV11" s="87"/>
      <c r="BEW11" s="87"/>
      <c r="BEX11" s="87"/>
      <c r="BEY11" s="87"/>
      <c r="BEZ11" s="87"/>
      <c r="BFA11" s="87"/>
      <c r="BFB11" s="87"/>
      <c r="BFC11" s="87"/>
      <c r="BFD11" s="87"/>
      <c r="BFE11" s="87"/>
      <c r="BFF11" s="87"/>
      <c r="BFG11" s="87"/>
      <c r="BFH11" s="87"/>
      <c r="BFI11" s="87"/>
      <c r="BFJ11" s="87"/>
      <c r="BFK11" s="87"/>
      <c r="BFL11" s="87"/>
      <c r="BFM11" s="87"/>
      <c r="BFN11" s="87"/>
      <c r="BFO11" s="87"/>
      <c r="BFP11" s="87"/>
      <c r="BFQ11" s="87"/>
      <c r="BFR11" s="87"/>
      <c r="BFS11" s="87"/>
      <c r="BFT11" s="87"/>
      <c r="BFU11" s="87"/>
      <c r="BFV11" s="87"/>
      <c r="BFW11" s="87"/>
      <c r="BFX11" s="87"/>
      <c r="BFY11" s="87"/>
      <c r="BFZ11" s="87"/>
      <c r="BGA11" s="87"/>
      <c r="BGB11" s="87"/>
      <c r="BGC11" s="87"/>
      <c r="BGD11" s="87"/>
      <c r="BGE11" s="87"/>
      <c r="BGF11" s="87"/>
      <c r="BGG11" s="87"/>
      <c r="BGH11" s="87"/>
      <c r="BGI11" s="87"/>
      <c r="BGJ11" s="87"/>
      <c r="BGK11" s="87"/>
      <c r="BGL11" s="87"/>
      <c r="BGM11" s="87"/>
      <c r="BGN11" s="87"/>
      <c r="BGO11" s="87"/>
      <c r="BGP11" s="87"/>
      <c r="BGQ11" s="87"/>
      <c r="BGR11" s="87"/>
      <c r="BGS11" s="87"/>
      <c r="BGT11" s="87"/>
      <c r="BGU11" s="87"/>
      <c r="BGV11" s="87"/>
      <c r="BGW11" s="87"/>
      <c r="BGX11" s="87"/>
      <c r="BGY11" s="87"/>
      <c r="BGZ11" s="87"/>
      <c r="BHA11" s="87"/>
      <c r="BHB11" s="87"/>
      <c r="BHC11" s="87"/>
      <c r="BHD11" s="87"/>
      <c r="BHE11" s="87"/>
      <c r="BHF11" s="87"/>
      <c r="BHG11" s="87"/>
      <c r="BHH11" s="87"/>
      <c r="BHI11" s="87"/>
      <c r="BHJ11" s="87"/>
      <c r="BHK11" s="87"/>
      <c r="BHL11" s="87"/>
      <c r="BHM11" s="87"/>
      <c r="BHN11" s="87"/>
      <c r="BHO11" s="87"/>
      <c r="BHP11" s="87"/>
      <c r="BHQ11" s="87"/>
      <c r="BHR11" s="87"/>
      <c r="BHS11" s="87"/>
      <c r="BHT11" s="87"/>
      <c r="BHU11" s="87"/>
      <c r="BHV11" s="87"/>
      <c r="BHW11" s="87"/>
      <c r="BHX11" s="87"/>
      <c r="BHY11" s="87"/>
      <c r="BHZ11" s="87"/>
      <c r="BIA11" s="87"/>
      <c r="BIB11" s="87"/>
      <c r="BIC11" s="87"/>
      <c r="BID11" s="87"/>
      <c r="BIE11" s="87"/>
      <c r="BIF11" s="87"/>
      <c r="BIG11" s="87"/>
      <c r="BIH11" s="87"/>
      <c r="BII11" s="87"/>
      <c r="BIJ11" s="87"/>
      <c r="BIK11" s="87"/>
      <c r="BIL11" s="87"/>
      <c r="BIM11" s="87"/>
      <c r="BIN11" s="87"/>
      <c r="BIO11" s="87"/>
      <c r="BIP11" s="87"/>
      <c r="BIQ11" s="87"/>
      <c r="BIR11" s="87"/>
      <c r="BIS11" s="87"/>
      <c r="BIT11" s="87"/>
      <c r="BIU11" s="87"/>
      <c r="BIV11" s="87"/>
      <c r="BIW11" s="87"/>
      <c r="BIX11" s="87"/>
      <c r="BIY11" s="87"/>
      <c r="BIZ11" s="87"/>
      <c r="BJA11" s="87"/>
      <c r="BJB11" s="87"/>
      <c r="BJC11" s="87"/>
      <c r="BJD11" s="87"/>
      <c r="BJE11" s="87"/>
      <c r="BJF11" s="87"/>
      <c r="BJG11" s="87"/>
      <c r="BJH11" s="87"/>
      <c r="BJI11" s="87"/>
      <c r="BJJ11" s="87"/>
      <c r="BJK11" s="87"/>
      <c r="BJL11" s="87"/>
      <c r="BJM11" s="87"/>
      <c r="BJN11" s="87"/>
      <c r="BJO11" s="87"/>
      <c r="BJP11" s="87"/>
      <c r="BJQ11" s="87"/>
      <c r="BJR11" s="87"/>
      <c r="BJS11" s="87"/>
      <c r="BJT11" s="87"/>
      <c r="BJU11" s="87"/>
      <c r="BJV11" s="87"/>
      <c r="BJW11" s="87"/>
      <c r="BJX11" s="87"/>
      <c r="BJY11" s="87"/>
      <c r="BJZ11" s="87"/>
      <c r="BKA11" s="87"/>
      <c r="BKB11" s="87"/>
      <c r="BKC11" s="87"/>
      <c r="BKD11" s="87"/>
      <c r="BKE11" s="87"/>
      <c r="BKF11" s="87"/>
      <c r="BKG11" s="87"/>
      <c r="BKH11" s="87"/>
      <c r="BKI11" s="87"/>
      <c r="BKJ11" s="87"/>
      <c r="BKK11" s="87"/>
      <c r="BKL11" s="87"/>
      <c r="BKM11" s="87"/>
      <c r="BKN11" s="87"/>
      <c r="BKO11" s="87"/>
      <c r="BKP11" s="87"/>
      <c r="BKQ11" s="87"/>
      <c r="BKR11" s="87"/>
      <c r="BKS11" s="87"/>
      <c r="BKT11" s="87"/>
      <c r="BKU11" s="87"/>
      <c r="BKV11" s="87"/>
      <c r="BKW11" s="87"/>
      <c r="BKX11" s="87"/>
      <c r="BKY11" s="87"/>
      <c r="BKZ11" s="87"/>
      <c r="BLA11" s="87"/>
      <c r="BLB11" s="87"/>
      <c r="BLC11" s="87"/>
      <c r="BLD11" s="87"/>
      <c r="BLE11" s="87"/>
      <c r="BLF11" s="87"/>
      <c r="BLG11" s="87"/>
      <c r="BLH11" s="87"/>
      <c r="BLI11" s="87"/>
      <c r="BLJ11" s="87"/>
      <c r="BLK11" s="87"/>
      <c r="BLL11" s="87"/>
      <c r="BLM11" s="87"/>
      <c r="BLN11" s="87"/>
      <c r="BLO11" s="87"/>
      <c r="BLP11" s="87"/>
      <c r="BLQ11" s="87"/>
      <c r="BLR11" s="87"/>
      <c r="BLS11" s="87"/>
      <c r="BLT11" s="87"/>
      <c r="BLU11" s="87"/>
      <c r="BLV11" s="87"/>
      <c r="BLW11" s="87"/>
      <c r="BLX11" s="87"/>
      <c r="BLY11" s="87"/>
      <c r="BLZ11" s="87"/>
      <c r="BMA11" s="87"/>
      <c r="BMB11" s="87"/>
      <c r="BMC11" s="87"/>
      <c r="BMD11" s="87"/>
      <c r="BME11" s="87"/>
      <c r="BMF11" s="87"/>
      <c r="BMG11" s="87"/>
      <c r="BMH11" s="87"/>
      <c r="BMI11" s="87"/>
      <c r="BMJ11" s="87"/>
      <c r="BMK11" s="87"/>
      <c r="BML11" s="87"/>
      <c r="BMM11" s="87"/>
      <c r="BMN11" s="87"/>
      <c r="BMO11" s="87"/>
      <c r="BMP11" s="87"/>
      <c r="BMQ11" s="87"/>
      <c r="BMR11" s="87"/>
      <c r="BMS11" s="87"/>
      <c r="BMT11" s="87"/>
      <c r="BMU11" s="87"/>
      <c r="BMV11" s="87"/>
      <c r="BMW11" s="87"/>
      <c r="BMX11" s="87"/>
      <c r="BMY11" s="87"/>
      <c r="BMZ11" s="87"/>
      <c r="BNA11" s="87"/>
      <c r="BNB11" s="87"/>
      <c r="BNC11" s="87"/>
      <c r="BND11" s="87"/>
      <c r="BNE11" s="87"/>
      <c r="BNF11" s="87"/>
      <c r="BNG11" s="87"/>
      <c r="BNH11" s="87"/>
      <c r="BNI11" s="87"/>
      <c r="BNJ11" s="87"/>
      <c r="BNK11" s="87"/>
      <c r="BNL11" s="87"/>
      <c r="BNM11" s="87"/>
      <c r="BNN11" s="87"/>
      <c r="BNO11" s="87"/>
      <c r="BNP11" s="87"/>
      <c r="BNQ11" s="87"/>
      <c r="BNR11" s="87"/>
      <c r="BNS11" s="87"/>
      <c r="BNT11" s="87"/>
      <c r="BNU11" s="87"/>
      <c r="BNV11" s="87"/>
      <c r="BNW11" s="87"/>
      <c r="BNX11" s="87"/>
      <c r="BNY11" s="87"/>
      <c r="BNZ11" s="87"/>
      <c r="BOA11" s="87"/>
      <c r="BOB11" s="87"/>
      <c r="BOC11" s="87"/>
      <c r="BOD11" s="87"/>
      <c r="BOE11" s="87"/>
      <c r="BOF11" s="87"/>
      <c r="BOG11" s="87"/>
      <c r="BOH11" s="87"/>
      <c r="BOI11" s="87"/>
      <c r="BOJ11" s="87"/>
      <c r="BOK11" s="87"/>
      <c r="BOL11" s="87"/>
      <c r="BOM11" s="87"/>
      <c r="BON11" s="87"/>
      <c r="BOO11" s="87"/>
      <c r="BOP11" s="87"/>
      <c r="BOQ11" s="87"/>
      <c r="BOR11" s="87"/>
      <c r="BOS11" s="87"/>
      <c r="BOT11" s="87"/>
      <c r="BOU11" s="87"/>
      <c r="BOV11" s="87"/>
      <c r="BOW11" s="87"/>
      <c r="BOX11" s="87"/>
      <c r="BOY11" s="87"/>
      <c r="BOZ11" s="87"/>
      <c r="BPA11" s="87"/>
      <c r="BPB11" s="87"/>
      <c r="BPC11" s="87"/>
      <c r="BPD11" s="87"/>
      <c r="BPE11" s="87"/>
      <c r="BPF11" s="87"/>
      <c r="BPG11" s="87"/>
      <c r="BPH11" s="87"/>
      <c r="BPI11" s="87"/>
      <c r="BPJ11" s="87"/>
      <c r="BPK11" s="87"/>
      <c r="BPL11" s="87"/>
      <c r="BPM11" s="87"/>
      <c r="BPN11" s="87"/>
      <c r="BPO11" s="87"/>
      <c r="BPP11" s="87"/>
      <c r="BPQ11" s="87"/>
      <c r="BPR11" s="87"/>
      <c r="BPS11" s="87"/>
      <c r="BPT11" s="87"/>
      <c r="BPU11" s="87"/>
      <c r="BPV11" s="87"/>
      <c r="BPW11" s="87"/>
      <c r="BPX11" s="87"/>
      <c r="BPY11" s="87"/>
      <c r="BPZ11" s="87"/>
      <c r="BQA11" s="87"/>
      <c r="BQB11" s="87"/>
      <c r="BQC11" s="87"/>
      <c r="BQD11" s="87"/>
      <c r="BQE11" s="87"/>
      <c r="BQF11" s="87"/>
      <c r="BQG11" s="87"/>
      <c r="BQH11" s="87"/>
      <c r="BQI11" s="87"/>
      <c r="BQJ11" s="87"/>
      <c r="BQK11" s="87"/>
      <c r="BQL11" s="87"/>
      <c r="BQM11" s="87"/>
      <c r="BQN11" s="87"/>
      <c r="BQO11" s="87"/>
      <c r="BQP11" s="87"/>
      <c r="BQQ11" s="87"/>
      <c r="BQR11" s="87"/>
      <c r="BQS11" s="87"/>
      <c r="BQT11" s="87"/>
      <c r="BQU11" s="87"/>
      <c r="BQV11" s="87"/>
      <c r="BQW11" s="87"/>
      <c r="BQX11" s="87"/>
      <c r="BQY11" s="87"/>
      <c r="BQZ11" s="87"/>
      <c r="BRA11" s="87"/>
      <c r="BRB11" s="87"/>
      <c r="BRC11" s="87"/>
      <c r="BRD11" s="87"/>
      <c r="BRE11" s="87"/>
      <c r="BRF11" s="87"/>
      <c r="BRG11" s="87"/>
      <c r="BRH11" s="87"/>
      <c r="BRI11" s="87"/>
      <c r="BRJ11" s="87"/>
      <c r="BRK11" s="87"/>
      <c r="BRL11" s="87"/>
      <c r="BRM11" s="87"/>
      <c r="BRN11" s="87"/>
      <c r="BRO11" s="87"/>
      <c r="BRP11" s="87"/>
      <c r="BRQ11" s="87"/>
      <c r="BRR11" s="87"/>
      <c r="BRS11" s="87"/>
      <c r="BRT11" s="87"/>
      <c r="BRU11" s="87"/>
      <c r="BRV11" s="87"/>
      <c r="BRW11" s="87"/>
      <c r="BRX11" s="87"/>
      <c r="BRY11" s="87"/>
      <c r="BRZ11" s="87"/>
      <c r="BSA11" s="87"/>
      <c r="BSB11" s="87"/>
      <c r="BSC11" s="87"/>
      <c r="BSD11" s="87"/>
      <c r="BSE11" s="87"/>
      <c r="BSF11" s="87"/>
      <c r="BSG11" s="87"/>
      <c r="BSH11" s="87"/>
      <c r="BSI11" s="87"/>
      <c r="BSJ11" s="87"/>
      <c r="BSK11" s="87"/>
      <c r="BSL11" s="87"/>
      <c r="BSM11" s="87"/>
      <c r="BSN11" s="87"/>
      <c r="BSO11" s="87"/>
      <c r="BSP11" s="87"/>
      <c r="BSQ11" s="87"/>
      <c r="BSR11" s="87"/>
      <c r="BSS11" s="87"/>
      <c r="BST11" s="87"/>
      <c r="BSU11" s="87"/>
      <c r="BSV11" s="87"/>
      <c r="BSW11" s="87"/>
      <c r="BSX11" s="87"/>
      <c r="BSY11" s="87"/>
      <c r="BSZ11" s="87"/>
      <c r="BTA11" s="87"/>
      <c r="BTB11" s="87"/>
      <c r="BTC11" s="87"/>
      <c r="BTD11" s="87"/>
      <c r="BTE11" s="87"/>
      <c r="BTF11" s="87"/>
      <c r="BTG11" s="87"/>
      <c r="BTH11" s="87"/>
      <c r="BTI11" s="87"/>
      <c r="BTJ11" s="87"/>
      <c r="BTK11" s="87"/>
      <c r="BTL11" s="87"/>
      <c r="BTM11" s="87"/>
      <c r="BTN11" s="87"/>
      <c r="BTO11" s="87"/>
      <c r="BTP11" s="87"/>
      <c r="BTQ11" s="87"/>
      <c r="BTR11" s="87"/>
      <c r="BTS11" s="87"/>
      <c r="BTT11" s="87"/>
      <c r="BTU11" s="87"/>
      <c r="BTV11" s="87"/>
      <c r="BTW11" s="87"/>
      <c r="BTX11" s="87"/>
      <c r="BTY11" s="87"/>
      <c r="BTZ11" s="87"/>
      <c r="BUA11" s="87"/>
      <c r="BUB11" s="87"/>
      <c r="BUC11" s="87"/>
      <c r="BUD11" s="87"/>
      <c r="BUE11" s="87"/>
      <c r="BUF11" s="87"/>
      <c r="BUG11" s="87"/>
      <c r="BUH11" s="87"/>
      <c r="BUI11" s="87"/>
      <c r="BUJ11" s="87"/>
      <c r="BUK11" s="87"/>
      <c r="BUL11" s="87"/>
      <c r="BUM11" s="87"/>
      <c r="BUN11" s="87"/>
      <c r="BUO11" s="87"/>
      <c r="BUP11" s="87"/>
      <c r="BUQ11" s="87"/>
      <c r="BUR11" s="87"/>
      <c r="BUS11" s="87"/>
      <c r="BUT11" s="87"/>
      <c r="BUU11" s="87"/>
      <c r="BUV11" s="87"/>
      <c r="BUW11" s="87"/>
      <c r="BUX11" s="87"/>
      <c r="BUY11" s="87"/>
      <c r="BUZ11" s="87"/>
      <c r="BVA11" s="87"/>
      <c r="BVB11" s="87"/>
      <c r="BVC11" s="87"/>
      <c r="BVD11" s="87"/>
      <c r="BVE11" s="87"/>
      <c r="BVF11" s="87"/>
      <c r="BVG11" s="87"/>
      <c r="BVH11" s="87"/>
      <c r="BVI11" s="87"/>
      <c r="BVJ11" s="87"/>
      <c r="BVK11" s="87"/>
      <c r="BVL11" s="87"/>
      <c r="BVM11" s="87"/>
      <c r="BVN11" s="87"/>
      <c r="BVO11" s="87"/>
      <c r="BVP11" s="87"/>
      <c r="BVQ11" s="87"/>
      <c r="BVR11" s="87"/>
      <c r="BVS11" s="87"/>
      <c r="BVT11" s="87"/>
      <c r="BVU11" s="87"/>
      <c r="BVV11" s="87"/>
      <c r="BVW11" s="87"/>
      <c r="BVX11" s="87"/>
      <c r="BVY11" s="87"/>
      <c r="BVZ11" s="87"/>
      <c r="BWA11" s="87"/>
      <c r="BWB11" s="87"/>
      <c r="BWC11" s="87"/>
      <c r="BWD11" s="87"/>
      <c r="BWE11" s="87"/>
      <c r="BWF11" s="87"/>
      <c r="BWG11" s="87"/>
      <c r="BWH11" s="87"/>
      <c r="BWI11" s="87"/>
      <c r="BWJ11" s="87"/>
      <c r="BWK11" s="87"/>
      <c r="BWL11" s="87"/>
      <c r="BWM11" s="87"/>
      <c r="BWN11" s="87"/>
      <c r="BWO11" s="87"/>
      <c r="BWP11" s="87"/>
      <c r="BWQ11" s="87"/>
      <c r="BWR11" s="87"/>
      <c r="BWS11" s="87"/>
      <c r="BWT11" s="87"/>
      <c r="BWU11" s="87"/>
      <c r="BWV11" s="87"/>
      <c r="BWW11" s="87"/>
      <c r="BWX11" s="87"/>
      <c r="BWY11" s="87"/>
      <c r="BWZ11" s="87"/>
      <c r="BXA11" s="87"/>
      <c r="BXB11" s="87"/>
      <c r="BXC11" s="87"/>
      <c r="BXD11" s="87"/>
      <c r="BXE11" s="87"/>
      <c r="BXF11" s="87"/>
      <c r="BXG11" s="87"/>
      <c r="BXH11" s="87"/>
      <c r="BXI11" s="87"/>
      <c r="BXJ11" s="87"/>
      <c r="BXK11" s="87"/>
      <c r="BXL11" s="87"/>
      <c r="BXM11" s="87"/>
      <c r="BXN11" s="87"/>
      <c r="BXO11" s="87"/>
      <c r="BXP11" s="87"/>
      <c r="BXQ11" s="87"/>
      <c r="BXR11" s="87"/>
      <c r="BXS11" s="87"/>
      <c r="BXT11" s="87"/>
      <c r="BXU11" s="87"/>
      <c r="BXV11" s="87"/>
      <c r="BXW11" s="87"/>
      <c r="BXX11" s="87"/>
      <c r="BXY11" s="87"/>
      <c r="BXZ11" s="87"/>
      <c r="BYA11" s="87"/>
      <c r="BYB11" s="87"/>
      <c r="BYC11" s="87"/>
      <c r="BYD11" s="87"/>
      <c r="BYE11" s="87"/>
      <c r="BYF11" s="87"/>
      <c r="BYG11" s="87"/>
      <c r="BYH11" s="87"/>
      <c r="BYI11" s="87"/>
      <c r="BYJ11" s="87"/>
      <c r="BYK11" s="87"/>
      <c r="BYL11" s="87"/>
      <c r="BYM11" s="87"/>
      <c r="BYN11" s="87"/>
      <c r="BYO11" s="87"/>
      <c r="BYP11" s="87"/>
      <c r="BYQ11" s="87"/>
      <c r="BYR11" s="87"/>
      <c r="BYS11" s="87"/>
      <c r="BYT11" s="87"/>
      <c r="BYU11" s="87"/>
      <c r="BYV11" s="87"/>
      <c r="BYW11" s="87"/>
      <c r="BYX11" s="87"/>
      <c r="BYY11" s="87"/>
      <c r="BYZ11" s="87"/>
      <c r="BZA11" s="87"/>
      <c r="BZB11" s="87"/>
      <c r="BZC11" s="87"/>
      <c r="BZD11" s="87"/>
      <c r="BZE11" s="87"/>
      <c r="BZF11" s="87"/>
      <c r="BZG11" s="87"/>
      <c r="BZH11" s="87"/>
      <c r="BZI11" s="87"/>
      <c r="BZJ11" s="87"/>
      <c r="BZK11" s="87"/>
      <c r="BZL11" s="87"/>
      <c r="BZM11" s="87"/>
      <c r="BZN11" s="87"/>
      <c r="BZO11" s="87"/>
      <c r="BZP11" s="87"/>
      <c r="BZQ11" s="87"/>
      <c r="BZR11" s="87"/>
      <c r="BZS11" s="87"/>
      <c r="BZT11" s="87"/>
      <c r="BZU11" s="87"/>
      <c r="BZV11" s="87"/>
      <c r="BZW11" s="87"/>
      <c r="BZX11" s="87"/>
      <c r="BZY11" s="87"/>
      <c r="BZZ11" s="87"/>
      <c r="CAA11" s="87"/>
      <c r="CAB11" s="87"/>
      <c r="CAC11" s="87"/>
      <c r="CAD11" s="87"/>
      <c r="CAE11" s="87"/>
      <c r="CAF11" s="87"/>
      <c r="CAG11" s="87"/>
      <c r="CAH11" s="87"/>
      <c r="CAI11" s="87"/>
      <c r="CAJ11" s="87"/>
      <c r="CAK11" s="87"/>
      <c r="CAL11" s="87"/>
      <c r="CAM11" s="87"/>
      <c r="CAN11" s="87"/>
      <c r="CAO11" s="87"/>
      <c r="CAP11" s="87"/>
      <c r="CAQ11" s="87"/>
      <c r="CAR11" s="87"/>
      <c r="CAS11" s="87"/>
      <c r="CAT11" s="87"/>
      <c r="CAU11" s="87"/>
      <c r="CAV11" s="87"/>
      <c r="CAW11" s="87"/>
      <c r="CAX11" s="87"/>
      <c r="CAY11" s="87"/>
      <c r="CAZ11" s="87"/>
      <c r="CBA11" s="87"/>
      <c r="CBB11" s="87"/>
      <c r="CBC11" s="87"/>
      <c r="CBD11" s="87"/>
      <c r="CBE11" s="87"/>
      <c r="CBF11" s="87"/>
      <c r="CBG11" s="87"/>
      <c r="CBH11" s="87"/>
      <c r="CBI11" s="87"/>
      <c r="CBJ11" s="87"/>
      <c r="CBK11" s="87"/>
      <c r="CBL11" s="87"/>
      <c r="CBM11" s="87"/>
      <c r="CBN11" s="87"/>
      <c r="CBO11" s="87"/>
      <c r="CBP11" s="87"/>
      <c r="CBQ11" s="87"/>
      <c r="CBR11" s="87"/>
      <c r="CBS11" s="87"/>
      <c r="CBT11" s="87"/>
      <c r="CBU11" s="87"/>
      <c r="CBV11" s="87"/>
      <c r="CBW11" s="87"/>
      <c r="CBX11" s="87"/>
      <c r="CBY11" s="87"/>
      <c r="CBZ11" s="87"/>
      <c r="CCA11" s="87"/>
      <c r="CCB11" s="87"/>
      <c r="CCC11" s="87"/>
      <c r="CCD11" s="87"/>
      <c r="CCE11" s="87"/>
      <c r="CCF11" s="87"/>
      <c r="CCG11" s="87"/>
      <c r="CCH11" s="87"/>
      <c r="CCI11" s="87"/>
      <c r="CCJ11" s="87"/>
      <c r="CCK11" s="87"/>
      <c r="CCL11" s="87"/>
      <c r="CCM11" s="87"/>
      <c r="CCN11" s="87"/>
      <c r="CCO11" s="87"/>
      <c r="CCP11" s="87"/>
      <c r="CCQ11" s="87"/>
      <c r="CCR11" s="87"/>
      <c r="CCS11" s="87"/>
      <c r="CCT11" s="87"/>
      <c r="CCU11" s="87"/>
      <c r="CCV11" s="87"/>
      <c r="CCW11" s="87"/>
      <c r="CCX11" s="87"/>
      <c r="CCY11" s="87"/>
      <c r="CCZ11" s="87"/>
      <c r="CDA11" s="87"/>
      <c r="CDB11" s="87"/>
      <c r="CDC11" s="87"/>
      <c r="CDD11" s="87"/>
      <c r="CDE11" s="87"/>
      <c r="CDF11" s="87"/>
      <c r="CDG11" s="87"/>
      <c r="CDH11" s="87"/>
      <c r="CDI11" s="87"/>
      <c r="CDJ11" s="87"/>
      <c r="CDK11" s="87"/>
      <c r="CDL11" s="87"/>
      <c r="CDM11" s="87"/>
      <c r="CDN11" s="87"/>
      <c r="CDO11" s="87"/>
      <c r="CDP11" s="87"/>
      <c r="CDQ11" s="87"/>
      <c r="CDR11" s="87"/>
      <c r="CDS11" s="87"/>
      <c r="CDT11" s="87"/>
      <c r="CDU11" s="87"/>
      <c r="CDV11" s="87"/>
      <c r="CDW11" s="87"/>
      <c r="CDX11" s="87"/>
      <c r="CDY11" s="87"/>
      <c r="CDZ11" s="87"/>
      <c r="CEA11" s="87"/>
      <c r="CEB11" s="87"/>
      <c r="CEC11" s="87"/>
      <c r="CED11" s="87"/>
      <c r="CEE11" s="87"/>
      <c r="CEF11" s="87"/>
      <c r="CEG11" s="87"/>
      <c r="CEH11" s="87"/>
      <c r="CEI11" s="87"/>
      <c r="CEJ11" s="87"/>
      <c r="CEK11" s="87"/>
      <c r="CEL11" s="87"/>
      <c r="CEM11" s="87"/>
      <c r="CEN11" s="87"/>
      <c r="CEO11" s="87"/>
      <c r="CEP11" s="87"/>
      <c r="CEQ11" s="87"/>
      <c r="CER11" s="87"/>
      <c r="CES11" s="87"/>
      <c r="CET11" s="87"/>
      <c r="CEU11" s="87"/>
      <c r="CEV11" s="87"/>
      <c r="CEW11" s="87"/>
      <c r="CEX11" s="87"/>
      <c r="CEY11" s="87"/>
      <c r="CEZ11" s="87"/>
      <c r="CFA11" s="87"/>
      <c r="CFB11" s="87"/>
      <c r="CFC11" s="87"/>
      <c r="CFD11" s="87"/>
      <c r="CFE11" s="87"/>
      <c r="CFF11" s="87"/>
      <c r="CFG11" s="87"/>
      <c r="CFH11" s="87"/>
      <c r="CFI11" s="87"/>
      <c r="CFJ11" s="87"/>
      <c r="CFK11" s="87"/>
      <c r="CFL11" s="87"/>
      <c r="CFM11" s="87"/>
      <c r="CFN11" s="87"/>
      <c r="CFO11" s="87"/>
      <c r="CFP11" s="87"/>
      <c r="CFQ11" s="87"/>
      <c r="CFR11" s="87"/>
      <c r="CFS11" s="87"/>
      <c r="CFT11" s="87"/>
      <c r="CFU11" s="87"/>
      <c r="CFV11" s="87"/>
      <c r="CFW11" s="87"/>
      <c r="CFX11" s="87"/>
      <c r="CFY11" s="87"/>
      <c r="CFZ11" s="87"/>
      <c r="CGA11" s="87"/>
      <c r="CGB11" s="87"/>
      <c r="CGC11" s="87"/>
      <c r="CGD11" s="87"/>
      <c r="CGE11" s="87"/>
      <c r="CGF11" s="87"/>
      <c r="CGG11" s="87"/>
      <c r="CGH11" s="87"/>
      <c r="CGI11" s="87"/>
      <c r="CGJ11" s="87"/>
      <c r="CGK11" s="87"/>
      <c r="CGL11" s="87"/>
      <c r="CGM11" s="87"/>
      <c r="CGN11" s="87"/>
      <c r="CGO11" s="87"/>
      <c r="CGP11" s="87"/>
      <c r="CGQ11" s="87"/>
      <c r="CGR11" s="87"/>
      <c r="CGS11" s="87"/>
      <c r="CGT11" s="87"/>
      <c r="CGU11" s="87"/>
      <c r="CGV11" s="87"/>
      <c r="CGW11" s="87"/>
      <c r="CGX11" s="87"/>
      <c r="CGY11" s="87"/>
      <c r="CGZ11" s="87"/>
      <c r="CHA11" s="87"/>
      <c r="CHB11" s="87"/>
      <c r="CHC11" s="87"/>
      <c r="CHD11" s="87"/>
      <c r="CHE11" s="87"/>
      <c r="CHF11" s="87"/>
      <c r="CHG11" s="87"/>
      <c r="CHH11" s="87"/>
      <c r="CHI11" s="87"/>
      <c r="CHJ11" s="87"/>
      <c r="CHK11" s="87"/>
      <c r="CHL11" s="87"/>
      <c r="CHM11" s="87"/>
      <c r="CHN11" s="87"/>
      <c r="CHO11" s="87"/>
      <c r="CHP11" s="87"/>
      <c r="CHQ11" s="87"/>
      <c r="CHR11" s="87"/>
      <c r="CHS11" s="87"/>
      <c r="CHT11" s="87"/>
      <c r="CHU11" s="87"/>
      <c r="CHV11" s="87"/>
      <c r="CHW11" s="87"/>
      <c r="CHX11" s="87"/>
      <c r="CHY11" s="87"/>
      <c r="CHZ11" s="87"/>
      <c r="CIA11" s="87"/>
      <c r="CIB11" s="87"/>
      <c r="CIC11" s="87"/>
      <c r="CID11" s="87"/>
      <c r="CIE11" s="87"/>
      <c r="CIF11" s="87"/>
      <c r="CIG11" s="87"/>
      <c r="CIH11" s="87"/>
      <c r="CII11" s="87"/>
      <c r="CIJ11" s="87"/>
      <c r="CIK11" s="87"/>
      <c r="CIL11" s="87"/>
      <c r="CIM11" s="87"/>
      <c r="CIN11" s="87"/>
      <c r="CIO11" s="87"/>
      <c r="CIP11" s="87"/>
      <c r="CIQ11" s="87"/>
      <c r="CIR11" s="87"/>
      <c r="CIS11" s="87"/>
      <c r="CIT11" s="87"/>
      <c r="CIU11" s="87"/>
      <c r="CIV11" s="87"/>
      <c r="CIW11" s="87"/>
      <c r="CIX11" s="87"/>
      <c r="CIY11" s="87"/>
      <c r="CIZ11" s="87"/>
      <c r="CJA11" s="87"/>
      <c r="CJB11" s="87"/>
      <c r="CJC11" s="87"/>
      <c r="CJD11" s="87"/>
      <c r="CJE11" s="87"/>
      <c r="CJF11" s="87"/>
      <c r="CJG11" s="87"/>
      <c r="CJH11" s="87"/>
      <c r="CJI11" s="87"/>
      <c r="CJJ11" s="87"/>
      <c r="CJK11" s="87"/>
      <c r="CJL11" s="87"/>
      <c r="CJM11" s="87"/>
      <c r="CJN11" s="87"/>
      <c r="CJO11" s="87"/>
      <c r="CJP11" s="87"/>
      <c r="CJQ11" s="87"/>
      <c r="CJR11" s="87"/>
      <c r="CJS11" s="87"/>
      <c r="CJT11" s="87"/>
      <c r="CJU11" s="87"/>
      <c r="CJV11" s="87"/>
      <c r="CJW11" s="87"/>
      <c r="CJX11" s="87"/>
      <c r="CJY11" s="87"/>
      <c r="CJZ11" s="87"/>
      <c r="CKA11" s="87"/>
      <c r="CKB11" s="87"/>
      <c r="CKC11" s="87"/>
      <c r="CKD11" s="87"/>
      <c r="CKE11" s="87"/>
      <c r="CKF11" s="87"/>
      <c r="CKG11" s="87"/>
      <c r="CKH11" s="87"/>
      <c r="CKI11" s="87"/>
      <c r="CKJ11" s="87"/>
      <c r="CKK11" s="87"/>
      <c r="CKL11" s="87"/>
      <c r="CKM11" s="87"/>
      <c r="CKN11" s="87"/>
      <c r="CKO11" s="87"/>
      <c r="CKP11" s="87"/>
      <c r="CKQ11" s="87"/>
      <c r="CKR11" s="87"/>
      <c r="CKS11" s="87"/>
      <c r="CKT11" s="87"/>
      <c r="CKU11" s="87"/>
      <c r="CKV11" s="87"/>
      <c r="CKW11" s="87"/>
      <c r="CKX11" s="87"/>
      <c r="CKY11" s="87"/>
      <c r="CKZ11" s="87"/>
      <c r="CLA11" s="87"/>
      <c r="CLB11" s="87"/>
      <c r="CLC11" s="87"/>
      <c r="CLD11" s="87"/>
      <c r="CLE11" s="87"/>
      <c r="CLF11" s="87"/>
      <c r="CLG11" s="87"/>
      <c r="CLH11" s="87"/>
      <c r="CLI11" s="87"/>
      <c r="CLJ11" s="87"/>
      <c r="CLK11" s="87"/>
      <c r="CLL11" s="87"/>
      <c r="CLM11" s="87"/>
      <c r="CLN11" s="87"/>
      <c r="CLO11" s="87"/>
      <c r="CLP11" s="87"/>
      <c r="CLQ11" s="87"/>
      <c r="CLR11" s="87"/>
      <c r="CLS11" s="87"/>
      <c r="CLT11" s="87"/>
      <c r="CLU11" s="87"/>
      <c r="CLV11" s="87"/>
      <c r="CLW11" s="87"/>
      <c r="CLX11" s="87"/>
      <c r="CLY11" s="87"/>
      <c r="CLZ11" s="87"/>
      <c r="CMA11" s="87"/>
      <c r="CMB11" s="87"/>
      <c r="CMC11" s="87"/>
      <c r="CMD11" s="87"/>
      <c r="CME11" s="87"/>
      <c r="CMF11" s="87"/>
      <c r="CMG11" s="87"/>
      <c r="CMH11" s="87"/>
      <c r="CMI11" s="87"/>
      <c r="CMJ11" s="87"/>
      <c r="CMK11" s="87"/>
      <c r="CML11" s="87"/>
      <c r="CMM11" s="87"/>
      <c r="CMN11" s="87"/>
      <c r="CMO11" s="87"/>
      <c r="CMP11" s="87"/>
      <c r="CMQ11" s="87"/>
      <c r="CMR11" s="87"/>
      <c r="CMS11" s="87"/>
      <c r="CMT11" s="87"/>
      <c r="CMU11" s="87"/>
      <c r="CMV11" s="87"/>
      <c r="CMW11" s="87"/>
      <c r="CMX11" s="87"/>
      <c r="CMY11" s="87"/>
      <c r="CMZ11" s="87"/>
      <c r="CNA11" s="87"/>
      <c r="CNB11" s="87"/>
      <c r="CNC11" s="87"/>
      <c r="CND11" s="87"/>
      <c r="CNE11" s="87"/>
      <c r="CNF11" s="87"/>
      <c r="CNG11" s="87"/>
      <c r="CNH11" s="87"/>
      <c r="CNI11" s="87"/>
      <c r="CNJ11" s="87"/>
      <c r="CNK11" s="87"/>
      <c r="CNL11" s="87"/>
      <c r="CNM11" s="87"/>
      <c r="CNN11" s="87"/>
      <c r="CNO11" s="87"/>
      <c r="CNP11" s="87"/>
      <c r="CNQ11" s="87"/>
      <c r="CNR11" s="87"/>
      <c r="CNS11" s="87"/>
      <c r="CNT11" s="87"/>
      <c r="CNU11" s="87"/>
      <c r="CNV11" s="87"/>
      <c r="CNW11" s="87"/>
      <c r="CNX11" s="87"/>
      <c r="CNY11" s="87"/>
      <c r="CNZ11" s="87"/>
      <c r="COA11" s="87"/>
      <c r="COB11" s="87"/>
      <c r="COC11" s="87"/>
      <c r="COD11" s="87"/>
      <c r="COE11" s="87"/>
      <c r="COF11" s="87"/>
      <c r="COG11" s="87"/>
      <c r="COH11" s="87"/>
      <c r="COI11" s="87"/>
      <c r="COJ11" s="87"/>
      <c r="COK11" s="87"/>
      <c r="COL11" s="87"/>
      <c r="COM11" s="87"/>
      <c r="CON11" s="87"/>
      <c r="COO11" s="87"/>
      <c r="COP11" s="87"/>
      <c r="COQ11" s="87"/>
      <c r="COR11" s="87"/>
      <c r="COS11" s="87"/>
      <c r="COT11" s="87"/>
      <c r="COU11" s="87"/>
      <c r="COV11" s="87"/>
      <c r="COW11" s="87"/>
      <c r="COX11" s="87"/>
      <c r="COY11" s="87"/>
      <c r="COZ11" s="87"/>
      <c r="CPA11" s="87"/>
      <c r="CPB11" s="87"/>
      <c r="CPC11" s="87"/>
      <c r="CPD11" s="87"/>
      <c r="CPE11" s="87"/>
      <c r="CPF11" s="87"/>
      <c r="CPG11" s="87"/>
      <c r="CPH11" s="87"/>
      <c r="CPI11" s="87"/>
      <c r="CPJ11" s="87"/>
      <c r="CPK11" s="87"/>
      <c r="CPL11" s="87"/>
      <c r="CPM11" s="87"/>
      <c r="CPN11" s="87"/>
      <c r="CPO11" s="87"/>
      <c r="CPP11" s="87"/>
      <c r="CPQ11" s="87"/>
      <c r="CPR11" s="87"/>
      <c r="CPS11" s="87"/>
      <c r="CPT11" s="87"/>
      <c r="CPU11" s="87"/>
      <c r="CPV11" s="87"/>
      <c r="CPW11" s="87"/>
      <c r="CPX11" s="87"/>
      <c r="CPY11" s="87"/>
      <c r="CPZ11" s="87"/>
      <c r="CQA11" s="87"/>
      <c r="CQB11" s="87"/>
      <c r="CQC11" s="87"/>
      <c r="CQD11" s="87"/>
      <c r="CQE11" s="87"/>
      <c r="CQF11" s="87"/>
      <c r="CQG11" s="87"/>
      <c r="CQH11" s="87"/>
      <c r="CQI11" s="87"/>
      <c r="CQJ11" s="87"/>
      <c r="CQK11" s="87"/>
      <c r="CQL11" s="87"/>
      <c r="CQM11" s="87"/>
      <c r="CQN11" s="87"/>
      <c r="CQO11" s="87"/>
      <c r="CQP11" s="87"/>
      <c r="CQQ11" s="87"/>
      <c r="CQR11" s="87"/>
      <c r="CQS11" s="87"/>
      <c r="CQT11" s="87"/>
      <c r="CQU11" s="87"/>
      <c r="CQV11" s="87"/>
      <c r="CQW11" s="87"/>
      <c r="CQX11" s="87"/>
      <c r="CQY11" s="87"/>
      <c r="CQZ11" s="87"/>
      <c r="CRA11" s="87"/>
      <c r="CRB11" s="87"/>
      <c r="CRC11" s="87"/>
      <c r="CRD11" s="87"/>
      <c r="CRE11" s="87"/>
      <c r="CRF11" s="87"/>
      <c r="CRG11" s="87"/>
      <c r="CRH11" s="87"/>
      <c r="CRI11" s="87"/>
      <c r="CRJ11" s="87"/>
      <c r="CRK11" s="87"/>
      <c r="CRL11" s="87"/>
      <c r="CRM11" s="87"/>
      <c r="CRN11" s="87"/>
      <c r="CRO11" s="87"/>
      <c r="CRP11" s="87"/>
      <c r="CRQ11" s="87"/>
      <c r="CRR11" s="87"/>
      <c r="CRS11" s="87"/>
      <c r="CRT11" s="87"/>
      <c r="CRU11" s="87"/>
      <c r="CRV11" s="87"/>
      <c r="CRW11" s="87"/>
      <c r="CRX11" s="87"/>
      <c r="CRY11" s="87"/>
      <c r="CRZ11" s="87"/>
      <c r="CSA11" s="87"/>
      <c r="CSB11" s="87"/>
      <c r="CSC11" s="87"/>
      <c r="CSD11" s="87"/>
      <c r="CSE11" s="87"/>
      <c r="CSF11" s="87"/>
      <c r="CSG11" s="87"/>
      <c r="CSH11" s="87"/>
      <c r="CSI11" s="87"/>
      <c r="CSJ11" s="87"/>
      <c r="CSK11" s="87"/>
      <c r="CSL11" s="87"/>
      <c r="CSM11" s="87"/>
      <c r="CSN11" s="87"/>
      <c r="CSO11" s="87"/>
      <c r="CSP11" s="87"/>
      <c r="CSQ11" s="87"/>
      <c r="CSR11" s="87"/>
      <c r="CSS11" s="87"/>
      <c r="CST11" s="87"/>
      <c r="CSU11" s="87"/>
      <c r="CSV11" s="87"/>
      <c r="CSW11" s="87"/>
      <c r="CSX11" s="87"/>
      <c r="CSY11" s="87"/>
      <c r="CSZ11" s="87"/>
      <c r="CTA11" s="87"/>
      <c r="CTB11" s="87"/>
      <c r="CTC11" s="87"/>
      <c r="CTD11" s="87"/>
      <c r="CTE11" s="87"/>
      <c r="CTF11" s="87"/>
      <c r="CTG11" s="87"/>
      <c r="CTH11" s="87"/>
      <c r="CTI11" s="87"/>
      <c r="CTJ11" s="87"/>
      <c r="CTK11" s="87"/>
      <c r="CTL11" s="87"/>
      <c r="CTM11" s="87"/>
      <c r="CTN11" s="87"/>
      <c r="CTO11" s="87"/>
      <c r="CTP11" s="87"/>
      <c r="CTQ11" s="87"/>
      <c r="CTR11" s="87"/>
      <c r="CTS11" s="87"/>
      <c r="CTT11" s="87"/>
      <c r="CTU11" s="87"/>
      <c r="CTV11" s="87"/>
      <c r="CTW11" s="87"/>
      <c r="CTX11" s="87"/>
      <c r="CTY11" s="87"/>
      <c r="CTZ11" s="87"/>
      <c r="CUA11" s="87"/>
      <c r="CUB11" s="87"/>
      <c r="CUC11" s="87"/>
      <c r="CUD11" s="87"/>
      <c r="CUE11" s="87"/>
      <c r="CUF11" s="87"/>
      <c r="CUG11" s="87"/>
      <c r="CUH11" s="87"/>
      <c r="CUI11" s="87"/>
      <c r="CUJ11" s="87"/>
      <c r="CUK11" s="87"/>
      <c r="CUL11" s="87"/>
      <c r="CUM11" s="87"/>
      <c r="CUN11" s="87"/>
      <c r="CUO11" s="87"/>
      <c r="CUP11" s="87"/>
      <c r="CUQ11" s="87"/>
      <c r="CUR11" s="87"/>
      <c r="CUS11" s="87"/>
      <c r="CUT11" s="87"/>
      <c r="CUU11" s="87"/>
      <c r="CUV11" s="87"/>
      <c r="CUW11" s="87"/>
      <c r="CUX11" s="87"/>
      <c r="CUY11" s="87"/>
      <c r="CUZ11" s="87"/>
      <c r="CVA11" s="87"/>
      <c r="CVB11" s="87"/>
      <c r="CVC11" s="87"/>
      <c r="CVD11" s="87"/>
      <c r="CVE11" s="87"/>
      <c r="CVF11" s="87"/>
      <c r="CVG11" s="87"/>
      <c r="CVH11" s="87"/>
      <c r="CVI11" s="87"/>
      <c r="CVJ11" s="87"/>
      <c r="CVK11" s="87"/>
      <c r="CVL11" s="87"/>
      <c r="CVM11" s="87"/>
      <c r="CVN11" s="87"/>
      <c r="CVO11" s="87"/>
      <c r="CVP11" s="87"/>
      <c r="CVQ11" s="87"/>
      <c r="CVR11" s="87"/>
      <c r="CVS11" s="87"/>
      <c r="CVT11" s="87"/>
      <c r="CVU11" s="87"/>
      <c r="CVV11" s="87"/>
      <c r="CVW11" s="87"/>
      <c r="CVX11" s="87"/>
      <c r="CVY11" s="87"/>
      <c r="CVZ11" s="87"/>
      <c r="CWA11" s="87"/>
      <c r="CWB11" s="87"/>
      <c r="CWC11" s="87"/>
      <c r="CWD11" s="87"/>
      <c r="CWE11" s="87"/>
      <c r="CWF11" s="87"/>
      <c r="CWG11" s="87"/>
      <c r="CWH11" s="87"/>
      <c r="CWI11" s="87"/>
      <c r="CWJ11" s="87"/>
      <c r="CWK11" s="87"/>
      <c r="CWL11" s="87"/>
      <c r="CWM11" s="87"/>
      <c r="CWN11" s="87"/>
      <c r="CWO11" s="87"/>
      <c r="CWP11" s="87"/>
      <c r="CWQ11" s="87"/>
      <c r="CWR11" s="87"/>
      <c r="CWS11" s="87"/>
      <c r="CWT11" s="87"/>
      <c r="CWU11" s="87"/>
      <c r="CWV11" s="87"/>
      <c r="CWW11" s="87"/>
      <c r="CWX11" s="87"/>
      <c r="CWY11" s="87"/>
      <c r="CWZ11" s="87"/>
      <c r="CXA11" s="87"/>
      <c r="CXB11" s="87"/>
      <c r="CXC11" s="87"/>
      <c r="CXD11" s="87"/>
      <c r="CXE11" s="87"/>
      <c r="CXF11" s="87"/>
      <c r="CXG11" s="87"/>
      <c r="CXH11" s="87"/>
      <c r="CXI11" s="87"/>
      <c r="CXJ11" s="87"/>
      <c r="CXK11" s="87"/>
      <c r="CXL11" s="87"/>
      <c r="CXM11" s="87"/>
      <c r="CXN11" s="87"/>
      <c r="CXO11" s="87"/>
      <c r="CXP11" s="87"/>
      <c r="CXQ11" s="87"/>
      <c r="CXR11" s="87"/>
      <c r="CXS11" s="87"/>
      <c r="CXT11" s="87"/>
      <c r="CXU11" s="87"/>
      <c r="CXV11" s="87"/>
      <c r="CXW11" s="87"/>
      <c r="CXX11" s="87"/>
      <c r="CXY11" s="87"/>
      <c r="CXZ11" s="87"/>
      <c r="CYA11" s="87"/>
      <c r="CYB11" s="87"/>
      <c r="CYC11" s="87"/>
      <c r="CYD11" s="87"/>
      <c r="CYE11" s="87"/>
      <c r="CYF11" s="87"/>
      <c r="CYG11" s="87"/>
      <c r="CYH11" s="87"/>
      <c r="CYI11" s="87"/>
      <c r="CYJ11" s="87"/>
      <c r="CYK11" s="87"/>
      <c r="CYL11" s="87"/>
      <c r="CYM11" s="87"/>
      <c r="CYN11" s="87"/>
      <c r="CYO11" s="87"/>
      <c r="CYP11" s="87"/>
      <c r="CYQ11" s="87"/>
      <c r="CYR11" s="87"/>
      <c r="CYS11" s="87"/>
      <c r="CYT11" s="87"/>
      <c r="CYU11" s="87"/>
      <c r="CYV11" s="87"/>
      <c r="CYW11" s="87"/>
      <c r="CYX11" s="87"/>
      <c r="CYY11" s="87"/>
      <c r="CYZ11" s="87"/>
      <c r="CZA11" s="87"/>
      <c r="CZB11" s="87"/>
      <c r="CZC11" s="87"/>
      <c r="CZD11" s="87"/>
      <c r="CZE11" s="87"/>
      <c r="CZF11" s="87"/>
      <c r="CZG11" s="87"/>
      <c r="CZH11" s="87"/>
      <c r="CZI11" s="87"/>
      <c r="CZJ11" s="87"/>
      <c r="CZK11" s="87"/>
      <c r="CZL11" s="87"/>
      <c r="CZM11" s="87"/>
      <c r="CZN11" s="87"/>
      <c r="CZO11" s="87"/>
      <c r="CZP11" s="87"/>
      <c r="CZQ11" s="87"/>
      <c r="CZR11" s="87"/>
      <c r="CZS11" s="87"/>
      <c r="CZT11" s="87"/>
      <c r="CZU11" s="87"/>
      <c r="CZV11" s="87"/>
      <c r="CZW11" s="87"/>
      <c r="CZX11" s="87"/>
      <c r="CZY11" s="87"/>
      <c r="CZZ11" s="87"/>
      <c r="DAA11" s="87"/>
      <c r="DAB11" s="87"/>
      <c r="DAC11" s="87"/>
      <c r="DAD11" s="87"/>
      <c r="DAE11" s="87"/>
      <c r="DAF11" s="87"/>
      <c r="DAG11" s="87"/>
      <c r="DAH11" s="87"/>
      <c r="DAI11" s="87"/>
      <c r="DAJ11" s="87"/>
      <c r="DAK11" s="87"/>
      <c r="DAL11" s="87"/>
      <c r="DAM11" s="87"/>
      <c r="DAN11" s="87"/>
      <c r="DAO11" s="87"/>
      <c r="DAP11" s="87"/>
      <c r="DAQ11" s="87"/>
      <c r="DAR11" s="87"/>
      <c r="DAS11" s="87"/>
      <c r="DAT11" s="87"/>
      <c r="DAU11" s="87"/>
      <c r="DAV11" s="87"/>
      <c r="DAW11" s="87"/>
      <c r="DAX11" s="87"/>
      <c r="DAY11" s="87"/>
      <c r="DAZ11" s="87"/>
      <c r="DBA11" s="87"/>
      <c r="DBB11" s="87"/>
      <c r="DBC11" s="87"/>
      <c r="DBD11" s="87"/>
      <c r="DBE11" s="87"/>
      <c r="DBF11" s="87"/>
      <c r="DBG11" s="87"/>
      <c r="DBH11" s="87"/>
      <c r="DBI11" s="87"/>
      <c r="DBJ11" s="87"/>
      <c r="DBK11" s="87"/>
      <c r="DBL11" s="87"/>
      <c r="DBM11" s="87"/>
      <c r="DBN11" s="87"/>
      <c r="DBO11" s="87"/>
      <c r="DBP11" s="87"/>
      <c r="DBQ11" s="87"/>
      <c r="DBR11" s="87"/>
      <c r="DBS11" s="87"/>
      <c r="DBT11" s="87"/>
      <c r="DBU11" s="87"/>
      <c r="DBV11" s="87"/>
      <c r="DBW11" s="87"/>
      <c r="DBX11" s="87"/>
      <c r="DBY11" s="87"/>
      <c r="DBZ11" s="87"/>
      <c r="DCA11" s="87"/>
      <c r="DCB11" s="87"/>
      <c r="DCC11" s="87"/>
      <c r="DCD11" s="87"/>
      <c r="DCE11" s="87"/>
      <c r="DCF11" s="87"/>
      <c r="DCG11" s="87"/>
      <c r="DCH11" s="87"/>
      <c r="DCI11" s="87"/>
      <c r="DCJ11" s="87"/>
      <c r="DCK11" s="87"/>
      <c r="DCL11" s="87"/>
      <c r="DCM11" s="87"/>
      <c r="DCN11" s="87"/>
      <c r="DCO11" s="87"/>
      <c r="DCP11" s="87"/>
      <c r="DCQ11" s="87"/>
      <c r="DCR11" s="87"/>
      <c r="DCS11" s="87"/>
      <c r="DCT11" s="87"/>
      <c r="DCU11" s="87"/>
      <c r="DCV11" s="87"/>
      <c r="DCW11" s="87"/>
      <c r="DCX11" s="87"/>
      <c r="DCY11" s="87"/>
      <c r="DCZ11" s="87"/>
      <c r="DDA11" s="87"/>
      <c r="DDB11" s="87"/>
      <c r="DDC11" s="87"/>
      <c r="DDD11" s="87"/>
      <c r="DDE11" s="87"/>
      <c r="DDF11" s="87"/>
      <c r="DDG11" s="87"/>
      <c r="DDH11" s="87"/>
      <c r="DDI11" s="87"/>
      <c r="DDJ11" s="87"/>
      <c r="DDK11" s="87"/>
      <c r="DDL11" s="87"/>
      <c r="DDM11" s="87"/>
      <c r="DDN11" s="87"/>
      <c r="DDO11" s="87"/>
      <c r="DDP11" s="87"/>
      <c r="DDQ11" s="87"/>
      <c r="DDR11" s="87"/>
      <c r="DDS11" s="87"/>
      <c r="DDT11" s="87"/>
      <c r="DDU11" s="87"/>
      <c r="DDV11" s="87"/>
      <c r="DDW11" s="87"/>
      <c r="DDX11" s="87"/>
      <c r="DDY11" s="87"/>
      <c r="DDZ11" s="87"/>
      <c r="DEA11" s="87"/>
      <c r="DEB11" s="87"/>
      <c r="DEC11" s="87"/>
      <c r="DED11" s="87"/>
      <c r="DEE11" s="87"/>
      <c r="DEF11" s="87"/>
      <c r="DEG11" s="87"/>
      <c r="DEH11" s="87"/>
      <c r="DEI11" s="87"/>
      <c r="DEJ11" s="87"/>
      <c r="DEK11" s="87"/>
      <c r="DEL11" s="87"/>
      <c r="DEM11" s="87"/>
      <c r="DEN11" s="87"/>
      <c r="DEO11" s="87"/>
      <c r="DEP11" s="87"/>
      <c r="DEQ11" s="87"/>
      <c r="DER11" s="87"/>
      <c r="DES11" s="87"/>
      <c r="DET11" s="87"/>
      <c r="DEU11" s="87"/>
      <c r="DEV11" s="87"/>
      <c r="DEW11" s="87"/>
      <c r="DEX11" s="87"/>
      <c r="DEY11" s="87"/>
      <c r="DEZ11" s="87"/>
      <c r="DFA11" s="87"/>
      <c r="DFB11" s="87"/>
      <c r="DFC11" s="87"/>
      <c r="DFD11" s="87"/>
      <c r="DFE11" s="87"/>
      <c r="DFF11" s="87"/>
      <c r="DFG11" s="87"/>
      <c r="DFH11" s="87"/>
      <c r="DFI11" s="87"/>
      <c r="DFJ11" s="87"/>
      <c r="DFK11" s="87"/>
      <c r="DFL11" s="87"/>
      <c r="DFM11" s="87"/>
      <c r="DFN11" s="87"/>
      <c r="DFO11" s="87"/>
      <c r="DFP11" s="87"/>
      <c r="DFQ11" s="87"/>
      <c r="DFR11" s="87"/>
      <c r="DFS11" s="87"/>
      <c r="DFT11" s="87"/>
      <c r="DFU11" s="87"/>
      <c r="DFV11" s="87"/>
      <c r="DFW11" s="87"/>
      <c r="DFX11" s="87"/>
      <c r="DFY11" s="87"/>
      <c r="DFZ11" s="87"/>
      <c r="DGA11" s="87"/>
      <c r="DGB11" s="87"/>
      <c r="DGC11" s="87"/>
      <c r="DGD11" s="87"/>
      <c r="DGE11" s="87"/>
      <c r="DGF11" s="87"/>
      <c r="DGG11" s="87"/>
      <c r="DGH11" s="87"/>
      <c r="DGI11" s="87"/>
      <c r="DGJ11" s="87"/>
      <c r="DGK11" s="87"/>
      <c r="DGL11" s="87"/>
      <c r="DGM11" s="87"/>
      <c r="DGN11" s="87"/>
      <c r="DGO11" s="87"/>
      <c r="DGP11" s="87"/>
      <c r="DGQ11" s="87"/>
      <c r="DGR11" s="87"/>
      <c r="DGS11" s="87"/>
      <c r="DGT11" s="87"/>
      <c r="DGU11" s="87"/>
      <c r="DGV11" s="87"/>
      <c r="DGW11" s="87"/>
      <c r="DGX11" s="87"/>
      <c r="DGY11" s="87"/>
      <c r="DGZ11" s="87"/>
      <c r="DHA11" s="87"/>
      <c r="DHB11" s="87"/>
      <c r="DHC11" s="87"/>
      <c r="DHD11" s="87"/>
      <c r="DHE11" s="87"/>
      <c r="DHF11" s="87"/>
      <c r="DHG11" s="87"/>
      <c r="DHH11" s="87"/>
      <c r="DHI11" s="87"/>
      <c r="DHJ11" s="87"/>
      <c r="DHK11" s="87"/>
      <c r="DHL11" s="87"/>
      <c r="DHM11" s="87"/>
      <c r="DHN11" s="87"/>
      <c r="DHO11" s="87"/>
      <c r="DHP11" s="87"/>
      <c r="DHQ11" s="87"/>
      <c r="DHR11" s="87"/>
      <c r="DHS11" s="87"/>
      <c r="DHT11" s="87"/>
      <c r="DHU11" s="87"/>
      <c r="DHV11" s="87"/>
      <c r="DHW11" s="87"/>
      <c r="DHX11" s="87"/>
      <c r="DHY11" s="87"/>
      <c r="DHZ11" s="87"/>
      <c r="DIA11" s="87"/>
      <c r="DIB11" s="87"/>
      <c r="DIC11" s="87"/>
      <c r="DID11" s="87"/>
      <c r="DIE11" s="87"/>
      <c r="DIF11" s="87"/>
      <c r="DIG11" s="87"/>
      <c r="DIH11" s="87"/>
      <c r="DII11" s="87"/>
      <c r="DIJ11" s="87"/>
      <c r="DIK11" s="87"/>
      <c r="DIL11" s="87"/>
      <c r="DIM11" s="87"/>
      <c r="DIN11" s="87"/>
      <c r="DIO11" s="87"/>
      <c r="DIP11" s="87"/>
      <c r="DIQ11" s="87"/>
      <c r="DIR11" s="87"/>
      <c r="DIS11" s="87"/>
      <c r="DIT11" s="87"/>
      <c r="DIU11" s="87"/>
      <c r="DIV11" s="87"/>
      <c r="DIW11" s="87"/>
      <c r="DIX11" s="87"/>
      <c r="DIY11" s="87"/>
      <c r="DIZ11" s="87"/>
      <c r="DJA11" s="87"/>
      <c r="DJB11" s="87"/>
      <c r="DJC11" s="87"/>
      <c r="DJD11" s="87"/>
      <c r="DJE11" s="87"/>
      <c r="DJF11" s="87"/>
      <c r="DJG11" s="87"/>
      <c r="DJH11" s="87"/>
      <c r="DJI11" s="87"/>
      <c r="DJJ11" s="87"/>
      <c r="DJK11" s="87"/>
      <c r="DJL11" s="87"/>
      <c r="DJM11" s="87"/>
      <c r="DJN11" s="87"/>
      <c r="DJO11" s="87"/>
      <c r="DJP11" s="87"/>
      <c r="DJQ11" s="87"/>
      <c r="DJR11" s="87"/>
      <c r="DJS11" s="87"/>
      <c r="DJT11" s="87"/>
      <c r="DJU11" s="87"/>
      <c r="DJV11" s="87"/>
      <c r="DJW11" s="87"/>
      <c r="DJX11" s="87"/>
      <c r="DJY11" s="87"/>
      <c r="DJZ11" s="87"/>
      <c r="DKA11" s="87"/>
      <c r="DKB11" s="87"/>
      <c r="DKC11" s="87"/>
      <c r="DKD11" s="87"/>
      <c r="DKE11" s="87"/>
      <c r="DKF11" s="87"/>
      <c r="DKG11" s="87"/>
      <c r="DKH11" s="87"/>
      <c r="DKI11" s="87"/>
      <c r="DKJ11" s="87"/>
      <c r="DKK11" s="87"/>
      <c r="DKL11" s="87"/>
      <c r="DKM11" s="87"/>
      <c r="DKN11" s="87"/>
      <c r="DKO11" s="87"/>
      <c r="DKP11" s="87"/>
      <c r="DKQ11" s="87"/>
      <c r="DKR11" s="87"/>
      <c r="DKS11" s="87"/>
      <c r="DKT11" s="87"/>
      <c r="DKU11" s="87"/>
      <c r="DKV11" s="87"/>
      <c r="DKW11" s="87"/>
      <c r="DKX11" s="87"/>
      <c r="DKY11" s="87"/>
      <c r="DKZ11" s="87"/>
      <c r="DLA11" s="87"/>
      <c r="DLB11" s="87"/>
      <c r="DLC11" s="87"/>
      <c r="DLD11" s="87"/>
      <c r="DLE11" s="87"/>
      <c r="DLF11" s="87"/>
      <c r="DLG11" s="87"/>
      <c r="DLH11" s="87"/>
      <c r="DLI11" s="87"/>
      <c r="DLJ11" s="87"/>
      <c r="DLK11" s="87"/>
      <c r="DLL11" s="87"/>
      <c r="DLM11" s="87"/>
      <c r="DLN11" s="87"/>
      <c r="DLO11" s="87"/>
      <c r="DLP11" s="87"/>
      <c r="DLQ11" s="87"/>
      <c r="DLR11" s="87"/>
      <c r="DLS11" s="87"/>
      <c r="DLT11" s="87"/>
      <c r="DLU11" s="87"/>
      <c r="DLV11" s="87"/>
      <c r="DLW11" s="87"/>
      <c r="DLX11" s="87"/>
      <c r="DLY11" s="87"/>
      <c r="DLZ11" s="87"/>
      <c r="DMA11" s="87"/>
      <c r="DMB11" s="87"/>
      <c r="DMC11" s="87"/>
      <c r="DMD11" s="87"/>
      <c r="DME11" s="87"/>
      <c r="DMF11" s="87"/>
      <c r="DMG11" s="87"/>
      <c r="DMH11" s="87"/>
      <c r="DMI11" s="87"/>
      <c r="DMJ11" s="87"/>
      <c r="DMK11" s="87"/>
      <c r="DML11" s="87"/>
      <c r="DMM11" s="87"/>
      <c r="DMN11" s="87"/>
      <c r="DMO11" s="87"/>
      <c r="DMP11" s="87"/>
      <c r="DMQ11" s="87"/>
      <c r="DMR11" s="87"/>
      <c r="DMS11" s="87"/>
      <c r="DMT11" s="87"/>
      <c r="DMU11" s="87"/>
      <c r="DMV11" s="87"/>
      <c r="DMW11" s="87"/>
      <c r="DMX11" s="87"/>
      <c r="DMY11" s="87"/>
      <c r="DMZ11" s="87"/>
      <c r="DNA11" s="87"/>
      <c r="DNB11" s="87"/>
      <c r="DNC11" s="87"/>
      <c r="DND11" s="87"/>
      <c r="DNE11" s="87"/>
      <c r="DNF11" s="87"/>
      <c r="DNG11" s="87"/>
      <c r="DNH11" s="87"/>
      <c r="DNI11" s="87"/>
      <c r="DNJ11" s="87"/>
      <c r="DNK11" s="87"/>
      <c r="DNL11" s="87"/>
      <c r="DNM11" s="87"/>
      <c r="DNN11" s="87"/>
      <c r="DNO11" s="87"/>
      <c r="DNP11" s="87"/>
      <c r="DNQ11" s="87"/>
      <c r="DNR11" s="87"/>
      <c r="DNS11" s="87"/>
      <c r="DNT11" s="87"/>
      <c r="DNU11" s="87"/>
      <c r="DNV11" s="87"/>
      <c r="DNW11" s="87"/>
      <c r="DNX11" s="87"/>
      <c r="DNY11" s="87"/>
      <c r="DNZ11" s="87"/>
      <c r="DOA11" s="87"/>
      <c r="DOB11" s="87"/>
      <c r="DOC11" s="87"/>
      <c r="DOD11" s="87"/>
      <c r="DOE11" s="87"/>
      <c r="DOF11" s="87"/>
      <c r="DOG11" s="87"/>
      <c r="DOH11" s="87"/>
      <c r="DOI11" s="87"/>
      <c r="DOJ11" s="87"/>
      <c r="DOK11" s="87"/>
      <c r="DOL11" s="87"/>
      <c r="DOM11" s="87"/>
      <c r="DON11" s="87"/>
      <c r="DOO11" s="87"/>
      <c r="DOP11" s="87"/>
      <c r="DOQ11" s="87"/>
      <c r="DOR11" s="87"/>
      <c r="DOS11" s="87"/>
      <c r="DOT11" s="87"/>
      <c r="DOU11" s="87"/>
      <c r="DOV11" s="87"/>
      <c r="DOW11" s="87"/>
      <c r="DOX11" s="87"/>
      <c r="DOY11" s="87"/>
      <c r="DOZ11" s="87"/>
      <c r="DPA11" s="87"/>
      <c r="DPB11" s="87"/>
      <c r="DPC11" s="87"/>
      <c r="DPD11" s="87"/>
      <c r="DPE11" s="87"/>
      <c r="DPF11" s="87"/>
      <c r="DPG11" s="87"/>
      <c r="DPH11" s="87"/>
      <c r="DPI11" s="87"/>
      <c r="DPJ11" s="87"/>
      <c r="DPK11" s="87"/>
      <c r="DPL11" s="87"/>
      <c r="DPM11" s="87"/>
      <c r="DPN11" s="87"/>
      <c r="DPO11" s="87"/>
      <c r="DPP11" s="87"/>
      <c r="DPQ11" s="87"/>
      <c r="DPR11" s="87"/>
      <c r="DPS11" s="87"/>
      <c r="DPT11" s="87"/>
      <c r="DPU11" s="87"/>
      <c r="DPV11" s="87"/>
      <c r="DPW11" s="87"/>
      <c r="DPX11" s="87"/>
      <c r="DPY11" s="87"/>
      <c r="DPZ11" s="87"/>
      <c r="DQA11" s="87"/>
      <c r="DQB11" s="87"/>
      <c r="DQC11" s="87"/>
      <c r="DQD11" s="87"/>
      <c r="DQE11" s="87"/>
      <c r="DQF11" s="87"/>
      <c r="DQG11" s="87"/>
      <c r="DQH11" s="87"/>
      <c r="DQI11" s="87"/>
      <c r="DQJ11" s="87"/>
      <c r="DQK11" s="87"/>
      <c r="DQL11" s="87"/>
      <c r="DQM11" s="87"/>
      <c r="DQN11" s="87"/>
      <c r="DQO11" s="87"/>
      <c r="DQP11" s="87"/>
      <c r="DQQ11" s="87"/>
      <c r="DQR11" s="87"/>
      <c r="DQS11" s="87"/>
      <c r="DQT11" s="87"/>
      <c r="DQU11" s="87"/>
      <c r="DQV11" s="87"/>
      <c r="DQW11" s="87"/>
      <c r="DQX11" s="87"/>
      <c r="DQY11" s="87"/>
      <c r="DQZ11" s="87"/>
      <c r="DRA11" s="87"/>
      <c r="DRB11" s="87"/>
      <c r="DRC11" s="87"/>
      <c r="DRD11" s="87"/>
      <c r="DRE11" s="87"/>
      <c r="DRF11" s="87"/>
      <c r="DRG11" s="87"/>
      <c r="DRH11" s="87"/>
      <c r="DRI11" s="87"/>
      <c r="DRJ11" s="87"/>
      <c r="DRK11" s="87"/>
      <c r="DRL11" s="87"/>
      <c r="DRM11" s="87"/>
      <c r="DRN11" s="87"/>
      <c r="DRO11" s="87"/>
      <c r="DRP11" s="87"/>
      <c r="DRQ11" s="87"/>
      <c r="DRR11" s="87"/>
      <c r="DRS11" s="87"/>
      <c r="DRT11" s="87"/>
      <c r="DRU11" s="87"/>
      <c r="DRV11" s="87"/>
      <c r="DRW11" s="87"/>
      <c r="DRX11" s="87"/>
      <c r="DRY11" s="87"/>
      <c r="DRZ11" s="87"/>
      <c r="DSA11" s="87"/>
      <c r="DSB11" s="87"/>
      <c r="DSC11" s="87"/>
      <c r="DSD11" s="87"/>
      <c r="DSE11" s="87"/>
      <c r="DSF11" s="87"/>
      <c r="DSG11" s="87"/>
      <c r="DSH11" s="87"/>
      <c r="DSI11" s="87"/>
      <c r="DSJ11" s="87"/>
      <c r="DSK11" s="87"/>
      <c r="DSL11" s="87"/>
      <c r="DSM11" s="87"/>
      <c r="DSN11" s="87"/>
      <c r="DSO11" s="87"/>
      <c r="DSP11" s="87"/>
      <c r="DSQ11" s="87"/>
      <c r="DSR11" s="87"/>
      <c r="DSS11" s="87"/>
      <c r="DST11" s="87"/>
      <c r="DSU11" s="87"/>
      <c r="DSV11" s="87"/>
      <c r="DSW11" s="87"/>
      <c r="DSX11" s="87"/>
      <c r="DSY11" s="87"/>
      <c r="DSZ11" s="87"/>
      <c r="DTA11" s="87"/>
      <c r="DTB11" s="87"/>
      <c r="DTC11" s="87"/>
      <c r="DTD11" s="87"/>
      <c r="DTE11" s="87"/>
      <c r="DTF11" s="87"/>
      <c r="DTG11" s="87"/>
      <c r="DTH11" s="87"/>
      <c r="DTI11" s="87"/>
      <c r="DTJ11" s="87"/>
      <c r="DTK11" s="87"/>
      <c r="DTL11" s="87"/>
      <c r="DTM11" s="87"/>
      <c r="DTN11" s="87"/>
      <c r="DTO11" s="87"/>
      <c r="DTP11" s="87"/>
      <c r="DTQ11" s="87"/>
      <c r="DTR11" s="87"/>
      <c r="DTS11" s="87"/>
      <c r="DTT11" s="87"/>
      <c r="DTU11" s="87"/>
      <c r="DTV11" s="87"/>
      <c r="DTW11" s="87"/>
      <c r="DTX11" s="87"/>
      <c r="DTY11" s="87"/>
      <c r="DTZ11" s="87"/>
      <c r="DUA11" s="87"/>
      <c r="DUB11" s="87"/>
      <c r="DUC11" s="87"/>
      <c r="DUD11" s="87"/>
      <c r="DUE11" s="87"/>
      <c r="DUF11" s="87"/>
      <c r="DUG11" s="87"/>
      <c r="DUH11" s="87"/>
      <c r="DUI11" s="87"/>
      <c r="DUJ11" s="87"/>
      <c r="DUK11" s="87"/>
      <c r="DUL11" s="87"/>
      <c r="DUM11" s="87"/>
      <c r="DUN11" s="87"/>
      <c r="DUO11" s="87"/>
      <c r="DUP11" s="87"/>
      <c r="DUQ11" s="87"/>
      <c r="DUR11" s="87"/>
      <c r="DUS11" s="87"/>
      <c r="DUT11" s="87"/>
      <c r="DUU11" s="87"/>
      <c r="DUV11" s="87"/>
      <c r="DUW11" s="87"/>
      <c r="DUX11" s="87"/>
      <c r="DUY11" s="87"/>
      <c r="DUZ11" s="87"/>
      <c r="DVA11" s="87"/>
      <c r="DVB11" s="87"/>
      <c r="DVC11" s="87"/>
      <c r="DVD11" s="87"/>
      <c r="DVE11" s="87"/>
      <c r="DVF11" s="87"/>
      <c r="DVG11" s="87"/>
      <c r="DVH11" s="87"/>
      <c r="DVI11" s="87"/>
      <c r="DVJ11" s="87"/>
      <c r="DVK11" s="87"/>
      <c r="DVL11" s="87"/>
      <c r="DVM11" s="87"/>
      <c r="DVN11" s="87"/>
      <c r="DVO11" s="87"/>
      <c r="DVP11" s="87"/>
      <c r="DVQ11" s="87"/>
      <c r="DVR11" s="87"/>
      <c r="DVS11" s="87"/>
      <c r="DVT11" s="87"/>
      <c r="DVU11" s="87"/>
      <c r="DVV11" s="87"/>
      <c r="DVW11" s="87"/>
      <c r="DVX11" s="87"/>
      <c r="DVY11" s="87"/>
      <c r="DVZ11" s="87"/>
      <c r="DWA11" s="87"/>
      <c r="DWB11" s="87"/>
      <c r="DWC11" s="87"/>
      <c r="DWD11" s="87"/>
      <c r="DWE11" s="87"/>
      <c r="DWF11" s="87"/>
      <c r="DWG11" s="87"/>
      <c r="DWH11" s="87"/>
      <c r="DWI11" s="87"/>
      <c r="DWJ11" s="87"/>
      <c r="DWK11" s="87"/>
      <c r="DWL11" s="87"/>
      <c r="DWM11" s="87"/>
      <c r="DWN11" s="87"/>
      <c r="DWO11" s="87"/>
      <c r="DWP11" s="87"/>
      <c r="DWQ11" s="87"/>
      <c r="DWR11" s="87"/>
      <c r="DWS11" s="87"/>
      <c r="DWT11" s="87"/>
      <c r="DWU11" s="87"/>
      <c r="DWV11" s="87"/>
      <c r="DWW11" s="87"/>
      <c r="DWX11" s="87"/>
      <c r="DWY11" s="87"/>
      <c r="DWZ11" s="87"/>
      <c r="DXA11" s="87"/>
      <c r="DXB11" s="87"/>
      <c r="DXC11" s="87"/>
      <c r="DXD11" s="87"/>
      <c r="DXE11" s="87"/>
      <c r="DXF11" s="87"/>
      <c r="DXG11" s="87"/>
      <c r="DXH11" s="87"/>
      <c r="DXI11" s="87"/>
      <c r="DXJ11" s="87"/>
      <c r="DXK11" s="87"/>
      <c r="DXL11" s="87"/>
      <c r="DXM11" s="87"/>
      <c r="DXN11" s="87"/>
      <c r="DXO11" s="87"/>
      <c r="DXP11" s="87"/>
      <c r="DXQ11" s="87"/>
      <c r="DXR11" s="87"/>
      <c r="DXS11" s="87"/>
      <c r="DXT11" s="87"/>
      <c r="DXU11" s="87"/>
      <c r="DXV11" s="87"/>
      <c r="DXW11" s="87"/>
      <c r="DXX11" s="87"/>
      <c r="DXY11" s="87"/>
      <c r="DXZ11" s="87"/>
      <c r="DYA11" s="87"/>
      <c r="DYB11" s="87"/>
      <c r="DYC11" s="87"/>
      <c r="DYD11" s="87"/>
      <c r="DYE11" s="87"/>
      <c r="DYF11" s="87"/>
      <c r="DYG11" s="87"/>
      <c r="DYH11" s="87"/>
      <c r="DYI11" s="87"/>
      <c r="DYJ11" s="87"/>
      <c r="DYK11" s="87"/>
      <c r="DYL11" s="87"/>
      <c r="DYM11" s="87"/>
      <c r="DYN11" s="87"/>
      <c r="DYO11" s="87"/>
      <c r="DYP11" s="87"/>
      <c r="DYQ11" s="87"/>
      <c r="DYR11" s="87"/>
      <c r="DYS11" s="87"/>
      <c r="DYT11" s="87"/>
      <c r="DYU11" s="87"/>
      <c r="DYV11" s="87"/>
      <c r="DYW11" s="87"/>
      <c r="DYX11" s="87"/>
      <c r="DYY11" s="87"/>
      <c r="DYZ11" s="87"/>
      <c r="DZA11" s="87"/>
      <c r="DZB11" s="87"/>
      <c r="DZC11" s="87"/>
      <c r="DZD11" s="87"/>
      <c r="DZE11" s="87"/>
      <c r="DZF11" s="87"/>
      <c r="DZG11" s="87"/>
      <c r="DZH11" s="87"/>
      <c r="DZI11" s="87"/>
      <c r="DZJ11" s="87"/>
      <c r="DZK11" s="87"/>
      <c r="DZL11" s="87"/>
      <c r="DZM11" s="87"/>
      <c r="DZN11" s="87"/>
      <c r="DZO11" s="87"/>
      <c r="DZP11" s="87"/>
      <c r="DZQ11" s="87"/>
      <c r="DZR11" s="87"/>
      <c r="DZS11" s="87"/>
      <c r="DZT11" s="87"/>
      <c r="DZU11" s="87"/>
      <c r="DZV11" s="87"/>
      <c r="DZW11" s="87"/>
      <c r="DZX11" s="87"/>
      <c r="DZY11" s="87"/>
      <c r="DZZ11" s="87"/>
      <c r="EAA11" s="87"/>
      <c r="EAB11" s="87"/>
      <c r="EAC11" s="87"/>
      <c r="EAD11" s="87"/>
      <c r="EAE11" s="87"/>
      <c r="EAF11" s="87"/>
      <c r="EAG11" s="87"/>
      <c r="EAH11" s="87"/>
      <c r="EAI11" s="87"/>
      <c r="EAJ11" s="87"/>
      <c r="EAK11" s="87"/>
      <c r="EAL11" s="87"/>
      <c r="EAM11" s="87"/>
      <c r="EAN11" s="87"/>
      <c r="EAO11" s="87"/>
      <c r="EAP11" s="87"/>
      <c r="EAQ11" s="87"/>
      <c r="EAR11" s="87"/>
      <c r="EAS11" s="87"/>
      <c r="EAT11" s="87"/>
      <c r="EAU11" s="87"/>
      <c r="EAV11" s="87"/>
      <c r="EAW11" s="87"/>
      <c r="EAX11" s="87"/>
      <c r="EAY11" s="87"/>
      <c r="EAZ11" s="87"/>
      <c r="EBA11" s="87"/>
      <c r="EBB11" s="87"/>
      <c r="EBC11" s="87"/>
      <c r="EBD11" s="87"/>
      <c r="EBE11" s="87"/>
      <c r="EBF11" s="87"/>
      <c r="EBG11" s="87"/>
      <c r="EBH11" s="87"/>
      <c r="EBI11" s="87"/>
      <c r="EBJ11" s="87"/>
      <c r="EBK11" s="87"/>
      <c r="EBL11" s="87"/>
      <c r="EBM11" s="87"/>
      <c r="EBN11" s="87"/>
      <c r="EBO11" s="87"/>
      <c r="EBP11" s="87"/>
      <c r="EBQ11" s="87"/>
      <c r="EBR11" s="87"/>
      <c r="EBS11" s="87"/>
      <c r="EBT11" s="87"/>
      <c r="EBU11" s="87"/>
      <c r="EBV11" s="87"/>
      <c r="EBW11" s="87"/>
      <c r="EBX11" s="87"/>
      <c r="EBY11" s="87"/>
      <c r="EBZ11" s="87"/>
      <c r="ECA11" s="87"/>
      <c r="ECB11" s="87"/>
      <c r="ECC11" s="87"/>
      <c r="ECD11" s="87"/>
      <c r="ECE11" s="87"/>
      <c r="ECF11" s="87"/>
      <c r="ECG11" s="87"/>
      <c r="ECH11" s="87"/>
      <c r="ECI11" s="87"/>
      <c r="ECJ11" s="87"/>
      <c r="ECK11" s="87"/>
      <c r="ECL11" s="87"/>
      <c r="ECM11" s="87"/>
      <c r="ECN11" s="87"/>
      <c r="ECO11" s="87"/>
      <c r="ECP11" s="87"/>
      <c r="ECQ11" s="87"/>
      <c r="ECR11" s="87"/>
      <c r="ECS11" s="87"/>
      <c r="ECT11" s="87"/>
      <c r="ECU11" s="87"/>
      <c r="ECV11" s="87"/>
      <c r="ECW11" s="87"/>
      <c r="ECX11" s="87"/>
      <c r="ECY11" s="87"/>
      <c r="ECZ11" s="87"/>
      <c r="EDA11" s="87"/>
      <c r="EDB11" s="87"/>
      <c r="EDC11" s="87"/>
      <c r="EDD11" s="87"/>
      <c r="EDE11" s="87"/>
      <c r="EDF11" s="87"/>
      <c r="EDG11" s="87"/>
      <c r="EDH11" s="87"/>
      <c r="EDI11" s="87"/>
      <c r="EDJ11" s="87"/>
      <c r="EDK11" s="87"/>
      <c r="EDL11" s="87"/>
      <c r="EDM11" s="87"/>
      <c r="EDN11" s="87"/>
      <c r="EDO11" s="87"/>
      <c r="EDP11" s="87"/>
      <c r="EDQ11" s="87"/>
      <c r="EDR11" s="87"/>
      <c r="EDS11" s="87"/>
      <c r="EDT11" s="87"/>
      <c r="EDU11" s="87"/>
      <c r="EDV11" s="87"/>
      <c r="EDW11" s="87"/>
      <c r="EDX11" s="87"/>
      <c r="EDY11" s="87"/>
      <c r="EDZ11" s="87"/>
      <c r="EEA11" s="87"/>
      <c r="EEB11" s="87"/>
      <c r="EEC11" s="87"/>
      <c r="EED11" s="87"/>
      <c r="EEE11" s="87"/>
      <c r="EEF11" s="87"/>
      <c r="EEG11" s="87"/>
      <c r="EEH11" s="87"/>
      <c r="EEI11" s="87"/>
      <c r="EEJ11" s="87"/>
      <c r="EEK11" s="87"/>
      <c r="EEL11" s="87"/>
      <c r="EEM11" s="87"/>
      <c r="EEN11" s="87"/>
      <c r="EEO11" s="87"/>
      <c r="EEP11" s="87"/>
      <c r="EEQ11" s="87"/>
      <c r="EER11" s="87"/>
      <c r="EES11" s="87"/>
      <c r="EET11" s="87"/>
      <c r="EEU11" s="87"/>
      <c r="EEV11" s="87"/>
      <c r="EEW11" s="87"/>
      <c r="EEX11" s="87"/>
      <c r="EEY11" s="87"/>
      <c r="EEZ11" s="87"/>
      <c r="EFA11" s="87"/>
      <c r="EFB11" s="87"/>
      <c r="EFC11" s="87"/>
      <c r="EFD11" s="87"/>
      <c r="EFE11" s="87"/>
      <c r="EFF11" s="87"/>
      <c r="EFG11" s="87"/>
      <c r="EFH11" s="87"/>
      <c r="EFI11" s="87"/>
      <c r="EFJ11" s="87"/>
      <c r="EFK11" s="87"/>
      <c r="EFL11" s="87"/>
      <c r="EFM11" s="87"/>
      <c r="EFN11" s="87"/>
      <c r="EFO11" s="87"/>
      <c r="EFP11" s="87"/>
      <c r="EFQ11" s="87"/>
      <c r="EFR11" s="87"/>
      <c r="EFS11" s="87"/>
      <c r="EFT11" s="87"/>
      <c r="EFU11" s="87"/>
      <c r="EFV11" s="87"/>
      <c r="EFW11" s="87"/>
      <c r="EFX11" s="87"/>
      <c r="EFY11" s="87"/>
      <c r="EFZ11" s="87"/>
      <c r="EGA11" s="87"/>
      <c r="EGB11" s="87"/>
      <c r="EGC11" s="87"/>
      <c r="EGD11" s="87"/>
      <c r="EGE11" s="87"/>
      <c r="EGF11" s="87"/>
      <c r="EGG11" s="87"/>
      <c r="EGH11" s="87"/>
      <c r="EGI11" s="87"/>
      <c r="EGJ11" s="87"/>
      <c r="EGK11" s="87"/>
      <c r="EGL11" s="87"/>
      <c r="EGM11" s="87"/>
      <c r="EGN11" s="87"/>
      <c r="EGO11" s="87"/>
      <c r="EGP11" s="87"/>
      <c r="EGQ11" s="87"/>
      <c r="EGR11" s="87"/>
      <c r="EGS11" s="87"/>
      <c r="EGT11" s="87"/>
      <c r="EGU11" s="87"/>
      <c r="EGV11" s="87"/>
      <c r="EGW11" s="87"/>
      <c r="EGX11" s="87"/>
      <c r="EGY11" s="87"/>
      <c r="EGZ11" s="87"/>
      <c r="EHA11" s="87"/>
      <c r="EHB11" s="87"/>
      <c r="EHC11" s="87"/>
      <c r="EHD11" s="87"/>
      <c r="EHE11" s="87"/>
      <c r="EHF11" s="87"/>
      <c r="EHG11" s="87"/>
      <c r="EHH11" s="87"/>
      <c r="EHI11" s="87"/>
      <c r="EHJ11" s="87"/>
      <c r="EHK11" s="87"/>
      <c r="EHL11" s="87"/>
      <c r="EHM11" s="87"/>
      <c r="EHN11" s="87"/>
      <c r="EHO11" s="87"/>
      <c r="EHP11" s="87"/>
      <c r="EHQ11" s="87"/>
      <c r="EHR11" s="87"/>
      <c r="EHS11" s="87"/>
      <c r="EHT11" s="87"/>
      <c r="EHU11" s="87"/>
      <c r="EHV11" s="87"/>
      <c r="EHW11" s="87"/>
      <c r="EHX11" s="87"/>
      <c r="EHY11" s="87"/>
      <c r="EHZ11" s="87"/>
      <c r="EIA11" s="87"/>
      <c r="EIB11" s="87"/>
      <c r="EIC11" s="87"/>
      <c r="EID11" s="87"/>
      <c r="EIE11" s="87"/>
      <c r="EIF11" s="87"/>
      <c r="EIG11" s="87"/>
      <c r="EIH11" s="87"/>
      <c r="EII11" s="87"/>
      <c r="EIJ11" s="87"/>
      <c r="EIK11" s="87"/>
      <c r="EIL11" s="87"/>
      <c r="EIM11" s="87"/>
      <c r="EIN11" s="87"/>
      <c r="EIO11" s="87"/>
      <c r="EIP11" s="87"/>
      <c r="EIQ11" s="87"/>
      <c r="EIR11" s="87"/>
      <c r="EIS11" s="87"/>
      <c r="EIT11" s="87"/>
      <c r="EIU11" s="87"/>
      <c r="EIV11" s="87"/>
      <c r="EIW11" s="87"/>
      <c r="EIX11" s="87"/>
      <c r="EIY11" s="87"/>
      <c r="EIZ11" s="87"/>
      <c r="EJA11" s="87"/>
      <c r="EJB11" s="87"/>
      <c r="EJC11" s="87"/>
      <c r="EJD11" s="87"/>
      <c r="EJE11" s="87"/>
      <c r="EJF11" s="87"/>
      <c r="EJG11" s="87"/>
      <c r="EJH11" s="87"/>
      <c r="EJI11" s="87"/>
      <c r="EJJ11" s="87"/>
      <c r="EJK11" s="87"/>
      <c r="EJL11" s="87"/>
      <c r="EJM11" s="87"/>
      <c r="EJN11" s="87"/>
      <c r="EJO11" s="87"/>
      <c r="EJP11" s="87"/>
      <c r="EJQ11" s="87"/>
      <c r="EJR11" s="87"/>
      <c r="EJS11" s="87"/>
      <c r="EJT11" s="87"/>
      <c r="EJU11" s="87"/>
      <c r="EJV11" s="87"/>
      <c r="EJW11" s="87"/>
      <c r="EJX11" s="87"/>
      <c r="EJY11" s="87"/>
      <c r="EJZ11" s="87"/>
      <c r="EKA11" s="87"/>
      <c r="EKB11" s="87"/>
      <c r="EKC11" s="87"/>
      <c r="EKD11" s="87"/>
      <c r="EKE11" s="87"/>
      <c r="EKF11" s="87"/>
      <c r="EKG11" s="87"/>
      <c r="EKH11" s="87"/>
      <c r="EKI11" s="87"/>
      <c r="EKJ11" s="87"/>
      <c r="EKK11" s="87"/>
      <c r="EKL11" s="87"/>
      <c r="EKM11" s="87"/>
      <c r="EKN11" s="87"/>
      <c r="EKO11" s="87"/>
      <c r="EKP11" s="87"/>
      <c r="EKQ11" s="87"/>
      <c r="EKR11" s="87"/>
      <c r="EKS11" s="87"/>
      <c r="EKT11" s="87"/>
      <c r="EKU11" s="87"/>
      <c r="EKV11" s="87"/>
      <c r="EKW11" s="87"/>
      <c r="EKX11" s="87"/>
      <c r="EKY11" s="87"/>
      <c r="EKZ11" s="87"/>
      <c r="ELA11" s="87"/>
      <c r="ELB11" s="87"/>
      <c r="ELC11" s="87"/>
      <c r="ELD11" s="87"/>
      <c r="ELE11" s="87"/>
      <c r="ELF11" s="87"/>
      <c r="ELG11" s="87"/>
      <c r="ELH11" s="87"/>
      <c r="ELI11" s="87"/>
      <c r="ELJ11" s="87"/>
      <c r="ELK11" s="87"/>
      <c r="ELL11" s="87"/>
      <c r="ELM11" s="87"/>
      <c r="ELN11" s="87"/>
      <c r="ELO11" s="87"/>
      <c r="ELP11" s="87"/>
      <c r="ELQ11" s="87"/>
      <c r="ELR11" s="87"/>
      <c r="ELS11" s="87"/>
      <c r="ELT11" s="87"/>
      <c r="ELU11" s="87"/>
      <c r="ELV11" s="87"/>
      <c r="ELW11" s="87"/>
      <c r="ELX11" s="87"/>
      <c r="ELY11" s="87"/>
      <c r="ELZ11" s="87"/>
      <c r="EMA11" s="87"/>
      <c r="EMB11" s="87"/>
      <c r="EMC11" s="87"/>
      <c r="EMD11" s="87"/>
      <c r="EME11" s="87"/>
      <c r="EMF11" s="87"/>
      <c r="EMG11" s="87"/>
      <c r="EMH11" s="87"/>
      <c r="EMI11" s="87"/>
      <c r="EMJ11" s="87"/>
      <c r="EMK11" s="87"/>
      <c r="EML11" s="87"/>
      <c r="EMM11" s="87"/>
      <c r="EMN11" s="87"/>
      <c r="EMO11" s="87"/>
      <c r="EMP11" s="87"/>
      <c r="EMQ11" s="87"/>
      <c r="EMR11" s="87"/>
      <c r="EMS11" s="87"/>
      <c r="EMT11" s="87"/>
      <c r="EMU11" s="87"/>
      <c r="EMV11" s="87"/>
      <c r="EMW11" s="87"/>
      <c r="EMX11" s="87"/>
      <c r="EMY11" s="87"/>
      <c r="EMZ11" s="87"/>
      <c r="ENA11" s="87"/>
      <c r="ENB11" s="87"/>
      <c r="ENC11" s="87"/>
      <c r="END11" s="87"/>
      <c r="ENE11" s="87"/>
      <c r="ENF11" s="87"/>
      <c r="ENG11" s="87"/>
      <c r="ENH11" s="87"/>
      <c r="ENI11" s="87"/>
      <c r="ENJ11" s="87"/>
      <c r="ENK11" s="87"/>
      <c r="ENL11" s="87"/>
      <c r="ENM11" s="87"/>
      <c r="ENN11" s="87"/>
      <c r="ENO11" s="87"/>
      <c r="ENP11" s="87"/>
      <c r="ENQ11" s="87"/>
      <c r="ENR11" s="87"/>
      <c r="ENS11" s="87"/>
      <c r="ENT11" s="87"/>
      <c r="ENU11" s="87"/>
      <c r="ENV11" s="87"/>
      <c r="ENW11" s="87"/>
      <c r="ENX11" s="87"/>
      <c r="ENY11" s="87"/>
      <c r="ENZ11" s="87"/>
      <c r="EOA11" s="87"/>
      <c r="EOB11" s="87"/>
      <c r="EOC11" s="87"/>
      <c r="EOD11" s="87"/>
      <c r="EOE11" s="87"/>
      <c r="EOF11" s="87"/>
      <c r="EOG11" s="87"/>
      <c r="EOH11" s="87"/>
      <c r="EOI11" s="87"/>
      <c r="EOJ11" s="87"/>
      <c r="EOK11" s="87"/>
      <c r="EOL11" s="87"/>
      <c r="EOM11" s="87"/>
      <c r="EON11" s="87"/>
      <c r="EOO11" s="87"/>
      <c r="EOP11" s="87"/>
      <c r="EOQ11" s="87"/>
      <c r="EOR11" s="87"/>
      <c r="EOS11" s="87"/>
      <c r="EOT11" s="87"/>
      <c r="EOU11" s="87"/>
      <c r="EOV11" s="87"/>
      <c r="EOW11" s="87"/>
      <c r="EOX11" s="87"/>
      <c r="EOY11" s="87"/>
      <c r="EOZ11" s="87"/>
      <c r="EPA11" s="87"/>
      <c r="EPB11" s="87"/>
      <c r="EPC11" s="87"/>
      <c r="EPD11" s="87"/>
      <c r="EPE11" s="87"/>
      <c r="EPF11" s="87"/>
      <c r="EPG11" s="87"/>
      <c r="EPH11" s="87"/>
      <c r="EPI11" s="87"/>
      <c r="EPJ11" s="87"/>
      <c r="EPK11" s="87"/>
      <c r="EPL11" s="87"/>
      <c r="EPM11" s="87"/>
      <c r="EPN11" s="87"/>
      <c r="EPO11" s="87"/>
      <c r="EPP11" s="87"/>
      <c r="EPQ11" s="87"/>
      <c r="EPR11" s="87"/>
      <c r="EPS11" s="87"/>
      <c r="EPT11" s="87"/>
      <c r="EPU11" s="87"/>
      <c r="EPV11" s="87"/>
      <c r="EPW11" s="87"/>
      <c r="EPX11" s="87"/>
      <c r="EPY11" s="87"/>
      <c r="EPZ11" s="87"/>
      <c r="EQA11" s="87"/>
      <c r="EQB11" s="87"/>
      <c r="EQC11" s="87"/>
      <c r="EQD11" s="87"/>
      <c r="EQE11" s="87"/>
      <c r="EQF11" s="87"/>
      <c r="EQG11" s="87"/>
      <c r="EQH11" s="87"/>
      <c r="EQI11" s="87"/>
      <c r="EQJ11" s="87"/>
      <c r="EQK11" s="87"/>
      <c r="EQL11" s="87"/>
      <c r="EQM11" s="87"/>
      <c r="EQN11" s="87"/>
      <c r="EQO11" s="87"/>
      <c r="EQP11" s="87"/>
      <c r="EQQ11" s="87"/>
      <c r="EQR11" s="87"/>
      <c r="EQS11" s="87"/>
      <c r="EQT11" s="87"/>
      <c r="EQU11" s="87"/>
      <c r="EQV11" s="87"/>
      <c r="EQW11" s="87"/>
      <c r="EQX11" s="87"/>
      <c r="EQY11" s="87"/>
      <c r="EQZ11" s="87"/>
      <c r="ERA11" s="87"/>
      <c r="ERB11" s="87"/>
      <c r="ERC11" s="87"/>
      <c r="ERD11" s="87"/>
      <c r="ERE11" s="87"/>
      <c r="ERF11" s="87"/>
      <c r="ERG11" s="87"/>
      <c r="ERH11" s="87"/>
      <c r="ERI11" s="87"/>
      <c r="ERJ11" s="87"/>
      <c r="ERK11" s="87"/>
      <c r="ERL11" s="87"/>
      <c r="ERM11" s="87"/>
      <c r="ERN11" s="87"/>
      <c r="ERO11" s="87"/>
      <c r="ERP11" s="87"/>
      <c r="ERQ11" s="87"/>
      <c r="ERR11" s="87"/>
      <c r="ERS11" s="87"/>
      <c r="ERT11" s="87"/>
      <c r="ERU11" s="87"/>
      <c r="ERV11" s="87"/>
      <c r="ERW11" s="87"/>
      <c r="ERX11" s="87"/>
      <c r="ERY11" s="87"/>
      <c r="ERZ11" s="87"/>
      <c r="ESA11" s="87"/>
      <c r="ESB11" s="87"/>
      <c r="ESC11" s="87"/>
      <c r="ESD11" s="87"/>
      <c r="ESE11" s="87"/>
      <c r="ESF11" s="87"/>
      <c r="ESG11" s="87"/>
      <c r="ESH11" s="87"/>
      <c r="ESI11" s="87"/>
      <c r="ESJ11" s="87"/>
      <c r="ESK11" s="87"/>
      <c r="ESL11" s="87"/>
      <c r="ESM11" s="87"/>
      <c r="ESN11" s="87"/>
      <c r="ESO11" s="87"/>
      <c r="ESP11" s="87"/>
      <c r="ESQ11" s="87"/>
      <c r="ESR11" s="87"/>
      <c r="ESS11" s="87"/>
      <c r="EST11" s="87"/>
      <c r="ESU11" s="87"/>
      <c r="ESV11" s="87"/>
      <c r="ESW11" s="87"/>
      <c r="ESX11" s="87"/>
      <c r="ESY11" s="87"/>
      <c r="ESZ11" s="87"/>
      <c r="ETA11" s="87"/>
      <c r="ETB11" s="87"/>
      <c r="ETC11" s="87"/>
      <c r="ETD11" s="87"/>
      <c r="ETE11" s="87"/>
      <c r="ETF11" s="87"/>
      <c r="ETG11" s="87"/>
      <c r="ETH11" s="87"/>
      <c r="ETI11" s="87"/>
      <c r="ETJ11" s="87"/>
      <c r="ETK11" s="87"/>
      <c r="ETL11" s="87"/>
      <c r="ETM11" s="87"/>
      <c r="ETN11" s="87"/>
      <c r="ETO11" s="87"/>
      <c r="ETP11" s="87"/>
      <c r="ETQ11" s="87"/>
      <c r="ETR11" s="87"/>
      <c r="ETS11" s="87"/>
      <c r="ETT11" s="87"/>
      <c r="ETU11" s="87"/>
      <c r="ETV11" s="87"/>
      <c r="ETW11" s="87"/>
      <c r="ETX11" s="87"/>
      <c r="ETY11" s="87"/>
      <c r="ETZ11" s="87"/>
      <c r="EUA11" s="87"/>
      <c r="EUB11" s="87"/>
      <c r="EUC11" s="87"/>
      <c r="EUD11" s="87"/>
      <c r="EUE11" s="87"/>
      <c r="EUF11" s="87"/>
      <c r="EUG11" s="87"/>
      <c r="EUH11" s="87"/>
      <c r="EUI11" s="87"/>
      <c r="EUJ11" s="87"/>
      <c r="EUK11" s="87"/>
      <c r="EUL11" s="87"/>
      <c r="EUM11" s="87"/>
      <c r="EUN11" s="87"/>
      <c r="EUO11" s="87"/>
      <c r="EUP11" s="87"/>
      <c r="EUQ11" s="87"/>
      <c r="EUR11" s="87"/>
      <c r="EUS11" s="87"/>
      <c r="EUT11" s="87"/>
      <c r="EUU11" s="87"/>
      <c r="EUV11" s="87"/>
      <c r="EUW11" s="87"/>
      <c r="EUX11" s="87"/>
      <c r="EUY11" s="87"/>
      <c r="EUZ11" s="87"/>
      <c r="EVA11" s="87"/>
      <c r="EVB11" s="87"/>
      <c r="EVC11" s="87"/>
      <c r="EVD11" s="87"/>
      <c r="EVE11" s="87"/>
      <c r="EVF11" s="87"/>
      <c r="EVG11" s="87"/>
      <c r="EVH11" s="87"/>
      <c r="EVI11" s="87"/>
      <c r="EVJ11" s="87"/>
      <c r="EVK11" s="87"/>
      <c r="EVL11" s="87"/>
      <c r="EVM11" s="87"/>
      <c r="EVN11" s="87"/>
      <c r="EVO11" s="87"/>
      <c r="EVP11" s="87"/>
      <c r="EVQ11" s="87"/>
      <c r="EVR11" s="87"/>
      <c r="EVS11" s="87"/>
      <c r="EVT11" s="87"/>
      <c r="EVU11" s="87"/>
      <c r="EVV11" s="87"/>
      <c r="EVW11" s="87"/>
      <c r="EVX11" s="87"/>
      <c r="EVY11" s="87"/>
      <c r="EVZ11" s="87"/>
      <c r="EWA11" s="87"/>
      <c r="EWB11" s="87"/>
      <c r="EWC11" s="87"/>
      <c r="EWD11" s="87"/>
      <c r="EWE11" s="87"/>
      <c r="EWF11" s="87"/>
      <c r="EWG11" s="87"/>
      <c r="EWH11" s="87"/>
      <c r="EWI11" s="87"/>
      <c r="EWJ11" s="87"/>
      <c r="EWK11" s="87"/>
      <c r="EWL11" s="87"/>
      <c r="EWM11" s="87"/>
      <c r="EWN11" s="87"/>
      <c r="EWO11" s="87"/>
      <c r="EWP11" s="87"/>
      <c r="EWQ11" s="87"/>
      <c r="EWR11" s="87"/>
      <c r="EWS11" s="87"/>
      <c r="EWT11" s="87"/>
      <c r="EWU11" s="87"/>
      <c r="EWV11" s="87"/>
      <c r="EWW11" s="87"/>
      <c r="EWX11" s="87"/>
      <c r="EWY11" s="87"/>
      <c r="EWZ11" s="87"/>
      <c r="EXA11" s="87"/>
      <c r="EXB11" s="87"/>
      <c r="EXC11" s="87"/>
      <c r="EXD11" s="87"/>
      <c r="EXE11" s="87"/>
      <c r="EXF11" s="87"/>
      <c r="EXG11" s="87"/>
      <c r="EXH11" s="87"/>
      <c r="EXI11" s="87"/>
      <c r="EXJ11" s="87"/>
      <c r="EXK11" s="87"/>
      <c r="EXL11" s="87"/>
      <c r="EXM11" s="87"/>
      <c r="EXN11" s="87"/>
      <c r="EXO11" s="87"/>
      <c r="EXP11" s="87"/>
      <c r="EXQ11" s="87"/>
      <c r="EXR11" s="87"/>
      <c r="EXS11" s="87"/>
      <c r="EXT11" s="87"/>
      <c r="EXU11" s="87"/>
      <c r="EXV11" s="87"/>
      <c r="EXW11" s="87"/>
      <c r="EXX11" s="87"/>
      <c r="EXY11" s="87"/>
      <c r="EXZ11" s="87"/>
      <c r="EYA11" s="87"/>
      <c r="EYB11" s="87"/>
      <c r="EYC11" s="87"/>
      <c r="EYD11" s="87"/>
      <c r="EYE11" s="87"/>
      <c r="EYF11" s="87"/>
      <c r="EYG11" s="87"/>
      <c r="EYH11" s="87"/>
      <c r="EYI11" s="87"/>
      <c r="EYJ11" s="87"/>
      <c r="EYK11" s="87"/>
      <c r="EYL11" s="87"/>
      <c r="EYM11" s="87"/>
      <c r="EYN11" s="87"/>
      <c r="EYO11" s="87"/>
      <c r="EYP11" s="87"/>
      <c r="EYQ11" s="87"/>
      <c r="EYR11" s="87"/>
      <c r="EYS11" s="87"/>
      <c r="EYT11" s="87"/>
      <c r="EYU11" s="87"/>
      <c r="EYV11" s="87"/>
      <c r="EYW11" s="87"/>
      <c r="EYX11" s="87"/>
      <c r="EYY11" s="87"/>
      <c r="EYZ11" s="87"/>
      <c r="EZA11" s="87"/>
      <c r="EZB11" s="87"/>
      <c r="EZC11" s="87"/>
      <c r="EZD11" s="87"/>
      <c r="EZE11" s="87"/>
      <c r="EZF11" s="87"/>
      <c r="EZG11" s="87"/>
      <c r="EZH11" s="87"/>
      <c r="EZI11" s="87"/>
      <c r="EZJ11" s="87"/>
      <c r="EZK11" s="87"/>
      <c r="EZL11" s="87"/>
      <c r="EZM11" s="87"/>
      <c r="EZN11" s="87"/>
      <c r="EZO11" s="87"/>
      <c r="EZP11" s="87"/>
      <c r="EZQ11" s="87"/>
      <c r="EZR11" s="87"/>
      <c r="EZS11" s="87"/>
      <c r="EZT11" s="87"/>
      <c r="EZU11" s="87"/>
      <c r="EZV11" s="87"/>
      <c r="EZW11" s="87"/>
      <c r="EZX11" s="87"/>
      <c r="EZY11" s="87"/>
      <c r="EZZ11" s="87"/>
      <c r="FAA11" s="87"/>
      <c r="FAB11" s="87"/>
      <c r="FAC11" s="87"/>
      <c r="FAD11" s="87"/>
      <c r="FAE11" s="87"/>
      <c r="FAF11" s="87"/>
      <c r="FAG11" s="87"/>
      <c r="FAH11" s="87"/>
      <c r="FAI11" s="87"/>
      <c r="FAJ11" s="87"/>
      <c r="FAK11" s="87"/>
      <c r="FAL11" s="87"/>
      <c r="FAM11" s="87"/>
      <c r="FAN11" s="87"/>
      <c r="FAO11" s="87"/>
      <c r="FAP11" s="87"/>
      <c r="FAQ11" s="87"/>
      <c r="FAR11" s="87"/>
      <c r="FAS11" s="87"/>
      <c r="FAT11" s="87"/>
      <c r="FAU11" s="87"/>
      <c r="FAV11" s="87"/>
      <c r="FAW11" s="87"/>
      <c r="FAX11" s="87"/>
      <c r="FAY11" s="87"/>
      <c r="FAZ11" s="87"/>
      <c r="FBA11" s="87"/>
      <c r="FBB11" s="87"/>
      <c r="FBC11" s="87"/>
      <c r="FBD11" s="87"/>
      <c r="FBE11" s="87"/>
      <c r="FBF11" s="87"/>
      <c r="FBG11" s="87"/>
      <c r="FBH11" s="87"/>
      <c r="FBI11" s="87"/>
      <c r="FBJ11" s="87"/>
      <c r="FBK11" s="87"/>
      <c r="FBL11" s="87"/>
      <c r="FBM11" s="87"/>
      <c r="FBN11" s="87"/>
      <c r="FBO11" s="87"/>
      <c r="FBP11" s="87"/>
      <c r="FBQ11" s="87"/>
      <c r="FBR11" s="87"/>
      <c r="FBS11" s="87"/>
      <c r="FBT11" s="87"/>
      <c r="FBU11" s="87"/>
      <c r="FBV11" s="87"/>
      <c r="FBW11" s="87"/>
      <c r="FBX11" s="87"/>
      <c r="FBY11" s="87"/>
      <c r="FBZ11" s="87"/>
      <c r="FCA11" s="87"/>
      <c r="FCB11" s="87"/>
      <c r="FCC11" s="87"/>
      <c r="FCD11" s="87"/>
      <c r="FCE11" s="87"/>
      <c r="FCF11" s="87"/>
      <c r="FCG11" s="87"/>
      <c r="FCH11" s="87"/>
      <c r="FCI11" s="87"/>
      <c r="FCJ11" s="87"/>
      <c r="FCK11" s="87"/>
      <c r="FCL11" s="87"/>
      <c r="FCM11" s="87"/>
      <c r="FCN11" s="87"/>
      <c r="FCO11" s="87"/>
      <c r="FCP11" s="87"/>
      <c r="FCQ11" s="87"/>
      <c r="FCR11" s="87"/>
      <c r="FCS11" s="87"/>
      <c r="FCT11" s="87"/>
      <c r="FCU11" s="87"/>
      <c r="FCV11" s="87"/>
      <c r="FCW11" s="87"/>
      <c r="FCX11" s="87"/>
      <c r="FCY11" s="87"/>
      <c r="FCZ11" s="87"/>
      <c r="FDA11" s="87"/>
      <c r="FDB11" s="87"/>
      <c r="FDC11" s="87"/>
      <c r="FDD11" s="87"/>
      <c r="FDE11" s="87"/>
      <c r="FDF11" s="87"/>
      <c r="FDG11" s="87"/>
      <c r="FDH11" s="87"/>
      <c r="FDI11" s="87"/>
      <c r="FDJ11" s="87"/>
      <c r="FDK11" s="87"/>
      <c r="FDL11" s="87"/>
      <c r="FDM11" s="87"/>
      <c r="FDN11" s="87"/>
      <c r="FDO11" s="87"/>
      <c r="FDP11" s="87"/>
      <c r="FDQ11" s="87"/>
      <c r="FDR11" s="87"/>
      <c r="FDS11" s="87"/>
      <c r="FDT11" s="87"/>
      <c r="FDU11" s="87"/>
      <c r="FDV11" s="87"/>
      <c r="FDW11" s="87"/>
      <c r="FDX11" s="87"/>
      <c r="FDY11" s="87"/>
      <c r="FDZ11" s="87"/>
      <c r="FEA11" s="87"/>
      <c r="FEB11" s="87"/>
      <c r="FEC11" s="87"/>
      <c r="FED11" s="87"/>
      <c r="FEE11" s="87"/>
      <c r="FEF11" s="87"/>
      <c r="FEG11" s="87"/>
      <c r="FEH11" s="87"/>
      <c r="FEI11" s="87"/>
      <c r="FEJ11" s="87"/>
      <c r="FEK11" s="87"/>
      <c r="FEL11" s="87"/>
      <c r="FEM11" s="87"/>
      <c r="FEN11" s="87"/>
      <c r="FEO11" s="87"/>
      <c r="FEP11" s="87"/>
      <c r="FEQ11" s="87"/>
      <c r="FER11" s="87"/>
      <c r="FES11" s="87"/>
      <c r="FET11" s="87"/>
      <c r="FEU11" s="87"/>
      <c r="FEV11" s="87"/>
      <c r="FEW11" s="87"/>
      <c r="FEX11" s="87"/>
      <c r="FEY11" s="87"/>
      <c r="FEZ11" s="87"/>
      <c r="FFA11" s="87"/>
      <c r="FFB11" s="87"/>
      <c r="FFC11" s="87"/>
      <c r="FFD11" s="87"/>
      <c r="FFE11" s="87"/>
      <c r="FFF11" s="87"/>
      <c r="FFG11" s="87"/>
      <c r="FFH11" s="87"/>
      <c r="FFI11" s="87"/>
      <c r="FFJ11" s="87"/>
      <c r="FFK11" s="87"/>
      <c r="FFL11" s="87"/>
      <c r="FFM11" s="87"/>
      <c r="FFN11" s="87"/>
      <c r="FFO11" s="87"/>
      <c r="FFP11" s="87"/>
      <c r="FFQ11" s="87"/>
      <c r="FFR11" s="87"/>
      <c r="FFS11" s="87"/>
      <c r="FFT11" s="87"/>
      <c r="FFU11" s="87"/>
      <c r="FFV11" s="87"/>
      <c r="FFW11" s="87"/>
      <c r="FFX11" s="87"/>
      <c r="FFY11" s="87"/>
      <c r="FFZ11" s="87"/>
      <c r="FGA11" s="87"/>
      <c r="FGB11" s="87"/>
      <c r="FGC11" s="87"/>
      <c r="FGD11" s="87"/>
      <c r="FGE11" s="87"/>
      <c r="FGF11" s="87"/>
      <c r="FGG11" s="87"/>
      <c r="FGH11" s="87"/>
      <c r="FGI11" s="87"/>
      <c r="FGJ11" s="87"/>
      <c r="FGK11" s="87"/>
      <c r="FGL11" s="87"/>
      <c r="FGM11" s="87"/>
      <c r="FGN11" s="87"/>
      <c r="FGO11" s="87"/>
      <c r="FGP11" s="87"/>
      <c r="FGQ11" s="87"/>
      <c r="FGR11" s="87"/>
      <c r="FGS11" s="87"/>
      <c r="FGT11" s="87"/>
      <c r="FGU11" s="87"/>
      <c r="FGV11" s="87"/>
      <c r="FGW11" s="87"/>
      <c r="FGX11" s="87"/>
      <c r="FGY11" s="87"/>
      <c r="FGZ11" s="87"/>
      <c r="FHA11" s="87"/>
      <c r="FHB11" s="87"/>
      <c r="FHC11" s="87"/>
      <c r="FHD11" s="87"/>
      <c r="FHE11" s="87"/>
      <c r="FHF11" s="87"/>
      <c r="FHG11" s="87"/>
      <c r="FHH11" s="87"/>
      <c r="FHI11" s="87"/>
      <c r="FHJ11" s="87"/>
      <c r="FHK11" s="87"/>
      <c r="FHL11" s="87"/>
      <c r="FHM11" s="87"/>
      <c r="FHN11" s="87"/>
      <c r="FHO11" s="87"/>
      <c r="FHP11" s="87"/>
      <c r="FHQ11" s="87"/>
      <c r="FHR11" s="87"/>
      <c r="FHS11" s="87"/>
      <c r="FHT11" s="87"/>
      <c r="FHU11" s="87"/>
      <c r="FHV11" s="87"/>
      <c r="FHW11" s="87"/>
      <c r="FHX11" s="87"/>
      <c r="FHY11" s="87"/>
      <c r="FHZ11" s="87"/>
      <c r="FIA11" s="87"/>
      <c r="FIB11" s="87"/>
      <c r="FIC11" s="87"/>
      <c r="FID11" s="87"/>
      <c r="FIE11" s="87"/>
      <c r="FIF11" s="87"/>
      <c r="FIG11" s="87"/>
      <c r="FIH11" s="87"/>
      <c r="FII11" s="87"/>
      <c r="FIJ11" s="87"/>
      <c r="FIK11" s="87"/>
      <c r="FIL11" s="87"/>
      <c r="FIM11" s="87"/>
      <c r="FIN11" s="87"/>
      <c r="FIO11" s="87"/>
      <c r="FIP11" s="87"/>
      <c r="FIQ11" s="87"/>
      <c r="FIR11" s="87"/>
      <c r="FIS11" s="87"/>
      <c r="FIT11" s="87"/>
      <c r="FIU11" s="87"/>
      <c r="FIV11" s="87"/>
      <c r="FIW11" s="87"/>
      <c r="FIX11" s="87"/>
      <c r="FIY11" s="87"/>
      <c r="FIZ11" s="87"/>
      <c r="FJA11" s="87"/>
      <c r="FJB11" s="87"/>
      <c r="FJC11" s="87"/>
      <c r="FJD11" s="87"/>
      <c r="FJE11" s="87"/>
      <c r="FJF11" s="87"/>
      <c r="FJG11" s="87"/>
      <c r="FJH11" s="87"/>
      <c r="FJI11" s="87"/>
      <c r="FJJ11" s="87"/>
      <c r="FJK11" s="87"/>
      <c r="FJL11" s="87"/>
      <c r="FJM11" s="87"/>
      <c r="FJN11" s="87"/>
      <c r="FJO11" s="87"/>
      <c r="FJP11" s="87"/>
      <c r="FJQ11" s="87"/>
      <c r="FJR11" s="87"/>
      <c r="FJS11" s="87"/>
      <c r="FJT11" s="87"/>
      <c r="FJU11" s="87"/>
      <c r="FJV11" s="87"/>
      <c r="FJW11" s="87"/>
      <c r="FJX11" s="87"/>
      <c r="FJY11" s="87"/>
      <c r="FJZ11" s="87"/>
      <c r="FKA11" s="87"/>
      <c r="FKB11" s="87"/>
      <c r="FKC11" s="87"/>
      <c r="FKD11" s="87"/>
      <c r="FKE11" s="87"/>
      <c r="FKF11" s="87"/>
      <c r="FKG11" s="87"/>
      <c r="FKH11" s="87"/>
      <c r="FKI11" s="87"/>
      <c r="FKJ11" s="87"/>
      <c r="FKK11" s="87"/>
      <c r="FKL11" s="87"/>
      <c r="FKM11" s="87"/>
      <c r="FKN11" s="87"/>
      <c r="FKO11" s="87"/>
      <c r="FKP11" s="87"/>
      <c r="FKQ11" s="87"/>
      <c r="FKR11" s="87"/>
      <c r="FKS11" s="87"/>
      <c r="FKT11" s="87"/>
      <c r="FKU11" s="87"/>
      <c r="FKV11" s="87"/>
      <c r="FKW11" s="87"/>
      <c r="FKX11" s="87"/>
      <c r="FKY11" s="87"/>
      <c r="FKZ11" s="87"/>
      <c r="FLA11" s="87"/>
      <c r="FLB11" s="87"/>
      <c r="FLC11" s="87"/>
      <c r="FLD11" s="87"/>
      <c r="FLE11" s="87"/>
      <c r="FLF11" s="87"/>
      <c r="FLG11" s="87"/>
      <c r="FLH11" s="87"/>
      <c r="FLI11" s="87"/>
      <c r="FLJ11" s="87"/>
      <c r="FLK11" s="87"/>
      <c r="FLL11" s="87"/>
      <c r="FLM11" s="87"/>
      <c r="FLN11" s="87"/>
      <c r="FLO11" s="87"/>
      <c r="FLP11" s="87"/>
      <c r="FLQ11" s="87"/>
      <c r="FLR11" s="87"/>
      <c r="FLS11" s="87"/>
      <c r="FLT11" s="87"/>
      <c r="FLU11" s="87"/>
      <c r="FLV11" s="87"/>
      <c r="FLW11" s="87"/>
      <c r="FLX11" s="87"/>
      <c r="FLY11" s="87"/>
      <c r="FLZ11" s="87"/>
      <c r="FMA11" s="87"/>
      <c r="FMB11" s="87"/>
      <c r="FMC11" s="87"/>
      <c r="FMD11" s="87"/>
      <c r="FME11" s="87"/>
      <c r="FMF11" s="87"/>
      <c r="FMG11" s="87"/>
      <c r="FMH11" s="87"/>
      <c r="FMI11" s="87"/>
      <c r="FMJ11" s="87"/>
      <c r="FMK11" s="87"/>
      <c r="FML11" s="87"/>
      <c r="FMM11" s="87"/>
      <c r="FMN11" s="87"/>
      <c r="FMO11" s="87"/>
      <c r="FMP11" s="87"/>
      <c r="FMQ11" s="87"/>
      <c r="FMR11" s="87"/>
      <c r="FMS11" s="87"/>
      <c r="FMT11" s="87"/>
      <c r="FMU11" s="87"/>
      <c r="FMV11" s="87"/>
      <c r="FMW11" s="87"/>
      <c r="FMX11" s="87"/>
      <c r="FMY11" s="87"/>
      <c r="FMZ11" s="87"/>
      <c r="FNA11" s="87"/>
      <c r="FNB11" s="87"/>
      <c r="FNC11" s="87"/>
      <c r="FND11" s="87"/>
      <c r="FNE11" s="87"/>
      <c r="FNF11" s="87"/>
      <c r="FNG11" s="87"/>
      <c r="FNH11" s="87"/>
      <c r="FNI11" s="87"/>
      <c r="FNJ11" s="87"/>
      <c r="FNK11" s="87"/>
      <c r="FNL11" s="87"/>
      <c r="FNM11" s="87"/>
      <c r="FNN11" s="87"/>
      <c r="FNO11" s="87"/>
      <c r="FNP11" s="87"/>
      <c r="FNQ11" s="87"/>
      <c r="FNR11" s="87"/>
      <c r="FNS11" s="87"/>
      <c r="FNT11" s="87"/>
      <c r="FNU11" s="87"/>
      <c r="FNV11" s="87"/>
      <c r="FNW11" s="87"/>
      <c r="FNX11" s="87"/>
      <c r="FNY11" s="87"/>
      <c r="FNZ11" s="87"/>
      <c r="FOA11" s="87"/>
      <c r="FOB11" s="87"/>
      <c r="FOC11" s="87"/>
      <c r="FOD11" s="87"/>
      <c r="FOE11" s="87"/>
      <c r="FOF11" s="87"/>
      <c r="FOG11" s="87"/>
      <c r="FOH11" s="87"/>
      <c r="FOI11" s="87"/>
      <c r="FOJ11" s="87"/>
      <c r="FOK11" s="87"/>
      <c r="FOL11" s="87"/>
      <c r="FOM11" s="87"/>
      <c r="FON11" s="87"/>
      <c r="FOO11" s="87"/>
      <c r="FOP11" s="87"/>
      <c r="FOQ11" s="87"/>
      <c r="FOR11" s="87"/>
      <c r="FOS11" s="87"/>
      <c r="FOT11" s="87"/>
      <c r="FOU11" s="87"/>
      <c r="FOV11" s="87"/>
      <c r="FOW11" s="87"/>
      <c r="FOX11" s="87"/>
      <c r="FOY11" s="87"/>
      <c r="FOZ11" s="87"/>
      <c r="FPA11" s="87"/>
      <c r="FPB11" s="87"/>
      <c r="FPC11" s="87"/>
      <c r="FPD11" s="87"/>
      <c r="FPE11" s="87"/>
      <c r="FPF11" s="87"/>
      <c r="FPG11" s="87"/>
      <c r="FPH11" s="87"/>
      <c r="FPI11" s="87"/>
      <c r="FPJ11" s="87"/>
      <c r="FPK11" s="87"/>
      <c r="FPL11" s="87"/>
      <c r="FPM11" s="87"/>
      <c r="FPN11" s="87"/>
      <c r="FPO11" s="87"/>
      <c r="FPP11" s="87"/>
      <c r="FPQ11" s="87"/>
      <c r="FPR11" s="87"/>
      <c r="FPS11" s="87"/>
      <c r="FPT11" s="87"/>
      <c r="FPU11" s="87"/>
      <c r="FPV11" s="87"/>
      <c r="FPW11" s="87"/>
      <c r="FPX11" s="87"/>
      <c r="FPY11" s="87"/>
      <c r="FPZ11" s="87"/>
      <c r="FQA11" s="87"/>
      <c r="FQB11" s="87"/>
      <c r="FQC11" s="87"/>
      <c r="FQD11" s="87"/>
      <c r="FQE11" s="87"/>
      <c r="FQF11" s="87"/>
      <c r="FQG11" s="87"/>
      <c r="FQH11" s="87"/>
      <c r="FQI11" s="87"/>
      <c r="FQJ11" s="87"/>
      <c r="FQK11" s="87"/>
      <c r="FQL11" s="87"/>
      <c r="FQM11" s="87"/>
      <c r="FQN11" s="87"/>
      <c r="FQO11" s="87"/>
      <c r="FQP11" s="87"/>
      <c r="FQQ11" s="87"/>
      <c r="FQR11" s="87"/>
      <c r="FQS11" s="87"/>
      <c r="FQT11" s="87"/>
      <c r="FQU11" s="87"/>
      <c r="FQV11" s="87"/>
      <c r="FQW11" s="87"/>
      <c r="FQX11" s="87"/>
      <c r="FQY11" s="87"/>
      <c r="FQZ11" s="87"/>
      <c r="FRA11" s="87"/>
      <c r="FRB11" s="87"/>
      <c r="FRC11" s="87"/>
      <c r="FRD11" s="87"/>
      <c r="FRE11" s="87"/>
      <c r="FRF11" s="87"/>
      <c r="FRG11" s="87"/>
      <c r="FRH11" s="87"/>
      <c r="FRI11" s="87"/>
      <c r="FRJ11" s="87"/>
      <c r="FRK11" s="87"/>
      <c r="FRL11" s="87"/>
      <c r="FRM11" s="87"/>
      <c r="FRN11" s="87"/>
      <c r="FRO11" s="87"/>
      <c r="FRP11" s="87"/>
      <c r="FRQ11" s="87"/>
      <c r="FRR11" s="87"/>
      <c r="FRS11" s="87"/>
      <c r="FRT11" s="87"/>
      <c r="FRU11" s="87"/>
      <c r="FRV11" s="87"/>
      <c r="FRW11" s="87"/>
      <c r="FRX11" s="87"/>
      <c r="FRY11" s="87"/>
      <c r="FRZ11" s="87"/>
      <c r="FSA11" s="87"/>
      <c r="FSB11" s="87"/>
      <c r="FSC11" s="87"/>
      <c r="FSD11" s="87"/>
      <c r="FSE11" s="87"/>
      <c r="FSF11" s="87"/>
      <c r="FSG11" s="87"/>
      <c r="FSH11" s="87"/>
      <c r="FSI11" s="87"/>
      <c r="FSJ11" s="87"/>
      <c r="FSK11" s="87"/>
      <c r="FSL11" s="87"/>
      <c r="FSM11" s="87"/>
      <c r="FSN11" s="87"/>
      <c r="FSO11" s="87"/>
      <c r="FSP11" s="87"/>
      <c r="FSQ11" s="87"/>
      <c r="FSR11" s="87"/>
      <c r="FSS11" s="87"/>
      <c r="FST11" s="87"/>
      <c r="FSU11" s="87"/>
      <c r="FSV11" s="87"/>
      <c r="FSW11" s="87"/>
      <c r="FSX11" s="87"/>
      <c r="FSY11" s="87"/>
      <c r="FSZ11" s="87"/>
      <c r="FTA11" s="87"/>
      <c r="FTB11" s="87"/>
      <c r="FTC11" s="87"/>
      <c r="FTD11" s="87"/>
      <c r="FTE11" s="87"/>
      <c r="FTF11" s="87"/>
      <c r="FTG11" s="87"/>
      <c r="FTH11" s="87"/>
      <c r="FTI11" s="87"/>
      <c r="FTJ11" s="87"/>
      <c r="FTK11" s="87"/>
      <c r="FTL11" s="87"/>
      <c r="FTM11" s="87"/>
      <c r="FTN11" s="87"/>
      <c r="FTO11" s="87"/>
      <c r="FTP11" s="87"/>
      <c r="FTQ11" s="87"/>
      <c r="FTR11" s="87"/>
      <c r="FTS11" s="87"/>
      <c r="FTT11" s="87"/>
      <c r="FTU11" s="87"/>
      <c r="FTV11" s="87"/>
      <c r="FTW11" s="87"/>
      <c r="FTX11" s="87"/>
      <c r="FTY11" s="87"/>
      <c r="FTZ11" s="87"/>
      <c r="FUA11" s="87"/>
      <c r="FUB11" s="87"/>
      <c r="FUC11" s="87"/>
      <c r="FUD11" s="87"/>
      <c r="FUE11" s="87"/>
      <c r="FUF11" s="87"/>
      <c r="FUG11" s="87"/>
      <c r="FUH11" s="87"/>
      <c r="FUI11" s="87"/>
      <c r="FUJ11" s="87"/>
      <c r="FUK11" s="87"/>
      <c r="FUL11" s="87"/>
      <c r="FUM11" s="87"/>
      <c r="FUN11" s="87"/>
      <c r="FUO11" s="87"/>
      <c r="FUP11" s="87"/>
      <c r="FUQ11" s="87"/>
      <c r="FUR11" s="87"/>
      <c r="FUS11" s="87"/>
      <c r="FUT11" s="87"/>
      <c r="FUU11" s="87"/>
      <c r="FUV11" s="87"/>
      <c r="FUW11" s="87"/>
      <c r="FUX11" s="87"/>
      <c r="FUY11" s="87"/>
      <c r="FUZ11" s="87"/>
      <c r="FVA11" s="87"/>
      <c r="FVB11" s="87"/>
      <c r="FVC11" s="87"/>
      <c r="FVD11" s="87"/>
      <c r="FVE11" s="87"/>
      <c r="FVF11" s="87"/>
      <c r="FVG11" s="87"/>
      <c r="FVH11" s="87"/>
      <c r="FVI11" s="87"/>
      <c r="FVJ11" s="87"/>
      <c r="FVK11" s="87"/>
      <c r="FVL11" s="87"/>
      <c r="FVM11" s="87"/>
      <c r="FVN11" s="87"/>
      <c r="FVO11" s="87"/>
      <c r="FVP11" s="87"/>
      <c r="FVQ11" s="87"/>
      <c r="FVR11" s="87"/>
      <c r="FVS11" s="87"/>
      <c r="FVT11" s="87"/>
      <c r="FVU11" s="87"/>
      <c r="FVV11" s="87"/>
      <c r="FVW11" s="87"/>
      <c r="FVX11" s="87"/>
      <c r="FVY11" s="87"/>
      <c r="FVZ11" s="87"/>
      <c r="FWA11" s="87"/>
      <c r="FWB11" s="87"/>
      <c r="FWC11" s="87"/>
      <c r="FWD11" s="87"/>
      <c r="FWE11" s="87"/>
      <c r="FWF11" s="87"/>
      <c r="FWG11" s="87"/>
      <c r="FWH11" s="87"/>
      <c r="FWI11" s="87"/>
      <c r="FWJ11" s="87"/>
      <c r="FWK11" s="87"/>
      <c r="FWL11" s="87"/>
      <c r="FWM11" s="87"/>
      <c r="FWN11" s="87"/>
      <c r="FWO11" s="87"/>
      <c r="FWP11" s="87"/>
      <c r="FWQ11" s="87"/>
      <c r="FWR11" s="87"/>
      <c r="FWS11" s="87"/>
      <c r="FWT11" s="87"/>
      <c r="FWU11" s="87"/>
      <c r="FWV11" s="87"/>
      <c r="FWW11" s="87"/>
      <c r="FWX11" s="87"/>
      <c r="FWY11" s="87"/>
      <c r="FWZ11" s="87"/>
      <c r="FXA11" s="87"/>
      <c r="FXB11" s="87"/>
      <c r="FXC11" s="87"/>
      <c r="FXD11" s="87"/>
      <c r="FXE11" s="87"/>
      <c r="FXF11" s="87"/>
      <c r="FXG11" s="87"/>
      <c r="FXH11" s="87"/>
      <c r="FXI11" s="87"/>
      <c r="FXJ11" s="87"/>
      <c r="FXK11" s="87"/>
      <c r="FXL11" s="87"/>
      <c r="FXM11" s="87"/>
      <c r="FXN11" s="87"/>
      <c r="FXO11" s="87"/>
      <c r="FXP11" s="87"/>
      <c r="FXQ11" s="87"/>
      <c r="FXR11" s="87"/>
      <c r="FXS11" s="87"/>
      <c r="FXT11" s="87"/>
      <c r="FXU11" s="87"/>
      <c r="FXV11" s="87"/>
      <c r="FXW11" s="87"/>
      <c r="FXX11" s="87"/>
      <c r="FXY11" s="87"/>
      <c r="FXZ11" s="87"/>
      <c r="FYA11" s="87"/>
      <c r="FYB11" s="87"/>
      <c r="FYC11" s="87"/>
      <c r="FYD11" s="87"/>
      <c r="FYE11" s="87"/>
      <c r="FYF11" s="87"/>
      <c r="FYG11" s="87"/>
      <c r="FYH11" s="87"/>
      <c r="FYI11" s="87"/>
      <c r="FYJ11" s="87"/>
      <c r="FYK11" s="87"/>
      <c r="FYL11" s="87"/>
      <c r="FYM11" s="87"/>
      <c r="FYN11" s="87"/>
      <c r="FYO11" s="87"/>
      <c r="FYP11" s="87"/>
      <c r="FYQ11" s="87"/>
      <c r="FYR11" s="87"/>
      <c r="FYS11" s="87"/>
      <c r="FYT11" s="87"/>
      <c r="FYU11" s="87"/>
      <c r="FYV11" s="87"/>
      <c r="FYW11" s="87"/>
      <c r="FYX11" s="87"/>
      <c r="FYY11" s="87"/>
      <c r="FYZ11" s="87"/>
      <c r="FZA11" s="87"/>
      <c r="FZB11" s="87"/>
      <c r="FZC11" s="87"/>
      <c r="FZD11" s="87"/>
      <c r="FZE11" s="87"/>
      <c r="FZF11" s="87"/>
      <c r="FZG11" s="87"/>
      <c r="FZH11" s="87"/>
      <c r="FZI11" s="87"/>
      <c r="FZJ11" s="87"/>
      <c r="FZK11" s="87"/>
      <c r="FZL11" s="87"/>
      <c r="FZM11" s="87"/>
      <c r="FZN11" s="87"/>
      <c r="FZO11" s="87"/>
      <c r="FZP11" s="87"/>
      <c r="FZQ11" s="87"/>
      <c r="FZR11" s="87"/>
      <c r="FZS11" s="87"/>
      <c r="FZT11" s="87"/>
      <c r="FZU11" s="87"/>
      <c r="FZV11" s="87"/>
      <c r="FZW11" s="87"/>
      <c r="FZX11" s="87"/>
      <c r="FZY11" s="87"/>
      <c r="FZZ11" s="87"/>
      <c r="GAA11" s="87"/>
      <c r="GAB11" s="87"/>
      <c r="GAC11" s="87"/>
      <c r="GAD11" s="87"/>
      <c r="GAE11" s="87"/>
      <c r="GAF11" s="87"/>
      <c r="GAG11" s="87"/>
      <c r="GAH11" s="87"/>
      <c r="GAI11" s="87"/>
      <c r="GAJ11" s="87"/>
      <c r="GAK11" s="87"/>
      <c r="GAL11" s="87"/>
      <c r="GAM11" s="87"/>
      <c r="GAN11" s="87"/>
      <c r="GAO11" s="87"/>
      <c r="GAP11" s="87"/>
      <c r="GAQ11" s="87"/>
      <c r="GAR11" s="87"/>
      <c r="GAS11" s="87"/>
      <c r="GAT11" s="87"/>
      <c r="GAU11" s="87"/>
      <c r="GAV11" s="87"/>
      <c r="GAW11" s="87"/>
      <c r="GAX11" s="87"/>
      <c r="GAY11" s="87"/>
      <c r="GAZ11" s="87"/>
      <c r="GBA11" s="87"/>
      <c r="GBB11" s="87"/>
      <c r="GBC11" s="87"/>
      <c r="GBD11" s="87"/>
      <c r="GBE11" s="87"/>
      <c r="GBF11" s="87"/>
      <c r="GBG11" s="87"/>
      <c r="GBH11" s="87"/>
      <c r="GBI11" s="87"/>
      <c r="GBJ11" s="87"/>
      <c r="GBK11" s="87"/>
      <c r="GBL11" s="87"/>
      <c r="GBM11" s="87"/>
      <c r="GBN11" s="87"/>
      <c r="GBO11" s="87"/>
      <c r="GBP11" s="87"/>
      <c r="GBQ11" s="87"/>
      <c r="GBR11" s="87"/>
      <c r="GBS11" s="87"/>
      <c r="GBT11" s="87"/>
      <c r="GBU11" s="87"/>
      <c r="GBV11" s="87"/>
      <c r="GBW11" s="87"/>
      <c r="GBX11" s="87"/>
      <c r="GBY11" s="87"/>
      <c r="GBZ11" s="87"/>
      <c r="GCA11" s="87"/>
      <c r="GCB11" s="87"/>
      <c r="GCC11" s="87"/>
      <c r="GCD11" s="87"/>
      <c r="GCE11" s="87"/>
      <c r="GCF11" s="87"/>
      <c r="GCG11" s="87"/>
      <c r="GCH11" s="87"/>
      <c r="GCI11" s="87"/>
      <c r="GCJ11" s="87"/>
      <c r="GCK11" s="87"/>
      <c r="GCL11" s="87"/>
      <c r="GCM11" s="87"/>
      <c r="GCN11" s="87"/>
      <c r="GCO11" s="87"/>
      <c r="GCP11" s="87"/>
      <c r="GCQ11" s="87"/>
      <c r="GCR11" s="87"/>
      <c r="GCS11" s="87"/>
      <c r="GCT11" s="87"/>
      <c r="GCU11" s="87"/>
      <c r="GCV11" s="87"/>
      <c r="GCW11" s="87"/>
      <c r="GCX11" s="87"/>
      <c r="GCY11" s="87"/>
      <c r="GCZ11" s="87"/>
      <c r="GDA11" s="87"/>
      <c r="GDB11" s="87"/>
      <c r="GDC11" s="87"/>
      <c r="GDD11" s="87"/>
      <c r="GDE11" s="87"/>
      <c r="GDF11" s="87"/>
      <c r="GDG11" s="87"/>
      <c r="GDH11" s="87"/>
      <c r="GDI11" s="87"/>
      <c r="GDJ11" s="87"/>
      <c r="GDK11" s="87"/>
      <c r="GDL11" s="87"/>
      <c r="GDM11" s="87"/>
      <c r="GDN11" s="87"/>
      <c r="GDO11" s="87"/>
      <c r="GDP11" s="87"/>
      <c r="GDQ11" s="87"/>
      <c r="GDR11" s="87"/>
      <c r="GDS11" s="87"/>
      <c r="GDT11" s="87"/>
      <c r="GDU11" s="87"/>
      <c r="GDV11" s="87"/>
      <c r="GDW11" s="87"/>
      <c r="GDX11" s="87"/>
      <c r="GDY11" s="87"/>
      <c r="GDZ11" s="87"/>
      <c r="GEA11" s="87"/>
      <c r="GEB11" s="87"/>
      <c r="GEC11" s="87"/>
      <c r="GED11" s="87"/>
      <c r="GEE11" s="87"/>
      <c r="GEF11" s="87"/>
      <c r="GEG11" s="87"/>
      <c r="GEH11" s="87"/>
      <c r="GEI11" s="87"/>
      <c r="GEJ11" s="87"/>
      <c r="GEK11" s="87"/>
      <c r="GEL11" s="87"/>
      <c r="GEM11" s="87"/>
      <c r="GEN11" s="87"/>
      <c r="GEO11" s="87"/>
      <c r="GEP11" s="87"/>
      <c r="GEQ11" s="87"/>
      <c r="GER11" s="87"/>
      <c r="GES11" s="87"/>
      <c r="GET11" s="87"/>
      <c r="GEU11" s="87"/>
      <c r="GEV11" s="87"/>
      <c r="GEW11" s="87"/>
      <c r="GEX11" s="87"/>
      <c r="GEY11" s="87"/>
      <c r="GEZ11" s="87"/>
      <c r="GFA11" s="87"/>
      <c r="GFB11" s="87"/>
      <c r="GFC11" s="87"/>
      <c r="GFD11" s="87"/>
      <c r="GFE11" s="87"/>
      <c r="GFF11" s="87"/>
      <c r="GFG11" s="87"/>
      <c r="GFH11" s="87"/>
      <c r="GFI11" s="87"/>
      <c r="GFJ11" s="87"/>
      <c r="GFK11" s="87"/>
      <c r="GFL11" s="87"/>
      <c r="GFM11" s="87"/>
      <c r="GFN11" s="87"/>
      <c r="GFO11" s="87"/>
      <c r="GFP11" s="87"/>
      <c r="GFQ11" s="87"/>
      <c r="GFR11" s="87"/>
      <c r="GFS11" s="87"/>
      <c r="GFT11" s="87"/>
      <c r="GFU11" s="87"/>
      <c r="GFV11" s="87"/>
      <c r="GFW11" s="87"/>
      <c r="GFX11" s="87"/>
      <c r="GFY11" s="87"/>
      <c r="GFZ11" s="87"/>
      <c r="GGA11" s="87"/>
      <c r="GGB11" s="87"/>
      <c r="GGC11" s="87"/>
      <c r="GGD11" s="87"/>
      <c r="GGE11" s="87"/>
      <c r="GGF11" s="87"/>
      <c r="GGG11" s="87"/>
      <c r="GGH11" s="87"/>
      <c r="GGI11" s="87"/>
      <c r="GGJ11" s="87"/>
      <c r="GGK11" s="87"/>
      <c r="GGL11" s="87"/>
      <c r="GGM11" s="87"/>
      <c r="GGN11" s="87"/>
      <c r="GGO11" s="87"/>
      <c r="GGP11" s="87"/>
      <c r="GGQ11" s="87"/>
      <c r="GGR11" s="87"/>
      <c r="GGS11" s="87"/>
      <c r="GGT11" s="87"/>
      <c r="GGU11" s="87"/>
      <c r="GGV11" s="87"/>
      <c r="GGW11" s="87"/>
      <c r="GGX11" s="87"/>
      <c r="GGY11" s="87"/>
      <c r="GGZ11" s="87"/>
      <c r="GHA11" s="87"/>
      <c r="GHB11" s="87"/>
      <c r="GHC11" s="87"/>
      <c r="GHD11" s="87"/>
      <c r="GHE11" s="87"/>
      <c r="GHF11" s="87"/>
      <c r="GHG11" s="87"/>
      <c r="GHH11" s="87"/>
      <c r="GHI11" s="87"/>
      <c r="GHJ11" s="87"/>
      <c r="GHK11" s="87"/>
      <c r="GHL11" s="87"/>
      <c r="GHM11" s="87"/>
      <c r="GHN11" s="87"/>
      <c r="GHO11" s="87"/>
      <c r="GHP11" s="87"/>
      <c r="GHQ11" s="87"/>
      <c r="GHR11" s="87"/>
      <c r="GHS11" s="87"/>
      <c r="GHT11" s="87"/>
      <c r="GHU11" s="87"/>
      <c r="GHV11" s="87"/>
      <c r="GHW11" s="87"/>
      <c r="GHX11" s="87"/>
      <c r="GHY11" s="87"/>
      <c r="GHZ11" s="87"/>
      <c r="GIA11" s="87"/>
      <c r="GIB11" s="87"/>
      <c r="GIC11" s="87"/>
      <c r="GID11" s="87"/>
      <c r="GIE11" s="87"/>
      <c r="GIF11" s="87"/>
      <c r="GIG11" s="87"/>
      <c r="GIH11" s="87"/>
      <c r="GII11" s="87"/>
      <c r="GIJ11" s="87"/>
      <c r="GIK11" s="87"/>
      <c r="GIL11" s="87"/>
      <c r="GIM11" s="87"/>
      <c r="GIN11" s="87"/>
      <c r="GIO11" s="87"/>
      <c r="GIP11" s="87"/>
      <c r="GIQ11" s="87"/>
      <c r="GIR11" s="87"/>
      <c r="GIS11" s="87"/>
      <c r="GIT11" s="87"/>
      <c r="GIU11" s="87"/>
      <c r="GIV11" s="87"/>
      <c r="GIW11" s="87"/>
      <c r="GIX11" s="87"/>
      <c r="GIY11" s="87"/>
      <c r="GIZ11" s="87"/>
      <c r="GJA11" s="87"/>
      <c r="GJB11" s="87"/>
      <c r="GJC11" s="87"/>
      <c r="GJD11" s="87"/>
      <c r="GJE11" s="87"/>
      <c r="GJF11" s="87"/>
      <c r="GJG11" s="87"/>
      <c r="GJH11" s="87"/>
      <c r="GJI11" s="87"/>
      <c r="GJJ11" s="87"/>
      <c r="GJK11" s="87"/>
      <c r="GJL11" s="87"/>
      <c r="GJM11" s="87"/>
      <c r="GJN11" s="87"/>
      <c r="GJO11" s="87"/>
      <c r="GJP11" s="87"/>
      <c r="GJQ11" s="87"/>
      <c r="GJR11" s="87"/>
      <c r="GJS11" s="87"/>
      <c r="GJT11" s="87"/>
      <c r="GJU11" s="87"/>
      <c r="GJV11" s="87"/>
      <c r="GJW11" s="87"/>
      <c r="GJX11" s="87"/>
      <c r="GJY11" s="87"/>
      <c r="GJZ11" s="87"/>
      <c r="GKA11" s="87"/>
      <c r="GKB11" s="87"/>
      <c r="GKC11" s="87"/>
      <c r="GKD11" s="87"/>
      <c r="GKE11" s="87"/>
      <c r="GKF11" s="87"/>
      <c r="GKG11" s="87"/>
      <c r="GKH11" s="87"/>
      <c r="GKI11" s="87"/>
      <c r="GKJ11" s="87"/>
      <c r="GKK11" s="87"/>
      <c r="GKL11" s="87"/>
      <c r="GKM11" s="87"/>
      <c r="GKN11" s="87"/>
      <c r="GKO11" s="87"/>
      <c r="GKP11" s="87"/>
      <c r="GKQ11" s="87"/>
      <c r="GKR11" s="87"/>
      <c r="GKS11" s="87"/>
      <c r="GKT11" s="87"/>
      <c r="GKU11" s="87"/>
      <c r="GKV11" s="87"/>
      <c r="GKW11" s="87"/>
      <c r="GKX11" s="87"/>
      <c r="GKY11" s="87"/>
      <c r="GKZ11" s="87"/>
      <c r="GLA11" s="87"/>
      <c r="GLB11" s="87"/>
      <c r="GLC11" s="87"/>
      <c r="GLD11" s="87"/>
      <c r="GLE11" s="87"/>
      <c r="GLF11" s="87"/>
      <c r="GLG11" s="87"/>
      <c r="GLH11" s="87"/>
      <c r="GLI11" s="87"/>
      <c r="GLJ11" s="87"/>
      <c r="GLK11" s="87"/>
      <c r="GLL11" s="87"/>
      <c r="GLM11" s="87"/>
      <c r="GLN11" s="87"/>
      <c r="GLO11" s="87"/>
      <c r="GLP11" s="87"/>
      <c r="GLQ11" s="87"/>
      <c r="GLR11" s="87"/>
      <c r="GLS11" s="87"/>
      <c r="GLT11" s="87"/>
      <c r="GLU11" s="87"/>
      <c r="GLV11" s="87"/>
      <c r="GLW11" s="87"/>
      <c r="GLX11" s="87"/>
      <c r="GLY11" s="87"/>
      <c r="GLZ11" s="87"/>
      <c r="GMA11" s="87"/>
      <c r="GMB11" s="87"/>
      <c r="GMC11" s="87"/>
      <c r="GMD11" s="87"/>
      <c r="GME11" s="87"/>
      <c r="GMF11" s="87"/>
      <c r="GMG11" s="87"/>
      <c r="GMH11" s="87"/>
      <c r="GMI11" s="87"/>
      <c r="GMJ11" s="87"/>
      <c r="GMK11" s="87"/>
      <c r="GML11" s="87"/>
      <c r="GMM11" s="87"/>
      <c r="GMN11" s="87"/>
      <c r="GMO11" s="87"/>
      <c r="GMP11" s="87"/>
      <c r="GMQ11" s="87"/>
      <c r="GMR11" s="87"/>
      <c r="GMS11" s="87"/>
      <c r="GMT11" s="87"/>
      <c r="GMU11" s="87"/>
      <c r="GMV11" s="87"/>
      <c r="GMW11" s="87"/>
      <c r="GMX11" s="87"/>
      <c r="GMY11" s="87"/>
      <c r="GMZ11" s="87"/>
      <c r="GNA11" s="87"/>
      <c r="GNB11" s="87"/>
      <c r="GNC11" s="87"/>
      <c r="GND11" s="87"/>
      <c r="GNE11" s="87"/>
      <c r="GNF11" s="87"/>
      <c r="GNG11" s="87"/>
      <c r="GNH11" s="87"/>
      <c r="GNI11" s="87"/>
      <c r="GNJ11" s="87"/>
      <c r="GNK11" s="87"/>
      <c r="GNL11" s="87"/>
      <c r="GNM11" s="87"/>
      <c r="GNN11" s="87"/>
      <c r="GNO11" s="87"/>
      <c r="GNP11" s="87"/>
      <c r="GNQ11" s="87"/>
      <c r="GNR11" s="87"/>
      <c r="GNS11" s="87"/>
      <c r="GNT11" s="87"/>
      <c r="GNU11" s="87"/>
      <c r="GNV11" s="87"/>
      <c r="GNW11" s="87"/>
      <c r="GNX11" s="87"/>
      <c r="GNY11" s="87"/>
      <c r="GNZ11" s="87"/>
      <c r="GOA11" s="87"/>
      <c r="GOB11" s="87"/>
      <c r="GOC11" s="87"/>
      <c r="GOD11" s="87"/>
      <c r="GOE11" s="87"/>
      <c r="GOF11" s="87"/>
      <c r="GOG11" s="87"/>
      <c r="GOH11" s="87"/>
      <c r="GOI11" s="87"/>
      <c r="GOJ11" s="87"/>
      <c r="GOK11" s="87"/>
      <c r="GOL11" s="87"/>
      <c r="GOM11" s="87"/>
      <c r="GON11" s="87"/>
      <c r="GOO11" s="87"/>
      <c r="GOP11" s="87"/>
      <c r="GOQ11" s="87"/>
      <c r="GOR11" s="87"/>
      <c r="GOS11" s="87"/>
      <c r="GOT11" s="87"/>
      <c r="GOU11" s="87"/>
      <c r="GOV11" s="87"/>
      <c r="GOW11" s="87"/>
      <c r="GOX11" s="87"/>
      <c r="GOY11" s="87"/>
      <c r="GOZ11" s="87"/>
      <c r="GPA11" s="87"/>
      <c r="GPB11" s="87"/>
      <c r="GPC11" s="87"/>
      <c r="GPD11" s="87"/>
      <c r="GPE11" s="87"/>
      <c r="GPF11" s="87"/>
      <c r="GPG11" s="87"/>
      <c r="GPH11" s="87"/>
      <c r="GPI11" s="87"/>
      <c r="GPJ11" s="87"/>
      <c r="GPK11" s="87"/>
      <c r="GPL11" s="87"/>
      <c r="GPM11" s="87"/>
      <c r="GPN11" s="87"/>
      <c r="GPO11" s="87"/>
      <c r="GPP11" s="87"/>
      <c r="GPQ11" s="87"/>
      <c r="GPR11" s="87"/>
      <c r="GPS11" s="87"/>
      <c r="GPT11" s="87"/>
      <c r="GPU11" s="87"/>
      <c r="GPV11" s="87"/>
      <c r="GPW11" s="87"/>
      <c r="GPX11" s="87"/>
      <c r="GPY11" s="87"/>
      <c r="GPZ11" s="87"/>
      <c r="GQA11" s="87"/>
      <c r="GQB11" s="87"/>
      <c r="GQC11" s="87"/>
      <c r="GQD11" s="87"/>
      <c r="GQE11" s="87"/>
      <c r="GQF11" s="87"/>
      <c r="GQG11" s="87"/>
      <c r="GQH11" s="87"/>
      <c r="GQI11" s="87"/>
      <c r="GQJ11" s="87"/>
      <c r="GQK11" s="87"/>
      <c r="GQL11" s="87"/>
      <c r="GQM11" s="87"/>
      <c r="GQN11" s="87"/>
      <c r="GQO11" s="87"/>
      <c r="GQP11" s="87"/>
      <c r="GQQ11" s="87"/>
      <c r="GQR11" s="87"/>
      <c r="GQS11" s="87"/>
      <c r="GQT11" s="87"/>
      <c r="GQU11" s="87"/>
      <c r="GQV11" s="87"/>
      <c r="GQW11" s="87"/>
      <c r="GQX11" s="87"/>
      <c r="GQY11" s="87"/>
      <c r="GQZ11" s="87"/>
      <c r="GRA11" s="87"/>
      <c r="GRB11" s="87"/>
      <c r="GRC11" s="87"/>
      <c r="GRD11" s="87"/>
      <c r="GRE11" s="87"/>
      <c r="GRF11" s="87"/>
      <c r="GRG11" s="87"/>
      <c r="GRH11" s="87"/>
      <c r="GRI11" s="87"/>
      <c r="GRJ11" s="87"/>
      <c r="GRK11" s="87"/>
      <c r="GRL11" s="87"/>
      <c r="GRM11" s="87"/>
      <c r="GRN11" s="87"/>
      <c r="GRO11" s="87"/>
      <c r="GRP11" s="87"/>
      <c r="GRQ11" s="87"/>
      <c r="GRR11" s="87"/>
      <c r="GRS11" s="87"/>
      <c r="GRT11" s="87"/>
      <c r="GRU11" s="87"/>
      <c r="GRV11" s="87"/>
      <c r="GRW11" s="87"/>
      <c r="GRX11" s="87"/>
      <c r="GRY11" s="87"/>
      <c r="GRZ11" s="87"/>
      <c r="GSA11" s="87"/>
      <c r="GSB11" s="87"/>
      <c r="GSC11" s="87"/>
      <c r="GSD11" s="87"/>
      <c r="GSE11" s="87"/>
      <c r="GSF11" s="87"/>
      <c r="GSG11" s="87"/>
      <c r="GSH11" s="87"/>
      <c r="GSI11" s="87"/>
      <c r="GSJ11" s="87"/>
      <c r="GSK11" s="87"/>
      <c r="GSL11" s="87"/>
      <c r="GSM11" s="87"/>
      <c r="GSN11" s="87"/>
      <c r="GSO11" s="87"/>
      <c r="GSP11" s="87"/>
      <c r="GSQ11" s="87"/>
      <c r="GSR11" s="87"/>
      <c r="GSS11" s="87"/>
      <c r="GST11" s="87"/>
      <c r="GSU11" s="87"/>
      <c r="GSV11" s="87"/>
      <c r="GSW11" s="87"/>
      <c r="GSX11" s="87"/>
      <c r="GSY11" s="87"/>
      <c r="GSZ11" s="87"/>
      <c r="GTA11" s="87"/>
      <c r="GTB11" s="87"/>
      <c r="GTC11" s="87"/>
      <c r="GTD11" s="87"/>
      <c r="GTE11" s="87"/>
      <c r="GTF11" s="87"/>
      <c r="GTG11" s="87"/>
      <c r="GTH11" s="87"/>
      <c r="GTI11" s="87"/>
      <c r="GTJ11" s="87"/>
      <c r="GTK11" s="87"/>
      <c r="GTL11" s="87"/>
      <c r="GTM11" s="87"/>
      <c r="GTN11" s="87"/>
      <c r="GTO11" s="87"/>
      <c r="GTP11" s="87"/>
      <c r="GTQ11" s="87"/>
      <c r="GTR11" s="87"/>
      <c r="GTS11" s="87"/>
      <c r="GTT11" s="87"/>
      <c r="GTU11" s="87"/>
      <c r="GTV11" s="87"/>
      <c r="GTW11" s="87"/>
      <c r="GTX11" s="87"/>
      <c r="GTY11" s="87"/>
      <c r="GTZ11" s="87"/>
      <c r="GUA11" s="87"/>
      <c r="GUB11" s="87"/>
      <c r="GUC11" s="87"/>
      <c r="GUD11" s="87"/>
      <c r="GUE11" s="87"/>
      <c r="GUF11" s="87"/>
      <c r="GUG11" s="87"/>
      <c r="GUH11" s="87"/>
      <c r="GUI11" s="87"/>
      <c r="GUJ11" s="87"/>
      <c r="GUK11" s="87"/>
      <c r="GUL11" s="87"/>
      <c r="GUM11" s="87"/>
      <c r="GUN11" s="87"/>
      <c r="GUO11" s="87"/>
      <c r="GUP11" s="87"/>
      <c r="GUQ11" s="87"/>
      <c r="GUR11" s="87"/>
      <c r="GUS11" s="87"/>
      <c r="GUT11" s="87"/>
      <c r="GUU11" s="87"/>
      <c r="GUV11" s="87"/>
      <c r="GUW11" s="87"/>
      <c r="GUX11" s="87"/>
      <c r="GUY11" s="87"/>
      <c r="GUZ11" s="87"/>
      <c r="GVA11" s="87"/>
      <c r="GVB11" s="87"/>
      <c r="GVC11" s="87"/>
      <c r="GVD11" s="87"/>
      <c r="GVE11" s="87"/>
      <c r="GVF11" s="87"/>
      <c r="GVG11" s="87"/>
      <c r="GVH11" s="87"/>
      <c r="GVI11" s="87"/>
      <c r="GVJ11" s="87"/>
      <c r="GVK11" s="87"/>
      <c r="GVL11" s="87"/>
      <c r="GVM11" s="87"/>
      <c r="GVN11" s="87"/>
      <c r="GVO11" s="87"/>
      <c r="GVP11" s="87"/>
      <c r="GVQ11" s="87"/>
      <c r="GVR11" s="87"/>
      <c r="GVS11" s="87"/>
      <c r="GVT11" s="87"/>
      <c r="GVU11" s="87"/>
      <c r="GVV11" s="87"/>
      <c r="GVW11" s="87"/>
      <c r="GVX11" s="87"/>
      <c r="GVY11" s="87"/>
      <c r="GVZ11" s="87"/>
      <c r="GWA11" s="87"/>
      <c r="GWB11" s="87"/>
      <c r="GWC11" s="87"/>
      <c r="GWD11" s="87"/>
      <c r="GWE11" s="87"/>
      <c r="GWF11" s="87"/>
      <c r="GWG11" s="87"/>
      <c r="GWH11" s="87"/>
      <c r="GWI11" s="87"/>
      <c r="GWJ11" s="87"/>
      <c r="GWK11" s="87"/>
      <c r="GWL11" s="87"/>
      <c r="GWM11" s="87"/>
      <c r="GWN11" s="87"/>
      <c r="GWO11" s="87"/>
      <c r="GWP11" s="87"/>
      <c r="GWQ11" s="87"/>
      <c r="GWR11" s="87"/>
      <c r="GWS11" s="87"/>
      <c r="GWT11" s="87"/>
      <c r="GWU11" s="87"/>
      <c r="GWV11" s="87"/>
      <c r="GWW11" s="87"/>
      <c r="GWX11" s="87"/>
      <c r="GWY11" s="87"/>
      <c r="GWZ11" s="87"/>
      <c r="GXA11" s="87"/>
      <c r="GXB11" s="87"/>
      <c r="GXC11" s="87"/>
      <c r="GXD11" s="87"/>
      <c r="GXE11" s="87"/>
      <c r="GXF11" s="87"/>
      <c r="GXG11" s="87"/>
      <c r="GXH11" s="87"/>
      <c r="GXI11" s="87"/>
      <c r="GXJ11" s="87"/>
      <c r="GXK11" s="87"/>
      <c r="GXL11" s="87"/>
      <c r="GXM11" s="87"/>
      <c r="GXN11" s="87"/>
      <c r="GXO11" s="87"/>
      <c r="GXP11" s="87"/>
      <c r="GXQ11" s="87"/>
      <c r="GXR11" s="87"/>
      <c r="GXS11" s="87"/>
      <c r="GXT11" s="87"/>
      <c r="GXU11" s="87"/>
      <c r="GXV11" s="87"/>
      <c r="GXW11" s="87"/>
      <c r="GXX11" s="87"/>
      <c r="GXY11" s="87"/>
      <c r="GXZ11" s="87"/>
      <c r="GYA11" s="87"/>
      <c r="GYB11" s="87"/>
      <c r="GYC11" s="87"/>
      <c r="GYD11" s="87"/>
      <c r="GYE11" s="87"/>
      <c r="GYF11" s="87"/>
      <c r="GYG11" s="87"/>
      <c r="GYH11" s="87"/>
      <c r="GYI11" s="87"/>
      <c r="GYJ11" s="87"/>
      <c r="GYK11" s="87"/>
      <c r="GYL11" s="87"/>
      <c r="GYM11" s="87"/>
      <c r="GYN11" s="87"/>
      <c r="GYO11" s="87"/>
      <c r="GYP11" s="87"/>
      <c r="GYQ11" s="87"/>
      <c r="GYR11" s="87"/>
      <c r="GYS11" s="87"/>
      <c r="GYT11" s="87"/>
      <c r="GYU11" s="87"/>
      <c r="GYV11" s="87"/>
      <c r="GYW11" s="87"/>
      <c r="GYX11" s="87"/>
      <c r="GYY11" s="87"/>
      <c r="GYZ11" s="87"/>
      <c r="GZA11" s="87"/>
      <c r="GZB11" s="87"/>
      <c r="GZC11" s="87"/>
      <c r="GZD11" s="87"/>
      <c r="GZE11" s="87"/>
      <c r="GZF11" s="87"/>
      <c r="GZG11" s="87"/>
      <c r="GZH11" s="87"/>
      <c r="GZI11" s="87"/>
      <c r="GZJ11" s="87"/>
      <c r="GZK11" s="87"/>
      <c r="GZL11" s="87"/>
      <c r="GZM11" s="87"/>
      <c r="GZN11" s="87"/>
      <c r="GZO11" s="87"/>
      <c r="GZP11" s="87"/>
      <c r="GZQ11" s="87"/>
      <c r="GZR11" s="87"/>
      <c r="GZS11" s="87"/>
      <c r="GZT11" s="87"/>
      <c r="GZU11" s="87"/>
      <c r="GZV11" s="87"/>
      <c r="GZW11" s="87"/>
      <c r="GZX11" s="87"/>
      <c r="GZY11" s="87"/>
      <c r="GZZ11" s="87"/>
      <c r="HAA11" s="87"/>
      <c r="HAB11" s="87"/>
      <c r="HAC11" s="87"/>
      <c r="HAD11" s="87"/>
      <c r="HAE11" s="87"/>
      <c r="HAF11" s="87"/>
      <c r="HAG11" s="87"/>
      <c r="HAH11" s="87"/>
      <c r="HAI11" s="87"/>
      <c r="HAJ11" s="87"/>
      <c r="HAK11" s="87"/>
      <c r="HAL11" s="87"/>
      <c r="HAM11" s="87"/>
      <c r="HAN11" s="87"/>
      <c r="HAO11" s="87"/>
      <c r="HAP11" s="87"/>
      <c r="HAQ11" s="87"/>
      <c r="HAR11" s="87"/>
      <c r="HAS11" s="87"/>
      <c r="HAT11" s="87"/>
      <c r="HAU11" s="87"/>
      <c r="HAV11" s="87"/>
      <c r="HAW11" s="87"/>
      <c r="HAX11" s="87"/>
      <c r="HAY11" s="87"/>
      <c r="HAZ11" s="87"/>
      <c r="HBA11" s="87"/>
      <c r="HBB11" s="87"/>
      <c r="HBC11" s="87"/>
      <c r="HBD11" s="87"/>
      <c r="HBE11" s="87"/>
      <c r="HBF11" s="87"/>
      <c r="HBG11" s="87"/>
      <c r="HBH11" s="87"/>
      <c r="HBI11" s="87"/>
      <c r="HBJ11" s="87"/>
      <c r="HBK11" s="87"/>
      <c r="HBL11" s="87"/>
      <c r="HBM11" s="87"/>
      <c r="HBN11" s="87"/>
      <c r="HBO11" s="87"/>
      <c r="HBP11" s="87"/>
      <c r="HBQ11" s="87"/>
      <c r="HBR11" s="87"/>
      <c r="HBS11" s="87"/>
      <c r="HBT11" s="87"/>
      <c r="HBU11" s="87"/>
      <c r="HBV11" s="87"/>
      <c r="HBW11" s="87"/>
      <c r="HBX11" s="87"/>
      <c r="HBY11" s="87"/>
      <c r="HBZ11" s="87"/>
      <c r="HCA11" s="87"/>
      <c r="HCB11" s="87"/>
      <c r="HCC11" s="87"/>
      <c r="HCD11" s="87"/>
      <c r="HCE11" s="87"/>
      <c r="HCF11" s="87"/>
      <c r="HCG11" s="87"/>
      <c r="HCH11" s="87"/>
      <c r="HCI11" s="87"/>
      <c r="HCJ11" s="87"/>
      <c r="HCK11" s="87"/>
      <c r="HCL11" s="87"/>
      <c r="HCM11" s="87"/>
      <c r="HCN11" s="87"/>
      <c r="HCO11" s="87"/>
      <c r="HCP11" s="87"/>
      <c r="HCQ11" s="87"/>
      <c r="HCR11" s="87"/>
      <c r="HCS11" s="87"/>
      <c r="HCT11" s="87"/>
      <c r="HCU11" s="87"/>
      <c r="HCV11" s="87"/>
      <c r="HCW11" s="87"/>
      <c r="HCX11" s="87"/>
      <c r="HCY11" s="87"/>
      <c r="HCZ11" s="87"/>
      <c r="HDA11" s="87"/>
      <c r="HDB11" s="87"/>
      <c r="HDC11" s="87"/>
      <c r="HDD11" s="87"/>
      <c r="HDE11" s="87"/>
      <c r="HDF11" s="87"/>
      <c r="HDG11" s="87"/>
      <c r="HDH11" s="87"/>
      <c r="HDI11" s="87"/>
      <c r="HDJ11" s="87"/>
      <c r="HDK11" s="87"/>
      <c r="HDL11" s="87"/>
      <c r="HDM11" s="87"/>
      <c r="HDN11" s="87"/>
      <c r="HDO11" s="87"/>
      <c r="HDP11" s="87"/>
      <c r="HDQ11" s="87"/>
      <c r="HDR11" s="87"/>
      <c r="HDS11" s="87"/>
      <c r="HDT11" s="87"/>
      <c r="HDU11" s="87"/>
      <c r="HDV11" s="87"/>
      <c r="HDW11" s="87"/>
      <c r="HDX11" s="87"/>
      <c r="HDY11" s="87"/>
      <c r="HDZ11" s="87"/>
      <c r="HEA11" s="87"/>
      <c r="HEB11" s="87"/>
      <c r="HEC11" s="87"/>
      <c r="HED11" s="87"/>
      <c r="HEE11" s="87"/>
      <c r="HEF11" s="87"/>
      <c r="HEG11" s="87"/>
      <c r="HEH11" s="87"/>
      <c r="HEI11" s="87"/>
      <c r="HEJ11" s="87"/>
      <c r="HEK11" s="87"/>
      <c r="HEL11" s="87"/>
      <c r="HEM11" s="87"/>
      <c r="HEN11" s="87"/>
      <c r="HEO11" s="87"/>
      <c r="HEP11" s="87"/>
      <c r="HEQ11" s="87"/>
      <c r="HER11" s="87"/>
      <c r="HES11" s="87"/>
      <c r="HET11" s="87"/>
      <c r="HEU11" s="87"/>
      <c r="HEV11" s="87"/>
      <c r="HEW11" s="87"/>
      <c r="HEX11" s="87"/>
      <c r="HEY11" s="87"/>
      <c r="HEZ11" s="87"/>
      <c r="HFA11" s="87"/>
      <c r="HFB11" s="87"/>
      <c r="HFC11" s="87"/>
      <c r="HFD11" s="87"/>
      <c r="HFE11" s="87"/>
      <c r="HFF11" s="87"/>
      <c r="HFG11" s="87"/>
      <c r="HFH11" s="87"/>
      <c r="HFI11" s="87"/>
      <c r="HFJ11" s="87"/>
      <c r="HFK11" s="87"/>
      <c r="HFL11" s="87"/>
      <c r="HFM11" s="87"/>
      <c r="HFN11" s="87"/>
      <c r="HFO11" s="87"/>
      <c r="HFP11" s="87"/>
      <c r="HFQ11" s="87"/>
      <c r="HFR11" s="87"/>
      <c r="HFS11" s="87"/>
      <c r="HFT11" s="87"/>
      <c r="HFU11" s="87"/>
      <c r="HFV11" s="87"/>
      <c r="HFW11" s="87"/>
      <c r="HFX11" s="87"/>
      <c r="HFY11" s="87"/>
      <c r="HFZ11" s="87"/>
      <c r="HGA11" s="87"/>
      <c r="HGB11" s="87"/>
      <c r="HGC11" s="87"/>
      <c r="HGD11" s="87"/>
      <c r="HGE11" s="87"/>
      <c r="HGF11" s="87"/>
      <c r="HGG11" s="87"/>
      <c r="HGH11" s="87"/>
      <c r="HGI11" s="87"/>
      <c r="HGJ11" s="87"/>
      <c r="HGK11" s="87"/>
      <c r="HGL11" s="87"/>
      <c r="HGM11" s="87"/>
      <c r="HGN11" s="87"/>
      <c r="HGO11" s="87"/>
      <c r="HGP11" s="87"/>
      <c r="HGQ11" s="87"/>
      <c r="HGR11" s="87"/>
      <c r="HGS11" s="87"/>
      <c r="HGT11" s="87"/>
      <c r="HGU11" s="87"/>
      <c r="HGV11" s="87"/>
      <c r="HGW11" s="87"/>
      <c r="HGX11" s="87"/>
      <c r="HGY11" s="87"/>
      <c r="HGZ11" s="87"/>
      <c r="HHA11" s="87"/>
      <c r="HHB11" s="87"/>
      <c r="HHC11" s="87"/>
      <c r="HHD11" s="87"/>
      <c r="HHE11" s="87"/>
      <c r="HHF11" s="87"/>
      <c r="HHG11" s="87"/>
      <c r="HHH11" s="87"/>
      <c r="HHI11" s="87"/>
      <c r="HHJ11" s="87"/>
      <c r="HHK11" s="87"/>
      <c r="HHL11" s="87"/>
      <c r="HHM11" s="87"/>
      <c r="HHN11" s="87"/>
      <c r="HHO11" s="87"/>
      <c r="HHP11" s="87"/>
      <c r="HHQ11" s="87"/>
      <c r="HHR11" s="87"/>
      <c r="HHS11" s="87"/>
      <c r="HHT11" s="87"/>
      <c r="HHU11" s="87"/>
      <c r="HHV11" s="87"/>
      <c r="HHW11" s="87"/>
      <c r="HHX11" s="87"/>
      <c r="HHY11" s="87"/>
      <c r="HHZ11" s="87"/>
      <c r="HIA11" s="87"/>
      <c r="HIB11" s="87"/>
      <c r="HIC11" s="87"/>
      <c r="HID11" s="87"/>
      <c r="HIE11" s="87"/>
      <c r="HIF11" s="87"/>
      <c r="HIG11" s="87"/>
      <c r="HIH11" s="87"/>
      <c r="HII11" s="87"/>
      <c r="HIJ11" s="87"/>
      <c r="HIK11" s="87"/>
      <c r="HIL11" s="87"/>
      <c r="HIM11" s="87"/>
      <c r="HIN11" s="87"/>
      <c r="HIO11" s="87"/>
      <c r="HIP11" s="87"/>
      <c r="HIQ11" s="87"/>
      <c r="HIR11" s="87"/>
      <c r="HIS11" s="87"/>
      <c r="HIT11" s="87"/>
      <c r="HIU11" s="87"/>
      <c r="HIV11" s="87"/>
      <c r="HIW11" s="87"/>
      <c r="HIX11" s="87"/>
      <c r="HIY11" s="87"/>
      <c r="HIZ11" s="87"/>
      <c r="HJA11" s="87"/>
      <c r="HJB11" s="87"/>
      <c r="HJC11" s="87"/>
      <c r="HJD11" s="87"/>
      <c r="HJE11" s="87"/>
      <c r="HJF11" s="87"/>
      <c r="HJG11" s="87"/>
      <c r="HJH11" s="87"/>
      <c r="HJI11" s="87"/>
      <c r="HJJ11" s="87"/>
      <c r="HJK11" s="87"/>
      <c r="HJL11" s="87"/>
      <c r="HJM11" s="87"/>
      <c r="HJN11" s="87"/>
      <c r="HJO11" s="87"/>
      <c r="HJP11" s="87"/>
      <c r="HJQ11" s="87"/>
      <c r="HJR11" s="87"/>
      <c r="HJS11" s="87"/>
      <c r="HJT11" s="87"/>
      <c r="HJU11" s="87"/>
      <c r="HJV11" s="87"/>
      <c r="HJW11" s="87"/>
      <c r="HJX11" s="87"/>
      <c r="HJY11" s="87"/>
      <c r="HJZ11" s="87"/>
      <c r="HKA11" s="87"/>
      <c r="HKB11" s="87"/>
      <c r="HKC11" s="87"/>
      <c r="HKD11" s="87"/>
      <c r="HKE11" s="87"/>
      <c r="HKF11" s="87"/>
      <c r="HKG11" s="87"/>
      <c r="HKH11" s="87"/>
      <c r="HKI11" s="87"/>
      <c r="HKJ11" s="87"/>
      <c r="HKK11" s="87"/>
      <c r="HKL11" s="87"/>
      <c r="HKM11" s="87"/>
      <c r="HKN11" s="87"/>
      <c r="HKO11" s="87"/>
      <c r="HKP11" s="87"/>
      <c r="HKQ11" s="87"/>
      <c r="HKR11" s="87"/>
      <c r="HKS11" s="87"/>
      <c r="HKT11" s="87"/>
      <c r="HKU11" s="87"/>
      <c r="HKV11" s="87"/>
      <c r="HKW11" s="87"/>
      <c r="HKX11" s="87"/>
      <c r="HKY11" s="87"/>
      <c r="HKZ11" s="87"/>
      <c r="HLA11" s="87"/>
      <c r="HLB11" s="87"/>
      <c r="HLC11" s="87"/>
      <c r="HLD11" s="87"/>
      <c r="HLE11" s="87"/>
      <c r="HLF11" s="87"/>
      <c r="HLG11" s="87"/>
      <c r="HLH11" s="87"/>
      <c r="HLI11" s="87"/>
      <c r="HLJ11" s="87"/>
      <c r="HLK11" s="87"/>
      <c r="HLL11" s="87"/>
      <c r="HLM11" s="87"/>
      <c r="HLN11" s="87"/>
      <c r="HLO11" s="87"/>
      <c r="HLP11" s="87"/>
      <c r="HLQ11" s="87"/>
      <c r="HLR11" s="87"/>
      <c r="HLS11" s="87"/>
      <c r="HLT11" s="87"/>
      <c r="HLU11" s="87"/>
      <c r="HLV11" s="87"/>
      <c r="HLW11" s="87"/>
      <c r="HLX11" s="87"/>
      <c r="HLY11" s="87"/>
      <c r="HLZ11" s="87"/>
      <c r="HMA11" s="87"/>
      <c r="HMB11" s="87"/>
      <c r="HMC11" s="87"/>
      <c r="HMD11" s="87"/>
      <c r="HME11" s="87"/>
      <c r="HMF11" s="87"/>
      <c r="HMG11" s="87"/>
      <c r="HMH11" s="87"/>
      <c r="HMI11" s="87"/>
      <c r="HMJ11" s="87"/>
      <c r="HMK11" s="87"/>
      <c r="HML11" s="87"/>
      <c r="HMM11" s="87"/>
      <c r="HMN11" s="87"/>
      <c r="HMO11" s="87"/>
      <c r="HMP11" s="87"/>
      <c r="HMQ11" s="87"/>
      <c r="HMR11" s="87"/>
      <c r="HMS11" s="87"/>
      <c r="HMT11" s="87"/>
      <c r="HMU11" s="87"/>
      <c r="HMV11" s="87"/>
      <c r="HMW11" s="87"/>
      <c r="HMX11" s="87"/>
      <c r="HMY11" s="87"/>
      <c r="HMZ11" s="87"/>
      <c r="HNA11" s="87"/>
      <c r="HNB11" s="87"/>
      <c r="HNC11" s="87"/>
      <c r="HND11" s="87"/>
      <c r="HNE11" s="87"/>
      <c r="HNF11" s="87"/>
      <c r="HNG11" s="87"/>
      <c r="HNH11" s="87"/>
      <c r="HNI11" s="87"/>
      <c r="HNJ11" s="87"/>
      <c r="HNK11" s="87"/>
      <c r="HNL11" s="87"/>
      <c r="HNM11" s="87"/>
      <c r="HNN11" s="87"/>
      <c r="HNO11" s="87"/>
      <c r="HNP11" s="87"/>
      <c r="HNQ11" s="87"/>
      <c r="HNR11" s="87"/>
      <c r="HNS11" s="87"/>
      <c r="HNT11" s="87"/>
      <c r="HNU11" s="87"/>
      <c r="HNV11" s="87"/>
      <c r="HNW11" s="87"/>
      <c r="HNX11" s="87"/>
      <c r="HNY11" s="87"/>
      <c r="HNZ11" s="87"/>
      <c r="HOA11" s="87"/>
      <c r="HOB11" s="87"/>
      <c r="HOC11" s="87"/>
      <c r="HOD11" s="87"/>
      <c r="HOE11" s="87"/>
      <c r="HOF11" s="87"/>
      <c r="HOG11" s="87"/>
      <c r="HOH11" s="87"/>
      <c r="HOI11" s="87"/>
      <c r="HOJ11" s="87"/>
      <c r="HOK11" s="87"/>
      <c r="HOL11" s="87"/>
      <c r="HOM11" s="87"/>
      <c r="HON11" s="87"/>
      <c r="HOO11" s="87"/>
      <c r="HOP11" s="87"/>
      <c r="HOQ11" s="87"/>
      <c r="HOR11" s="87"/>
      <c r="HOS11" s="87"/>
      <c r="HOT11" s="87"/>
      <c r="HOU11" s="87"/>
      <c r="HOV11" s="87"/>
      <c r="HOW11" s="87"/>
      <c r="HOX11" s="87"/>
      <c r="HOY11" s="87"/>
      <c r="HOZ11" s="87"/>
      <c r="HPA11" s="87"/>
      <c r="HPB11" s="87"/>
      <c r="HPC11" s="87"/>
      <c r="HPD11" s="87"/>
      <c r="HPE11" s="87"/>
      <c r="HPF11" s="87"/>
      <c r="HPG11" s="87"/>
      <c r="HPH11" s="87"/>
      <c r="HPI11" s="87"/>
      <c r="HPJ11" s="87"/>
      <c r="HPK11" s="87"/>
      <c r="HPL11" s="87"/>
      <c r="HPM11" s="87"/>
      <c r="HPN11" s="87"/>
      <c r="HPO11" s="87"/>
      <c r="HPP11" s="87"/>
      <c r="HPQ11" s="87"/>
      <c r="HPR11" s="87"/>
      <c r="HPS11" s="87"/>
      <c r="HPT11" s="87"/>
      <c r="HPU11" s="87"/>
      <c r="HPV11" s="87"/>
      <c r="HPW11" s="87"/>
      <c r="HPX11" s="87"/>
      <c r="HPY11" s="87"/>
      <c r="HPZ11" s="87"/>
      <c r="HQA11" s="87"/>
      <c r="HQB11" s="87"/>
      <c r="HQC11" s="87"/>
      <c r="HQD11" s="87"/>
      <c r="HQE11" s="87"/>
      <c r="HQF11" s="87"/>
      <c r="HQG11" s="87"/>
      <c r="HQH11" s="87"/>
      <c r="HQI11" s="87"/>
      <c r="HQJ11" s="87"/>
      <c r="HQK11" s="87"/>
      <c r="HQL11" s="87"/>
      <c r="HQM11" s="87"/>
      <c r="HQN11" s="87"/>
      <c r="HQO11" s="87"/>
      <c r="HQP11" s="87"/>
      <c r="HQQ11" s="87"/>
      <c r="HQR11" s="87"/>
      <c r="HQS11" s="87"/>
      <c r="HQT11" s="87"/>
      <c r="HQU11" s="87"/>
      <c r="HQV11" s="87"/>
      <c r="HQW11" s="87"/>
      <c r="HQX11" s="87"/>
      <c r="HQY11" s="87"/>
      <c r="HQZ11" s="87"/>
      <c r="HRA11" s="87"/>
      <c r="HRB11" s="87"/>
      <c r="HRC11" s="87"/>
      <c r="HRD11" s="87"/>
      <c r="HRE11" s="87"/>
      <c r="HRF11" s="87"/>
      <c r="HRG11" s="87"/>
      <c r="HRH11" s="87"/>
      <c r="HRI11" s="87"/>
      <c r="HRJ11" s="87"/>
      <c r="HRK11" s="87"/>
      <c r="HRL11" s="87"/>
      <c r="HRM11" s="87"/>
      <c r="HRN11" s="87"/>
      <c r="HRO11" s="87"/>
      <c r="HRP11" s="87"/>
      <c r="HRQ11" s="87"/>
      <c r="HRR11" s="87"/>
      <c r="HRS11" s="87"/>
      <c r="HRT11" s="87"/>
      <c r="HRU11" s="87"/>
      <c r="HRV11" s="87"/>
      <c r="HRW11" s="87"/>
      <c r="HRX11" s="87"/>
      <c r="HRY11" s="87"/>
      <c r="HRZ11" s="87"/>
      <c r="HSA11" s="87"/>
      <c r="HSB11" s="87"/>
      <c r="HSC11" s="87"/>
      <c r="HSD11" s="87"/>
      <c r="HSE11" s="87"/>
      <c r="HSF11" s="87"/>
      <c r="HSG11" s="87"/>
      <c r="HSH11" s="87"/>
      <c r="HSI11" s="87"/>
      <c r="HSJ11" s="87"/>
      <c r="HSK11" s="87"/>
      <c r="HSL11" s="87"/>
      <c r="HSM11" s="87"/>
      <c r="HSN11" s="87"/>
      <c r="HSO11" s="87"/>
      <c r="HSP11" s="87"/>
      <c r="HSQ11" s="87"/>
      <c r="HSR11" s="87"/>
      <c r="HSS11" s="87"/>
      <c r="HST11" s="87"/>
      <c r="HSU11" s="87"/>
      <c r="HSV11" s="87"/>
      <c r="HSW11" s="87"/>
      <c r="HSX11" s="87"/>
      <c r="HSY11" s="87"/>
      <c r="HSZ11" s="87"/>
      <c r="HTA11" s="87"/>
      <c r="HTB11" s="87"/>
      <c r="HTC11" s="87"/>
      <c r="HTD11" s="87"/>
      <c r="HTE11" s="87"/>
      <c r="HTF11" s="87"/>
      <c r="HTG11" s="87"/>
      <c r="HTH11" s="87"/>
      <c r="HTI11" s="87"/>
      <c r="HTJ11" s="87"/>
      <c r="HTK11" s="87"/>
      <c r="HTL11" s="87"/>
      <c r="HTM11" s="87"/>
      <c r="HTN11" s="87"/>
      <c r="HTO11" s="87"/>
      <c r="HTP11" s="87"/>
      <c r="HTQ11" s="87"/>
      <c r="HTR11" s="87"/>
      <c r="HTS11" s="87"/>
      <c r="HTT11" s="87"/>
      <c r="HTU11" s="87"/>
      <c r="HTV11" s="87"/>
      <c r="HTW11" s="87"/>
      <c r="HTX11" s="87"/>
      <c r="HTY11" s="87"/>
      <c r="HTZ11" s="87"/>
      <c r="HUA11" s="87"/>
      <c r="HUB11" s="87"/>
      <c r="HUC11" s="87"/>
      <c r="HUD11" s="87"/>
      <c r="HUE11" s="87"/>
      <c r="HUF11" s="87"/>
      <c r="HUG11" s="87"/>
      <c r="HUH11" s="87"/>
      <c r="HUI11" s="87"/>
      <c r="HUJ11" s="87"/>
      <c r="HUK11" s="87"/>
      <c r="HUL11" s="87"/>
      <c r="HUM11" s="87"/>
      <c r="HUN11" s="87"/>
      <c r="HUO11" s="87"/>
      <c r="HUP11" s="87"/>
      <c r="HUQ11" s="87"/>
      <c r="HUR11" s="87"/>
      <c r="HUS11" s="87"/>
      <c r="HUT11" s="87"/>
      <c r="HUU11" s="87"/>
      <c r="HUV11" s="87"/>
      <c r="HUW11" s="87"/>
      <c r="HUX11" s="87"/>
      <c r="HUY11" s="87"/>
      <c r="HUZ11" s="87"/>
      <c r="HVA11" s="87"/>
      <c r="HVB11" s="87"/>
      <c r="HVC11" s="87"/>
      <c r="HVD11" s="87"/>
      <c r="HVE11" s="87"/>
      <c r="HVF11" s="87"/>
      <c r="HVG11" s="87"/>
      <c r="HVH11" s="87"/>
      <c r="HVI11" s="87"/>
      <c r="HVJ11" s="87"/>
      <c r="HVK11" s="87"/>
      <c r="HVL11" s="87"/>
      <c r="HVM11" s="87"/>
      <c r="HVN11" s="87"/>
      <c r="HVO11" s="87"/>
      <c r="HVP11" s="87"/>
      <c r="HVQ11" s="87"/>
      <c r="HVR11" s="87"/>
      <c r="HVS11" s="87"/>
      <c r="HVT11" s="87"/>
      <c r="HVU11" s="87"/>
      <c r="HVV11" s="87"/>
      <c r="HVW11" s="87"/>
      <c r="HVX11" s="87"/>
      <c r="HVY11" s="87"/>
      <c r="HVZ11" s="87"/>
      <c r="HWA11" s="87"/>
      <c r="HWB11" s="87"/>
      <c r="HWC11" s="87"/>
      <c r="HWD11" s="87"/>
      <c r="HWE11" s="87"/>
      <c r="HWF11" s="87"/>
      <c r="HWG11" s="87"/>
      <c r="HWH11" s="87"/>
      <c r="HWI11" s="87"/>
      <c r="HWJ11" s="87"/>
      <c r="HWK11" s="87"/>
      <c r="HWL11" s="87"/>
      <c r="HWM11" s="87"/>
      <c r="HWN11" s="87"/>
      <c r="HWO11" s="87"/>
      <c r="HWP11" s="87"/>
      <c r="HWQ11" s="87"/>
      <c r="HWR11" s="87"/>
      <c r="HWS11" s="87"/>
      <c r="HWT11" s="87"/>
      <c r="HWU11" s="87"/>
      <c r="HWV11" s="87"/>
      <c r="HWW11" s="87"/>
      <c r="HWX11" s="87"/>
      <c r="HWY11" s="87"/>
      <c r="HWZ11" s="87"/>
      <c r="HXA11" s="87"/>
      <c r="HXB11" s="87"/>
      <c r="HXC11" s="87"/>
      <c r="HXD11" s="87"/>
      <c r="HXE11" s="87"/>
      <c r="HXF11" s="87"/>
      <c r="HXG11" s="87"/>
      <c r="HXH11" s="87"/>
      <c r="HXI11" s="87"/>
      <c r="HXJ11" s="87"/>
      <c r="HXK11" s="87"/>
      <c r="HXL11" s="87"/>
      <c r="HXM11" s="87"/>
      <c r="HXN11" s="87"/>
      <c r="HXO11" s="87"/>
      <c r="HXP11" s="87"/>
      <c r="HXQ11" s="87"/>
      <c r="HXR11" s="87"/>
      <c r="HXS11" s="87"/>
      <c r="HXT11" s="87"/>
      <c r="HXU11" s="87"/>
      <c r="HXV11" s="87"/>
      <c r="HXW11" s="87"/>
      <c r="HXX11" s="87"/>
      <c r="HXY11" s="87"/>
      <c r="HXZ11" s="87"/>
      <c r="HYA11" s="87"/>
      <c r="HYB11" s="87"/>
      <c r="HYC11" s="87"/>
      <c r="HYD11" s="87"/>
      <c r="HYE11" s="87"/>
      <c r="HYF11" s="87"/>
      <c r="HYG11" s="87"/>
      <c r="HYH11" s="87"/>
      <c r="HYI11" s="87"/>
      <c r="HYJ11" s="87"/>
      <c r="HYK11" s="87"/>
      <c r="HYL11" s="87"/>
      <c r="HYM11" s="87"/>
      <c r="HYN11" s="87"/>
      <c r="HYO11" s="87"/>
      <c r="HYP11" s="87"/>
      <c r="HYQ11" s="87"/>
      <c r="HYR11" s="87"/>
      <c r="HYS11" s="87"/>
      <c r="HYT11" s="87"/>
      <c r="HYU11" s="87"/>
      <c r="HYV11" s="87"/>
      <c r="HYW11" s="87"/>
      <c r="HYX11" s="87"/>
      <c r="HYY11" s="87"/>
      <c r="HYZ11" s="87"/>
      <c r="HZA11" s="87"/>
      <c r="HZB11" s="87"/>
      <c r="HZC11" s="87"/>
      <c r="HZD11" s="87"/>
      <c r="HZE11" s="87"/>
      <c r="HZF11" s="87"/>
      <c r="HZG11" s="87"/>
      <c r="HZH11" s="87"/>
      <c r="HZI11" s="87"/>
      <c r="HZJ11" s="87"/>
      <c r="HZK11" s="87"/>
      <c r="HZL11" s="87"/>
      <c r="HZM11" s="87"/>
      <c r="HZN11" s="87"/>
      <c r="HZO11" s="87"/>
      <c r="HZP11" s="87"/>
      <c r="HZQ11" s="87"/>
      <c r="HZR11" s="87"/>
      <c r="HZS11" s="87"/>
      <c r="HZT11" s="87"/>
      <c r="HZU11" s="87"/>
      <c r="HZV11" s="87"/>
      <c r="HZW11" s="87"/>
      <c r="HZX11" s="87"/>
      <c r="HZY11" s="87"/>
      <c r="HZZ11" s="87"/>
      <c r="IAA11" s="87"/>
      <c r="IAB11" s="87"/>
      <c r="IAC11" s="87"/>
      <c r="IAD11" s="87"/>
      <c r="IAE11" s="87"/>
      <c r="IAF11" s="87"/>
      <c r="IAG11" s="87"/>
      <c r="IAH11" s="87"/>
      <c r="IAI11" s="87"/>
      <c r="IAJ11" s="87"/>
      <c r="IAK11" s="87"/>
      <c r="IAL11" s="87"/>
      <c r="IAM11" s="87"/>
      <c r="IAN11" s="87"/>
      <c r="IAO11" s="87"/>
      <c r="IAP11" s="87"/>
      <c r="IAQ11" s="87"/>
      <c r="IAR11" s="87"/>
      <c r="IAS11" s="87"/>
      <c r="IAT11" s="87"/>
      <c r="IAU11" s="87"/>
      <c r="IAV11" s="87"/>
      <c r="IAW11" s="87"/>
      <c r="IAX11" s="87"/>
      <c r="IAY11" s="87"/>
      <c r="IAZ11" s="87"/>
      <c r="IBA11" s="87"/>
      <c r="IBB11" s="87"/>
      <c r="IBC11" s="87"/>
      <c r="IBD11" s="87"/>
      <c r="IBE11" s="87"/>
      <c r="IBF11" s="87"/>
      <c r="IBG11" s="87"/>
      <c r="IBH11" s="87"/>
      <c r="IBI11" s="87"/>
      <c r="IBJ11" s="87"/>
      <c r="IBK11" s="87"/>
      <c r="IBL11" s="87"/>
      <c r="IBM11" s="87"/>
      <c r="IBN11" s="87"/>
      <c r="IBO11" s="87"/>
      <c r="IBP11" s="87"/>
      <c r="IBQ11" s="87"/>
      <c r="IBR11" s="87"/>
      <c r="IBS11" s="87"/>
      <c r="IBT11" s="87"/>
      <c r="IBU11" s="87"/>
      <c r="IBV11" s="87"/>
      <c r="IBW11" s="87"/>
      <c r="IBX11" s="87"/>
      <c r="IBY11" s="87"/>
      <c r="IBZ11" s="87"/>
      <c r="ICA11" s="87"/>
      <c r="ICB11" s="87"/>
      <c r="ICC11" s="87"/>
      <c r="ICD11" s="87"/>
      <c r="ICE11" s="87"/>
      <c r="ICF11" s="87"/>
      <c r="ICG11" s="87"/>
      <c r="ICH11" s="87"/>
      <c r="ICI11" s="87"/>
      <c r="ICJ11" s="87"/>
      <c r="ICK11" s="87"/>
      <c r="ICL11" s="87"/>
      <c r="ICM11" s="87"/>
      <c r="ICN11" s="87"/>
      <c r="ICO11" s="87"/>
      <c r="ICP11" s="87"/>
      <c r="ICQ11" s="87"/>
      <c r="ICR11" s="87"/>
      <c r="ICS11" s="87"/>
      <c r="ICT11" s="87"/>
      <c r="ICU11" s="87"/>
      <c r="ICV11" s="87"/>
      <c r="ICW11" s="87"/>
      <c r="ICX11" s="87"/>
      <c r="ICY11" s="87"/>
      <c r="ICZ11" s="87"/>
      <c r="IDA11" s="87"/>
      <c r="IDB11" s="87"/>
      <c r="IDC11" s="87"/>
      <c r="IDD11" s="87"/>
      <c r="IDE11" s="87"/>
      <c r="IDF11" s="87"/>
      <c r="IDG11" s="87"/>
      <c r="IDH11" s="87"/>
      <c r="IDI11" s="87"/>
      <c r="IDJ11" s="87"/>
      <c r="IDK11" s="87"/>
      <c r="IDL11" s="87"/>
      <c r="IDM11" s="87"/>
      <c r="IDN11" s="87"/>
      <c r="IDO11" s="87"/>
      <c r="IDP11" s="87"/>
      <c r="IDQ11" s="87"/>
      <c r="IDR11" s="87"/>
      <c r="IDS11" s="87"/>
      <c r="IDT11" s="87"/>
      <c r="IDU11" s="87"/>
      <c r="IDV11" s="87"/>
      <c r="IDW11" s="87"/>
      <c r="IDX11" s="87"/>
      <c r="IDY11" s="87"/>
      <c r="IDZ11" s="87"/>
      <c r="IEA11" s="87"/>
      <c r="IEB11" s="87"/>
      <c r="IEC11" s="87"/>
      <c r="IED11" s="87"/>
      <c r="IEE11" s="87"/>
      <c r="IEF11" s="87"/>
      <c r="IEG11" s="87"/>
      <c r="IEH11" s="87"/>
      <c r="IEI11" s="87"/>
      <c r="IEJ11" s="87"/>
      <c r="IEK11" s="87"/>
      <c r="IEL11" s="87"/>
      <c r="IEM11" s="87"/>
      <c r="IEN11" s="87"/>
      <c r="IEO11" s="87"/>
      <c r="IEP11" s="87"/>
      <c r="IEQ11" s="87"/>
      <c r="IER11" s="87"/>
      <c r="IES11" s="87"/>
      <c r="IET11" s="87"/>
      <c r="IEU11" s="87"/>
      <c r="IEV11" s="87"/>
      <c r="IEW11" s="87"/>
      <c r="IEX11" s="87"/>
      <c r="IEY11" s="87"/>
      <c r="IEZ11" s="87"/>
      <c r="IFA11" s="87"/>
      <c r="IFB11" s="87"/>
      <c r="IFC11" s="87"/>
      <c r="IFD11" s="87"/>
      <c r="IFE11" s="87"/>
      <c r="IFF11" s="87"/>
      <c r="IFG11" s="87"/>
      <c r="IFH11" s="87"/>
      <c r="IFI11" s="87"/>
      <c r="IFJ11" s="87"/>
      <c r="IFK11" s="87"/>
      <c r="IFL11" s="87"/>
      <c r="IFM11" s="87"/>
      <c r="IFN11" s="87"/>
      <c r="IFO11" s="87"/>
      <c r="IFP11" s="87"/>
      <c r="IFQ11" s="87"/>
      <c r="IFR11" s="87"/>
      <c r="IFS11" s="87"/>
      <c r="IFT11" s="87"/>
      <c r="IFU11" s="87"/>
      <c r="IFV11" s="87"/>
      <c r="IFW11" s="87"/>
      <c r="IFX11" s="87"/>
      <c r="IFY11" s="87"/>
      <c r="IFZ11" s="87"/>
      <c r="IGA11" s="87"/>
      <c r="IGB11" s="87"/>
      <c r="IGC11" s="87"/>
      <c r="IGD11" s="87"/>
      <c r="IGE11" s="87"/>
      <c r="IGF11" s="87"/>
      <c r="IGG11" s="87"/>
      <c r="IGH11" s="87"/>
      <c r="IGI11" s="87"/>
      <c r="IGJ11" s="87"/>
      <c r="IGK11" s="87"/>
      <c r="IGL11" s="87"/>
      <c r="IGM11" s="87"/>
      <c r="IGN11" s="87"/>
      <c r="IGO11" s="87"/>
      <c r="IGP11" s="87"/>
      <c r="IGQ11" s="87"/>
      <c r="IGR11" s="87"/>
      <c r="IGS11" s="87"/>
      <c r="IGT11" s="87"/>
      <c r="IGU11" s="87"/>
      <c r="IGV11" s="87"/>
      <c r="IGW11" s="87"/>
      <c r="IGX11" s="87"/>
      <c r="IGY11" s="87"/>
      <c r="IGZ11" s="87"/>
      <c r="IHA11" s="87"/>
      <c r="IHB11" s="87"/>
      <c r="IHC11" s="87"/>
      <c r="IHD11" s="87"/>
      <c r="IHE11" s="87"/>
      <c r="IHF11" s="87"/>
      <c r="IHG11" s="87"/>
      <c r="IHH11" s="87"/>
      <c r="IHI11" s="87"/>
      <c r="IHJ11" s="87"/>
      <c r="IHK11" s="87"/>
      <c r="IHL11" s="87"/>
      <c r="IHM11" s="87"/>
      <c r="IHN11" s="87"/>
      <c r="IHO11" s="87"/>
      <c r="IHP11" s="87"/>
      <c r="IHQ11" s="87"/>
      <c r="IHR11" s="87"/>
      <c r="IHS11" s="87"/>
      <c r="IHT11" s="87"/>
      <c r="IHU11" s="87"/>
      <c r="IHV11" s="87"/>
      <c r="IHW11" s="87"/>
      <c r="IHX11" s="87"/>
      <c r="IHY11" s="87"/>
      <c r="IHZ11" s="87"/>
      <c r="IIA11" s="87"/>
      <c r="IIB11" s="87"/>
      <c r="IIC11" s="87"/>
      <c r="IID11" s="87"/>
      <c r="IIE11" s="87"/>
      <c r="IIF11" s="87"/>
      <c r="IIG11" s="87"/>
      <c r="IIH11" s="87"/>
      <c r="III11" s="87"/>
      <c r="IIJ11" s="87"/>
      <c r="IIK11" s="87"/>
      <c r="IIL11" s="87"/>
      <c r="IIM11" s="87"/>
      <c r="IIN11" s="87"/>
      <c r="IIO11" s="87"/>
      <c r="IIP11" s="87"/>
      <c r="IIQ11" s="87"/>
      <c r="IIR11" s="87"/>
      <c r="IIS11" s="87"/>
      <c r="IIT11" s="87"/>
      <c r="IIU11" s="87"/>
      <c r="IIV11" s="87"/>
      <c r="IIW11" s="87"/>
      <c r="IIX11" s="87"/>
      <c r="IIY11" s="87"/>
      <c r="IIZ11" s="87"/>
      <c r="IJA11" s="87"/>
      <c r="IJB11" s="87"/>
      <c r="IJC11" s="87"/>
      <c r="IJD11" s="87"/>
      <c r="IJE11" s="87"/>
      <c r="IJF11" s="87"/>
      <c r="IJG11" s="87"/>
      <c r="IJH11" s="87"/>
      <c r="IJI11" s="87"/>
      <c r="IJJ11" s="87"/>
      <c r="IJK11" s="87"/>
      <c r="IJL11" s="87"/>
      <c r="IJM11" s="87"/>
      <c r="IJN11" s="87"/>
      <c r="IJO11" s="87"/>
      <c r="IJP11" s="87"/>
      <c r="IJQ11" s="87"/>
      <c r="IJR11" s="87"/>
      <c r="IJS11" s="87"/>
      <c r="IJT11" s="87"/>
      <c r="IJU11" s="87"/>
      <c r="IJV11" s="87"/>
      <c r="IJW11" s="87"/>
      <c r="IJX11" s="87"/>
      <c r="IJY11" s="87"/>
      <c r="IJZ11" s="87"/>
      <c r="IKA11" s="87"/>
      <c r="IKB11" s="87"/>
      <c r="IKC11" s="87"/>
      <c r="IKD11" s="87"/>
      <c r="IKE11" s="87"/>
      <c r="IKF11" s="87"/>
      <c r="IKG11" s="87"/>
      <c r="IKH11" s="87"/>
      <c r="IKI11" s="87"/>
      <c r="IKJ11" s="87"/>
      <c r="IKK11" s="87"/>
      <c r="IKL11" s="87"/>
      <c r="IKM11" s="87"/>
      <c r="IKN11" s="87"/>
      <c r="IKO11" s="87"/>
      <c r="IKP11" s="87"/>
      <c r="IKQ11" s="87"/>
      <c r="IKR11" s="87"/>
      <c r="IKS11" s="87"/>
      <c r="IKT11" s="87"/>
      <c r="IKU11" s="87"/>
      <c r="IKV11" s="87"/>
      <c r="IKW11" s="87"/>
      <c r="IKX11" s="87"/>
      <c r="IKY11" s="87"/>
      <c r="IKZ11" s="87"/>
      <c r="ILA11" s="87"/>
      <c r="ILB11" s="87"/>
      <c r="ILC11" s="87"/>
      <c r="ILD11" s="87"/>
      <c r="ILE11" s="87"/>
      <c r="ILF11" s="87"/>
      <c r="ILG11" s="87"/>
      <c r="ILH11" s="87"/>
      <c r="ILI11" s="87"/>
      <c r="ILJ11" s="87"/>
      <c r="ILK11" s="87"/>
      <c r="ILL11" s="87"/>
      <c r="ILM11" s="87"/>
      <c r="ILN11" s="87"/>
      <c r="ILO11" s="87"/>
      <c r="ILP11" s="87"/>
      <c r="ILQ11" s="87"/>
      <c r="ILR11" s="87"/>
      <c r="ILS11" s="87"/>
      <c r="ILT11" s="87"/>
      <c r="ILU11" s="87"/>
      <c r="ILV11" s="87"/>
      <c r="ILW11" s="87"/>
      <c r="ILX11" s="87"/>
      <c r="ILY11" s="87"/>
      <c r="ILZ11" s="87"/>
      <c r="IMA11" s="87"/>
      <c r="IMB11" s="87"/>
      <c r="IMC11" s="87"/>
      <c r="IMD11" s="87"/>
      <c r="IME11" s="87"/>
      <c r="IMF11" s="87"/>
      <c r="IMG11" s="87"/>
      <c r="IMH11" s="87"/>
      <c r="IMI11" s="87"/>
      <c r="IMJ11" s="87"/>
      <c r="IMK11" s="87"/>
      <c r="IML11" s="87"/>
      <c r="IMM11" s="87"/>
      <c r="IMN11" s="87"/>
      <c r="IMO11" s="87"/>
      <c r="IMP11" s="87"/>
      <c r="IMQ11" s="87"/>
      <c r="IMR11" s="87"/>
      <c r="IMS11" s="87"/>
      <c r="IMT11" s="87"/>
      <c r="IMU11" s="87"/>
      <c r="IMV11" s="87"/>
      <c r="IMW11" s="87"/>
      <c r="IMX11" s="87"/>
      <c r="IMY11" s="87"/>
      <c r="IMZ11" s="87"/>
      <c r="INA11" s="87"/>
      <c r="INB11" s="87"/>
      <c r="INC11" s="87"/>
      <c r="IND11" s="87"/>
      <c r="INE11" s="87"/>
      <c r="INF11" s="87"/>
      <c r="ING11" s="87"/>
      <c r="INH11" s="87"/>
      <c r="INI11" s="87"/>
      <c r="INJ11" s="87"/>
      <c r="INK11" s="87"/>
      <c r="INL11" s="87"/>
      <c r="INM11" s="87"/>
      <c r="INN11" s="87"/>
      <c r="INO11" s="87"/>
      <c r="INP11" s="87"/>
      <c r="INQ11" s="87"/>
      <c r="INR11" s="87"/>
      <c r="INS11" s="87"/>
      <c r="INT11" s="87"/>
      <c r="INU11" s="87"/>
      <c r="INV11" s="87"/>
      <c r="INW11" s="87"/>
      <c r="INX11" s="87"/>
      <c r="INY11" s="87"/>
      <c r="INZ11" s="87"/>
      <c r="IOA11" s="87"/>
      <c r="IOB11" s="87"/>
      <c r="IOC11" s="87"/>
      <c r="IOD11" s="87"/>
      <c r="IOE11" s="87"/>
      <c r="IOF11" s="87"/>
      <c r="IOG11" s="87"/>
      <c r="IOH11" s="87"/>
      <c r="IOI11" s="87"/>
      <c r="IOJ11" s="87"/>
      <c r="IOK11" s="87"/>
      <c r="IOL11" s="87"/>
      <c r="IOM11" s="87"/>
      <c r="ION11" s="87"/>
      <c r="IOO11" s="87"/>
      <c r="IOP11" s="87"/>
      <c r="IOQ11" s="87"/>
      <c r="IOR11" s="87"/>
      <c r="IOS11" s="87"/>
      <c r="IOT11" s="87"/>
      <c r="IOU11" s="87"/>
      <c r="IOV11" s="87"/>
      <c r="IOW11" s="87"/>
      <c r="IOX11" s="87"/>
      <c r="IOY11" s="87"/>
      <c r="IOZ11" s="87"/>
      <c r="IPA11" s="87"/>
      <c r="IPB11" s="87"/>
      <c r="IPC11" s="87"/>
      <c r="IPD11" s="87"/>
      <c r="IPE11" s="87"/>
      <c r="IPF11" s="87"/>
      <c r="IPG11" s="87"/>
      <c r="IPH11" s="87"/>
      <c r="IPI11" s="87"/>
      <c r="IPJ11" s="87"/>
      <c r="IPK11" s="87"/>
      <c r="IPL11" s="87"/>
      <c r="IPM11" s="87"/>
      <c r="IPN11" s="87"/>
      <c r="IPO11" s="87"/>
      <c r="IPP11" s="87"/>
      <c r="IPQ11" s="87"/>
      <c r="IPR11" s="87"/>
      <c r="IPS11" s="87"/>
      <c r="IPT11" s="87"/>
      <c r="IPU11" s="87"/>
      <c r="IPV11" s="87"/>
      <c r="IPW11" s="87"/>
      <c r="IPX11" s="87"/>
      <c r="IPY11" s="87"/>
      <c r="IPZ11" s="87"/>
      <c r="IQA11" s="87"/>
      <c r="IQB11" s="87"/>
      <c r="IQC11" s="87"/>
      <c r="IQD11" s="87"/>
      <c r="IQE11" s="87"/>
      <c r="IQF11" s="87"/>
      <c r="IQG11" s="87"/>
      <c r="IQH11" s="87"/>
      <c r="IQI11" s="87"/>
      <c r="IQJ11" s="87"/>
      <c r="IQK11" s="87"/>
      <c r="IQL11" s="87"/>
      <c r="IQM11" s="87"/>
      <c r="IQN11" s="87"/>
      <c r="IQO11" s="87"/>
      <c r="IQP11" s="87"/>
      <c r="IQQ11" s="87"/>
      <c r="IQR11" s="87"/>
      <c r="IQS11" s="87"/>
      <c r="IQT11" s="87"/>
      <c r="IQU11" s="87"/>
      <c r="IQV11" s="87"/>
      <c r="IQW11" s="87"/>
      <c r="IQX11" s="87"/>
      <c r="IQY11" s="87"/>
      <c r="IQZ11" s="87"/>
      <c r="IRA11" s="87"/>
      <c r="IRB11" s="87"/>
      <c r="IRC11" s="87"/>
      <c r="IRD11" s="87"/>
      <c r="IRE11" s="87"/>
      <c r="IRF11" s="87"/>
      <c r="IRG11" s="87"/>
      <c r="IRH11" s="87"/>
      <c r="IRI11" s="87"/>
      <c r="IRJ11" s="87"/>
      <c r="IRK11" s="87"/>
      <c r="IRL11" s="87"/>
      <c r="IRM11" s="87"/>
      <c r="IRN11" s="87"/>
      <c r="IRO11" s="87"/>
      <c r="IRP11" s="87"/>
      <c r="IRQ11" s="87"/>
      <c r="IRR11" s="87"/>
      <c r="IRS11" s="87"/>
      <c r="IRT11" s="87"/>
      <c r="IRU11" s="87"/>
      <c r="IRV11" s="87"/>
      <c r="IRW11" s="87"/>
      <c r="IRX11" s="87"/>
      <c r="IRY11" s="87"/>
      <c r="IRZ11" s="87"/>
      <c r="ISA11" s="87"/>
      <c r="ISB11" s="87"/>
      <c r="ISC11" s="87"/>
      <c r="ISD11" s="87"/>
      <c r="ISE11" s="87"/>
      <c r="ISF11" s="87"/>
      <c r="ISG11" s="87"/>
      <c r="ISH11" s="87"/>
      <c r="ISI11" s="87"/>
      <c r="ISJ11" s="87"/>
      <c r="ISK11" s="87"/>
      <c r="ISL11" s="87"/>
      <c r="ISM11" s="87"/>
      <c r="ISN11" s="87"/>
      <c r="ISO11" s="87"/>
      <c r="ISP11" s="87"/>
      <c r="ISQ11" s="87"/>
      <c r="ISR11" s="87"/>
      <c r="ISS11" s="87"/>
      <c r="IST11" s="87"/>
      <c r="ISU11" s="87"/>
      <c r="ISV11" s="87"/>
      <c r="ISW11" s="87"/>
      <c r="ISX11" s="87"/>
      <c r="ISY11" s="87"/>
      <c r="ISZ11" s="87"/>
      <c r="ITA11" s="87"/>
      <c r="ITB11" s="87"/>
      <c r="ITC11" s="87"/>
      <c r="ITD11" s="87"/>
      <c r="ITE11" s="87"/>
      <c r="ITF11" s="87"/>
      <c r="ITG11" s="87"/>
      <c r="ITH11" s="87"/>
      <c r="ITI11" s="87"/>
      <c r="ITJ11" s="87"/>
      <c r="ITK11" s="87"/>
      <c r="ITL11" s="87"/>
      <c r="ITM11" s="87"/>
      <c r="ITN11" s="87"/>
      <c r="ITO11" s="87"/>
      <c r="ITP11" s="87"/>
      <c r="ITQ11" s="87"/>
      <c r="ITR11" s="87"/>
      <c r="ITS11" s="87"/>
      <c r="ITT11" s="87"/>
      <c r="ITU11" s="87"/>
      <c r="ITV11" s="87"/>
      <c r="ITW11" s="87"/>
      <c r="ITX11" s="87"/>
      <c r="ITY11" s="87"/>
      <c r="ITZ11" s="87"/>
      <c r="IUA11" s="87"/>
      <c r="IUB11" s="87"/>
      <c r="IUC11" s="87"/>
      <c r="IUD11" s="87"/>
      <c r="IUE11" s="87"/>
      <c r="IUF11" s="87"/>
      <c r="IUG11" s="87"/>
      <c r="IUH11" s="87"/>
      <c r="IUI11" s="87"/>
      <c r="IUJ11" s="87"/>
      <c r="IUK11" s="87"/>
      <c r="IUL11" s="87"/>
      <c r="IUM11" s="87"/>
      <c r="IUN11" s="87"/>
      <c r="IUO11" s="87"/>
      <c r="IUP11" s="87"/>
      <c r="IUQ11" s="87"/>
      <c r="IUR11" s="87"/>
      <c r="IUS11" s="87"/>
      <c r="IUT11" s="87"/>
      <c r="IUU11" s="87"/>
      <c r="IUV11" s="87"/>
      <c r="IUW11" s="87"/>
      <c r="IUX11" s="87"/>
      <c r="IUY11" s="87"/>
      <c r="IUZ11" s="87"/>
      <c r="IVA11" s="87"/>
      <c r="IVB11" s="87"/>
      <c r="IVC11" s="87"/>
      <c r="IVD11" s="87"/>
      <c r="IVE11" s="87"/>
      <c r="IVF11" s="87"/>
      <c r="IVG11" s="87"/>
      <c r="IVH11" s="87"/>
      <c r="IVI11" s="87"/>
      <c r="IVJ11" s="87"/>
      <c r="IVK11" s="87"/>
      <c r="IVL11" s="87"/>
      <c r="IVM11" s="87"/>
      <c r="IVN11" s="87"/>
      <c r="IVO11" s="87"/>
      <c r="IVP11" s="87"/>
      <c r="IVQ11" s="87"/>
      <c r="IVR11" s="87"/>
      <c r="IVS11" s="87"/>
      <c r="IVT11" s="87"/>
      <c r="IVU11" s="87"/>
      <c r="IVV11" s="87"/>
      <c r="IVW11" s="87"/>
      <c r="IVX11" s="87"/>
      <c r="IVY11" s="87"/>
      <c r="IVZ11" s="87"/>
      <c r="IWA11" s="87"/>
      <c r="IWB11" s="87"/>
      <c r="IWC11" s="87"/>
      <c r="IWD11" s="87"/>
      <c r="IWE11" s="87"/>
      <c r="IWF11" s="87"/>
      <c r="IWG11" s="87"/>
      <c r="IWH11" s="87"/>
      <c r="IWI11" s="87"/>
      <c r="IWJ11" s="87"/>
      <c r="IWK11" s="87"/>
      <c r="IWL11" s="87"/>
      <c r="IWM11" s="87"/>
      <c r="IWN11" s="87"/>
      <c r="IWO11" s="87"/>
      <c r="IWP11" s="87"/>
      <c r="IWQ11" s="87"/>
      <c r="IWR11" s="87"/>
      <c r="IWS11" s="87"/>
      <c r="IWT11" s="87"/>
      <c r="IWU11" s="87"/>
      <c r="IWV11" s="87"/>
      <c r="IWW11" s="87"/>
      <c r="IWX11" s="87"/>
      <c r="IWY11" s="87"/>
      <c r="IWZ11" s="87"/>
      <c r="IXA11" s="87"/>
      <c r="IXB11" s="87"/>
      <c r="IXC11" s="87"/>
      <c r="IXD11" s="87"/>
      <c r="IXE11" s="87"/>
      <c r="IXF11" s="87"/>
      <c r="IXG11" s="87"/>
      <c r="IXH11" s="87"/>
      <c r="IXI11" s="87"/>
      <c r="IXJ11" s="87"/>
      <c r="IXK11" s="87"/>
      <c r="IXL11" s="87"/>
      <c r="IXM11" s="87"/>
      <c r="IXN11" s="87"/>
      <c r="IXO11" s="87"/>
      <c r="IXP11" s="87"/>
      <c r="IXQ11" s="87"/>
      <c r="IXR11" s="87"/>
      <c r="IXS11" s="87"/>
      <c r="IXT11" s="87"/>
      <c r="IXU11" s="87"/>
      <c r="IXV11" s="87"/>
      <c r="IXW11" s="87"/>
      <c r="IXX11" s="87"/>
      <c r="IXY11" s="87"/>
      <c r="IXZ11" s="87"/>
      <c r="IYA11" s="87"/>
      <c r="IYB11" s="87"/>
      <c r="IYC11" s="87"/>
      <c r="IYD11" s="87"/>
      <c r="IYE11" s="87"/>
      <c r="IYF11" s="87"/>
      <c r="IYG11" s="87"/>
      <c r="IYH11" s="87"/>
      <c r="IYI11" s="87"/>
      <c r="IYJ11" s="87"/>
      <c r="IYK11" s="87"/>
      <c r="IYL11" s="87"/>
      <c r="IYM11" s="87"/>
      <c r="IYN11" s="87"/>
      <c r="IYO11" s="87"/>
      <c r="IYP11" s="87"/>
      <c r="IYQ11" s="87"/>
      <c r="IYR11" s="87"/>
      <c r="IYS11" s="87"/>
      <c r="IYT11" s="87"/>
      <c r="IYU11" s="87"/>
      <c r="IYV11" s="87"/>
      <c r="IYW11" s="87"/>
      <c r="IYX11" s="87"/>
      <c r="IYY11" s="87"/>
      <c r="IYZ11" s="87"/>
      <c r="IZA11" s="87"/>
      <c r="IZB11" s="87"/>
      <c r="IZC11" s="87"/>
      <c r="IZD11" s="87"/>
      <c r="IZE11" s="87"/>
      <c r="IZF11" s="87"/>
      <c r="IZG11" s="87"/>
      <c r="IZH11" s="87"/>
      <c r="IZI11" s="87"/>
      <c r="IZJ11" s="87"/>
      <c r="IZK11" s="87"/>
      <c r="IZL11" s="87"/>
      <c r="IZM11" s="87"/>
      <c r="IZN11" s="87"/>
      <c r="IZO11" s="87"/>
      <c r="IZP11" s="87"/>
      <c r="IZQ11" s="87"/>
      <c r="IZR11" s="87"/>
      <c r="IZS11" s="87"/>
      <c r="IZT11" s="87"/>
      <c r="IZU11" s="87"/>
      <c r="IZV11" s="87"/>
      <c r="IZW11" s="87"/>
      <c r="IZX11" s="87"/>
      <c r="IZY11" s="87"/>
      <c r="IZZ11" s="87"/>
      <c r="JAA11" s="87"/>
      <c r="JAB11" s="87"/>
      <c r="JAC11" s="87"/>
      <c r="JAD11" s="87"/>
      <c r="JAE11" s="87"/>
      <c r="JAF11" s="87"/>
      <c r="JAG11" s="87"/>
      <c r="JAH11" s="87"/>
      <c r="JAI11" s="87"/>
      <c r="JAJ11" s="87"/>
      <c r="JAK11" s="87"/>
      <c r="JAL11" s="87"/>
      <c r="JAM11" s="87"/>
      <c r="JAN11" s="87"/>
      <c r="JAO11" s="87"/>
      <c r="JAP11" s="87"/>
      <c r="JAQ11" s="87"/>
      <c r="JAR11" s="87"/>
      <c r="JAS11" s="87"/>
      <c r="JAT11" s="87"/>
      <c r="JAU11" s="87"/>
      <c r="JAV11" s="87"/>
      <c r="JAW11" s="87"/>
      <c r="JAX11" s="87"/>
      <c r="JAY11" s="87"/>
      <c r="JAZ11" s="87"/>
      <c r="JBA11" s="87"/>
      <c r="JBB11" s="87"/>
      <c r="JBC11" s="87"/>
      <c r="JBD11" s="87"/>
      <c r="JBE11" s="87"/>
      <c r="JBF11" s="87"/>
      <c r="JBG11" s="87"/>
      <c r="JBH11" s="87"/>
      <c r="JBI11" s="87"/>
      <c r="JBJ11" s="87"/>
      <c r="JBK11" s="87"/>
      <c r="JBL11" s="87"/>
      <c r="JBM11" s="87"/>
      <c r="JBN11" s="87"/>
      <c r="JBO11" s="87"/>
      <c r="JBP11" s="87"/>
      <c r="JBQ11" s="87"/>
      <c r="JBR11" s="87"/>
      <c r="JBS11" s="87"/>
      <c r="JBT11" s="87"/>
      <c r="JBU11" s="87"/>
      <c r="JBV11" s="87"/>
      <c r="JBW11" s="87"/>
      <c r="JBX11" s="87"/>
      <c r="JBY11" s="87"/>
      <c r="JBZ11" s="87"/>
      <c r="JCA11" s="87"/>
      <c r="JCB11" s="87"/>
      <c r="JCC11" s="87"/>
      <c r="JCD11" s="87"/>
      <c r="JCE11" s="87"/>
      <c r="JCF11" s="87"/>
      <c r="JCG11" s="87"/>
      <c r="JCH11" s="87"/>
      <c r="JCI11" s="87"/>
      <c r="JCJ11" s="87"/>
      <c r="JCK11" s="87"/>
      <c r="JCL11" s="87"/>
      <c r="JCM11" s="87"/>
      <c r="JCN11" s="87"/>
      <c r="JCO11" s="87"/>
      <c r="JCP11" s="87"/>
      <c r="JCQ11" s="87"/>
      <c r="JCR11" s="87"/>
      <c r="JCS11" s="87"/>
      <c r="JCT11" s="87"/>
      <c r="JCU11" s="87"/>
      <c r="JCV11" s="87"/>
      <c r="JCW11" s="87"/>
      <c r="JCX11" s="87"/>
      <c r="JCY11" s="87"/>
      <c r="JCZ11" s="87"/>
      <c r="JDA11" s="87"/>
      <c r="JDB11" s="87"/>
      <c r="JDC11" s="87"/>
      <c r="JDD11" s="87"/>
      <c r="JDE11" s="87"/>
      <c r="JDF11" s="87"/>
      <c r="JDG11" s="87"/>
      <c r="JDH11" s="87"/>
      <c r="JDI11" s="87"/>
      <c r="JDJ11" s="87"/>
      <c r="JDK11" s="87"/>
      <c r="JDL11" s="87"/>
      <c r="JDM11" s="87"/>
      <c r="JDN11" s="87"/>
      <c r="JDO11" s="87"/>
      <c r="JDP11" s="87"/>
      <c r="JDQ11" s="87"/>
      <c r="JDR11" s="87"/>
      <c r="JDS11" s="87"/>
      <c r="JDT11" s="87"/>
      <c r="JDU11" s="87"/>
      <c r="JDV11" s="87"/>
      <c r="JDW11" s="87"/>
      <c r="JDX11" s="87"/>
      <c r="JDY11" s="87"/>
      <c r="JDZ11" s="87"/>
      <c r="JEA11" s="87"/>
      <c r="JEB11" s="87"/>
      <c r="JEC11" s="87"/>
      <c r="JED11" s="87"/>
      <c r="JEE11" s="87"/>
      <c r="JEF11" s="87"/>
      <c r="JEG11" s="87"/>
      <c r="JEH11" s="87"/>
      <c r="JEI11" s="87"/>
      <c r="JEJ11" s="87"/>
      <c r="JEK11" s="87"/>
      <c r="JEL11" s="87"/>
      <c r="JEM11" s="87"/>
      <c r="JEN11" s="87"/>
      <c r="JEO11" s="87"/>
      <c r="JEP11" s="87"/>
      <c r="JEQ11" s="87"/>
      <c r="JER11" s="87"/>
      <c r="JES11" s="87"/>
      <c r="JET11" s="87"/>
      <c r="JEU11" s="87"/>
      <c r="JEV11" s="87"/>
      <c r="JEW11" s="87"/>
      <c r="JEX11" s="87"/>
      <c r="JEY11" s="87"/>
      <c r="JEZ11" s="87"/>
      <c r="JFA11" s="87"/>
      <c r="JFB11" s="87"/>
      <c r="JFC11" s="87"/>
      <c r="JFD11" s="87"/>
      <c r="JFE11" s="87"/>
      <c r="JFF11" s="87"/>
      <c r="JFG11" s="87"/>
      <c r="JFH11" s="87"/>
      <c r="JFI11" s="87"/>
      <c r="JFJ11" s="87"/>
      <c r="JFK11" s="87"/>
      <c r="JFL11" s="87"/>
      <c r="JFM11" s="87"/>
      <c r="JFN11" s="87"/>
      <c r="JFO11" s="87"/>
      <c r="JFP11" s="87"/>
      <c r="JFQ11" s="87"/>
      <c r="JFR11" s="87"/>
      <c r="JFS11" s="87"/>
      <c r="JFT11" s="87"/>
      <c r="JFU11" s="87"/>
      <c r="JFV11" s="87"/>
      <c r="JFW11" s="87"/>
      <c r="JFX11" s="87"/>
      <c r="JFY11" s="87"/>
      <c r="JFZ11" s="87"/>
      <c r="JGA11" s="87"/>
      <c r="JGB11" s="87"/>
      <c r="JGC11" s="87"/>
      <c r="JGD11" s="87"/>
      <c r="JGE11" s="87"/>
      <c r="JGF11" s="87"/>
      <c r="JGG11" s="87"/>
      <c r="JGH11" s="87"/>
      <c r="JGI11" s="87"/>
      <c r="JGJ11" s="87"/>
      <c r="JGK11" s="87"/>
      <c r="JGL11" s="87"/>
      <c r="JGM11" s="87"/>
      <c r="JGN11" s="87"/>
      <c r="JGO11" s="87"/>
      <c r="JGP11" s="87"/>
      <c r="JGQ11" s="87"/>
      <c r="JGR11" s="87"/>
      <c r="JGS11" s="87"/>
      <c r="JGT11" s="87"/>
      <c r="JGU11" s="87"/>
      <c r="JGV11" s="87"/>
      <c r="JGW11" s="87"/>
      <c r="JGX11" s="87"/>
      <c r="JGY11" s="87"/>
      <c r="JGZ11" s="87"/>
      <c r="JHA11" s="87"/>
      <c r="JHB11" s="87"/>
      <c r="JHC11" s="87"/>
      <c r="JHD11" s="87"/>
      <c r="JHE11" s="87"/>
      <c r="JHF11" s="87"/>
      <c r="JHG11" s="87"/>
      <c r="JHH11" s="87"/>
      <c r="JHI11" s="87"/>
      <c r="JHJ11" s="87"/>
      <c r="JHK11" s="87"/>
      <c r="JHL11" s="87"/>
      <c r="JHM11" s="87"/>
      <c r="JHN11" s="87"/>
      <c r="JHO11" s="87"/>
      <c r="JHP11" s="87"/>
      <c r="JHQ11" s="87"/>
      <c r="JHR11" s="87"/>
      <c r="JHS11" s="87"/>
      <c r="JHT11" s="87"/>
      <c r="JHU11" s="87"/>
      <c r="JHV11" s="87"/>
      <c r="JHW11" s="87"/>
      <c r="JHX11" s="87"/>
      <c r="JHY11" s="87"/>
      <c r="JHZ11" s="87"/>
      <c r="JIA11" s="87"/>
      <c r="JIB11" s="87"/>
      <c r="JIC11" s="87"/>
      <c r="JID11" s="87"/>
      <c r="JIE11" s="87"/>
      <c r="JIF11" s="87"/>
      <c r="JIG11" s="87"/>
      <c r="JIH11" s="87"/>
      <c r="JII11" s="87"/>
      <c r="JIJ11" s="87"/>
      <c r="JIK11" s="87"/>
      <c r="JIL11" s="87"/>
      <c r="JIM11" s="87"/>
      <c r="JIN11" s="87"/>
      <c r="JIO11" s="87"/>
      <c r="JIP11" s="87"/>
      <c r="JIQ11" s="87"/>
      <c r="JIR11" s="87"/>
      <c r="JIS11" s="87"/>
      <c r="JIT11" s="87"/>
      <c r="JIU11" s="87"/>
      <c r="JIV11" s="87"/>
      <c r="JIW11" s="87"/>
      <c r="JIX11" s="87"/>
      <c r="JIY11" s="87"/>
      <c r="JIZ11" s="87"/>
      <c r="JJA11" s="87"/>
      <c r="JJB11" s="87"/>
      <c r="JJC11" s="87"/>
      <c r="JJD11" s="87"/>
      <c r="JJE11" s="87"/>
      <c r="JJF11" s="87"/>
      <c r="JJG11" s="87"/>
      <c r="JJH11" s="87"/>
      <c r="JJI11" s="87"/>
      <c r="JJJ11" s="87"/>
      <c r="JJK11" s="87"/>
      <c r="JJL11" s="87"/>
      <c r="JJM11" s="87"/>
      <c r="JJN11" s="87"/>
      <c r="JJO11" s="87"/>
      <c r="JJP11" s="87"/>
      <c r="JJQ11" s="87"/>
      <c r="JJR11" s="87"/>
      <c r="JJS11" s="87"/>
      <c r="JJT11" s="87"/>
      <c r="JJU11" s="87"/>
      <c r="JJV11" s="87"/>
      <c r="JJW11" s="87"/>
      <c r="JJX11" s="87"/>
      <c r="JJY11" s="87"/>
      <c r="JJZ11" s="87"/>
      <c r="JKA11" s="87"/>
      <c r="JKB11" s="87"/>
      <c r="JKC11" s="87"/>
      <c r="JKD11" s="87"/>
      <c r="JKE11" s="87"/>
      <c r="JKF11" s="87"/>
      <c r="JKG11" s="87"/>
      <c r="JKH11" s="87"/>
      <c r="JKI11" s="87"/>
      <c r="JKJ11" s="87"/>
      <c r="JKK11" s="87"/>
      <c r="JKL11" s="87"/>
      <c r="JKM11" s="87"/>
      <c r="JKN11" s="87"/>
      <c r="JKO11" s="87"/>
      <c r="JKP11" s="87"/>
      <c r="JKQ11" s="87"/>
      <c r="JKR11" s="87"/>
      <c r="JKS11" s="87"/>
      <c r="JKT11" s="87"/>
      <c r="JKU11" s="87"/>
      <c r="JKV11" s="87"/>
      <c r="JKW11" s="87"/>
      <c r="JKX11" s="87"/>
      <c r="JKY11" s="87"/>
      <c r="JKZ11" s="87"/>
      <c r="JLA11" s="87"/>
      <c r="JLB11" s="87"/>
      <c r="JLC11" s="87"/>
      <c r="JLD11" s="87"/>
      <c r="JLE11" s="87"/>
      <c r="JLF11" s="87"/>
      <c r="JLG11" s="87"/>
      <c r="JLH11" s="87"/>
      <c r="JLI11" s="87"/>
      <c r="JLJ11" s="87"/>
      <c r="JLK11" s="87"/>
      <c r="JLL11" s="87"/>
      <c r="JLM11" s="87"/>
      <c r="JLN11" s="87"/>
      <c r="JLO11" s="87"/>
      <c r="JLP11" s="87"/>
      <c r="JLQ11" s="87"/>
      <c r="JLR11" s="87"/>
      <c r="JLS11" s="87"/>
      <c r="JLT11" s="87"/>
      <c r="JLU11" s="87"/>
      <c r="JLV11" s="87"/>
      <c r="JLW11" s="87"/>
      <c r="JLX11" s="87"/>
      <c r="JLY11" s="87"/>
      <c r="JLZ11" s="87"/>
      <c r="JMA11" s="87"/>
      <c r="JMB11" s="87"/>
      <c r="JMC11" s="87"/>
      <c r="JMD11" s="87"/>
      <c r="JME11" s="87"/>
      <c r="JMF11" s="87"/>
      <c r="JMG11" s="87"/>
      <c r="JMH11" s="87"/>
      <c r="JMI11" s="87"/>
      <c r="JMJ11" s="87"/>
      <c r="JMK11" s="87"/>
      <c r="JML11" s="87"/>
      <c r="JMM11" s="87"/>
      <c r="JMN11" s="87"/>
      <c r="JMO11" s="87"/>
      <c r="JMP11" s="87"/>
      <c r="JMQ11" s="87"/>
      <c r="JMR11" s="87"/>
      <c r="JMS11" s="87"/>
      <c r="JMT11" s="87"/>
      <c r="JMU11" s="87"/>
      <c r="JMV11" s="87"/>
      <c r="JMW11" s="87"/>
      <c r="JMX11" s="87"/>
      <c r="JMY11" s="87"/>
      <c r="JMZ11" s="87"/>
      <c r="JNA11" s="87"/>
      <c r="JNB11" s="87"/>
      <c r="JNC11" s="87"/>
      <c r="JND11" s="87"/>
      <c r="JNE11" s="87"/>
      <c r="JNF11" s="87"/>
      <c r="JNG11" s="87"/>
      <c r="JNH11" s="87"/>
      <c r="JNI11" s="87"/>
      <c r="JNJ11" s="87"/>
      <c r="JNK11" s="87"/>
      <c r="JNL11" s="87"/>
      <c r="JNM11" s="87"/>
      <c r="JNN11" s="87"/>
      <c r="JNO11" s="87"/>
      <c r="JNP11" s="87"/>
      <c r="JNQ11" s="87"/>
      <c r="JNR11" s="87"/>
      <c r="JNS11" s="87"/>
      <c r="JNT11" s="87"/>
      <c r="JNU11" s="87"/>
      <c r="JNV11" s="87"/>
      <c r="JNW11" s="87"/>
      <c r="JNX11" s="87"/>
      <c r="JNY11" s="87"/>
      <c r="JNZ11" s="87"/>
      <c r="JOA11" s="87"/>
      <c r="JOB11" s="87"/>
      <c r="JOC11" s="87"/>
      <c r="JOD11" s="87"/>
      <c r="JOE11" s="87"/>
      <c r="JOF11" s="87"/>
      <c r="JOG11" s="87"/>
      <c r="JOH11" s="87"/>
      <c r="JOI11" s="87"/>
      <c r="JOJ11" s="87"/>
      <c r="JOK11" s="87"/>
      <c r="JOL11" s="87"/>
      <c r="JOM11" s="87"/>
      <c r="JON11" s="87"/>
      <c r="JOO11" s="87"/>
      <c r="JOP11" s="87"/>
      <c r="JOQ11" s="87"/>
      <c r="JOR11" s="87"/>
      <c r="JOS11" s="87"/>
      <c r="JOT11" s="87"/>
      <c r="JOU11" s="87"/>
      <c r="JOV11" s="87"/>
      <c r="JOW11" s="87"/>
      <c r="JOX11" s="87"/>
      <c r="JOY11" s="87"/>
      <c r="JOZ11" s="87"/>
      <c r="JPA11" s="87"/>
      <c r="JPB11" s="87"/>
      <c r="JPC11" s="87"/>
      <c r="JPD11" s="87"/>
      <c r="JPE11" s="87"/>
      <c r="JPF11" s="87"/>
      <c r="JPG11" s="87"/>
      <c r="JPH11" s="87"/>
      <c r="JPI11" s="87"/>
      <c r="JPJ11" s="87"/>
      <c r="JPK11" s="87"/>
      <c r="JPL11" s="87"/>
      <c r="JPM11" s="87"/>
      <c r="JPN11" s="87"/>
      <c r="JPO11" s="87"/>
      <c r="JPP11" s="87"/>
      <c r="JPQ11" s="87"/>
      <c r="JPR11" s="87"/>
      <c r="JPS11" s="87"/>
      <c r="JPT11" s="87"/>
      <c r="JPU11" s="87"/>
      <c r="JPV11" s="87"/>
      <c r="JPW11" s="87"/>
      <c r="JPX11" s="87"/>
      <c r="JPY11" s="87"/>
      <c r="JPZ11" s="87"/>
      <c r="JQA11" s="87"/>
      <c r="JQB11" s="87"/>
      <c r="JQC11" s="87"/>
      <c r="JQD11" s="87"/>
      <c r="JQE11" s="87"/>
      <c r="JQF11" s="87"/>
      <c r="JQG11" s="87"/>
      <c r="JQH11" s="87"/>
      <c r="JQI11" s="87"/>
      <c r="JQJ11" s="87"/>
      <c r="JQK11" s="87"/>
      <c r="JQL11" s="87"/>
      <c r="JQM11" s="87"/>
      <c r="JQN11" s="87"/>
      <c r="JQO11" s="87"/>
      <c r="JQP11" s="87"/>
      <c r="JQQ11" s="87"/>
      <c r="JQR11" s="87"/>
      <c r="JQS11" s="87"/>
      <c r="JQT11" s="87"/>
      <c r="JQU11" s="87"/>
      <c r="JQV11" s="87"/>
      <c r="JQW11" s="87"/>
      <c r="JQX11" s="87"/>
      <c r="JQY11" s="87"/>
      <c r="JQZ11" s="87"/>
      <c r="JRA11" s="87"/>
      <c r="JRB11" s="87"/>
      <c r="JRC11" s="87"/>
      <c r="JRD11" s="87"/>
      <c r="JRE11" s="87"/>
      <c r="JRF11" s="87"/>
      <c r="JRG11" s="87"/>
      <c r="JRH11" s="87"/>
      <c r="JRI11" s="87"/>
      <c r="JRJ11" s="87"/>
      <c r="JRK11" s="87"/>
      <c r="JRL11" s="87"/>
      <c r="JRM11" s="87"/>
      <c r="JRN11" s="87"/>
      <c r="JRO11" s="87"/>
      <c r="JRP11" s="87"/>
      <c r="JRQ11" s="87"/>
      <c r="JRR11" s="87"/>
      <c r="JRS11" s="87"/>
      <c r="JRT11" s="87"/>
      <c r="JRU11" s="87"/>
      <c r="JRV11" s="87"/>
      <c r="JRW11" s="87"/>
      <c r="JRX11" s="87"/>
      <c r="JRY11" s="87"/>
      <c r="JRZ11" s="87"/>
      <c r="JSA11" s="87"/>
      <c r="JSB11" s="87"/>
      <c r="JSC11" s="87"/>
      <c r="JSD11" s="87"/>
      <c r="JSE11" s="87"/>
      <c r="JSF11" s="87"/>
      <c r="JSG11" s="87"/>
      <c r="JSH11" s="87"/>
      <c r="JSI11" s="87"/>
      <c r="JSJ11" s="87"/>
      <c r="JSK11" s="87"/>
      <c r="JSL11" s="87"/>
      <c r="JSM11" s="87"/>
      <c r="JSN11" s="87"/>
      <c r="JSO11" s="87"/>
      <c r="JSP11" s="87"/>
      <c r="JSQ11" s="87"/>
      <c r="JSR11" s="87"/>
      <c r="JSS11" s="87"/>
      <c r="JST11" s="87"/>
      <c r="JSU11" s="87"/>
      <c r="JSV11" s="87"/>
      <c r="JSW11" s="87"/>
      <c r="JSX11" s="87"/>
      <c r="JSY11" s="87"/>
      <c r="JSZ11" s="87"/>
      <c r="JTA11" s="87"/>
      <c r="JTB11" s="87"/>
      <c r="JTC11" s="87"/>
      <c r="JTD11" s="87"/>
      <c r="JTE11" s="87"/>
      <c r="JTF11" s="87"/>
      <c r="JTG11" s="87"/>
      <c r="JTH11" s="87"/>
      <c r="JTI11" s="87"/>
      <c r="JTJ11" s="87"/>
      <c r="JTK11" s="87"/>
      <c r="JTL11" s="87"/>
      <c r="JTM11" s="87"/>
      <c r="JTN11" s="87"/>
      <c r="JTO11" s="87"/>
      <c r="JTP11" s="87"/>
      <c r="JTQ11" s="87"/>
      <c r="JTR11" s="87"/>
      <c r="JTS11" s="87"/>
      <c r="JTT11" s="87"/>
      <c r="JTU11" s="87"/>
      <c r="JTV11" s="87"/>
      <c r="JTW11" s="87"/>
      <c r="JTX11" s="87"/>
      <c r="JTY11" s="87"/>
      <c r="JTZ11" s="87"/>
      <c r="JUA11" s="87"/>
      <c r="JUB11" s="87"/>
      <c r="JUC11" s="87"/>
      <c r="JUD11" s="87"/>
      <c r="JUE11" s="87"/>
      <c r="JUF11" s="87"/>
      <c r="JUG11" s="87"/>
      <c r="JUH11" s="87"/>
      <c r="JUI11" s="87"/>
      <c r="JUJ11" s="87"/>
      <c r="JUK11" s="87"/>
      <c r="JUL11" s="87"/>
      <c r="JUM11" s="87"/>
      <c r="JUN11" s="87"/>
      <c r="JUO11" s="87"/>
      <c r="JUP11" s="87"/>
      <c r="JUQ11" s="87"/>
      <c r="JUR11" s="87"/>
      <c r="JUS11" s="87"/>
      <c r="JUT11" s="87"/>
      <c r="JUU11" s="87"/>
      <c r="JUV11" s="87"/>
      <c r="JUW11" s="87"/>
      <c r="JUX11" s="87"/>
      <c r="JUY11" s="87"/>
      <c r="JUZ11" s="87"/>
      <c r="JVA11" s="87"/>
      <c r="JVB11" s="87"/>
      <c r="JVC11" s="87"/>
      <c r="JVD11" s="87"/>
      <c r="JVE11" s="87"/>
      <c r="JVF11" s="87"/>
      <c r="JVG11" s="87"/>
      <c r="JVH11" s="87"/>
      <c r="JVI11" s="87"/>
      <c r="JVJ11" s="87"/>
      <c r="JVK11" s="87"/>
      <c r="JVL11" s="87"/>
      <c r="JVM11" s="87"/>
      <c r="JVN11" s="87"/>
      <c r="JVO11" s="87"/>
      <c r="JVP11" s="87"/>
      <c r="JVQ11" s="87"/>
      <c r="JVR11" s="87"/>
      <c r="JVS11" s="87"/>
      <c r="JVT11" s="87"/>
      <c r="JVU11" s="87"/>
      <c r="JVV11" s="87"/>
      <c r="JVW11" s="87"/>
      <c r="JVX11" s="87"/>
      <c r="JVY11" s="87"/>
      <c r="JVZ11" s="87"/>
      <c r="JWA11" s="87"/>
      <c r="JWB11" s="87"/>
      <c r="JWC11" s="87"/>
      <c r="JWD11" s="87"/>
      <c r="JWE11" s="87"/>
      <c r="JWF11" s="87"/>
      <c r="JWG11" s="87"/>
      <c r="JWH11" s="87"/>
      <c r="JWI11" s="87"/>
      <c r="JWJ11" s="87"/>
      <c r="JWK11" s="87"/>
      <c r="JWL11" s="87"/>
      <c r="JWM11" s="87"/>
      <c r="JWN11" s="87"/>
      <c r="JWO11" s="87"/>
      <c r="JWP11" s="87"/>
      <c r="JWQ11" s="87"/>
      <c r="JWR11" s="87"/>
      <c r="JWS11" s="87"/>
      <c r="JWT11" s="87"/>
      <c r="JWU11" s="87"/>
      <c r="JWV11" s="87"/>
      <c r="JWW11" s="87"/>
      <c r="JWX11" s="87"/>
      <c r="JWY11" s="87"/>
      <c r="JWZ11" s="87"/>
      <c r="JXA11" s="87"/>
      <c r="JXB11" s="87"/>
      <c r="JXC11" s="87"/>
      <c r="JXD11" s="87"/>
      <c r="JXE11" s="87"/>
      <c r="JXF11" s="87"/>
      <c r="JXG11" s="87"/>
      <c r="JXH11" s="87"/>
      <c r="JXI11" s="87"/>
      <c r="JXJ11" s="87"/>
      <c r="JXK11" s="87"/>
      <c r="JXL11" s="87"/>
      <c r="JXM11" s="87"/>
      <c r="JXN11" s="87"/>
      <c r="JXO11" s="87"/>
      <c r="JXP11" s="87"/>
      <c r="JXQ11" s="87"/>
      <c r="JXR11" s="87"/>
      <c r="JXS11" s="87"/>
      <c r="JXT11" s="87"/>
      <c r="JXU11" s="87"/>
      <c r="JXV11" s="87"/>
      <c r="JXW11" s="87"/>
      <c r="JXX11" s="87"/>
      <c r="JXY11" s="87"/>
      <c r="JXZ11" s="87"/>
      <c r="JYA11" s="87"/>
      <c r="JYB11" s="87"/>
      <c r="JYC11" s="87"/>
      <c r="JYD11" s="87"/>
      <c r="JYE11" s="87"/>
      <c r="JYF11" s="87"/>
      <c r="JYG11" s="87"/>
      <c r="JYH11" s="87"/>
      <c r="JYI11" s="87"/>
      <c r="JYJ11" s="87"/>
      <c r="JYK11" s="87"/>
      <c r="JYL11" s="87"/>
      <c r="JYM11" s="87"/>
      <c r="JYN11" s="87"/>
      <c r="JYO11" s="87"/>
      <c r="JYP11" s="87"/>
      <c r="JYQ11" s="87"/>
      <c r="JYR11" s="87"/>
      <c r="JYS11" s="87"/>
      <c r="JYT11" s="87"/>
      <c r="JYU11" s="87"/>
      <c r="JYV11" s="87"/>
      <c r="JYW11" s="87"/>
      <c r="JYX11" s="87"/>
      <c r="JYY11" s="87"/>
      <c r="JYZ11" s="87"/>
      <c r="JZA11" s="87"/>
      <c r="JZB11" s="87"/>
      <c r="JZC11" s="87"/>
      <c r="JZD11" s="87"/>
      <c r="JZE11" s="87"/>
      <c r="JZF11" s="87"/>
      <c r="JZG11" s="87"/>
      <c r="JZH11" s="87"/>
      <c r="JZI11" s="87"/>
      <c r="JZJ11" s="87"/>
      <c r="JZK11" s="87"/>
      <c r="JZL11" s="87"/>
      <c r="JZM11" s="87"/>
      <c r="JZN11" s="87"/>
      <c r="JZO11" s="87"/>
      <c r="JZP11" s="87"/>
      <c r="JZQ11" s="87"/>
      <c r="JZR11" s="87"/>
      <c r="JZS11" s="87"/>
      <c r="JZT11" s="87"/>
      <c r="JZU11" s="87"/>
      <c r="JZV11" s="87"/>
      <c r="JZW11" s="87"/>
      <c r="JZX11" s="87"/>
      <c r="JZY11" s="87"/>
      <c r="JZZ11" s="87"/>
      <c r="KAA11" s="87"/>
      <c r="KAB11" s="87"/>
      <c r="KAC11" s="87"/>
      <c r="KAD11" s="87"/>
      <c r="KAE11" s="87"/>
      <c r="KAF11" s="87"/>
      <c r="KAG11" s="87"/>
      <c r="KAH11" s="87"/>
      <c r="KAI11" s="87"/>
      <c r="KAJ11" s="87"/>
      <c r="KAK11" s="87"/>
      <c r="KAL11" s="87"/>
      <c r="KAM11" s="87"/>
      <c r="KAN11" s="87"/>
      <c r="KAO11" s="87"/>
      <c r="KAP11" s="87"/>
      <c r="KAQ11" s="87"/>
      <c r="KAR11" s="87"/>
      <c r="KAS11" s="87"/>
      <c r="KAT11" s="87"/>
      <c r="KAU11" s="87"/>
      <c r="KAV11" s="87"/>
      <c r="KAW11" s="87"/>
      <c r="KAX11" s="87"/>
      <c r="KAY11" s="87"/>
      <c r="KAZ11" s="87"/>
      <c r="KBA11" s="87"/>
      <c r="KBB11" s="87"/>
      <c r="KBC11" s="87"/>
      <c r="KBD11" s="87"/>
      <c r="KBE11" s="87"/>
      <c r="KBF11" s="87"/>
      <c r="KBG11" s="87"/>
      <c r="KBH11" s="87"/>
      <c r="KBI11" s="87"/>
      <c r="KBJ11" s="87"/>
      <c r="KBK11" s="87"/>
      <c r="KBL11" s="87"/>
      <c r="KBM11" s="87"/>
      <c r="KBN11" s="87"/>
      <c r="KBO11" s="87"/>
      <c r="KBP11" s="87"/>
      <c r="KBQ11" s="87"/>
      <c r="KBR11" s="87"/>
      <c r="KBS11" s="87"/>
      <c r="KBT11" s="87"/>
      <c r="KBU11" s="87"/>
      <c r="KBV11" s="87"/>
      <c r="KBW11" s="87"/>
      <c r="KBX11" s="87"/>
      <c r="KBY11" s="87"/>
      <c r="KBZ11" s="87"/>
      <c r="KCA11" s="87"/>
      <c r="KCB11" s="87"/>
      <c r="KCC11" s="87"/>
      <c r="KCD11" s="87"/>
      <c r="KCE11" s="87"/>
      <c r="KCF11" s="87"/>
      <c r="KCG11" s="87"/>
      <c r="KCH11" s="87"/>
      <c r="KCI11" s="87"/>
      <c r="KCJ11" s="87"/>
      <c r="KCK11" s="87"/>
      <c r="KCL11" s="87"/>
      <c r="KCM11" s="87"/>
      <c r="KCN11" s="87"/>
      <c r="KCO11" s="87"/>
      <c r="KCP11" s="87"/>
      <c r="KCQ11" s="87"/>
      <c r="KCR11" s="87"/>
      <c r="KCS11" s="87"/>
      <c r="KCT11" s="87"/>
      <c r="KCU11" s="87"/>
      <c r="KCV11" s="87"/>
      <c r="KCW11" s="87"/>
      <c r="KCX11" s="87"/>
      <c r="KCY11" s="87"/>
      <c r="KCZ11" s="87"/>
      <c r="KDA11" s="87"/>
      <c r="KDB11" s="87"/>
      <c r="KDC11" s="87"/>
      <c r="KDD11" s="87"/>
      <c r="KDE11" s="87"/>
      <c r="KDF11" s="87"/>
      <c r="KDG11" s="87"/>
      <c r="KDH11" s="87"/>
      <c r="KDI11" s="87"/>
      <c r="KDJ11" s="87"/>
      <c r="KDK11" s="87"/>
      <c r="KDL11" s="87"/>
      <c r="KDM11" s="87"/>
      <c r="KDN11" s="87"/>
      <c r="KDO11" s="87"/>
      <c r="KDP11" s="87"/>
      <c r="KDQ11" s="87"/>
      <c r="KDR11" s="87"/>
      <c r="KDS11" s="87"/>
      <c r="KDT11" s="87"/>
      <c r="KDU11" s="87"/>
      <c r="KDV11" s="87"/>
      <c r="KDW11" s="87"/>
      <c r="KDX11" s="87"/>
      <c r="KDY11" s="87"/>
      <c r="KDZ11" s="87"/>
      <c r="KEA11" s="87"/>
      <c r="KEB11" s="87"/>
      <c r="KEC11" s="87"/>
      <c r="KED11" s="87"/>
      <c r="KEE11" s="87"/>
      <c r="KEF11" s="87"/>
      <c r="KEG11" s="87"/>
      <c r="KEH11" s="87"/>
      <c r="KEI11" s="87"/>
      <c r="KEJ11" s="87"/>
      <c r="KEK11" s="87"/>
      <c r="KEL11" s="87"/>
      <c r="KEM11" s="87"/>
      <c r="KEN11" s="87"/>
      <c r="KEO11" s="87"/>
      <c r="KEP11" s="87"/>
      <c r="KEQ11" s="87"/>
      <c r="KER11" s="87"/>
      <c r="KES11" s="87"/>
      <c r="KET11" s="87"/>
      <c r="KEU11" s="87"/>
      <c r="KEV11" s="87"/>
      <c r="KEW11" s="87"/>
      <c r="KEX11" s="87"/>
      <c r="KEY11" s="87"/>
      <c r="KEZ11" s="87"/>
      <c r="KFA11" s="87"/>
      <c r="KFB11" s="87"/>
      <c r="KFC11" s="87"/>
      <c r="KFD11" s="87"/>
      <c r="KFE11" s="87"/>
      <c r="KFF11" s="87"/>
      <c r="KFG11" s="87"/>
      <c r="KFH11" s="87"/>
      <c r="KFI11" s="87"/>
      <c r="KFJ11" s="87"/>
      <c r="KFK11" s="87"/>
      <c r="KFL11" s="87"/>
      <c r="KFM11" s="87"/>
      <c r="KFN11" s="87"/>
      <c r="KFO11" s="87"/>
      <c r="KFP11" s="87"/>
      <c r="KFQ11" s="87"/>
      <c r="KFR11" s="87"/>
      <c r="KFS11" s="87"/>
      <c r="KFT11" s="87"/>
      <c r="KFU11" s="87"/>
      <c r="KFV11" s="87"/>
      <c r="KFW11" s="87"/>
      <c r="KFX11" s="87"/>
      <c r="KFY11" s="87"/>
      <c r="KFZ11" s="87"/>
      <c r="KGA11" s="87"/>
      <c r="KGB11" s="87"/>
      <c r="KGC11" s="87"/>
      <c r="KGD11" s="87"/>
      <c r="KGE11" s="87"/>
      <c r="KGF11" s="87"/>
      <c r="KGG11" s="87"/>
      <c r="KGH11" s="87"/>
      <c r="KGI11" s="87"/>
      <c r="KGJ11" s="87"/>
      <c r="KGK11" s="87"/>
      <c r="KGL11" s="87"/>
      <c r="KGM11" s="87"/>
      <c r="KGN11" s="87"/>
      <c r="KGO11" s="87"/>
      <c r="KGP11" s="87"/>
      <c r="KGQ11" s="87"/>
      <c r="KGR11" s="87"/>
      <c r="KGS11" s="87"/>
      <c r="KGT11" s="87"/>
      <c r="KGU11" s="87"/>
      <c r="KGV11" s="87"/>
      <c r="KGW11" s="87"/>
      <c r="KGX11" s="87"/>
      <c r="KGY11" s="87"/>
      <c r="KGZ11" s="87"/>
      <c r="KHA11" s="87"/>
      <c r="KHB11" s="87"/>
      <c r="KHC11" s="87"/>
      <c r="KHD11" s="87"/>
      <c r="KHE11" s="87"/>
      <c r="KHF11" s="87"/>
      <c r="KHG11" s="87"/>
      <c r="KHH11" s="87"/>
      <c r="KHI11" s="87"/>
      <c r="KHJ11" s="87"/>
      <c r="KHK11" s="87"/>
      <c r="KHL11" s="87"/>
      <c r="KHM11" s="87"/>
      <c r="KHN11" s="87"/>
      <c r="KHO11" s="87"/>
      <c r="KHP11" s="87"/>
      <c r="KHQ11" s="87"/>
      <c r="KHR11" s="87"/>
      <c r="KHS11" s="87"/>
      <c r="KHT11" s="87"/>
      <c r="KHU11" s="87"/>
      <c r="KHV11" s="87"/>
      <c r="KHW11" s="87"/>
      <c r="KHX11" s="87"/>
      <c r="KHY11" s="87"/>
      <c r="KHZ11" s="87"/>
      <c r="KIA11" s="87"/>
      <c r="KIB11" s="87"/>
      <c r="KIC11" s="87"/>
      <c r="KID11" s="87"/>
      <c r="KIE11" s="87"/>
      <c r="KIF11" s="87"/>
      <c r="KIG11" s="87"/>
      <c r="KIH11" s="87"/>
      <c r="KII11" s="87"/>
      <c r="KIJ11" s="87"/>
      <c r="KIK11" s="87"/>
      <c r="KIL11" s="87"/>
      <c r="KIM11" s="87"/>
      <c r="KIN11" s="87"/>
      <c r="KIO11" s="87"/>
      <c r="KIP11" s="87"/>
      <c r="KIQ11" s="87"/>
      <c r="KIR11" s="87"/>
      <c r="KIS11" s="87"/>
      <c r="KIT11" s="87"/>
      <c r="KIU11" s="87"/>
      <c r="KIV11" s="87"/>
      <c r="KIW11" s="87"/>
      <c r="KIX11" s="87"/>
      <c r="KIY11" s="87"/>
      <c r="KIZ11" s="87"/>
      <c r="KJA11" s="87"/>
      <c r="KJB11" s="87"/>
      <c r="KJC11" s="87"/>
      <c r="KJD11" s="87"/>
      <c r="KJE11" s="87"/>
      <c r="KJF11" s="87"/>
      <c r="KJG11" s="87"/>
      <c r="KJH11" s="87"/>
      <c r="KJI11" s="87"/>
      <c r="KJJ11" s="87"/>
      <c r="KJK11" s="87"/>
      <c r="KJL11" s="87"/>
      <c r="KJM11" s="87"/>
      <c r="KJN11" s="87"/>
      <c r="KJO11" s="87"/>
      <c r="KJP11" s="87"/>
      <c r="KJQ11" s="87"/>
      <c r="KJR11" s="87"/>
      <c r="KJS11" s="87"/>
      <c r="KJT11" s="87"/>
      <c r="KJU11" s="87"/>
      <c r="KJV11" s="87"/>
      <c r="KJW11" s="87"/>
      <c r="KJX11" s="87"/>
      <c r="KJY11" s="87"/>
      <c r="KJZ11" s="87"/>
      <c r="KKA11" s="87"/>
      <c r="KKB11" s="87"/>
      <c r="KKC11" s="87"/>
      <c r="KKD11" s="87"/>
      <c r="KKE11" s="87"/>
      <c r="KKF11" s="87"/>
      <c r="KKG11" s="87"/>
      <c r="KKH11" s="87"/>
      <c r="KKI11" s="87"/>
      <c r="KKJ11" s="87"/>
      <c r="KKK11" s="87"/>
      <c r="KKL11" s="87"/>
      <c r="KKM11" s="87"/>
      <c r="KKN11" s="87"/>
      <c r="KKO11" s="87"/>
      <c r="KKP11" s="87"/>
      <c r="KKQ11" s="87"/>
      <c r="KKR11" s="87"/>
      <c r="KKS11" s="87"/>
      <c r="KKT11" s="87"/>
      <c r="KKU11" s="87"/>
      <c r="KKV11" s="87"/>
      <c r="KKW11" s="87"/>
      <c r="KKX11" s="87"/>
      <c r="KKY11" s="87"/>
      <c r="KKZ11" s="87"/>
      <c r="KLA11" s="87"/>
      <c r="KLB11" s="87"/>
      <c r="KLC11" s="87"/>
      <c r="KLD11" s="87"/>
      <c r="KLE11" s="87"/>
      <c r="KLF11" s="87"/>
      <c r="KLG11" s="87"/>
      <c r="KLH11" s="87"/>
      <c r="KLI11" s="87"/>
      <c r="KLJ11" s="87"/>
      <c r="KLK11" s="87"/>
      <c r="KLL11" s="87"/>
      <c r="KLM11" s="87"/>
      <c r="KLN11" s="87"/>
      <c r="KLO11" s="87"/>
      <c r="KLP11" s="87"/>
      <c r="KLQ11" s="87"/>
      <c r="KLR11" s="87"/>
      <c r="KLS11" s="87"/>
      <c r="KLT11" s="87"/>
      <c r="KLU11" s="87"/>
      <c r="KLV11" s="87"/>
      <c r="KLW11" s="87"/>
      <c r="KLX11" s="87"/>
      <c r="KLY11" s="87"/>
      <c r="KLZ11" s="87"/>
      <c r="KMA11" s="87"/>
      <c r="KMB11" s="87"/>
      <c r="KMC11" s="87"/>
      <c r="KMD11" s="87"/>
      <c r="KME11" s="87"/>
      <c r="KMF11" s="87"/>
      <c r="KMG11" s="87"/>
      <c r="KMH11" s="87"/>
      <c r="KMI11" s="87"/>
      <c r="KMJ11" s="87"/>
      <c r="KMK11" s="87"/>
      <c r="KML11" s="87"/>
      <c r="KMM11" s="87"/>
      <c r="KMN11" s="87"/>
      <c r="KMO11" s="87"/>
      <c r="KMP11" s="87"/>
      <c r="KMQ11" s="87"/>
      <c r="KMR11" s="87"/>
      <c r="KMS11" s="87"/>
      <c r="KMT11" s="87"/>
      <c r="KMU11" s="87"/>
      <c r="KMV11" s="87"/>
      <c r="KMW11" s="87"/>
      <c r="KMX11" s="87"/>
      <c r="KMY11" s="87"/>
      <c r="KMZ11" s="87"/>
      <c r="KNA11" s="87"/>
      <c r="KNB11" s="87"/>
      <c r="KNC11" s="87"/>
      <c r="KND11" s="87"/>
      <c r="KNE11" s="87"/>
      <c r="KNF11" s="87"/>
      <c r="KNG11" s="87"/>
      <c r="KNH11" s="87"/>
      <c r="KNI11" s="87"/>
      <c r="KNJ11" s="87"/>
      <c r="KNK11" s="87"/>
      <c r="KNL11" s="87"/>
      <c r="KNM11" s="87"/>
      <c r="KNN11" s="87"/>
      <c r="KNO11" s="87"/>
      <c r="KNP11" s="87"/>
      <c r="KNQ11" s="87"/>
      <c r="KNR11" s="87"/>
      <c r="KNS11" s="87"/>
      <c r="KNT11" s="87"/>
      <c r="KNU11" s="87"/>
      <c r="KNV11" s="87"/>
      <c r="KNW11" s="87"/>
      <c r="KNX11" s="87"/>
      <c r="KNY11" s="87"/>
      <c r="KNZ11" s="87"/>
      <c r="KOA11" s="87"/>
      <c r="KOB11" s="87"/>
      <c r="KOC11" s="87"/>
      <c r="KOD11" s="87"/>
      <c r="KOE11" s="87"/>
      <c r="KOF11" s="87"/>
      <c r="KOG11" s="87"/>
      <c r="KOH11" s="87"/>
      <c r="KOI11" s="87"/>
      <c r="KOJ11" s="87"/>
      <c r="KOK11" s="87"/>
      <c r="KOL11" s="87"/>
      <c r="KOM11" s="87"/>
      <c r="KON11" s="87"/>
      <c r="KOO11" s="87"/>
      <c r="KOP11" s="87"/>
      <c r="KOQ11" s="87"/>
      <c r="KOR11" s="87"/>
      <c r="KOS11" s="87"/>
      <c r="KOT11" s="87"/>
      <c r="KOU11" s="87"/>
      <c r="KOV11" s="87"/>
      <c r="KOW11" s="87"/>
      <c r="KOX11" s="87"/>
      <c r="KOY11" s="87"/>
      <c r="KOZ11" s="87"/>
      <c r="KPA11" s="87"/>
      <c r="KPB11" s="87"/>
      <c r="KPC11" s="87"/>
      <c r="KPD11" s="87"/>
      <c r="KPE11" s="87"/>
      <c r="KPF11" s="87"/>
      <c r="KPG11" s="87"/>
      <c r="KPH11" s="87"/>
      <c r="KPI11" s="87"/>
      <c r="KPJ11" s="87"/>
      <c r="KPK11" s="87"/>
      <c r="KPL11" s="87"/>
      <c r="KPM11" s="87"/>
      <c r="KPN11" s="87"/>
      <c r="KPO11" s="87"/>
      <c r="KPP11" s="87"/>
      <c r="KPQ11" s="87"/>
      <c r="KPR11" s="87"/>
      <c r="KPS11" s="87"/>
      <c r="KPT11" s="87"/>
      <c r="KPU11" s="87"/>
      <c r="KPV11" s="87"/>
      <c r="KPW11" s="87"/>
      <c r="KPX11" s="87"/>
      <c r="KPY11" s="87"/>
      <c r="KPZ11" s="87"/>
      <c r="KQA11" s="87"/>
      <c r="KQB11" s="87"/>
      <c r="KQC11" s="87"/>
      <c r="KQD11" s="87"/>
      <c r="KQE11" s="87"/>
      <c r="KQF11" s="87"/>
      <c r="KQG11" s="87"/>
      <c r="KQH11" s="87"/>
      <c r="KQI11" s="87"/>
      <c r="KQJ11" s="87"/>
      <c r="KQK11" s="87"/>
      <c r="KQL11" s="87"/>
      <c r="KQM11" s="87"/>
      <c r="KQN11" s="87"/>
      <c r="KQO11" s="87"/>
      <c r="KQP11" s="87"/>
      <c r="KQQ11" s="87"/>
      <c r="KQR11" s="87"/>
      <c r="KQS11" s="87"/>
      <c r="KQT11" s="87"/>
      <c r="KQU11" s="87"/>
      <c r="KQV11" s="87"/>
      <c r="KQW11" s="87"/>
      <c r="KQX11" s="87"/>
      <c r="KQY11" s="87"/>
      <c r="KQZ11" s="87"/>
      <c r="KRA11" s="87"/>
      <c r="KRB11" s="87"/>
      <c r="KRC11" s="87"/>
      <c r="KRD11" s="87"/>
      <c r="KRE11" s="87"/>
      <c r="KRF11" s="87"/>
      <c r="KRG11" s="87"/>
      <c r="KRH11" s="87"/>
      <c r="KRI11" s="87"/>
      <c r="KRJ11" s="87"/>
      <c r="KRK11" s="87"/>
      <c r="KRL11" s="87"/>
      <c r="KRM11" s="87"/>
      <c r="KRN11" s="87"/>
      <c r="KRO11" s="87"/>
      <c r="KRP11" s="87"/>
      <c r="KRQ11" s="87"/>
      <c r="KRR11" s="87"/>
      <c r="KRS11" s="87"/>
      <c r="KRT11" s="87"/>
      <c r="KRU11" s="87"/>
      <c r="KRV11" s="87"/>
      <c r="KRW11" s="87"/>
      <c r="KRX11" s="87"/>
      <c r="KRY11" s="87"/>
      <c r="KRZ11" s="87"/>
      <c r="KSA11" s="87"/>
      <c r="KSB11" s="87"/>
      <c r="KSC11" s="87"/>
      <c r="KSD11" s="87"/>
      <c r="KSE11" s="87"/>
      <c r="KSF11" s="87"/>
      <c r="KSG11" s="87"/>
      <c r="KSH11" s="87"/>
      <c r="KSI11" s="87"/>
      <c r="KSJ11" s="87"/>
      <c r="KSK11" s="87"/>
      <c r="KSL11" s="87"/>
      <c r="KSM11" s="87"/>
      <c r="KSN11" s="87"/>
      <c r="KSO11" s="87"/>
      <c r="KSP11" s="87"/>
      <c r="KSQ11" s="87"/>
      <c r="KSR11" s="87"/>
      <c r="KSS11" s="87"/>
      <c r="KST11" s="87"/>
      <c r="KSU11" s="87"/>
      <c r="KSV11" s="87"/>
      <c r="KSW11" s="87"/>
      <c r="KSX11" s="87"/>
      <c r="KSY11" s="87"/>
      <c r="KSZ11" s="87"/>
      <c r="KTA11" s="87"/>
      <c r="KTB11" s="87"/>
      <c r="KTC11" s="87"/>
      <c r="KTD11" s="87"/>
      <c r="KTE11" s="87"/>
      <c r="KTF11" s="87"/>
      <c r="KTG11" s="87"/>
      <c r="KTH11" s="87"/>
      <c r="KTI11" s="87"/>
      <c r="KTJ11" s="87"/>
      <c r="KTK11" s="87"/>
      <c r="KTL11" s="87"/>
      <c r="KTM11" s="87"/>
      <c r="KTN11" s="87"/>
      <c r="KTO11" s="87"/>
      <c r="KTP11" s="87"/>
      <c r="KTQ11" s="87"/>
      <c r="KTR11" s="87"/>
      <c r="KTS11" s="87"/>
      <c r="KTT11" s="87"/>
      <c r="KTU11" s="87"/>
      <c r="KTV11" s="87"/>
      <c r="KTW11" s="87"/>
      <c r="KTX11" s="87"/>
      <c r="KTY11" s="87"/>
      <c r="KTZ11" s="87"/>
      <c r="KUA11" s="87"/>
      <c r="KUB11" s="87"/>
      <c r="KUC11" s="87"/>
      <c r="KUD11" s="87"/>
      <c r="KUE11" s="87"/>
      <c r="KUF11" s="87"/>
      <c r="KUG11" s="87"/>
      <c r="KUH11" s="87"/>
      <c r="KUI11" s="87"/>
      <c r="KUJ11" s="87"/>
      <c r="KUK11" s="87"/>
      <c r="KUL11" s="87"/>
      <c r="KUM11" s="87"/>
      <c r="KUN11" s="87"/>
      <c r="KUO11" s="87"/>
      <c r="KUP11" s="87"/>
      <c r="KUQ11" s="87"/>
      <c r="KUR11" s="87"/>
      <c r="KUS11" s="87"/>
      <c r="KUT11" s="87"/>
      <c r="KUU11" s="87"/>
      <c r="KUV11" s="87"/>
      <c r="KUW11" s="87"/>
      <c r="KUX11" s="87"/>
      <c r="KUY11" s="87"/>
      <c r="KUZ11" s="87"/>
      <c r="KVA11" s="87"/>
      <c r="KVB11" s="87"/>
      <c r="KVC11" s="87"/>
      <c r="KVD11" s="87"/>
      <c r="KVE11" s="87"/>
      <c r="KVF11" s="87"/>
      <c r="KVG11" s="87"/>
      <c r="KVH11" s="87"/>
      <c r="KVI11" s="87"/>
      <c r="KVJ11" s="87"/>
      <c r="KVK11" s="87"/>
      <c r="KVL11" s="87"/>
      <c r="KVM11" s="87"/>
      <c r="KVN11" s="87"/>
      <c r="KVO11" s="87"/>
      <c r="KVP11" s="87"/>
      <c r="KVQ11" s="87"/>
      <c r="KVR11" s="87"/>
      <c r="KVS11" s="87"/>
      <c r="KVT11" s="87"/>
      <c r="KVU11" s="87"/>
      <c r="KVV11" s="87"/>
      <c r="KVW11" s="87"/>
      <c r="KVX11" s="87"/>
      <c r="KVY11" s="87"/>
      <c r="KVZ11" s="87"/>
      <c r="KWA11" s="87"/>
      <c r="KWB11" s="87"/>
      <c r="KWC11" s="87"/>
      <c r="KWD11" s="87"/>
      <c r="KWE11" s="87"/>
      <c r="KWF11" s="87"/>
      <c r="KWG11" s="87"/>
      <c r="KWH11" s="87"/>
      <c r="KWI11" s="87"/>
      <c r="KWJ11" s="87"/>
      <c r="KWK11" s="87"/>
      <c r="KWL11" s="87"/>
      <c r="KWM11" s="87"/>
      <c r="KWN11" s="87"/>
      <c r="KWO11" s="87"/>
      <c r="KWP11" s="87"/>
      <c r="KWQ11" s="87"/>
      <c r="KWR11" s="87"/>
      <c r="KWS11" s="87"/>
      <c r="KWT11" s="87"/>
      <c r="KWU11" s="87"/>
      <c r="KWV11" s="87"/>
      <c r="KWW11" s="87"/>
      <c r="KWX11" s="87"/>
      <c r="KWY11" s="87"/>
      <c r="KWZ11" s="87"/>
      <c r="KXA11" s="87"/>
      <c r="KXB11" s="87"/>
      <c r="KXC11" s="87"/>
      <c r="KXD11" s="87"/>
      <c r="KXE11" s="87"/>
      <c r="KXF11" s="87"/>
      <c r="KXG11" s="87"/>
      <c r="KXH11" s="87"/>
      <c r="KXI11" s="87"/>
      <c r="KXJ11" s="87"/>
      <c r="KXK11" s="87"/>
      <c r="KXL11" s="87"/>
      <c r="KXM11" s="87"/>
      <c r="KXN11" s="87"/>
      <c r="KXO11" s="87"/>
      <c r="KXP11" s="87"/>
      <c r="KXQ11" s="87"/>
      <c r="KXR11" s="87"/>
      <c r="KXS11" s="87"/>
      <c r="KXT11" s="87"/>
      <c r="KXU11" s="87"/>
      <c r="KXV11" s="87"/>
      <c r="KXW11" s="87"/>
      <c r="KXX11" s="87"/>
      <c r="KXY11" s="87"/>
      <c r="KXZ11" s="87"/>
      <c r="KYA11" s="87"/>
      <c r="KYB11" s="87"/>
      <c r="KYC11" s="87"/>
      <c r="KYD11" s="87"/>
      <c r="KYE11" s="87"/>
      <c r="KYF11" s="87"/>
      <c r="KYG11" s="87"/>
      <c r="KYH11" s="87"/>
      <c r="KYI11" s="87"/>
      <c r="KYJ11" s="87"/>
      <c r="KYK11" s="87"/>
      <c r="KYL11" s="87"/>
      <c r="KYM11" s="87"/>
      <c r="KYN11" s="87"/>
      <c r="KYO11" s="87"/>
      <c r="KYP11" s="87"/>
      <c r="KYQ11" s="87"/>
      <c r="KYR11" s="87"/>
      <c r="KYS11" s="87"/>
      <c r="KYT11" s="87"/>
      <c r="KYU11" s="87"/>
      <c r="KYV11" s="87"/>
      <c r="KYW11" s="87"/>
      <c r="KYX11" s="87"/>
      <c r="KYY11" s="87"/>
      <c r="KYZ11" s="87"/>
      <c r="KZA11" s="87"/>
      <c r="KZB11" s="87"/>
      <c r="KZC11" s="87"/>
      <c r="KZD11" s="87"/>
      <c r="KZE11" s="87"/>
      <c r="KZF11" s="87"/>
      <c r="KZG11" s="87"/>
      <c r="KZH11" s="87"/>
      <c r="KZI11" s="87"/>
      <c r="KZJ11" s="87"/>
      <c r="KZK11" s="87"/>
      <c r="KZL11" s="87"/>
      <c r="KZM11" s="87"/>
      <c r="KZN11" s="87"/>
      <c r="KZO11" s="87"/>
      <c r="KZP11" s="87"/>
      <c r="KZQ11" s="87"/>
      <c r="KZR11" s="87"/>
      <c r="KZS11" s="87"/>
      <c r="KZT11" s="87"/>
      <c r="KZU11" s="87"/>
      <c r="KZV11" s="87"/>
      <c r="KZW11" s="87"/>
      <c r="KZX11" s="87"/>
      <c r="KZY11" s="87"/>
      <c r="KZZ11" s="87"/>
      <c r="LAA11" s="87"/>
      <c r="LAB11" s="87"/>
      <c r="LAC11" s="87"/>
      <c r="LAD11" s="87"/>
      <c r="LAE11" s="87"/>
      <c r="LAF11" s="87"/>
      <c r="LAG11" s="87"/>
      <c r="LAH11" s="87"/>
      <c r="LAI11" s="87"/>
      <c r="LAJ11" s="87"/>
      <c r="LAK11" s="87"/>
      <c r="LAL11" s="87"/>
      <c r="LAM11" s="87"/>
      <c r="LAN11" s="87"/>
      <c r="LAO11" s="87"/>
      <c r="LAP11" s="87"/>
      <c r="LAQ11" s="87"/>
      <c r="LAR11" s="87"/>
      <c r="LAS11" s="87"/>
      <c r="LAT11" s="87"/>
      <c r="LAU11" s="87"/>
      <c r="LAV11" s="87"/>
      <c r="LAW11" s="87"/>
      <c r="LAX11" s="87"/>
      <c r="LAY11" s="87"/>
      <c r="LAZ11" s="87"/>
      <c r="LBA11" s="87"/>
      <c r="LBB11" s="87"/>
      <c r="LBC11" s="87"/>
      <c r="LBD11" s="87"/>
      <c r="LBE11" s="87"/>
      <c r="LBF11" s="87"/>
      <c r="LBG11" s="87"/>
      <c r="LBH11" s="87"/>
      <c r="LBI11" s="87"/>
      <c r="LBJ11" s="87"/>
      <c r="LBK11" s="87"/>
      <c r="LBL11" s="87"/>
      <c r="LBM11" s="87"/>
      <c r="LBN11" s="87"/>
      <c r="LBO11" s="87"/>
      <c r="LBP11" s="87"/>
      <c r="LBQ11" s="87"/>
      <c r="LBR11" s="87"/>
      <c r="LBS11" s="87"/>
      <c r="LBT11" s="87"/>
      <c r="LBU11" s="87"/>
      <c r="LBV11" s="87"/>
      <c r="LBW11" s="87"/>
      <c r="LBX11" s="87"/>
      <c r="LBY11" s="87"/>
      <c r="LBZ11" s="87"/>
      <c r="LCA11" s="87"/>
      <c r="LCB11" s="87"/>
      <c r="LCC11" s="87"/>
      <c r="LCD11" s="87"/>
      <c r="LCE11" s="87"/>
      <c r="LCF11" s="87"/>
      <c r="LCG11" s="87"/>
      <c r="LCH11" s="87"/>
      <c r="LCI11" s="87"/>
      <c r="LCJ11" s="87"/>
      <c r="LCK11" s="87"/>
      <c r="LCL11" s="87"/>
      <c r="LCM11" s="87"/>
      <c r="LCN11" s="87"/>
      <c r="LCO11" s="87"/>
      <c r="LCP11" s="87"/>
      <c r="LCQ11" s="87"/>
      <c r="LCR11" s="87"/>
      <c r="LCS11" s="87"/>
      <c r="LCT11" s="87"/>
      <c r="LCU11" s="87"/>
      <c r="LCV11" s="87"/>
      <c r="LCW11" s="87"/>
      <c r="LCX11" s="87"/>
      <c r="LCY11" s="87"/>
      <c r="LCZ11" s="87"/>
      <c r="LDA11" s="87"/>
      <c r="LDB11" s="87"/>
      <c r="LDC11" s="87"/>
      <c r="LDD11" s="87"/>
      <c r="LDE11" s="87"/>
      <c r="LDF11" s="87"/>
      <c r="LDG11" s="87"/>
      <c r="LDH11" s="87"/>
      <c r="LDI11" s="87"/>
      <c r="LDJ11" s="87"/>
      <c r="LDK11" s="87"/>
      <c r="LDL11" s="87"/>
      <c r="LDM11" s="87"/>
      <c r="LDN11" s="87"/>
      <c r="LDO11" s="87"/>
      <c r="LDP11" s="87"/>
      <c r="LDQ11" s="87"/>
      <c r="LDR11" s="87"/>
      <c r="LDS11" s="87"/>
      <c r="LDT11" s="87"/>
      <c r="LDU11" s="87"/>
      <c r="LDV11" s="87"/>
      <c r="LDW11" s="87"/>
      <c r="LDX11" s="87"/>
      <c r="LDY11" s="87"/>
      <c r="LDZ11" s="87"/>
      <c r="LEA11" s="87"/>
      <c r="LEB11" s="87"/>
      <c r="LEC11" s="87"/>
      <c r="LED11" s="87"/>
      <c r="LEE11" s="87"/>
      <c r="LEF11" s="87"/>
      <c r="LEG11" s="87"/>
      <c r="LEH11" s="87"/>
      <c r="LEI11" s="87"/>
      <c r="LEJ11" s="87"/>
      <c r="LEK11" s="87"/>
      <c r="LEL11" s="87"/>
      <c r="LEM11" s="87"/>
      <c r="LEN11" s="87"/>
      <c r="LEO11" s="87"/>
      <c r="LEP11" s="87"/>
      <c r="LEQ11" s="87"/>
      <c r="LER11" s="87"/>
      <c r="LES11" s="87"/>
      <c r="LET11" s="87"/>
      <c r="LEU11" s="87"/>
      <c r="LEV11" s="87"/>
      <c r="LEW11" s="87"/>
      <c r="LEX11" s="87"/>
      <c r="LEY11" s="87"/>
      <c r="LEZ11" s="87"/>
      <c r="LFA11" s="87"/>
      <c r="LFB11" s="87"/>
      <c r="LFC11" s="87"/>
      <c r="LFD11" s="87"/>
      <c r="LFE11" s="87"/>
      <c r="LFF11" s="87"/>
      <c r="LFG11" s="87"/>
      <c r="LFH11" s="87"/>
      <c r="LFI11" s="87"/>
      <c r="LFJ11" s="87"/>
      <c r="LFK11" s="87"/>
      <c r="LFL11" s="87"/>
      <c r="LFM11" s="87"/>
      <c r="LFN11" s="87"/>
      <c r="LFO11" s="87"/>
      <c r="LFP11" s="87"/>
      <c r="LFQ11" s="87"/>
      <c r="LFR11" s="87"/>
      <c r="LFS11" s="87"/>
      <c r="LFT11" s="87"/>
      <c r="LFU11" s="87"/>
      <c r="LFV11" s="87"/>
      <c r="LFW11" s="87"/>
      <c r="LFX11" s="87"/>
      <c r="LFY11" s="87"/>
      <c r="LFZ11" s="87"/>
      <c r="LGA11" s="87"/>
      <c r="LGB11" s="87"/>
      <c r="LGC11" s="87"/>
      <c r="LGD11" s="87"/>
      <c r="LGE11" s="87"/>
      <c r="LGF11" s="87"/>
      <c r="LGG11" s="87"/>
      <c r="LGH11" s="87"/>
      <c r="LGI11" s="87"/>
      <c r="LGJ11" s="87"/>
      <c r="LGK11" s="87"/>
      <c r="LGL11" s="87"/>
      <c r="LGM11" s="87"/>
      <c r="LGN11" s="87"/>
      <c r="LGO11" s="87"/>
      <c r="LGP11" s="87"/>
      <c r="LGQ11" s="87"/>
      <c r="LGR11" s="87"/>
      <c r="LGS11" s="87"/>
      <c r="LGT11" s="87"/>
      <c r="LGU11" s="87"/>
      <c r="LGV11" s="87"/>
      <c r="LGW11" s="87"/>
      <c r="LGX11" s="87"/>
      <c r="LGY11" s="87"/>
      <c r="LGZ11" s="87"/>
      <c r="LHA11" s="87"/>
      <c r="LHB11" s="87"/>
      <c r="LHC11" s="87"/>
      <c r="LHD11" s="87"/>
      <c r="LHE11" s="87"/>
      <c r="LHF11" s="87"/>
      <c r="LHG11" s="87"/>
      <c r="LHH11" s="87"/>
      <c r="LHI11" s="87"/>
      <c r="LHJ11" s="87"/>
      <c r="LHK11" s="87"/>
      <c r="LHL11" s="87"/>
      <c r="LHM11" s="87"/>
      <c r="LHN11" s="87"/>
      <c r="LHO11" s="87"/>
      <c r="LHP11" s="87"/>
      <c r="LHQ11" s="87"/>
      <c r="LHR11" s="87"/>
      <c r="LHS11" s="87"/>
      <c r="LHT11" s="87"/>
      <c r="LHU11" s="87"/>
      <c r="LHV11" s="87"/>
      <c r="LHW11" s="87"/>
      <c r="LHX11" s="87"/>
      <c r="LHY11" s="87"/>
      <c r="LHZ11" s="87"/>
      <c r="LIA11" s="87"/>
      <c r="LIB11" s="87"/>
      <c r="LIC11" s="87"/>
      <c r="LID11" s="87"/>
      <c r="LIE11" s="87"/>
      <c r="LIF11" s="87"/>
      <c r="LIG11" s="87"/>
      <c r="LIH11" s="87"/>
      <c r="LII11" s="87"/>
      <c r="LIJ11" s="87"/>
      <c r="LIK11" s="87"/>
      <c r="LIL11" s="87"/>
      <c r="LIM11" s="87"/>
      <c r="LIN11" s="87"/>
      <c r="LIO11" s="87"/>
      <c r="LIP11" s="87"/>
      <c r="LIQ11" s="87"/>
      <c r="LIR11" s="87"/>
      <c r="LIS11" s="87"/>
      <c r="LIT11" s="87"/>
      <c r="LIU11" s="87"/>
      <c r="LIV11" s="87"/>
      <c r="LIW11" s="87"/>
      <c r="LIX11" s="87"/>
      <c r="LIY11" s="87"/>
      <c r="LIZ11" s="87"/>
      <c r="LJA11" s="87"/>
      <c r="LJB11" s="87"/>
      <c r="LJC11" s="87"/>
      <c r="LJD11" s="87"/>
      <c r="LJE11" s="87"/>
      <c r="LJF11" s="87"/>
      <c r="LJG11" s="87"/>
      <c r="LJH11" s="87"/>
      <c r="LJI11" s="87"/>
      <c r="LJJ11" s="87"/>
      <c r="LJK11" s="87"/>
      <c r="LJL11" s="87"/>
      <c r="LJM11" s="87"/>
      <c r="LJN11" s="87"/>
      <c r="LJO11" s="87"/>
      <c r="LJP11" s="87"/>
      <c r="LJQ11" s="87"/>
      <c r="LJR11" s="87"/>
      <c r="LJS11" s="87"/>
      <c r="LJT11" s="87"/>
      <c r="LJU11" s="87"/>
      <c r="LJV11" s="87"/>
      <c r="LJW11" s="87"/>
      <c r="LJX11" s="87"/>
      <c r="LJY11" s="87"/>
      <c r="LJZ11" s="87"/>
      <c r="LKA11" s="87"/>
      <c r="LKB11" s="87"/>
      <c r="LKC11" s="87"/>
      <c r="LKD11" s="87"/>
      <c r="LKE11" s="87"/>
      <c r="LKF11" s="87"/>
      <c r="LKG11" s="87"/>
      <c r="LKH11" s="87"/>
      <c r="LKI11" s="87"/>
      <c r="LKJ11" s="87"/>
      <c r="LKK11" s="87"/>
      <c r="LKL11" s="87"/>
      <c r="LKM11" s="87"/>
      <c r="LKN11" s="87"/>
      <c r="LKO11" s="87"/>
      <c r="LKP11" s="87"/>
      <c r="LKQ11" s="87"/>
      <c r="LKR11" s="87"/>
      <c r="LKS11" s="87"/>
      <c r="LKT11" s="87"/>
      <c r="LKU11" s="87"/>
      <c r="LKV11" s="87"/>
      <c r="LKW11" s="87"/>
      <c r="LKX11" s="87"/>
      <c r="LKY11" s="87"/>
      <c r="LKZ11" s="87"/>
      <c r="LLA11" s="87"/>
      <c r="LLB11" s="87"/>
      <c r="LLC11" s="87"/>
      <c r="LLD11" s="87"/>
      <c r="LLE11" s="87"/>
      <c r="LLF11" s="87"/>
      <c r="LLG11" s="87"/>
      <c r="LLH11" s="87"/>
      <c r="LLI11" s="87"/>
      <c r="LLJ11" s="87"/>
      <c r="LLK11" s="87"/>
      <c r="LLL11" s="87"/>
      <c r="LLM11" s="87"/>
      <c r="LLN11" s="87"/>
      <c r="LLO11" s="87"/>
      <c r="LLP11" s="87"/>
      <c r="LLQ11" s="87"/>
      <c r="LLR11" s="87"/>
      <c r="LLS11" s="87"/>
      <c r="LLT11" s="87"/>
      <c r="LLU11" s="87"/>
      <c r="LLV11" s="87"/>
      <c r="LLW11" s="87"/>
      <c r="LLX11" s="87"/>
      <c r="LLY11" s="87"/>
      <c r="LLZ11" s="87"/>
      <c r="LMA11" s="87"/>
      <c r="LMB11" s="87"/>
      <c r="LMC11" s="87"/>
      <c r="LMD11" s="87"/>
      <c r="LME11" s="87"/>
      <c r="LMF11" s="87"/>
      <c r="LMG11" s="87"/>
      <c r="LMH11" s="87"/>
      <c r="LMI11" s="87"/>
      <c r="LMJ11" s="87"/>
      <c r="LMK11" s="87"/>
      <c r="LML11" s="87"/>
      <c r="LMM11" s="87"/>
      <c r="LMN11" s="87"/>
      <c r="LMO11" s="87"/>
      <c r="LMP11" s="87"/>
      <c r="LMQ11" s="87"/>
      <c r="LMR11" s="87"/>
      <c r="LMS11" s="87"/>
      <c r="LMT11" s="87"/>
      <c r="LMU11" s="87"/>
      <c r="LMV11" s="87"/>
      <c r="LMW11" s="87"/>
      <c r="LMX11" s="87"/>
      <c r="LMY11" s="87"/>
      <c r="LMZ11" s="87"/>
      <c r="LNA11" s="87"/>
      <c r="LNB11" s="87"/>
      <c r="LNC11" s="87"/>
      <c r="LND11" s="87"/>
      <c r="LNE11" s="87"/>
      <c r="LNF11" s="87"/>
      <c r="LNG11" s="87"/>
      <c r="LNH11" s="87"/>
      <c r="LNI11" s="87"/>
      <c r="LNJ11" s="87"/>
      <c r="LNK11" s="87"/>
      <c r="LNL11" s="87"/>
      <c r="LNM11" s="87"/>
      <c r="LNN11" s="87"/>
      <c r="LNO11" s="87"/>
      <c r="LNP11" s="87"/>
      <c r="LNQ11" s="87"/>
      <c r="LNR11" s="87"/>
      <c r="LNS11" s="87"/>
      <c r="LNT11" s="87"/>
      <c r="LNU11" s="87"/>
      <c r="LNV11" s="87"/>
      <c r="LNW11" s="87"/>
      <c r="LNX11" s="87"/>
      <c r="LNY11" s="87"/>
      <c r="LNZ11" s="87"/>
      <c r="LOA11" s="87"/>
      <c r="LOB11" s="87"/>
      <c r="LOC11" s="87"/>
      <c r="LOD11" s="87"/>
      <c r="LOE11" s="87"/>
      <c r="LOF11" s="87"/>
      <c r="LOG11" s="87"/>
      <c r="LOH11" s="87"/>
      <c r="LOI11" s="87"/>
      <c r="LOJ11" s="87"/>
      <c r="LOK11" s="87"/>
      <c r="LOL11" s="87"/>
      <c r="LOM11" s="87"/>
      <c r="LON11" s="87"/>
      <c r="LOO11" s="87"/>
      <c r="LOP11" s="87"/>
      <c r="LOQ11" s="87"/>
      <c r="LOR11" s="87"/>
      <c r="LOS11" s="87"/>
      <c r="LOT11" s="87"/>
      <c r="LOU11" s="87"/>
      <c r="LOV11" s="87"/>
      <c r="LOW11" s="87"/>
      <c r="LOX11" s="87"/>
      <c r="LOY11" s="87"/>
      <c r="LOZ11" s="87"/>
      <c r="LPA11" s="87"/>
      <c r="LPB11" s="87"/>
      <c r="LPC11" s="87"/>
      <c r="LPD11" s="87"/>
      <c r="LPE11" s="87"/>
      <c r="LPF11" s="87"/>
      <c r="LPG11" s="87"/>
      <c r="LPH11" s="87"/>
      <c r="LPI11" s="87"/>
      <c r="LPJ11" s="87"/>
      <c r="LPK11" s="87"/>
      <c r="LPL11" s="87"/>
      <c r="LPM11" s="87"/>
      <c r="LPN11" s="87"/>
      <c r="LPO11" s="87"/>
      <c r="LPP11" s="87"/>
      <c r="LPQ11" s="87"/>
      <c r="LPR11" s="87"/>
      <c r="LPS11" s="87"/>
      <c r="LPT11" s="87"/>
      <c r="LPU11" s="87"/>
      <c r="LPV11" s="87"/>
      <c r="LPW11" s="87"/>
      <c r="LPX11" s="87"/>
      <c r="LPY11" s="87"/>
      <c r="LPZ11" s="87"/>
      <c r="LQA11" s="87"/>
      <c r="LQB11" s="87"/>
      <c r="LQC11" s="87"/>
      <c r="LQD11" s="87"/>
      <c r="LQE11" s="87"/>
      <c r="LQF11" s="87"/>
      <c r="LQG11" s="87"/>
      <c r="LQH11" s="87"/>
      <c r="LQI11" s="87"/>
      <c r="LQJ11" s="87"/>
      <c r="LQK11" s="87"/>
      <c r="LQL11" s="87"/>
      <c r="LQM11" s="87"/>
      <c r="LQN11" s="87"/>
      <c r="LQO11" s="87"/>
      <c r="LQP11" s="87"/>
      <c r="LQQ11" s="87"/>
      <c r="LQR11" s="87"/>
      <c r="LQS11" s="87"/>
      <c r="LQT11" s="87"/>
      <c r="LQU11" s="87"/>
      <c r="LQV11" s="87"/>
      <c r="LQW11" s="87"/>
      <c r="LQX11" s="87"/>
      <c r="LQY11" s="87"/>
      <c r="LQZ11" s="87"/>
      <c r="LRA11" s="87"/>
      <c r="LRB11" s="87"/>
      <c r="LRC11" s="87"/>
      <c r="LRD11" s="87"/>
      <c r="LRE11" s="87"/>
      <c r="LRF11" s="87"/>
      <c r="LRG11" s="87"/>
      <c r="LRH11" s="87"/>
      <c r="LRI11" s="87"/>
      <c r="LRJ11" s="87"/>
      <c r="LRK11" s="87"/>
      <c r="LRL11" s="87"/>
      <c r="LRM11" s="87"/>
      <c r="LRN11" s="87"/>
      <c r="LRO11" s="87"/>
      <c r="LRP11" s="87"/>
      <c r="LRQ11" s="87"/>
      <c r="LRR11" s="87"/>
      <c r="LRS11" s="87"/>
      <c r="LRT11" s="87"/>
      <c r="LRU11" s="87"/>
      <c r="LRV11" s="87"/>
      <c r="LRW11" s="87"/>
      <c r="LRX11" s="87"/>
      <c r="LRY11" s="87"/>
      <c r="LRZ11" s="87"/>
      <c r="LSA11" s="87"/>
      <c r="LSB11" s="87"/>
      <c r="LSC11" s="87"/>
      <c r="LSD11" s="87"/>
      <c r="LSE11" s="87"/>
      <c r="LSF11" s="87"/>
      <c r="LSG11" s="87"/>
      <c r="LSH11" s="87"/>
      <c r="LSI11" s="87"/>
      <c r="LSJ11" s="87"/>
      <c r="LSK11" s="87"/>
      <c r="LSL11" s="87"/>
      <c r="LSM11" s="87"/>
      <c r="LSN11" s="87"/>
      <c r="LSO11" s="87"/>
      <c r="LSP11" s="87"/>
      <c r="LSQ11" s="87"/>
      <c r="LSR11" s="87"/>
      <c r="LSS11" s="87"/>
      <c r="LST11" s="87"/>
      <c r="LSU11" s="87"/>
      <c r="LSV11" s="87"/>
      <c r="LSW11" s="87"/>
      <c r="LSX11" s="87"/>
      <c r="LSY11" s="87"/>
      <c r="LSZ11" s="87"/>
      <c r="LTA11" s="87"/>
      <c r="LTB11" s="87"/>
      <c r="LTC11" s="87"/>
      <c r="LTD11" s="87"/>
      <c r="LTE11" s="87"/>
      <c r="LTF11" s="87"/>
      <c r="LTG11" s="87"/>
      <c r="LTH11" s="87"/>
      <c r="LTI11" s="87"/>
      <c r="LTJ11" s="87"/>
      <c r="LTK11" s="87"/>
      <c r="LTL11" s="87"/>
      <c r="LTM11" s="87"/>
      <c r="LTN11" s="87"/>
      <c r="LTO11" s="87"/>
      <c r="LTP11" s="87"/>
      <c r="LTQ11" s="87"/>
      <c r="LTR11" s="87"/>
      <c r="LTS11" s="87"/>
      <c r="LTT11" s="87"/>
      <c r="LTU11" s="87"/>
      <c r="LTV11" s="87"/>
      <c r="LTW11" s="87"/>
      <c r="LTX11" s="87"/>
      <c r="LTY11" s="87"/>
      <c r="LTZ11" s="87"/>
      <c r="LUA11" s="87"/>
      <c r="LUB11" s="87"/>
      <c r="LUC11" s="87"/>
      <c r="LUD11" s="87"/>
      <c r="LUE11" s="87"/>
      <c r="LUF11" s="87"/>
      <c r="LUG11" s="87"/>
      <c r="LUH11" s="87"/>
      <c r="LUI11" s="87"/>
      <c r="LUJ11" s="87"/>
      <c r="LUK11" s="87"/>
      <c r="LUL11" s="87"/>
      <c r="LUM11" s="87"/>
      <c r="LUN11" s="87"/>
      <c r="LUO11" s="87"/>
      <c r="LUP11" s="87"/>
      <c r="LUQ11" s="87"/>
      <c r="LUR11" s="87"/>
      <c r="LUS11" s="87"/>
      <c r="LUT11" s="87"/>
      <c r="LUU11" s="87"/>
      <c r="LUV11" s="87"/>
      <c r="LUW11" s="87"/>
      <c r="LUX11" s="87"/>
      <c r="LUY11" s="87"/>
      <c r="LUZ11" s="87"/>
      <c r="LVA11" s="87"/>
      <c r="LVB11" s="87"/>
      <c r="LVC11" s="87"/>
      <c r="LVD11" s="87"/>
      <c r="LVE11" s="87"/>
      <c r="LVF11" s="87"/>
      <c r="LVG11" s="87"/>
      <c r="LVH11" s="87"/>
      <c r="LVI11" s="87"/>
      <c r="LVJ11" s="87"/>
      <c r="LVK11" s="87"/>
      <c r="LVL11" s="87"/>
      <c r="LVM11" s="87"/>
      <c r="LVN11" s="87"/>
      <c r="LVO11" s="87"/>
      <c r="LVP11" s="87"/>
      <c r="LVQ11" s="87"/>
      <c r="LVR11" s="87"/>
      <c r="LVS11" s="87"/>
      <c r="LVT11" s="87"/>
      <c r="LVU11" s="87"/>
      <c r="LVV11" s="87"/>
      <c r="LVW11" s="87"/>
      <c r="LVX11" s="87"/>
      <c r="LVY11" s="87"/>
      <c r="LVZ11" s="87"/>
      <c r="LWA11" s="87"/>
      <c r="LWB11" s="87"/>
      <c r="LWC11" s="87"/>
      <c r="LWD11" s="87"/>
      <c r="LWE11" s="87"/>
      <c r="LWF11" s="87"/>
      <c r="LWG11" s="87"/>
      <c r="LWH11" s="87"/>
      <c r="LWI11" s="87"/>
      <c r="LWJ11" s="87"/>
      <c r="LWK11" s="87"/>
      <c r="LWL11" s="87"/>
      <c r="LWM11" s="87"/>
      <c r="LWN11" s="87"/>
      <c r="LWO11" s="87"/>
      <c r="LWP11" s="87"/>
      <c r="LWQ11" s="87"/>
      <c r="LWR11" s="87"/>
      <c r="LWS11" s="87"/>
      <c r="LWT11" s="87"/>
      <c r="LWU11" s="87"/>
      <c r="LWV11" s="87"/>
      <c r="LWW11" s="87"/>
      <c r="LWX11" s="87"/>
      <c r="LWY11" s="87"/>
      <c r="LWZ11" s="87"/>
      <c r="LXA11" s="87"/>
      <c r="LXB11" s="87"/>
      <c r="LXC11" s="87"/>
      <c r="LXD11" s="87"/>
      <c r="LXE11" s="87"/>
      <c r="LXF11" s="87"/>
      <c r="LXG11" s="87"/>
      <c r="LXH11" s="87"/>
      <c r="LXI11" s="87"/>
      <c r="LXJ11" s="87"/>
      <c r="LXK11" s="87"/>
      <c r="LXL11" s="87"/>
      <c r="LXM11" s="87"/>
      <c r="LXN11" s="87"/>
      <c r="LXO11" s="87"/>
      <c r="LXP11" s="87"/>
      <c r="LXQ11" s="87"/>
      <c r="LXR11" s="87"/>
      <c r="LXS11" s="87"/>
      <c r="LXT11" s="87"/>
      <c r="LXU11" s="87"/>
      <c r="LXV11" s="87"/>
      <c r="LXW11" s="87"/>
      <c r="LXX11" s="87"/>
      <c r="LXY11" s="87"/>
      <c r="LXZ11" s="87"/>
      <c r="LYA11" s="87"/>
      <c r="LYB11" s="87"/>
      <c r="LYC11" s="87"/>
      <c r="LYD11" s="87"/>
      <c r="LYE11" s="87"/>
      <c r="LYF11" s="87"/>
      <c r="LYG11" s="87"/>
      <c r="LYH11" s="87"/>
      <c r="LYI11" s="87"/>
      <c r="LYJ11" s="87"/>
      <c r="LYK11" s="87"/>
      <c r="LYL11" s="87"/>
      <c r="LYM11" s="87"/>
      <c r="LYN11" s="87"/>
      <c r="LYO11" s="87"/>
      <c r="LYP11" s="87"/>
      <c r="LYQ11" s="87"/>
      <c r="LYR11" s="87"/>
      <c r="LYS11" s="87"/>
      <c r="LYT11" s="87"/>
      <c r="LYU11" s="87"/>
      <c r="LYV11" s="87"/>
      <c r="LYW11" s="87"/>
      <c r="LYX11" s="87"/>
      <c r="LYY11" s="87"/>
      <c r="LYZ11" s="87"/>
      <c r="LZA11" s="87"/>
      <c r="LZB11" s="87"/>
      <c r="LZC11" s="87"/>
      <c r="LZD11" s="87"/>
      <c r="LZE11" s="87"/>
      <c r="LZF11" s="87"/>
      <c r="LZG11" s="87"/>
      <c r="LZH11" s="87"/>
      <c r="LZI11" s="87"/>
      <c r="LZJ11" s="87"/>
      <c r="LZK11" s="87"/>
      <c r="LZL11" s="87"/>
      <c r="LZM11" s="87"/>
      <c r="LZN11" s="87"/>
      <c r="LZO11" s="87"/>
      <c r="LZP11" s="87"/>
      <c r="LZQ11" s="87"/>
      <c r="LZR11" s="87"/>
      <c r="LZS11" s="87"/>
      <c r="LZT11" s="87"/>
      <c r="LZU11" s="87"/>
      <c r="LZV11" s="87"/>
      <c r="LZW11" s="87"/>
      <c r="LZX11" s="87"/>
      <c r="LZY11" s="87"/>
      <c r="LZZ11" s="87"/>
      <c r="MAA11" s="87"/>
      <c r="MAB11" s="87"/>
      <c r="MAC11" s="87"/>
      <c r="MAD11" s="87"/>
      <c r="MAE11" s="87"/>
      <c r="MAF11" s="87"/>
      <c r="MAG11" s="87"/>
      <c r="MAH11" s="87"/>
      <c r="MAI11" s="87"/>
      <c r="MAJ11" s="87"/>
      <c r="MAK11" s="87"/>
      <c r="MAL11" s="87"/>
      <c r="MAM11" s="87"/>
      <c r="MAN11" s="87"/>
      <c r="MAO11" s="87"/>
      <c r="MAP11" s="87"/>
      <c r="MAQ11" s="87"/>
      <c r="MAR11" s="87"/>
      <c r="MAS11" s="87"/>
      <c r="MAT11" s="87"/>
      <c r="MAU11" s="87"/>
      <c r="MAV11" s="87"/>
      <c r="MAW11" s="87"/>
      <c r="MAX11" s="87"/>
      <c r="MAY11" s="87"/>
      <c r="MAZ11" s="87"/>
      <c r="MBA11" s="87"/>
      <c r="MBB11" s="87"/>
      <c r="MBC11" s="87"/>
      <c r="MBD11" s="87"/>
      <c r="MBE11" s="87"/>
      <c r="MBF11" s="87"/>
      <c r="MBG11" s="87"/>
      <c r="MBH11" s="87"/>
      <c r="MBI11" s="87"/>
      <c r="MBJ11" s="87"/>
      <c r="MBK11" s="87"/>
      <c r="MBL11" s="87"/>
      <c r="MBM11" s="87"/>
      <c r="MBN11" s="87"/>
      <c r="MBO11" s="87"/>
      <c r="MBP11" s="87"/>
      <c r="MBQ11" s="87"/>
      <c r="MBR11" s="87"/>
      <c r="MBS11" s="87"/>
      <c r="MBT11" s="87"/>
      <c r="MBU11" s="87"/>
      <c r="MBV11" s="87"/>
      <c r="MBW11" s="87"/>
      <c r="MBX11" s="87"/>
      <c r="MBY11" s="87"/>
      <c r="MBZ11" s="87"/>
      <c r="MCA11" s="87"/>
      <c r="MCB11" s="87"/>
      <c r="MCC11" s="87"/>
      <c r="MCD11" s="87"/>
      <c r="MCE11" s="87"/>
      <c r="MCF11" s="87"/>
      <c r="MCG11" s="87"/>
      <c r="MCH11" s="87"/>
      <c r="MCI11" s="87"/>
      <c r="MCJ11" s="87"/>
      <c r="MCK11" s="87"/>
      <c r="MCL11" s="87"/>
      <c r="MCM11" s="87"/>
      <c r="MCN11" s="87"/>
      <c r="MCO11" s="87"/>
      <c r="MCP11" s="87"/>
      <c r="MCQ11" s="87"/>
      <c r="MCR11" s="87"/>
      <c r="MCS11" s="87"/>
      <c r="MCT11" s="87"/>
      <c r="MCU11" s="87"/>
      <c r="MCV11" s="87"/>
      <c r="MCW11" s="87"/>
      <c r="MCX11" s="87"/>
      <c r="MCY11" s="87"/>
      <c r="MCZ11" s="87"/>
      <c r="MDA11" s="87"/>
      <c r="MDB11" s="87"/>
      <c r="MDC11" s="87"/>
      <c r="MDD11" s="87"/>
      <c r="MDE11" s="87"/>
      <c r="MDF11" s="87"/>
      <c r="MDG11" s="87"/>
      <c r="MDH11" s="87"/>
      <c r="MDI11" s="87"/>
      <c r="MDJ11" s="87"/>
      <c r="MDK11" s="87"/>
      <c r="MDL11" s="87"/>
      <c r="MDM11" s="87"/>
      <c r="MDN11" s="87"/>
      <c r="MDO11" s="87"/>
      <c r="MDP11" s="87"/>
      <c r="MDQ11" s="87"/>
      <c r="MDR11" s="87"/>
      <c r="MDS11" s="87"/>
      <c r="MDT11" s="87"/>
      <c r="MDU11" s="87"/>
      <c r="MDV11" s="87"/>
      <c r="MDW11" s="87"/>
      <c r="MDX11" s="87"/>
      <c r="MDY11" s="87"/>
      <c r="MDZ11" s="87"/>
      <c r="MEA11" s="87"/>
      <c r="MEB11" s="87"/>
      <c r="MEC11" s="87"/>
      <c r="MED11" s="87"/>
      <c r="MEE11" s="87"/>
      <c r="MEF11" s="87"/>
      <c r="MEG11" s="87"/>
      <c r="MEH11" s="87"/>
      <c r="MEI11" s="87"/>
      <c r="MEJ11" s="87"/>
      <c r="MEK11" s="87"/>
      <c r="MEL11" s="87"/>
      <c r="MEM11" s="87"/>
      <c r="MEN11" s="87"/>
      <c r="MEO11" s="87"/>
      <c r="MEP11" s="87"/>
      <c r="MEQ11" s="87"/>
      <c r="MER11" s="87"/>
      <c r="MES11" s="87"/>
      <c r="MET11" s="87"/>
      <c r="MEU11" s="87"/>
      <c r="MEV11" s="87"/>
      <c r="MEW11" s="87"/>
      <c r="MEX11" s="87"/>
      <c r="MEY11" s="87"/>
      <c r="MEZ11" s="87"/>
      <c r="MFA11" s="87"/>
      <c r="MFB11" s="87"/>
      <c r="MFC11" s="87"/>
      <c r="MFD11" s="87"/>
      <c r="MFE11" s="87"/>
      <c r="MFF11" s="87"/>
      <c r="MFG11" s="87"/>
      <c r="MFH11" s="87"/>
      <c r="MFI11" s="87"/>
      <c r="MFJ11" s="87"/>
      <c r="MFK11" s="87"/>
      <c r="MFL11" s="87"/>
      <c r="MFM11" s="87"/>
      <c r="MFN11" s="87"/>
      <c r="MFO11" s="87"/>
      <c r="MFP11" s="87"/>
      <c r="MFQ11" s="87"/>
      <c r="MFR11" s="87"/>
      <c r="MFS11" s="87"/>
      <c r="MFT11" s="87"/>
      <c r="MFU11" s="87"/>
      <c r="MFV11" s="87"/>
      <c r="MFW11" s="87"/>
      <c r="MFX11" s="87"/>
      <c r="MFY11" s="87"/>
      <c r="MFZ11" s="87"/>
      <c r="MGA11" s="87"/>
      <c r="MGB11" s="87"/>
      <c r="MGC11" s="87"/>
      <c r="MGD11" s="87"/>
      <c r="MGE11" s="87"/>
      <c r="MGF11" s="87"/>
      <c r="MGG11" s="87"/>
      <c r="MGH11" s="87"/>
      <c r="MGI11" s="87"/>
      <c r="MGJ11" s="87"/>
      <c r="MGK11" s="87"/>
      <c r="MGL11" s="87"/>
      <c r="MGM11" s="87"/>
      <c r="MGN11" s="87"/>
      <c r="MGO11" s="87"/>
      <c r="MGP11" s="87"/>
      <c r="MGQ11" s="87"/>
      <c r="MGR11" s="87"/>
      <c r="MGS11" s="87"/>
      <c r="MGT11" s="87"/>
      <c r="MGU11" s="87"/>
      <c r="MGV11" s="87"/>
      <c r="MGW11" s="87"/>
      <c r="MGX11" s="87"/>
      <c r="MGY11" s="87"/>
      <c r="MGZ11" s="87"/>
      <c r="MHA11" s="87"/>
      <c r="MHB11" s="87"/>
      <c r="MHC11" s="87"/>
      <c r="MHD11" s="87"/>
      <c r="MHE11" s="87"/>
      <c r="MHF11" s="87"/>
      <c r="MHG11" s="87"/>
      <c r="MHH11" s="87"/>
      <c r="MHI11" s="87"/>
      <c r="MHJ11" s="87"/>
      <c r="MHK11" s="87"/>
      <c r="MHL11" s="87"/>
      <c r="MHM11" s="87"/>
      <c r="MHN11" s="87"/>
      <c r="MHO11" s="87"/>
      <c r="MHP11" s="87"/>
      <c r="MHQ11" s="87"/>
      <c r="MHR11" s="87"/>
      <c r="MHS11" s="87"/>
      <c r="MHT11" s="87"/>
      <c r="MHU11" s="87"/>
      <c r="MHV11" s="87"/>
      <c r="MHW11" s="87"/>
      <c r="MHX11" s="87"/>
      <c r="MHY11" s="87"/>
      <c r="MHZ11" s="87"/>
      <c r="MIA11" s="87"/>
      <c r="MIB11" s="87"/>
      <c r="MIC11" s="87"/>
      <c r="MID11" s="87"/>
      <c r="MIE11" s="87"/>
      <c r="MIF11" s="87"/>
      <c r="MIG11" s="87"/>
      <c r="MIH11" s="87"/>
      <c r="MII11" s="87"/>
      <c r="MIJ11" s="87"/>
      <c r="MIK11" s="87"/>
      <c r="MIL11" s="87"/>
      <c r="MIM11" s="87"/>
      <c r="MIN11" s="87"/>
      <c r="MIO11" s="87"/>
      <c r="MIP11" s="87"/>
      <c r="MIQ11" s="87"/>
      <c r="MIR11" s="87"/>
      <c r="MIS11" s="87"/>
      <c r="MIT11" s="87"/>
      <c r="MIU11" s="87"/>
      <c r="MIV11" s="87"/>
      <c r="MIW11" s="87"/>
      <c r="MIX11" s="87"/>
      <c r="MIY11" s="87"/>
      <c r="MIZ11" s="87"/>
      <c r="MJA11" s="87"/>
      <c r="MJB11" s="87"/>
      <c r="MJC11" s="87"/>
      <c r="MJD11" s="87"/>
      <c r="MJE11" s="87"/>
      <c r="MJF11" s="87"/>
      <c r="MJG11" s="87"/>
      <c r="MJH11" s="87"/>
      <c r="MJI11" s="87"/>
      <c r="MJJ11" s="87"/>
      <c r="MJK11" s="87"/>
      <c r="MJL11" s="87"/>
      <c r="MJM11" s="87"/>
      <c r="MJN11" s="87"/>
      <c r="MJO11" s="87"/>
      <c r="MJP11" s="87"/>
      <c r="MJQ11" s="87"/>
      <c r="MJR11" s="87"/>
      <c r="MJS11" s="87"/>
      <c r="MJT11" s="87"/>
      <c r="MJU11" s="87"/>
      <c r="MJV11" s="87"/>
      <c r="MJW11" s="87"/>
      <c r="MJX11" s="87"/>
      <c r="MJY11" s="87"/>
      <c r="MJZ11" s="87"/>
      <c r="MKA11" s="87"/>
      <c r="MKB11" s="87"/>
      <c r="MKC11" s="87"/>
      <c r="MKD11" s="87"/>
      <c r="MKE11" s="87"/>
      <c r="MKF11" s="87"/>
      <c r="MKG11" s="87"/>
      <c r="MKH11" s="87"/>
      <c r="MKI11" s="87"/>
      <c r="MKJ11" s="87"/>
      <c r="MKK11" s="87"/>
      <c r="MKL11" s="87"/>
      <c r="MKM11" s="87"/>
      <c r="MKN11" s="87"/>
      <c r="MKO11" s="87"/>
      <c r="MKP11" s="87"/>
      <c r="MKQ11" s="87"/>
      <c r="MKR11" s="87"/>
      <c r="MKS11" s="87"/>
      <c r="MKT11" s="87"/>
      <c r="MKU11" s="87"/>
      <c r="MKV11" s="87"/>
      <c r="MKW11" s="87"/>
      <c r="MKX11" s="87"/>
      <c r="MKY11" s="87"/>
      <c r="MKZ11" s="87"/>
      <c r="MLA11" s="87"/>
      <c r="MLB11" s="87"/>
      <c r="MLC11" s="87"/>
      <c r="MLD11" s="87"/>
      <c r="MLE11" s="87"/>
      <c r="MLF11" s="87"/>
      <c r="MLG11" s="87"/>
      <c r="MLH11" s="87"/>
      <c r="MLI11" s="87"/>
      <c r="MLJ11" s="87"/>
      <c r="MLK11" s="87"/>
      <c r="MLL11" s="87"/>
      <c r="MLM11" s="87"/>
      <c r="MLN11" s="87"/>
      <c r="MLO11" s="87"/>
      <c r="MLP11" s="87"/>
      <c r="MLQ11" s="87"/>
      <c r="MLR11" s="87"/>
      <c r="MLS11" s="87"/>
      <c r="MLT11" s="87"/>
      <c r="MLU11" s="87"/>
      <c r="MLV11" s="87"/>
      <c r="MLW11" s="87"/>
      <c r="MLX11" s="87"/>
      <c r="MLY11" s="87"/>
      <c r="MLZ11" s="87"/>
      <c r="MMA11" s="87"/>
      <c r="MMB11" s="87"/>
      <c r="MMC11" s="87"/>
      <c r="MMD11" s="87"/>
      <c r="MME11" s="87"/>
      <c r="MMF11" s="87"/>
      <c r="MMG11" s="87"/>
      <c r="MMH11" s="87"/>
      <c r="MMI11" s="87"/>
      <c r="MMJ11" s="87"/>
      <c r="MMK11" s="87"/>
      <c r="MML11" s="87"/>
      <c r="MMM11" s="87"/>
      <c r="MMN11" s="87"/>
      <c r="MMO11" s="87"/>
      <c r="MMP11" s="87"/>
      <c r="MMQ11" s="87"/>
      <c r="MMR11" s="87"/>
      <c r="MMS11" s="87"/>
      <c r="MMT11" s="87"/>
      <c r="MMU11" s="87"/>
      <c r="MMV11" s="87"/>
      <c r="MMW11" s="87"/>
      <c r="MMX11" s="87"/>
      <c r="MMY11" s="87"/>
      <c r="MMZ11" s="87"/>
      <c r="MNA11" s="87"/>
      <c r="MNB11" s="87"/>
      <c r="MNC11" s="87"/>
      <c r="MND11" s="87"/>
      <c r="MNE11" s="87"/>
      <c r="MNF11" s="87"/>
      <c r="MNG11" s="87"/>
      <c r="MNH11" s="87"/>
      <c r="MNI11" s="87"/>
      <c r="MNJ11" s="87"/>
      <c r="MNK11" s="87"/>
      <c r="MNL11" s="87"/>
      <c r="MNM11" s="87"/>
      <c r="MNN11" s="87"/>
      <c r="MNO11" s="87"/>
      <c r="MNP11" s="87"/>
      <c r="MNQ11" s="87"/>
      <c r="MNR11" s="87"/>
      <c r="MNS11" s="87"/>
      <c r="MNT11" s="87"/>
      <c r="MNU11" s="87"/>
      <c r="MNV11" s="87"/>
      <c r="MNW11" s="87"/>
      <c r="MNX11" s="87"/>
      <c r="MNY11" s="87"/>
      <c r="MNZ11" s="87"/>
      <c r="MOA11" s="87"/>
      <c r="MOB11" s="87"/>
      <c r="MOC11" s="87"/>
      <c r="MOD11" s="87"/>
      <c r="MOE11" s="87"/>
      <c r="MOF11" s="87"/>
      <c r="MOG11" s="87"/>
      <c r="MOH11" s="87"/>
      <c r="MOI11" s="87"/>
      <c r="MOJ11" s="87"/>
      <c r="MOK11" s="87"/>
      <c r="MOL11" s="87"/>
      <c r="MOM11" s="87"/>
      <c r="MON11" s="87"/>
      <c r="MOO11" s="87"/>
      <c r="MOP11" s="87"/>
      <c r="MOQ11" s="87"/>
      <c r="MOR11" s="87"/>
      <c r="MOS11" s="87"/>
      <c r="MOT11" s="87"/>
      <c r="MOU11" s="87"/>
      <c r="MOV11" s="87"/>
      <c r="MOW11" s="87"/>
      <c r="MOX11" s="87"/>
      <c r="MOY11" s="87"/>
      <c r="MOZ11" s="87"/>
      <c r="MPA11" s="87"/>
      <c r="MPB11" s="87"/>
      <c r="MPC11" s="87"/>
      <c r="MPD11" s="87"/>
      <c r="MPE11" s="87"/>
      <c r="MPF11" s="87"/>
      <c r="MPG11" s="87"/>
      <c r="MPH11" s="87"/>
      <c r="MPI11" s="87"/>
      <c r="MPJ11" s="87"/>
      <c r="MPK11" s="87"/>
      <c r="MPL11" s="87"/>
      <c r="MPM11" s="87"/>
      <c r="MPN11" s="87"/>
      <c r="MPO11" s="87"/>
      <c r="MPP11" s="87"/>
      <c r="MPQ11" s="87"/>
      <c r="MPR11" s="87"/>
      <c r="MPS11" s="87"/>
      <c r="MPT11" s="87"/>
      <c r="MPU11" s="87"/>
      <c r="MPV11" s="87"/>
      <c r="MPW11" s="87"/>
      <c r="MPX11" s="87"/>
      <c r="MPY11" s="87"/>
      <c r="MPZ11" s="87"/>
      <c r="MQA11" s="87"/>
      <c r="MQB11" s="87"/>
      <c r="MQC11" s="87"/>
      <c r="MQD11" s="87"/>
      <c r="MQE11" s="87"/>
      <c r="MQF11" s="87"/>
      <c r="MQG11" s="87"/>
      <c r="MQH11" s="87"/>
      <c r="MQI11" s="87"/>
      <c r="MQJ11" s="87"/>
      <c r="MQK11" s="87"/>
      <c r="MQL11" s="87"/>
      <c r="MQM11" s="87"/>
      <c r="MQN11" s="87"/>
      <c r="MQO11" s="87"/>
      <c r="MQP11" s="87"/>
      <c r="MQQ11" s="87"/>
      <c r="MQR11" s="87"/>
      <c r="MQS11" s="87"/>
      <c r="MQT11" s="87"/>
      <c r="MQU11" s="87"/>
      <c r="MQV11" s="87"/>
      <c r="MQW11" s="87"/>
      <c r="MQX11" s="87"/>
      <c r="MQY11" s="87"/>
      <c r="MQZ11" s="87"/>
      <c r="MRA11" s="87"/>
      <c r="MRB11" s="87"/>
      <c r="MRC11" s="87"/>
      <c r="MRD11" s="87"/>
      <c r="MRE11" s="87"/>
      <c r="MRF11" s="87"/>
      <c r="MRG11" s="87"/>
      <c r="MRH11" s="87"/>
      <c r="MRI11" s="87"/>
      <c r="MRJ11" s="87"/>
      <c r="MRK11" s="87"/>
      <c r="MRL11" s="87"/>
      <c r="MRM11" s="87"/>
      <c r="MRN11" s="87"/>
      <c r="MRO11" s="87"/>
      <c r="MRP11" s="87"/>
      <c r="MRQ11" s="87"/>
      <c r="MRR11" s="87"/>
      <c r="MRS11" s="87"/>
      <c r="MRT11" s="87"/>
      <c r="MRU11" s="87"/>
      <c r="MRV11" s="87"/>
      <c r="MRW11" s="87"/>
      <c r="MRX11" s="87"/>
      <c r="MRY11" s="87"/>
      <c r="MRZ11" s="87"/>
      <c r="MSA11" s="87"/>
      <c r="MSB11" s="87"/>
      <c r="MSC11" s="87"/>
      <c r="MSD11" s="87"/>
      <c r="MSE11" s="87"/>
      <c r="MSF11" s="87"/>
      <c r="MSG11" s="87"/>
      <c r="MSH11" s="87"/>
      <c r="MSI11" s="87"/>
      <c r="MSJ11" s="87"/>
      <c r="MSK11" s="87"/>
      <c r="MSL11" s="87"/>
      <c r="MSM11" s="87"/>
      <c r="MSN11" s="87"/>
      <c r="MSO11" s="87"/>
      <c r="MSP11" s="87"/>
      <c r="MSQ11" s="87"/>
      <c r="MSR11" s="87"/>
      <c r="MSS11" s="87"/>
      <c r="MST11" s="87"/>
      <c r="MSU11" s="87"/>
      <c r="MSV11" s="87"/>
      <c r="MSW11" s="87"/>
      <c r="MSX11" s="87"/>
      <c r="MSY11" s="87"/>
      <c r="MSZ11" s="87"/>
      <c r="MTA11" s="87"/>
      <c r="MTB11" s="87"/>
      <c r="MTC11" s="87"/>
      <c r="MTD11" s="87"/>
      <c r="MTE11" s="87"/>
      <c r="MTF11" s="87"/>
      <c r="MTG11" s="87"/>
      <c r="MTH11" s="87"/>
      <c r="MTI11" s="87"/>
      <c r="MTJ11" s="87"/>
      <c r="MTK11" s="87"/>
      <c r="MTL11" s="87"/>
      <c r="MTM11" s="87"/>
      <c r="MTN11" s="87"/>
      <c r="MTO11" s="87"/>
      <c r="MTP11" s="87"/>
      <c r="MTQ11" s="87"/>
      <c r="MTR11" s="87"/>
      <c r="MTS11" s="87"/>
      <c r="MTT11" s="87"/>
      <c r="MTU11" s="87"/>
      <c r="MTV11" s="87"/>
      <c r="MTW11" s="87"/>
      <c r="MTX11" s="87"/>
      <c r="MTY11" s="87"/>
      <c r="MTZ11" s="87"/>
      <c r="MUA11" s="87"/>
      <c r="MUB11" s="87"/>
      <c r="MUC11" s="87"/>
      <c r="MUD11" s="87"/>
      <c r="MUE11" s="87"/>
      <c r="MUF11" s="87"/>
      <c r="MUG11" s="87"/>
      <c r="MUH11" s="87"/>
      <c r="MUI11" s="87"/>
      <c r="MUJ11" s="87"/>
      <c r="MUK11" s="87"/>
      <c r="MUL11" s="87"/>
      <c r="MUM11" s="87"/>
      <c r="MUN11" s="87"/>
      <c r="MUO11" s="87"/>
      <c r="MUP11" s="87"/>
      <c r="MUQ11" s="87"/>
      <c r="MUR11" s="87"/>
      <c r="MUS11" s="87"/>
      <c r="MUT11" s="87"/>
      <c r="MUU11" s="87"/>
      <c r="MUV11" s="87"/>
      <c r="MUW11" s="87"/>
      <c r="MUX11" s="87"/>
      <c r="MUY11" s="87"/>
      <c r="MUZ11" s="87"/>
      <c r="MVA11" s="87"/>
      <c r="MVB11" s="87"/>
      <c r="MVC11" s="87"/>
      <c r="MVD11" s="87"/>
      <c r="MVE11" s="87"/>
      <c r="MVF11" s="87"/>
      <c r="MVG11" s="87"/>
      <c r="MVH11" s="87"/>
      <c r="MVI11" s="87"/>
      <c r="MVJ11" s="87"/>
      <c r="MVK11" s="87"/>
      <c r="MVL11" s="87"/>
      <c r="MVM11" s="87"/>
      <c r="MVN11" s="87"/>
      <c r="MVO11" s="87"/>
      <c r="MVP11" s="87"/>
      <c r="MVQ11" s="87"/>
      <c r="MVR11" s="87"/>
      <c r="MVS11" s="87"/>
      <c r="MVT11" s="87"/>
      <c r="MVU11" s="87"/>
      <c r="MVV11" s="87"/>
      <c r="MVW11" s="87"/>
      <c r="MVX11" s="87"/>
      <c r="MVY11" s="87"/>
      <c r="MVZ11" s="87"/>
      <c r="MWA11" s="87"/>
      <c r="MWB11" s="87"/>
      <c r="MWC11" s="87"/>
      <c r="MWD11" s="87"/>
      <c r="MWE11" s="87"/>
      <c r="MWF11" s="87"/>
      <c r="MWG11" s="87"/>
      <c r="MWH11" s="87"/>
      <c r="MWI11" s="87"/>
      <c r="MWJ11" s="87"/>
      <c r="MWK11" s="87"/>
      <c r="MWL11" s="87"/>
      <c r="MWM11" s="87"/>
      <c r="MWN11" s="87"/>
      <c r="MWO11" s="87"/>
      <c r="MWP11" s="87"/>
      <c r="MWQ11" s="87"/>
      <c r="MWR11" s="87"/>
      <c r="MWS11" s="87"/>
      <c r="MWT11" s="87"/>
      <c r="MWU11" s="87"/>
      <c r="MWV11" s="87"/>
      <c r="MWW11" s="87"/>
      <c r="MWX11" s="87"/>
      <c r="MWY11" s="87"/>
      <c r="MWZ11" s="87"/>
      <c r="MXA11" s="87"/>
      <c r="MXB11" s="87"/>
      <c r="MXC11" s="87"/>
      <c r="MXD11" s="87"/>
      <c r="MXE11" s="87"/>
      <c r="MXF11" s="87"/>
      <c r="MXG11" s="87"/>
      <c r="MXH11" s="87"/>
      <c r="MXI11" s="87"/>
      <c r="MXJ11" s="87"/>
      <c r="MXK11" s="87"/>
      <c r="MXL11" s="87"/>
      <c r="MXM11" s="87"/>
      <c r="MXN11" s="87"/>
      <c r="MXO11" s="87"/>
      <c r="MXP11" s="87"/>
      <c r="MXQ11" s="87"/>
      <c r="MXR11" s="87"/>
      <c r="MXS11" s="87"/>
      <c r="MXT11" s="87"/>
      <c r="MXU11" s="87"/>
      <c r="MXV11" s="87"/>
      <c r="MXW11" s="87"/>
      <c r="MXX11" s="87"/>
      <c r="MXY11" s="87"/>
      <c r="MXZ11" s="87"/>
      <c r="MYA11" s="87"/>
      <c r="MYB11" s="87"/>
      <c r="MYC11" s="87"/>
      <c r="MYD11" s="87"/>
      <c r="MYE11" s="87"/>
      <c r="MYF11" s="87"/>
      <c r="MYG11" s="87"/>
      <c r="MYH11" s="87"/>
      <c r="MYI11" s="87"/>
      <c r="MYJ11" s="87"/>
      <c r="MYK11" s="87"/>
      <c r="MYL11" s="87"/>
      <c r="MYM11" s="87"/>
      <c r="MYN11" s="87"/>
      <c r="MYO11" s="87"/>
      <c r="MYP11" s="87"/>
      <c r="MYQ11" s="87"/>
      <c r="MYR11" s="87"/>
      <c r="MYS11" s="87"/>
      <c r="MYT11" s="87"/>
      <c r="MYU11" s="87"/>
      <c r="MYV11" s="87"/>
      <c r="MYW11" s="87"/>
      <c r="MYX11" s="87"/>
      <c r="MYY11" s="87"/>
      <c r="MYZ11" s="87"/>
      <c r="MZA11" s="87"/>
      <c r="MZB11" s="87"/>
      <c r="MZC11" s="87"/>
      <c r="MZD11" s="87"/>
      <c r="MZE11" s="87"/>
      <c r="MZF11" s="87"/>
      <c r="MZG11" s="87"/>
      <c r="MZH11" s="87"/>
      <c r="MZI11" s="87"/>
      <c r="MZJ11" s="87"/>
      <c r="MZK11" s="87"/>
      <c r="MZL11" s="87"/>
      <c r="MZM11" s="87"/>
      <c r="MZN11" s="87"/>
      <c r="MZO11" s="87"/>
      <c r="MZP11" s="87"/>
      <c r="MZQ11" s="87"/>
      <c r="MZR11" s="87"/>
      <c r="MZS11" s="87"/>
      <c r="MZT11" s="87"/>
      <c r="MZU11" s="87"/>
      <c r="MZV11" s="87"/>
      <c r="MZW11" s="87"/>
      <c r="MZX11" s="87"/>
      <c r="MZY11" s="87"/>
      <c r="MZZ11" s="87"/>
      <c r="NAA11" s="87"/>
      <c r="NAB11" s="87"/>
      <c r="NAC11" s="87"/>
      <c r="NAD11" s="87"/>
      <c r="NAE11" s="87"/>
      <c r="NAF11" s="87"/>
      <c r="NAG11" s="87"/>
      <c r="NAH11" s="87"/>
      <c r="NAI11" s="87"/>
      <c r="NAJ11" s="87"/>
      <c r="NAK11" s="87"/>
      <c r="NAL11" s="87"/>
      <c r="NAM11" s="87"/>
      <c r="NAN11" s="87"/>
      <c r="NAO11" s="87"/>
      <c r="NAP11" s="87"/>
      <c r="NAQ11" s="87"/>
      <c r="NAR11" s="87"/>
      <c r="NAS11" s="87"/>
      <c r="NAT11" s="87"/>
      <c r="NAU11" s="87"/>
      <c r="NAV11" s="87"/>
      <c r="NAW11" s="87"/>
      <c r="NAX11" s="87"/>
      <c r="NAY11" s="87"/>
      <c r="NAZ11" s="87"/>
      <c r="NBA11" s="87"/>
      <c r="NBB11" s="87"/>
      <c r="NBC11" s="87"/>
      <c r="NBD11" s="87"/>
      <c r="NBE11" s="87"/>
      <c r="NBF11" s="87"/>
      <c r="NBG11" s="87"/>
      <c r="NBH11" s="87"/>
      <c r="NBI11" s="87"/>
      <c r="NBJ11" s="87"/>
      <c r="NBK11" s="87"/>
      <c r="NBL11" s="87"/>
      <c r="NBM11" s="87"/>
      <c r="NBN11" s="87"/>
      <c r="NBO11" s="87"/>
      <c r="NBP11" s="87"/>
      <c r="NBQ11" s="87"/>
      <c r="NBR11" s="87"/>
      <c r="NBS11" s="87"/>
      <c r="NBT11" s="87"/>
      <c r="NBU11" s="87"/>
      <c r="NBV11" s="87"/>
      <c r="NBW11" s="87"/>
      <c r="NBX11" s="87"/>
      <c r="NBY11" s="87"/>
      <c r="NBZ11" s="87"/>
      <c r="NCA11" s="87"/>
      <c r="NCB11" s="87"/>
      <c r="NCC11" s="87"/>
      <c r="NCD11" s="87"/>
      <c r="NCE11" s="87"/>
      <c r="NCF11" s="87"/>
      <c r="NCG11" s="87"/>
      <c r="NCH11" s="87"/>
      <c r="NCI11" s="87"/>
      <c r="NCJ11" s="87"/>
      <c r="NCK11" s="87"/>
      <c r="NCL11" s="87"/>
      <c r="NCM11" s="87"/>
      <c r="NCN11" s="87"/>
      <c r="NCO11" s="87"/>
      <c r="NCP11" s="87"/>
      <c r="NCQ11" s="87"/>
      <c r="NCR11" s="87"/>
      <c r="NCS11" s="87"/>
      <c r="NCT11" s="87"/>
      <c r="NCU11" s="87"/>
      <c r="NCV11" s="87"/>
      <c r="NCW11" s="87"/>
      <c r="NCX11" s="87"/>
      <c r="NCY11" s="87"/>
      <c r="NCZ11" s="87"/>
      <c r="NDA11" s="87"/>
      <c r="NDB11" s="87"/>
      <c r="NDC11" s="87"/>
      <c r="NDD11" s="87"/>
      <c r="NDE11" s="87"/>
      <c r="NDF11" s="87"/>
      <c r="NDG11" s="87"/>
      <c r="NDH11" s="87"/>
      <c r="NDI11" s="87"/>
      <c r="NDJ11" s="87"/>
      <c r="NDK11" s="87"/>
      <c r="NDL11" s="87"/>
      <c r="NDM11" s="87"/>
      <c r="NDN11" s="87"/>
      <c r="NDO11" s="87"/>
      <c r="NDP11" s="87"/>
      <c r="NDQ11" s="87"/>
      <c r="NDR11" s="87"/>
      <c r="NDS11" s="87"/>
      <c r="NDT11" s="87"/>
      <c r="NDU11" s="87"/>
      <c r="NDV11" s="87"/>
      <c r="NDW11" s="87"/>
      <c r="NDX11" s="87"/>
      <c r="NDY11" s="87"/>
      <c r="NDZ11" s="87"/>
      <c r="NEA11" s="87"/>
      <c r="NEB11" s="87"/>
      <c r="NEC11" s="87"/>
      <c r="NED11" s="87"/>
      <c r="NEE11" s="87"/>
      <c r="NEF11" s="87"/>
      <c r="NEG11" s="87"/>
      <c r="NEH11" s="87"/>
      <c r="NEI11" s="87"/>
      <c r="NEJ11" s="87"/>
      <c r="NEK11" s="87"/>
      <c r="NEL11" s="87"/>
      <c r="NEM11" s="87"/>
      <c r="NEN11" s="87"/>
      <c r="NEO11" s="87"/>
      <c r="NEP11" s="87"/>
      <c r="NEQ11" s="87"/>
      <c r="NER11" s="87"/>
      <c r="NES11" s="87"/>
      <c r="NET11" s="87"/>
      <c r="NEU11" s="87"/>
      <c r="NEV11" s="87"/>
      <c r="NEW11" s="87"/>
      <c r="NEX11" s="87"/>
      <c r="NEY11" s="87"/>
      <c r="NEZ11" s="87"/>
      <c r="NFA11" s="87"/>
      <c r="NFB11" s="87"/>
      <c r="NFC11" s="87"/>
      <c r="NFD11" s="87"/>
      <c r="NFE11" s="87"/>
      <c r="NFF11" s="87"/>
      <c r="NFG11" s="87"/>
      <c r="NFH11" s="87"/>
      <c r="NFI11" s="87"/>
      <c r="NFJ11" s="87"/>
      <c r="NFK11" s="87"/>
      <c r="NFL11" s="87"/>
      <c r="NFM11" s="87"/>
      <c r="NFN11" s="87"/>
      <c r="NFO11" s="87"/>
      <c r="NFP11" s="87"/>
      <c r="NFQ11" s="87"/>
      <c r="NFR11" s="87"/>
      <c r="NFS11" s="87"/>
      <c r="NFT11" s="87"/>
      <c r="NFU11" s="87"/>
      <c r="NFV11" s="87"/>
      <c r="NFW11" s="87"/>
      <c r="NFX11" s="87"/>
      <c r="NFY11" s="87"/>
      <c r="NFZ11" s="87"/>
      <c r="NGA11" s="87"/>
      <c r="NGB11" s="87"/>
      <c r="NGC11" s="87"/>
      <c r="NGD11" s="87"/>
      <c r="NGE11" s="87"/>
      <c r="NGF11" s="87"/>
      <c r="NGG11" s="87"/>
      <c r="NGH11" s="87"/>
      <c r="NGI11" s="87"/>
      <c r="NGJ11" s="87"/>
      <c r="NGK11" s="87"/>
      <c r="NGL11" s="87"/>
      <c r="NGM11" s="87"/>
      <c r="NGN11" s="87"/>
      <c r="NGO11" s="87"/>
      <c r="NGP11" s="87"/>
      <c r="NGQ11" s="87"/>
      <c r="NGR11" s="87"/>
      <c r="NGS11" s="87"/>
      <c r="NGT11" s="87"/>
      <c r="NGU11" s="87"/>
      <c r="NGV11" s="87"/>
      <c r="NGW11" s="87"/>
      <c r="NGX11" s="87"/>
      <c r="NGY11" s="87"/>
      <c r="NGZ11" s="87"/>
      <c r="NHA11" s="87"/>
      <c r="NHB11" s="87"/>
      <c r="NHC11" s="87"/>
      <c r="NHD11" s="87"/>
      <c r="NHE11" s="87"/>
      <c r="NHF11" s="87"/>
      <c r="NHG11" s="87"/>
      <c r="NHH11" s="87"/>
      <c r="NHI11" s="87"/>
      <c r="NHJ11" s="87"/>
      <c r="NHK11" s="87"/>
      <c r="NHL11" s="87"/>
      <c r="NHM11" s="87"/>
      <c r="NHN11" s="87"/>
      <c r="NHO11" s="87"/>
      <c r="NHP11" s="87"/>
      <c r="NHQ11" s="87"/>
      <c r="NHR11" s="87"/>
      <c r="NHS11" s="87"/>
      <c r="NHT11" s="87"/>
      <c r="NHU11" s="87"/>
      <c r="NHV11" s="87"/>
      <c r="NHW11" s="87"/>
      <c r="NHX11" s="87"/>
      <c r="NHY11" s="87"/>
      <c r="NHZ11" s="87"/>
      <c r="NIA11" s="87"/>
      <c r="NIB11" s="87"/>
      <c r="NIC11" s="87"/>
      <c r="NID11" s="87"/>
      <c r="NIE11" s="87"/>
      <c r="NIF11" s="87"/>
      <c r="NIG11" s="87"/>
      <c r="NIH11" s="87"/>
      <c r="NII11" s="87"/>
      <c r="NIJ11" s="87"/>
      <c r="NIK11" s="87"/>
      <c r="NIL11" s="87"/>
      <c r="NIM11" s="87"/>
      <c r="NIN11" s="87"/>
      <c r="NIO11" s="87"/>
      <c r="NIP11" s="87"/>
      <c r="NIQ11" s="87"/>
      <c r="NIR11" s="87"/>
      <c r="NIS11" s="87"/>
      <c r="NIT11" s="87"/>
      <c r="NIU11" s="87"/>
      <c r="NIV11" s="87"/>
      <c r="NIW11" s="87"/>
      <c r="NIX11" s="87"/>
      <c r="NIY11" s="87"/>
      <c r="NIZ11" s="87"/>
      <c r="NJA11" s="87"/>
      <c r="NJB11" s="87"/>
      <c r="NJC11" s="87"/>
      <c r="NJD11" s="87"/>
      <c r="NJE11" s="87"/>
      <c r="NJF11" s="87"/>
      <c r="NJG11" s="87"/>
      <c r="NJH11" s="87"/>
      <c r="NJI11" s="87"/>
      <c r="NJJ11" s="87"/>
      <c r="NJK11" s="87"/>
      <c r="NJL11" s="87"/>
      <c r="NJM11" s="87"/>
      <c r="NJN11" s="87"/>
      <c r="NJO11" s="87"/>
      <c r="NJP11" s="87"/>
      <c r="NJQ11" s="87"/>
      <c r="NJR11" s="87"/>
      <c r="NJS11" s="87"/>
      <c r="NJT11" s="87"/>
      <c r="NJU11" s="87"/>
      <c r="NJV11" s="87"/>
      <c r="NJW11" s="87"/>
      <c r="NJX11" s="87"/>
      <c r="NJY11" s="87"/>
      <c r="NJZ11" s="87"/>
      <c r="NKA11" s="87"/>
      <c r="NKB11" s="87"/>
      <c r="NKC11" s="87"/>
      <c r="NKD11" s="87"/>
      <c r="NKE11" s="87"/>
      <c r="NKF11" s="87"/>
      <c r="NKG11" s="87"/>
      <c r="NKH11" s="87"/>
      <c r="NKI11" s="87"/>
      <c r="NKJ11" s="87"/>
      <c r="NKK11" s="87"/>
      <c r="NKL11" s="87"/>
      <c r="NKM11" s="87"/>
      <c r="NKN11" s="87"/>
      <c r="NKO11" s="87"/>
      <c r="NKP11" s="87"/>
      <c r="NKQ11" s="87"/>
      <c r="NKR11" s="87"/>
      <c r="NKS11" s="87"/>
      <c r="NKT11" s="87"/>
      <c r="NKU11" s="87"/>
      <c r="NKV11" s="87"/>
      <c r="NKW11" s="87"/>
      <c r="NKX11" s="87"/>
      <c r="NKY11" s="87"/>
      <c r="NKZ11" s="87"/>
      <c r="NLA11" s="87"/>
      <c r="NLB11" s="87"/>
      <c r="NLC11" s="87"/>
      <c r="NLD11" s="87"/>
      <c r="NLE11" s="87"/>
      <c r="NLF11" s="87"/>
      <c r="NLG11" s="87"/>
      <c r="NLH11" s="87"/>
      <c r="NLI11" s="87"/>
      <c r="NLJ11" s="87"/>
      <c r="NLK11" s="87"/>
      <c r="NLL11" s="87"/>
      <c r="NLM11" s="87"/>
      <c r="NLN11" s="87"/>
      <c r="NLO11" s="87"/>
      <c r="NLP11" s="87"/>
      <c r="NLQ11" s="87"/>
      <c r="NLR11" s="87"/>
      <c r="NLS11" s="87"/>
      <c r="NLT11" s="87"/>
      <c r="NLU11" s="87"/>
      <c r="NLV11" s="87"/>
      <c r="NLW11" s="87"/>
      <c r="NLX11" s="87"/>
      <c r="NLY11" s="87"/>
      <c r="NLZ11" s="87"/>
      <c r="NMA11" s="87"/>
      <c r="NMB11" s="87"/>
      <c r="NMC11" s="87"/>
      <c r="NMD11" s="87"/>
      <c r="NME11" s="87"/>
      <c r="NMF11" s="87"/>
      <c r="NMG11" s="87"/>
      <c r="NMH11" s="87"/>
      <c r="NMI11" s="87"/>
      <c r="NMJ11" s="87"/>
      <c r="NMK11" s="87"/>
      <c r="NML11" s="87"/>
      <c r="NMM11" s="87"/>
      <c r="NMN11" s="87"/>
      <c r="NMO11" s="87"/>
      <c r="NMP11" s="87"/>
      <c r="NMQ11" s="87"/>
      <c r="NMR11" s="87"/>
      <c r="NMS11" s="87"/>
      <c r="NMT11" s="87"/>
      <c r="NMU11" s="87"/>
      <c r="NMV11" s="87"/>
      <c r="NMW11" s="87"/>
      <c r="NMX11" s="87"/>
      <c r="NMY11" s="87"/>
      <c r="NMZ11" s="87"/>
      <c r="NNA11" s="87"/>
      <c r="NNB11" s="87"/>
      <c r="NNC11" s="87"/>
      <c r="NND11" s="87"/>
      <c r="NNE11" s="87"/>
      <c r="NNF11" s="87"/>
      <c r="NNG11" s="87"/>
      <c r="NNH11" s="87"/>
      <c r="NNI11" s="87"/>
      <c r="NNJ11" s="87"/>
      <c r="NNK11" s="87"/>
      <c r="NNL11" s="87"/>
      <c r="NNM11" s="87"/>
      <c r="NNN11" s="87"/>
      <c r="NNO11" s="87"/>
      <c r="NNP11" s="87"/>
      <c r="NNQ11" s="87"/>
      <c r="NNR11" s="87"/>
      <c r="NNS11" s="87"/>
      <c r="NNT11" s="87"/>
      <c r="NNU11" s="87"/>
      <c r="NNV11" s="87"/>
      <c r="NNW11" s="87"/>
      <c r="NNX11" s="87"/>
      <c r="NNY11" s="87"/>
      <c r="NNZ11" s="87"/>
      <c r="NOA11" s="87"/>
      <c r="NOB11" s="87"/>
      <c r="NOC11" s="87"/>
      <c r="NOD11" s="87"/>
      <c r="NOE11" s="87"/>
      <c r="NOF11" s="87"/>
      <c r="NOG11" s="87"/>
      <c r="NOH11" s="87"/>
      <c r="NOI11" s="87"/>
      <c r="NOJ11" s="87"/>
      <c r="NOK11" s="87"/>
      <c r="NOL11" s="87"/>
      <c r="NOM11" s="87"/>
      <c r="NON11" s="87"/>
      <c r="NOO11" s="87"/>
      <c r="NOP11" s="87"/>
      <c r="NOQ11" s="87"/>
      <c r="NOR11" s="87"/>
      <c r="NOS11" s="87"/>
      <c r="NOT11" s="87"/>
      <c r="NOU11" s="87"/>
      <c r="NOV11" s="87"/>
      <c r="NOW11" s="87"/>
      <c r="NOX11" s="87"/>
      <c r="NOY11" s="87"/>
      <c r="NOZ11" s="87"/>
      <c r="NPA11" s="87"/>
      <c r="NPB11" s="87"/>
      <c r="NPC11" s="87"/>
      <c r="NPD11" s="87"/>
      <c r="NPE11" s="87"/>
      <c r="NPF11" s="87"/>
      <c r="NPG11" s="87"/>
      <c r="NPH11" s="87"/>
      <c r="NPI11" s="87"/>
      <c r="NPJ11" s="87"/>
      <c r="NPK11" s="87"/>
      <c r="NPL11" s="87"/>
      <c r="NPM11" s="87"/>
      <c r="NPN11" s="87"/>
      <c r="NPO11" s="87"/>
      <c r="NPP11" s="87"/>
      <c r="NPQ11" s="87"/>
      <c r="NPR11" s="87"/>
      <c r="NPS11" s="87"/>
      <c r="NPT11" s="87"/>
      <c r="NPU11" s="87"/>
      <c r="NPV11" s="87"/>
      <c r="NPW11" s="87"/>
      <c r="NPX11" s="87"/>
      <c r="NPY11" s="87"/>
      <c r="NPZ11" s="87"/>
      <c r="NQA11" s="87"/>
      <c r="NQB11" s="87"/>
      <c r="NQC11" s="87"/>
      <c r="NQD11" s="87"/>
      <c r="NQE11" s="87"/>
      <c r="NQF11" s="87"/>
      <c r="NQG11" s="87"/>
      <c r="NQH11" s="87"/>
      <c r="NQI11" s="87"/>
      <c r="NQJ11" s="87"/>
      <c r="NQK11" s="87"/>
      <c r="NQL11" s="87"/>
      <c r="NQM11" s="87"/>
      <c r="NQN11" s="87"/>
      <c r="NQO11" s="87"/>
      <c r="NQP11" s="87"/>
      <c r="NQQ11" s="87"/>
      <c r="NQR11" s="87"/>
      <c r="NQS11" s="87"/>
      <c r="NQT11" s="87"/>
      <c r="NQU11" s="87"/>
      <c r="NQV11" s="87"/>
      <c r="NQW11" s="87"/>
      <c r="NQX11" s="87"/>
      <c r="NQY11" s="87"/>
      <c r="NQZ11" s="87"/>
      <c r="NRA11" s="87"/>
      <c r="NRB11" s="87"/>
      <c r="NRC11" s="87"/>
      <c r="NRD11" s="87"/>
      <c r="NRE11" s="87"/>
      <c r="NRF11" s="87"/>
      <c r="NRG11" s="87"/>
      <c r="NRH11" s="87"/>
      <c r="NRI11" s="87"/>
      <c r="NRJ11" s="87"/>
      <c r="NRK11" s="87"/>
      <c r="NRL11" s="87"/>
      <c r="NRM11" s="87"/>
      <c r="NRN11" s="87"/>
      <c r="NRO11" s="87"/>
      <c r="NRP11" s="87"/>
      <c r="NRQ11" s="87"/>
      <c r="NRR11" s="87"/>
      <c r="NRS11" s="87"/>
      <c r="NRT11" s="87"/>
      <c r="NRU11" s="87"/>
      <c r="NRV11" s="87"/>
      <c r="NRW11" s="87"/>
      <c r="NRX11" s="87"/>
      <c r="NRY11" s="87"/>
      <c r="NRZ11" s="87"/>
      <c r="NSA11" s="87"/>
      <c r="NSB11" s="87"/>
      <c r="NSC11" s="87"/>
      <c r="NSD11" s="87"/>
      <c r="NSE11" s="87"/>
      <c r="NSF11" s="87"/>
      <c r="NSG11" s="87"/>
      <c r="NSH11" s="87"/>
      <c r="NSI11" s="87"/>
      <c r="NSJ11" s="87"/>
      <c r="NSK11" s="87"/>
      <c r="NSL11" s="87"/>
      <c r="NSM11" s="87"/>
      <c r="NSN11" s="87"/>
      <c r="NSO11" s="87"/>
      <c r="NSP11" s="87"/>
      <c r="NSQ11" s="87"/>
      <c r="NSR11" s="87"/>
      <c r="NSS11" s="87"/>
      <c r="NST11" s="87"/>
      <c r="NSU11" s="87"/>
      <c r="NSV11" s="87"/>
      <c r="NSW11" s="87"/>
      <c r="NSX11" s="87"/>
      <c r="NSY11" s="87"/>
      <c r="NSZ11" s="87"/>
      <c r="NTA11" s="87"/>
      <c r="NTB11" s="87"/>
      <c r="NTC11" s="87"/>
      <c r="NTD11" s="87"/>
      <c r="NTE11" s="87"/>
      <c r="NTF11" s="87"/>
      <c r="NTG11" s="87"/>
      <c r="NTH11" s="87"/>
      <c r="NTI11" s="87"/>
      <c r="NTJ11" s="87"/>
      <c r="NTK11" s="87"/>
      <c r="NTL11" s="87"/>
      <c r="NTM11" s="87"/>
      <c r="NTN11" s="87"/>
      <c r="NTO11" s="87"/>
      <c r="NTP11" s="87"/>
      <c r="NTQ11" s="87"/>
      <c r="NTR11" s="87"/>
      <c r="NTS11" s="87"/>
      <c r="NTT11" s="87"/>
      <c r="NTU11" s="87"/>
      <c r="NTV11" s="87"/>
      <c r="NTW11" s="87"/>
      <c r="NTX11" s="87"/>
      <c r="NTY11" s="87"/>
      <c r="NTZ11" s="87"/>
      <c r="NUA11" s="87"/>
      <c r="NUB11" s="87"/>
      <c r="NUC11" s="87"/>
      <c r="NUD11" s="87"/>
      <c r="NUE11" s="87"/>
      <c r="NUF11" s="87"/>
      <c r="NUG11" s="87"/>
      <c r="NUH11" s="87"/>
      <c r="NUI11" s="87"/>
      <c r="NUJ11" s="87"/>
      <c r="NUK11" s="87"/>
      <c r="NUL11" s="87"/>
      <c r="NUM11" s="87"/>
      <c r="NUN11" s="87"/>
      <c r="NUO11" s="87"/>
      <c r="NUP11" s="87"/>
      <c r="NUQ11" s="87"/>
      <c r="NUR11" s="87"/>
      <c r="NUS11" s="87"/>
      <c r="NUT11" s="87"/>
      <c r="NUU11" s="87"/>
      <c r="NUV11" s="87"/>
      <c r="NUW11" s="87"/>
      <c r="NUX11" s="87"/>
      <c r="NUY11" s="87"/>
      <c r="NUZ11" s="87"/>
      <c r="NVA11" s="87"/>
      <c r="NVB11" s="87"/>
      <c r="NVC11" s="87"/>
      <c r="NVD11" s="87"/>
      <c r="NVE11" s="87"/>
      <c r="NVF11" s="87"/>
      <c r="NVG11" s="87"/>
      <c r="NVH11" s="87"/>
      <c r="NVI11" s="87"/>
      <c r="NVJ11" s="87"/>
      <c r="NVK11" s="87"/>
      <c r="NVL11" s="87"/>
      <c r="NVM11" s="87"/>
      <c r="NVN11" s="87"/>
      <c r="NVO11" s="87"/>
      <c r="NVP11" s="87"/>
      <c r="NVQ11" s="87"/>
      <c r="NVR11" s="87"/>
      <c r="NVS11" s="87"/>
      <c r="NVT11" s="87"/>
      <c r="NVU11" s="87"/>
      <c r="NVV11" s="87"/>
      <c r="NVW11" s="87"/>
      <c r="NVX11" s="87"/>
      <c r="NVY11" s="87"/>
      <c r="NVZ11" s="87"/>
      <c r="NWA11" s="87"/>
      <c r="NWB11" s="87"/>
      <c r="NWC11" s="87"/>
      <c r="NWD11" s="87"/>
      <c r="NWE11" s="87"/>
      <c r="NWF11" s="87"/>
      <c r="NWG11" s="87"/>
      <c r="NWH11" s="87"/>
      <c r="NWI11" s="87"/>
      <c r="NWJ11" s="87"/>
      <c r="NWK11" s="87"/>
      <c r="NWL11" s="87"/>
      <c r="NWM11" s="87"/>
      <c r="NWN11" s="87"/>
      <c r="NWO11" s="87"/>
      <c r="NWP11" s="87"/>
      <c r="NWQ11" s="87"/>
      <c r="NWR11" s="87"/>
      <c r="NWS11" s="87"/>
      <c r="NWT11" s="87"/>
      <c r="NWU11" s="87"/>
      <c r="NWV11" s="87"/>
      <c r="NWW11" s="87"/>
      <c r="NWX11" s="87"/>
      <c r="NWY11" s="87"/>
      <c r="NWZ11" s="87"/>
      <c r="NXA11" s="87"/>
      <c r="NXB11" s="87"/>
      <c r="NXC11" s="87"/>
      <c r="NXD11" s="87"/>
      <c r="NXE11" s="87"/>
      <c r="NXF11" s="87"/>
      <c r="NXG11" s="87"/>
      <c r="NXH11" s="87"/>
      <c r="NXI11" s="87"/>
      <c r="NXJ11" s="87"/>
      <c r="NXK11" s="87"/>
      <c r="NXL11" s="87"/>
      <c r="NXM11" s="87"/>
      <c r="NXN11" s="87"/>
      <c r="NXO11" s="87"/>
      <c r="NXP11" s="87"/>
      <c r="NXQ11" s="87"/>
      <c r="NXR11" s="87"/>
      <c r="NXS11" s="87"/>
      <c r="NXT11" s="87"/>
      <c r="NXU11" s="87"/>
      <c r="NXV11" s="87"/>
      <c r="NXW11" s="87"/>
      <c r="NXX11" s="87"/>
      <c r="NXY11" s="87"/>
      <c r="NXZ11" s="87"/>
      <c r="NYA11" s="87"/>
      <c r="NYB11" s="87"/>
      <c r="NYC11" s="87"/>
      <c r="NYD11" s="87"/>
      <c r="NYE11" s="87"/>
      <c r="NYF11" s="87"/>
      <c r="NYG11" s="87"/>
      <c r="NYH11" s="87"/>
      <c r="NYI11" s="87"/>
      <c r="NYJ11" s="87"/>
      <c r="NYK11" s="87"/>
      <c r="NYL11" s="87"/>
      <c r="NYM11" s="87"/>
      <c r="NYN11" s="87"/>
      <c r="NYO11" s="87"/>
      <c r="NYP11" s="87"/>
      <c r="NYQ11" s="87"/>
      <c r="NYR11" s="87"/>
      <c r="NYS11" s="87"/>
      <c r="NYT11" s="87"/>
      <c r="NYU11" s="87"/>
      <c r="NYV11" s="87"/>
      <c r="NYW11" s="87"/>
      <c r="NYX11" s="87"/>
      <c r="NYY11" s="87"/>
      <c r="NYZ11" s="87"/>
      <c r="NZA11" s="87"/>
      <c r="NZB11" s="87"/>
      <c r="NZC11" s="87"/>
      <c r="NZD11" s="87"/>
      <c r="NZE11" s="87"/>
      <c r="NZF11" s="87"/>
      <c r="NZG11" s="87"/>
      <c r="NZH11" s="87"/>
      <c r="NZI11" s="87"/>
      <c r="NZJ11" s="87"/>
      <c r="NZK11" s="87"/>
      <c r="NZL11" s="87"/>
      <c r="NZM11" s="87"/>
      <c r="NZN11" s="87"/>
      <c r="NZO11" s="87"/>
      <c r="NZP11" s="87"/>
      <c r="NZQ11" s="87"/>
      <c r="NZR11" s="87"/>
      <c r="NZS11" s="87"/>
      <c r="NZT11" s="87"/>
      <c r="NZU11" s="87"/>
      <c r="NZV11" s="87"/>
      <c r="NZW11" s="87"/>
      <c r="NZX11" s="87"/>
      <c r="NZY11" s="87"/>
      <c r="NZZ11" s="87"/>
      <c r="OAA11" s="87"/>
      <c r="OAB11" s="87"/>
      <c r="OAC11" s="87"/>
      <c r="OAD11" s="87"/>
      <c r="OAE11" s="87"/>
      <c r="OAF11" s="87"/>
      <c r="OAG11" s="87"/>
      <c r="OAH11" s="87"/>
      <c r="OAI11" s="87"/>
      <c r="OAJ11" s="87"/>
      <c r="OAK11" s="87"/>
      <c r="OAL11" s="87"/>
      <c r="OAM11" s="87"/>
      <c r="OAN11" s="87"/>
      <c r="OAO11" s="87"/>
      <c r="OAP11" s="87"/>
      <c r="OAQ11" s="87"/>
      <c r="OAR11" s="87"/>
      <c r="OAS11" s="87"/>
      <c r="OAT11" s="87"/>
      <c r="OAU11" s="87"/>
      <c r="OAV11" s="87"/>
      <c r="OAW11" s="87"/>
      <c r="OAX11" s="87"/>
      <c r="OAY11" s="87"/>
      <c r="OAZ11" s="87"/>
      <c r="OBA11" s="87"/>
      <c r="OBB11" s="87"/>
      <c r="OBC11" s="87"/>
      <c r="OBD11" s="87"/>
      <c r="OBE11" s="87"/>
      <c r="OBF11" s="87"/>
      <c r="OBG11" s="87"/>
      <c r="OBH11" s="87"/>
      <c r="OBI11" s="87"/>
      <c r="OBJ11" s="87"/>
      <c r="OBK11" s="87"/>
      <c r="OBL11" s="87"/>
      <c r="OBM11" s="87"/>
      <c r="OBN11" s="87"/>
      <c r="OBO11" s="87"/>
      <c r="OBP11" s="87"/>
      <c r="OBQ11" s="87"/>
      <c r="OBR11" s="87"/>
      <c r="OBS11" s="87"/>
      <c r="OBT11" s="87"/>
      <c r="OBU11" s="87"/>
      <c r="OBV11" s="87"/>
      <c r="OBW11" s="87"/>
      <c r="OBX11" s="87"/>
      <c r="OBY11" s="87"/>
      <c r="OBZ11" s="87"/>
      <c r="OCA11" s="87"/>
      <c r="OCB11" s="87"/>
      <c r="OCC11" s="87"/>
      <c r="OCD11" s="87"/>
      <c r="OCE11" s="87"/>
      <c r="OCF11" s="87"/>
      <c r="OCG11" s="87"/>
      <c r="OCH11" s="87"/>
      <c r="OCI11" s="87"/>
      <c r="OCJ11" s="87"/>
      <c r="OCK11" s="87"/>
      <c r="OCL11" s="87"/>
      <c r="OCM11" s="87"/>
      <c r="OCN11" s="87"/>
      <c r="OCO11" s="87"/>
      <c r="OCP11" s="87"/>
      <c r="OCQ11" s="87"/>
      <c r="OCR11" s="87"/>
      <c r="OCS11" s="87"/>
      <c r="OCT11" s="87"/>
      <c r="OCU11" s="87"/>
      <c r="OCV11" s="87"/>
      <c r="OCW11" s="87"/>
      <c r="OCX11" s="87"/>
      <c r="OCY11" s="87"/>
      <c r="OCZ11" s="87"/>
      <c r="ODA11" s="87"/>
      <c r="ODB11" s="87"/>
      <c r="ODC11" s="87"/>
      <c r="ODD11" s="87"/>
      <c r="ODE11" s="87"/>
      <c r="ODF11" s="87"/>
      <c r="ODG11" s="87"/>
      <c r="ODH11" s="87"/>
      <c r="ODI11" s="87"/>
      <c r="ODJ11" s="87"/>
      <c r="ODK11" s="87"/>
      <c r="ODL11" s="87"/>
      <c r="ODM11" s="87"/>
      <c r="ODN11" s="87"/>
      <c r="ODO11" s="87"/>
      <c r="ODP11" s="87"/>
      <c r="ODQ11" s="87"/>
      <c r="ODR11" s="87"/>
      <c r="ODS11" s="87"/>
      <c r="ODT11" s="87"/>
      <c r="ODU11" s="87"/>
      <c r="ODV11" s="87"/>
      <c r="ODW11" s="87"/>
      <c r="ODX11" s="87"/>
      <c r="ODY11" s="87"/>
      <c r="ODZ11" s="87"/>
      <c r="OEA11" s="87"/>
      <c r="OEB11" s="87"/>
      <c r="OEC11" s="87"/>
      <c r="OED11" s="87"/>
      <c r="OEE11" s="87"/>
      <c r="OEF11" s="87"/>
      <c r="OEG11" s="87"/>
      <c r="OEH11" s="87"/>
      <c r="OEI11" s="87"/>
      <c r="OEJ11" s="87"/>
      <c r="OEK11" s="87"/>
      <c r="OEL11" s="87"/>
      <c r="OEM11" s="87"/>
      <c r="OEN11" s="87"/>
      <c r="OEO11" s="87"/>
      <c r="OEP11" s="87"/>
      <c r="OEQ11" s="87"/>
      <c r="OER11" s="87"/>
      <c r="OES11" s="87"/>
      <c r="OET11" s="87"/>
      <c r="OEU11" s="87"/>
      <c r="OEV11" s="87"/>
      <c r="OEW11" s="87"/>
      <c r="OEX11" s="87"/>
      <c r="OEY11" s="87"/>
      <c r="OEZ11" s="87"/>
      <c r="OFA11" s="87"/>
      <c r="OFB11" s="87"/>
      <c r="OFC11" s="87"/>
      <c r="OFD11" s="87"/>
      <c r="OFE11" s="87"/>
      <c r="OFF11" s="87"/>
      <c r="OFG11" s="87"/>
      <c r="OFH11" s="87"/>
      <c r="OFI11" s="87"/>
      <c r="OFJ11" s="87"/>
      <c r="OFK11" s="87"/>
      <c r="OFL11" s="87"/>
      <c r="OFM11" s="87"/>
      <c r="OFN11" s="87"/>
      <c r="OFO11" s="87"/>
      <c r="OFP11" s="87"/>
      <c r="OFQ11" s="87"/>
      <c r="OFR11" s="87"/>
      <c r="OFS11" s="87"/>
      <c r="OFT11" s="87"/>
      <c r="OFU11" s="87"/>
      <c r="OFV11" s="87"/>
      <c r="OFW11" s="87"/>
      <c r="OFX11" s="87"/>
      <c r="OFY11" s="87"/>
      <c r="OFZ11" s="87"/>
      <c r="OGA11" s="87"/>
      <c r="OGB11" s="87"/>
      <c r="OGC11" s="87"/>
      <c r="OGD11" s="87"/>
      <c r="OGE11" s="87"/>
      <c r="OGF11" s="87"/>
      <c r="OGG11" s="87"/>
      <c r="OGH11" s="87"/>
      <c r="OGI11" s="87"/>
      <c r="OGJ11" s="87"/>
      <c r="OGK11" s="87"/>
      <c r="OGL11" s="87"/>
      <c r="OGM11" s="87"/>
      <c r="OGN11" s="87"/>
      <c r="OGO11" s="87"/>
      <c r="OGP11" s="87"/>
      <c r="OGQ11" s="87"/>
      <c r="OGR11" s="87"/>
      <c r="OGS11" s="87"/>
      <c r="OGT11" s="87"/>
      <c r="OGU11" s="87"/>
      <c r="OGV11" s="87"/>
      <c r="OGW11" s="87"/>
      <c r="OGX11" s="87"/>
      <c r="OGY11" s="87"/>
      <c r="OGZ11" s="87"/>
      <c r="OHA11" s="87"/>
      <c r="OHB11" s="87"/>
      <c r="OHC11" s="87"/>
      <c r="OHD11" s="87"/>
      <c r="OHE11" s="87"/>
      <c r="OHF11" s="87"/>
      <c r="OHG11" s="87"/>
      <c r="OHH11" s="87"/>
      <c r="OHI11" s="87"/>
      <c r="OHJ11" s="87"/>
      <c r="OHK11" s="87"/>
      <c r="OHL11" s="87"/>
      <c r="OHM11" s="87"/>
      <c r="OHN11" s="87"/>
      <c r="OHO11" s="87"/>
      <c r="OHP11" s="87"/>
      <c r="OHQ11" s="87"/>
      <c r="OHR11" s="87"/>
      <c r="OHS11" s="87"/>
      <c r="OHT11" s="87"/>
      <c r="OHU11" s="87"/>
      <c r="OHV11" s="87"/>
      <c r="OHW11" s="87"/>
      <c r="OHX11" s="87"/>
      <c r="OHY11" s="87"/>
      <c r="OHZ11" s="87"/>
      <c r="OIA11" s="87"/>
      <c r="OIB11" s="87"/>
      <c r="OIC11" s="87"/>
      <c r="OID11" s="87"/>
      <c r="OIE11" s="87"/>
      <c r="OIF11" s="87"/>
      <c r="OIG11" s="87"/>
      <c r="OIH11" s="87"/>
      <c r="OII11" s="87"/>
      <c r="OIJ11" s="87"/>
      <c r="OIK11" s="87"/>
      <c r="OIL11" s="87"/>
      <c r="OIM11" s="87"/>
      <c r="OIN11" s="87"/>
      <c r="OIO11" s="87"/>
      <c r="OIP11" s="87"/>
      <c r="OIQ11" s="87"/>
      <c r="OIR11" s="87"/>
      <c r="OIS11" s="87"/>
      <c r="OIT11" s="87"/>
      <c r="OIU11" s="87"/>
      <c r="OIV11" s="87"/>
      <c r="OIW11" s="87"/>
      <c r="OIX11" s="87"/>
      <c r="OIY11" s="87"/>
      <c r="OIZ11" s="87"/>
      <c r="OJA11" s="87"/>
      <c r="OJB11" s="87"/>
      <c r="OJC11" s="87"/>
      <c r="OJD11" s="87"/>
      <c r="OJE11" s="87"/>
      <c r="OJF11" s="87"/>
      <c r="OJG11" s="87"/>
      <c r="OJH11" s="87"/>
      <c r="OJI11" s="87"/>
      <c r="OJJ11" s="87"/>
      <c r="OJK11" s="87"/>
      <c r="OJL11" s="87"/>
      <c r="OJM11" s="87"/>
      <c r="OJN11" s="87"/>
      <c r="OJO11" s="87"/>
      <c r="OJP11" s="87"/>
      <c r="OJQ11" s="87"/>
      <c r="OJR11" s="87"/>
      <c r="OJS11" s="87"/>
      <c r="OJT11" s="87"/>
      <c r="OJU11" s="87"/>
      <c r="OJV11" s="87"/>
      <c r="OJW11" s="87"/>
      <c r="OJX11" s="87"/>
      <c r="OJY11" s="87"/>
      <c r="OJZ11" s="87"/>
      <c r="OKA11" s="87"/>
      <c r="OKB11" s="87"/>
      <c r="OKC11" s="87"/>
      <c r="OKD11" s="87"/>
      <c r="OKE11" s="87"/>
      <c r="OKF11" s="87"/>
      <c r="OKG11" s="87"/>
      <c r="OKH11" s="87"/>
      <c r="OKI11" s="87"/>
      <c r="OKJ11" s="87"/>
      <c r="OKK11" s="87"/>
      <c r="OKL11" s="87"/>
      <c r="OKM11" s="87"/>
      <c r="OKN11" s="87"/>
      <c r="OKO11" s="87"/>
      <c r="OKP11" s="87"/>
      <c r="OKQ11" s="87"/>
      <c r="OKR11" s="87"/>
      <c r="OKS11" s="87"/>
      <c r="OKT11" s="87"/>
      <c r="OKU11" s="87"/>
      <c r="OKV11" s="87"/>
      <c r="OKW11" s="87"/>
      <c r="OKX11" s="87"/>
      <c r="OKY11" s="87"/>
      <c r="OKZ11" s="87"/>
      <c r="OLA11" s="87"/>
      <c r="OLB11" s="87"/>
      <c r="OLC11" s="87"/>
      <c r="OLD11" s="87"/>
      <c r="OLE11" s="87"/>
      <c r="OLF11" s="87"/>
      <c r="OLG11" s="87"/>
      <c r="OLH11" s="87"/>
      <c r="OLI11" s="87"/>
      <c r="OLJ11" s="87"/>
      <c r="OLK11" s="87"/>
      <c r="OLL11" s="87"/>
      <c r="OLM11" s="87"/>
      <c r="OLN11" s="87"/>
      <c r="OLO11" s="87"/>
      <c r="OLP11" s="87"/>
      <c r="OLQ11" s="87"/>
      <c r="OLR11" s="87"/>
      <c r="OLS11" s="87"/>
      <c r="OLT11" s="87"/>
      <c r="OLU11" s="87"/>
      <c r="OLV11" s="87"/>
      <c r="OLW11" s="87"/>
      <c r="OLX11" s="87"/>
      <c r="OLY11" s="87"/>
      <c r="OLZ11" s="87"/>
      <c r="OMA11" s="87"/>
      <c r="OMB11" s="87"/>
      <c r="OMC11" s="87"/>
      <c r="OMD11" s="87"/>
      <c r="OME11" s="87"/>
      <c r="OMF11" s="87"/>
      <c r="OMG11" s="87"/>
      <c r="OMH11" s="87"/>
      <c r="OMI11" s="87"/>
      <c r="OMJ11" s="87"/>
      <c r="OMK11" s="87"/>
      <c r="OML11" s="87"/>
      <c r="OMM11" s="87"/>
      <c r="OMN11" s="87"/>
      <c r="OMO11" s="87"/>
      <c r="OMP11" s="87"/>
      <c r="OMQ11" s="87"/>
      <c r="OMR11" s="87"/>
      <c r="OMS11" s="87"/>
      <c r="OMT11" s="87"/>
      <c r="OMU11" s="87"/>
      <c r="OMV11" s="87"/>
      <c r="OMW11" s="87"/>
      <c r="OMX11" s="87"/>
      <c r="OMY11" s="87"/>
      <c r="OMZ11" s="87"/>
      <c r="ONA11" s="87"/>
      <c r="ONB11" s="87"/>
      <c r="ONC11" s="87"/>
      <c r="OND11" s="87"/>
      <c r="ONE11" s="87"/>
      <c r="ONF11" s="87"/>
      <c r="ONG11" s="87"/>
      <c r="ONH11" s="87"/>
      <c r="ONI11" s="87"/>
      <c r="ONJ11" s="87"/>
      <c r="ONK11" s="87"/>
      <c r="ONL11" s="87"/>
      <c r="ONM11" s="87"/>
      <c r="ONN11" s="87"/>
      <c r="ONO11" s="87"/>
      <c r="ONP11" s="87"/>
      <c r="ONQ11" s="87"/>
      <c r="ONR11" s="87"/>
      <c r="ONS11" s="87"/>
      <c r="ONT11" s="87"/>
      <c r="ONU11" s="87"/>
      <c r="ONV11" s="87"/>
      <c r="ONW11" s="87"/>
      <c r="ONX11" s="87"/>
      <c r="ONY11" s="87"/>
      <c r="ONZ11" s="87"/>
      <c r="OOA11" s="87"/>
      <c r="OOB11" s="87"/>
      <c r="OOC11" s="87"/>
      <c r="OOD11" s="87"/>
      <c r="OOE11" s="87"/>
      <c r="OOF11" s="87"/>
      <c r="OOG11" s="87"/>
      <c r="OOH11" s="87"/>
      <c r="OOI11" s="87"/>
      <c r="OOJ11" s="87"/>
      <c r="OOK11" s="87"/>
      <c r="OOL11" s="87"/>
      <c r="OOM11" s="87"/>
      <c r="OON11" s="87"/>
      <c r="OOO11" s="87"/>
      <c r="OOP11" s="87"/>
      <c r="OOQ11" s="87"/>
      <c r="OOR11" s="87"/>
      <c r="OOS11" s="87"/>
      <c r="OOT11" s="87"/>
      <c r="OOU11" s="87"/>
      <c r="OOV11" s="87"/>
      <c r="OOW11" s="87"/>
      <c r="OOX11" s="87"/>
      <c r="OOY11" s="87"/>
      <c r="OOZ11" s="87"/>
      <c r="OPA11" s="87"/>
      <c r="OPB11" s="87"/>
      <c r="OPC11" s="87"/>
      <c r="OPD11" s="87"/>
      <c r="OPE11" s="87"/>
      <c r="OPF11" s="87"/>
      <c r="OPG11" s="87"/>
      <c r="OPH11" s="87"/>
      <c r="OPI11" s="87"/>
      <c r="OPJ11" s="87"/>
      <c r="OPK11" s="87"/>
      <c r="OPL11" s="87"/>
      <c r="OPM11" s="87"/>
      <c r="OPN11" s="87"/>
      <c r="OPO11" s="87"/>
      <c r="OPP11" s="87"/>
      <c r="OPQ11" s="87"/>
      <c r="OPR11" s="87"/>
      <c r="OPS11" s="87"/>
      <c r="OPT11" s="87"/>
      <c r="OPU11" s="87"/>
      <c r="OPV11" s="87"/>
      <c r="OPW11" s="87"/>
      <c r="OPX11" s="87"/>
      <c r="OPY11" s="87"/>
      <c r="OPZ11" s="87"/>
      <c r="OQA11" s="87"/>
      <c r="OQB11" s="87"/>
      <c r="OQC11" s="87"/>
      <c r="OQD11" s="87"/>
      <c r="OQE11" s="87"/>
      <c r="OQF11" s="87"/>
      <c r="OQG11" s="87"/>
      <c r="OQH11" s="87"/>
      <c r="OQI11" s="87"/>
      <c r="OQJ11" s="87"/>
      <c r="OQK11" s="87"/>
      <c r="OQL11" s="87"/>
      <c r="OQM11" s="87"/>
      <c r="OQN11" s="87"/>
      <c r="OQO11" s="87"/>
      <c r="OQP11" s="87"/>
      <c r="OQQ11" s="87"/>
      <c r="OQR11" s="87"/>
      <c r="OQS11" s="87"/>
      <c r="OQT11" s="87"/>
      <c r="OQU11" s="87"/>
      <c r="OQV11" s="87"/>
      <c r="OQW11" s="87"/>
      <c r="OQX11" s="87"/>
      <c r="OQY11" s="87"/>
      <c r="OQZ11" s="87"/>
      <c r="ORA11" s="87"/>
      <c r="ORB11" s="87"/>
      <c r="ORC11" s="87"/>
      <c r="ORD11" s="87"/>
      <c r="ORE11" s="87"/>
      <c r="ORF11" s="87"/>
      <c r="ORG11" s="87"/>
      <c r="ORH11" s="87"/>
      <c r="ORI11" s="87"/>
      <c r="ORJ11" s="87"/>
      <c r="ORK11" s="87"/>
      <c r="ORL11" s="87"/>
      <c r="ORM11" s="87"/>
      <c r="ORN11" s="87"/>
      <c r="ORO11" s="87"/>
      <c r="ORP11" s="87"/>
      <c r="ORQ11" s="87"/>
      <c r="ORR11" s="87"/>
      <c r="ORS11" s="87"/>
      <c r="ORT11" s="87"/>
      <c r="ORU11" s="87"/>
      <c r="ORV11" s="87"/>
      <c r="ORW11" s="87"/>
      <c r="ORX11" s="87"/>
      <c r="ORY11" s="87"/>
      <c r="ORZ11" s="87"/>
      <c r="OSA11" s="87"/>
      <c r="OSB11" s="87"/>
      <c r="OSC11" s="87"/>
      <c r="OSD11" s="87"/>
      <c r="OSE11" s="87"/>
      <c r="OSF11" s="87"/>
      <c r="OSG11" s="87"/>
      <c r="OSH11" s="87"/>
      <c r="OSI11" s="87"/>
      <c r="OSJ11" s="87"/>
      <c r="OSK11" s="87"/>
      <c r="OSL11" s="87"/>
      <c r="OSM11" s="87"/>
      <c r="OSN11" s="87"/>
      <c r="OSO11" s="87"/>
      <c r="OSP11" s="87"/>
      <c r="OSQ11" s="87"/>
      <c r="OSR11" s="87"/>
      <c r="OSS11" s="87"/>
      <c r="OST11" s="87"/>
      <c r="OSU11" s="87"/>
      <c r="OSV11" s="87"/>
      <c r="OSW11" s="87"/>
      <c r="OSX11" s="87"/>
      <c r="OSY11" s="87"/>
      <c r="OSZ11" s="87"/>
      <c r="OTA11" s="87"/>
      <c r="OTB11" s="87"/>
      <c r="OTC11" s="87"/>
      <c r="OTD11" s="87"/>
      <c r="OTE11" s="87"/>
      <c r="OTF11" s="87"/>
      <c r="OTG11" s="87"/>
      <c r="OTH11" s="87"/>
      <c r="OTI11" s="87"/>
      <c r="OTJ11" s="87"/>
      <c r="OTK11" s="87"/>
      <c r="OTL11" s="87"/>
      <c r="OTM11" s="87"/>
      <c r="OTN11" s="87"/>
      <c r="OTO11" s="87"/>
      <c r="OTP11" s="87"/>
      <c r="OTQ11" s="87"/>
      <c r="OTR11" s="87"/>
      <c r="OTS11" s="87"/>
      <c r="OTT11" s="87"/>
      <c r="OTU11" s="87"/>
      <c r="OTV11" s="87"/>
      <c r="OTW11" s="87"/>
      <c r="OTX11" s="87"/>
      <c r="OTY11" s="87"/>
      <c r="OTZ11" s="87"/>
      <c r="OUA11" s="87"/>
      <c r="OUB11" s="87"/>
      <c r="OUC11" s="87"/>
      <c r="OUD11" s="87"/>
      <c r="OUE11" s="87"/>
      <c r="OUF11" s="87"/>
      <c r="OUG11" s="87"/>
      <c r="OUH11" s="87"/>
      <c r="OUI11" s="87"/>
      <c r="OUJ11" s="87"/>
      <c r="OUK11" s="87"/>
      <c r="OUL11" s="87"/>
      <c r="OUM11" s="87"/>
      <c r="OUN11" s="87"/>
      <c r="OUO11" s="87"/>
      <c r="OUP11" s="87"/>
      <c r="OUQ11" s="87"/>
      <c r="OUR11" s="87"/>
      <c r="OUS11" s="87"/>
      <c r="OUT11" s="87"/>
      <c r="OUU11" s="87"/>
      <c r="OUV11" s="87"/>
      <c r="OUW11" s="87"/>
      <c r="OUX11" s="87"/>
      <c r="OUY11" s="87"/>
      <c r="OUZ11" s="87"/>
      <c r="OVA11" s="87"/>
      <c r="OVB11" s="87"/>
      <c r="OVC11" s="87"/>
      <c r="OVD11" s="87"/>
      <c r="OVE11" s="87"/>
      <c r="OVF11" s="87"/>
      <c r="OVG11" s="87"/>
      <c r="OVH11" s="87"/>
      <c r="OVI11" s="87"/>
      <c r="OVJ11" s="87"/>
      <c r="OVK11" s="87"/>
      <c r="OVL11" s="87"/>
      <c r="OVM11" s="87"/>
      <c r="OVN11" s="87"/>
      <c r="OVO11" s="87"/>
      <c r="OVP11" s="87"/>
      <c r="OVQ11" s="87"/>
      <c r="OVR11" s="87"/>
      <c r="OVS11" s="87"/>
      <c r="OVT11" s="87"/>
      <c r="OVU11" s="87"/>
      <c r="OVV11" s="87"/>
      <c r="OVW11" s="87"/>
      <c r="OVX11" s="87"/>
      <c r="OVY11" s="87"/>
      <c r="OVZ11" s="87"/>
      <c r="OWA11" s="87"/>
      <c r="OWB11" s="87"/>
      <c r="OWC11" s="87"/>
      <c r="OWD11" s="87"/>
      <c r="OWE11" s="87"/>
      <c r="OWF11" s="87"/>
      <c r="OWG11" s="87"/>
      <c r="OWH11" s="87"/>
      <c r="OWI11" s="87"/>
      <c r="OWJ11" s="87"/>
      <c r="OWK11" s="87"/>
      <c r="OWL11" s="87"/>
      <c r="OWM11" s="87"/>
      <c r="OWN11" s="87"/>
      <c r="OWO11" s="87"/>
      <c r="OWP11" s="87"/>
      <c r="OWQ11" s="87"/>
      <c r="OWR11" s="87"/>
      <c r="OWS11" s="87"/>
      <c r="OWT11" s="87"/>
      <c r="OWU11" s="87"/>
      <c r="OWV11" s="87"/>
      <c r="OWW11" s="87"/>
      <c r="OWX11" s="87"/>
      <c r="OWY11" s="87"/>
      <c r="OWZ11" s="87"/>
      <c r="OXA11" s="87"/>
      <c r="OXB11" s="87"/>
      <c r="OXC11" s="87"/>
      <c r="OXD11" s="87"/>
      <c r="OXE11" s="87"/>
      <c r="OXF11" s="87"/>
      <c r="OXG11" s="87"/>
      <c r="OXH11" s="87"/>
      <c r="OXI11" s="87"/>
      <c r="OXJ11" s="87"/>
      <c r="OXK11" s="87"/>
      <c r="OXL11" s="87"/>
      <c r="OXM11" s="87"/>
      <c r="OXN11" s="87"/>
      <c r="OXO11" s="87"/>
      <c r="OXP11" s="87"/>
      <c r="OXQ11" s="87"/>
      <c r="OXR11" s="87"/>
      <c r="OXS11" s="87"/>
      <c r="OXT11" s="87"/>
      <c r="OXU11" s="87"/>
      <c r="OXV11" s="87"/>
      <c r="OXW11" s="87"/>
      <c r="OXX11" s="87"/>
      <c r="OXY11" s="87"/>
      <c r="OXZ11" s="87"/>
      <c r="OYA11" s="87"/>
      <c r="OYB11" s="87"/>
      <c r="OYC11" s="87"/>
      <c r="OYD11" s="87"/>
      <c r="OYE11" s="87"/>
      <c r="OYF11" s="87"/>
      <c r="OYG11" s="87"/>
      <c r="OYH11" s="87"/>
      <c r="OYI11" s="87"/>
      <c r="OYJ11" s="87"/>
      <c r="OYK11" s="87"/>
      <c r="OYL11" s="87"/>
      <c r="OYM11" s="87"/>
      <c r="OYN11" s="87"/>
      <c r="OYO11" s="87"/>
      <c r="OYP11" s="87"/>
      <c r="OYQ11" s="87"/>
      <c r="OYR11" s="87"/>
      <c r="OYS11" s="87"/>
      <c r="OYT11" s="87"/>
      <c r="OYU11" s="87"/>
      <c r="OYV11" s="87"/>
      <c r="OYW11" s="87"/>
      <c r="OYX11" s="87"/>
      <c r="OYY11" s="87"/>
      <c r="OYZ11" s="87"/>
      <c r="OZA11" s="87"/>
      <c r="OZB11" s="87"/>
      <c r="OZC11" s="87"/>
      <c r="OZD11" s="87"/>
      <c r="OZE11" s="87"/>
      <c r="OZF11" s="87"/>
      <c r="OZG11" s="87"/>
      <c r="OZH11" s="87"/>
      <c r="OZI11" s="87"/>
      <c r="OZJ11" s="87"/>
      <c r="OZK11" s="87"/>
      <c r="OZL11" s="87"/>
      <c r="OZM11" s="87"/>
      <c r="OZN11" s="87"/>
      <c r="OZO11" s="87"/>
      <c r="OZP11" s="87"/>
      <c r="OZQ11" s="87"/>
      <c r="OZR11" s="87"/>
      <c r="OZS11" s="87"/>
      <c r="OZT11" s="87"/>
      <c r="OZU11" s="87"/>
      <c r="OZV11" s="87"/>
      <c r="OZW11" s="87"/>
      <c r="OZX11" s="87"/>
      <c r="OZY11" s="87"/>
      <c r="OZZ11" s="87"/>
      <c r="PAA11" s="87"/>
      <c r="PAB11" s="87"/>
      <c r="PAC11" s="87"/>
      <c r="PAD11" s="87"/>
      <c r="PAE11" s="87"/>
      <c r="PAF11" s="87"/>
      <c r="PAG11" s="87"/>
      <c r="PAH11" s="87"/>
      <c r="PAI11" s="87"/>
      <c r="PAJ11" s="87"/>
      <c r="PAK11" s="87"/>
      <c r="PAL11" s="87"/>
      <c r="PAM11" s="87"/>
      <c r="PAN11" s="87"/>
      <c r="PAO11" s="87"/>
      <c r="PAP11" s="87"/>
      <c r="PAQ11" s="87"/>
      <c r="PAR11" s="87"/>
      <c r="PAS11" s="87"/>
      <c r="PAT11" s="87"/>
      <c r="PAU11" s="87"/>
      <c r="PAV11" s="87"/>
      <c r="PAW11" s="87"/>
      <c r="PAX11" s="87"/>
      <c r="PAY11" s="87"/>
      <c r="PAZ11" s="87"/>
      <c r="PBA11" s="87"/>
      <c r="PBB11" s="87"/>
      <c r="PBC11" s="87"/>
      <c r="PBD11" s="87"/>
      <c r="PBE11" s="87"/>
      <c r="PBF11" s="87"/>
      <c r="PBG11" s="87"/>
      <c r="PBH11" s="87"/>
      <c r="PBI11" s="87"/>
      <c r="PBJ11" s="87"/>
      <c r="PBK11" s="87"/>
      <c r="PBL11" s="87"/>
      <c r="PBM11" s="87"/>
      <c r="PBN11" s="87"/>
      <c r="PBO11" s="87"/>
      <c r="PBP11" s="87"/>
      <c r="PBQ11" s="87"/>
      <c r="PBR11" s="87"/>
      <c r="PBS11" s="87"/>
      <c r="PBT11" s="87"/>
      <c r="PBU11" s="87"/>
      <c r="PBV11" s="87"/>
      <c r="PBW11" s="87"/>
      <c r="PBX11" s="87"/>
      <c r="PBY11" s="87"/>
      <c r="PBZ11" s="87"/>
      <c r="PCA11" s="87"/>
      <c r="PCB11" s="87"/>
      <c r="PCC11" s="87"/>
      <c r="PCD11" s="87"/>
      <c r="PCE11" s="87"/>
      <c r="PCF11" s="87"/>
      <c r="PCG11" s="87"/>
      <c r="PCH11" s="87"/>
      <c r="PCI11" s="87"/>
      <c r="PCJ11" s="87"/>
      <c r="PCK11" s="87"/>
      <c r="PCL11" s="87"/>
      <c r="PCM11" s="87"/>
      <c r="PCN11" s="87"/>
      <c r="PCO11" s="87"/>
      <c r="PCP11" s="87"/>
      <c r="PCQ11" s="87"/>
      <c r="PCR11" s="87"/>
      <c r="PCS11" s="87"/>
      <c r="PCT11" s="87"/>
      <c r="PCU11" s="87"/>
      <c r="PCV11" s="87"/>
      <c r="PCW11" s="87"/>
      <c r="PCX11" s="87"/>
      <c r="PCY11" s="87"/>
      <c r="PCZ11" s="87"/>
      <c r="PDA11" s="87"/>
      <c r="PDB11" s="87"/>
      <c r="PDC11" s="87"/>
      <c r="PDD11" s="87"/>
      <c r="PDE11" s="87"/>
      <c r="PDF11" s="87"/>
      <c r="PDG11" s="87"/>
      <c r="PDH11" s="87"/>
      <c r="PDI11" s="87"/>
      <c r="PDJ11" s="87"/>
      <c r="PDK11" s="87"/>
      <c r="PDL11" s="87"/>
      <c r="PDM11" s="87"/>
      <c r="PDN11" s="87"/>
      <c r="PDO11" s="87"/>
      <c r="PDP11" s="87"/>
      <c r="PDQ11" s="87"/>
      <c r="PDR11" s="87"/>
      <c r="PDS11" s="87"/>
      <c r="PDT11" s="87"/>
      <c r="PDU11" s="87"/>
      <c r="PDV11" s="87"/>
      <c r="PDW11" s="87"/>
      <c r="PDX11" s="87"/>
      <c r="PDY11" s="87"/>
      <c r="PDZ11" s="87"/>
      <c r="PEA11" s="87"/>
      <c r="PEB11" s="87"/>
      <c r="PEC11" s="87"/>
      <c r="PED11" s="87"/>
      <c r="PEE11" s="87"/>
      <c r="PEF11" s="87"/>
      <c r="PEG11" s="87"/>
      <c r="PEH11" s="87"/>
      <c r="PEI11" s="87"/>
      <c r="PEJ11" s="87"/>
      <c r="PEK11" s="87"/>
      <c r="PEL11" s="87"/>
      <c r="PEM11" s="87"/>
      <c r="PEN11" s="87"/>
      <c r="PEO11" s="87"/>
      <c r="PEP11" s="87"/>
      <c r="PEQ11" s="87"/>
      <c r="PER11" s="87"/>
      <c r="PES11" s="87"/>
      <c r="PET11" s="87"/>
      <c r="PEU11" s="87"/>
      <c r="PEV11" s="87"/>
      <c r="PEW11" s="87"/>
      <c r="PEX11" s="87"/>
      <c r="PEY11" s="87"/>
      <c r="PEZ11" s="87"/>
      <c r="PFA11" s="87"/>
      <c r="PFB11" s="87"/>
      <c r="PFC11" s="87"/>
      <c r="PFD11" s="87"/>
      <c r="PFE11" s="87"/>
      <c r="PFF11" s="87"/>
      <c r="PFG11" s="87"/>
      <c r="PFH11" s="87"/>
      <c r="PFI11" s="87"/>
      <c r="PFJ11" s="87"/>
      <c r="PFK11" s="87"/>
      <c r="PFL11" s="87"/>
      <c r="PFM11" s="87"/>
      <c r="PFN11" s="87"/>
      <c r="PFO11" s="87"/>
      <c r="PFP11" s="87"/>
      <c r="PFQ11" s="87"/>
      <c r="PFR11" s="87"/>
      <c r="PFS11" s="87"/>
      <c r="PFT11" s="87"/>
      <c r="PFU11" s="87"/>
      <c r="PFV11" s="87"/>
      <c r="PFW11" s="87"/>
      <c r="PFX11" s="87"/>
      <c r="PFY11" s="87"/>
      <c r="PFZ11" s="87"/>
      <c r="PGA11" s="87"/>
      <c r="PGB11" s="87"/>
      <c r="PGC11" s="87"/>
      <c r="PGD11" s="87"/>
      <c r="PGE11" s="87"/>
      <c r="PGF11" s="87"/>
      <c r="PGG11" s="87"/>
      <c r="PGH11" s="87"/>
      <c r="PGI11" s="87"/>
      <c r="PGJ11" s="87"/>
      <c r="PGK11" s="87"/>
      <c r="PGL11" s="87"/>
      <c r="PGM11" s="87"/>
      <c r="PGN11" s="87"/>
      <c r="PGO11" s="87"/>
      <c r="PGP11" s="87"/>
      <c r="PGQ11" s="87"/>
      <c r="PGR11" s="87"/>
      <c r="PGS11" s="87"/>
      <c r="PGT11" s="87"/>
      <c r="PGU11" s="87"/>
      <c r="PGV11" s="87"/>
      <c r="PGW11" s="87"/>
      <c r="PGX11" s="87"/>
      <c r="PGY11" s="87"/>
      <c r="PGZ11" s="87"/>
      <c r="PHA11" s="87"/>
      <c r="PHB11" s="87"/>
      <c r="PHC11" s="87"/>
      <c r="PHD11" s="87"/>
      <c r="PHE11" s="87"/>
      <c r="PHF11" s="87"/>
      <c r="PHG11" s="87"/>
      <c r="PHH11" s="87"/>
      <c r="PHI11" s="87"/>
      <c r="PHJ11" s="87"/>
      <c r="PHK11" s="87"/>
      <c r="PHL11" s="87"/>
      <c r="PHM11" s="87"/>
      <c r="PHN11" s="87"/>
      <c r="PHO11" s="87"/>
      <c r="PHP11" s="87"/>
      <c r="PHQ11" s="87"/>
      <c r="PHR11" s="87"/>
      <c r="PHS11" s="87"/>
      <c r="PHT11" s="87"/>
      <c r="PHU11" s="87"/>
      <c r="PHV11" s="87"/>
      <c r="PHW11" s="87"/>
      <c r="PHX11" s="87"/>
      <c r="PHY11" s="87"/>
      <c r="PHZ11" s="87"/>
      <c r="PIA11" s="87"/>
      <c r="PIB11" s="87"/>
      <c r="PIC11" s="87"/>
      <c r="PID11" s="87"/>
      <c r="PIE11" s="87"/>
      <c r="PIF11" s="87"/>
      <c r="PIG11" s="87"/>
      <c r="PIH11" s="87"/>
      <c r="PII11" s="87"/>
      <c r="PIJ11" s="87"/>
      <c r="PIK11" s="87"/>
      <c r="PIL11" s="87"/>
      <c r="PIM11" s="87"/>
      <c r="PIN11" s="87"/>
      <c r="PIO11" s="87"/>
      <c r="PIP11" s="87"/>
      <c r="PIQ11" s="87"/>
      <c r="PIR11" s="87"/>
      <c r="PIS11" s="87"/>
      <c r="PIT11" s="87"/>
      <c r="PIU11" s="87"/>
      <c r="PIV11" s="87"/>
      <c r="PIW11" s="87"/>
      <c r="PIX11" s="87"/>
      <c r="PIY11" s="87"/>
      <c r="PIZ11" s="87"/>
      <c r="PJA11" s="87"/>
      <c r="PJB11" s="87"/>
      <c r="PJC11" s="87"/>
      <c r="PJD11" s="87"/>
      <c r="PJE11" s="87"/>
      <c r="PJF11" s="87"/>
      <c r="PJG11" s="87"/>
      <c r="PJH11" s="87"/>
      <c r="PJI11" s="87"/>
      <c r="PJJ11" s="87"/>
      <c r="PJK11" s="87"/>
      <c r="PJL11" s="87"/>
      <c r="PJM11" s="87"/>
      <c r="PJN11" s="87"/>
      <c r="PJO11" s="87"/>
      <c r="PJP11" s="87"/>
      <c r="PJQ11" s="87"/>
      <c r="PJR11" s="87"/>
      <c r="PJS11" s="87"/>
      <c r="PJT11" s="87"/>
      <c r="PJU11" s="87"/>
      <c r="PJV11" s="87"/>
      <c r="PJW11" s="87"/>
      <c r="PJX11" s="87"/>
      <c r="PJY11" s="87"/>
      <c r="PJZ11" s="87"/>
      <c r="PKA11" s="87"/>
      <c r="PKB11" s="87"/>
      <c r="PKC11" s="87"/>
      <c r="PKD11" s="87"/>
      <c r="PKE11" s="87"/>
      <c r="PKF11" s="87"/>
      <c r="PKG11" s="87"/>
      <c r="PKH11" s="87"/>
      <c r="PKI11" s="87"/>
      <c r="PKJ11" s="87"/>
      <c r="PKK11" s="87"/>
      <c r="PKL11" s="87"/>
      <c r="PKM11" s="87"/>
      <c r="PKN11" s="87"/>
      <c r="PKO11" s="87"/>
      <c r="PKP11" s="87"/>
      <c r="PKQ11" s="87"/>
      <c r="PKR11" s="87"/>
      <c r="PKS11" s="87"/>
      <c r="PKT11" s="87"/>
      <c r="PKU11" s="87"/>
      <c r="PKV11" s="87"/>
      <c r="PKW11" s="87"/>
      <c r="PKX11" s="87"/>
      <c r="PKY11" s="87"/>
      <c r="PKZ11" s="87"/>
      <c r="PLA11" s="87"/>
      <c r="PLB11" s="87"/>
      <c r="PLC11" s="87"/>
      <c r="PLD11" s="87"/>
      <c r="PLE11" s="87"/>
      <c r="PLF11" s="87"/>
      <c r="PLG11" s="87"/>
      <c r="PLH11" s="87"/>
      <c r="PLI11" s="87"/>
      <c r="PLJ11" s="87"/>
      <c r="PLK11" s="87"/>
      <c r="PLL11" s="87"/>
      <c r="PLM11" s="87"/>
      <c r="PLN11" s="87"/>
      <c r="PLO11" s="87"/>
      <c r="PLP11" s="87"/>
      <c r="PLQ11" s="87"/>
      <c r="PLR11" s="87"/>
      <c r="PLS11" s="87"/>
      <c r="PLT11" s="87"/>
      <c r="PLU11" s="87"/>
      <c r="PLV11" s="87"/>
      <c r="PLW11" s="87"/>
      <c r="PLX11" s="87"/>
      <c r="PLY11" s="87"/>
      <c r="PLZ11" s="87"/>
      <c r="PMA11" s="87"/>
      <c r="PMB11" s="87"/>
      <c r="PMC11" s="87"/>
      <c r="PMD11" s="87"/>
      <c r="PME11" s="87"/>
      <c r="PMF11" s="87"/>
      <c r="PMG11" s="87"/>
      <c r="PMH11" s="87"/>
      <c r="PMI11" s="87"/>
      <c r="PMJ11" s="87"/>
      <c r="PMK11" s="87"/>
      <c r="PML11" s="87"/>
      <c r="PMM11" s="87"/>
      <c r="PMN11" s="87"/>
      <c r="PMO11" s="87"/>
      <c r="PMP11" s="87"/>
      <c r="PMQ11" s="87"/>
      <c r="PMR11" s="87"/>
      <c r="PMS11" s="87"/>
      <c r="PMT11" s="87"/>
      <c r="PMU11" s="87"/>
      <c r="PMV11" s="87"/>
      <c r="PMW11" s="87"/>
      <c r="PMX11" s="87"/>
      <c r="PMY11" s="87"/>
      <c r="PMZ11" s="87"/>
      <c r="PNA11" s="87"/>
      <c r="PNB11" s="87"/>
      <c r="PNC11" s="87"/>
      <c r="PND11" s="87"/>
      <c r="PNE11" s="87"/>
      <c r="PNF11" s="87"/>
      <c r="PNG11" s="87"/>
      <c r="PNH11" s="87"/>
      <c r="PNI11" s="87"/>
      <c r="PNJ11" s="87"/>
      <c r="PNK11" s="87"/>
      <c r="PNL11" s="87"/>
      <c r="PNM11" s="87"/>
      <c r="PNN11" s="87"/>
      <c r="PNO11" s="87"/>
      <c r="PNP11" s="87"/>
      <c r="PNQ11" s="87"/>
      <c r="PNR11" s="87"/>
      <c r="PNS11" s="87"/>
      <c r="PNT11" s="87"/>
      <c r="PNU11" s="87"/>
      <c r="PNV11" s="87"/>
      <c r="PNW11" s="87"/>
      <c r="PNX11" s="87"/>
      <c r="PNY11" s="87"/>
      <c r="PNZ11" s="87"/>
      <c r="POA11" s="87"/>
      <c r="POB11" s="87"/>
      <c r="POC11" s="87"/>
      <c r="POD11" s="87"/>
      <c r="POE11" s="87"/>
      <c r="POF11" s="87"/>
      <c r="POG11" s="87"/>
      <c r="POH11" s="87"/>
      <c r="POI11" s="87"/>
      <c r="POJ11" s="87"/>
      <c r="POK11" s="87"/>
      <c r="POL11" s="87"/>
      <c r="POM11" s="87"/>
      <c r="PON11" s="87"/>
      <c r="POO11" s="87"/>
      <c r="POP11" s="87"/>
      <c r="POQ11" s="87"/>
      <c r="POR11" s="87"/>
      <c r="POS11" s="87"/>
      <c r="POT11" s="87"/>
      <c r="POU11" s="87"/>
      <c r="POV11" s="87"/>
      <c r="POW11" s="87"/>
      <c r="POX11" s="87"/>
      <c r="POY11" s="87"/>
      <c r="POZ11" s="87"/>
      <c r="PPA11" s="87"/>
      <c r="PPB11" s="87"/>
      <c r="PPC11" s="87"/>
      <c r="PPD11" s="87"/>
      <c r="PPE11" s="87"/>
      <c r="PPF11" s="87"/>
      <c r="PPG11" s="87"/>
      <c r="PPH11" s="87"/>
      <c r="PPI11" s="87"/>
      <c r="PPJ11" s="87"/>
      <c r="PPK11" s="87"/>
      <c r="PPL11" s="87"/>
      <c r="PPM11" s="87"/>
      <c r="PPN11" s="87"/>
      <c r="PPO11" s="87"/>
      <c r="PPP11" s="87"/>
      <c r="PPQ11" s="87"/>
      <c r="PPR11" s="87"/>
      <c r="PPS11" s="87"/>
      <c r="PPT11" s="87"/>
      <c r="PPU11" s="87"/>
      <c r="PPV11" s="87"/>
      <c r="PPW11" s="87"/>
      <c r="PPX11" s="87"/>
      <c r="PPY11" s="87"/>
      <c r="PPZ11" s="87"/>
      <c r="PQA11" s="87"/>
      <c r="PQB11" s="87"/>
      <c r="PQC11" s="87"/>
      <c r="PQD11" s="87"/>
      <c r="PQE11" s="87"/>
      <c r="PQF11" s="87"/>
      <c r="PQG11" s="87"/>
      <c r="PQH11" s="87"/>
      <c r="PQI11" s="87"/>
      <c r="PQJ11" s="87"/>
      <c r="PQK11" s="87"/>
      <c r="PQL11" s="87"/>
      <c r="PQM11" s="87"/>
      <c r="PQN11" s="87"/>
      <c r="PQO11" s="87"/>
      <c r="PQP11" s="87"/>
      <c r="PQQ11" s="87"/>
      <c r="PQR11" s="87"/>
      <c r="PQS11" s="87"/>
      <c r="PQT11" s="87"/>
      <c r="PQU11" s="87"/>
      <c r="PQV11" s="87"/>
      <c r="PQW11" s="87"/>
      <c r="PQX11" s="87"/>
      <c r="PQY11" s="87"/>
      <c r="PQZ11" s="87"/>
      <c r="PRA11" s="87"/>
      <c r="PRB11" s="87"/>
      <c r="PRC11" s="87"/>
      <c r="PRD11" s="87"/>
      <c r="PRE11" s="87"/>
      <c r="PRF11" s="87"/>
      <c r="PRG11" s="87"/>
      <c r="PRH11" s="87"/>
      <c r="PRI11" s="87"/>
      <c r="PRJ11" s="87"/>
      <c r="PRK11" s="87"/>
      <c r="PRL11" s="87"/>
      <c r="PRM11" s="87"/>
      <c r="PRN11" s="87"/>
      <c r="PRO11" s="87"/>
      <c r="PRP11" s="87"/>
      <c r="PRQ11" s="87"/>
      <c r="PRR11" s="87"/>
      <c r="PRS11" s="87"/>
      <c r="PRT11" s="87"/>
      <c r="PRU11" s="87"/>
      <c r="PRV11" s="87"/>
      <c r="PRW11" s="87"/>
      <c r="PRX11" s="87"/>
      <c r="PRY11" s="87"/>
      <c r="PRZ11" s="87"/>
      <c r="PSA11" s="87"/>
      <c r="PSB11" s="87"/>
      <c r="PSC11" s="87"/>
      <c r="PSD11" s="87"/>
      <c r="PSE11" s="87"/>
      <c r="PSF11" s="87"/>
      <c r="PSG11" s="87"/>
      <c r="PSH11" s="87"/>
      <c r="PSI11" s="87"/>
      <c r="PSJ11" s="87"/>
      <c r="PSK11" s="87"/>
      <c r="PSL11" s="87"/>
      <c r="PSM11" s="87"/>
      <c r="PSN11" s="87"/>
      <c r="PSO11" s="87"/>
      <c r="PSP11" s="87"/>
      <c r="PSQ11" s="87"/>
      <c r="PSR11" s="87"/>
      <c r="PSS11" s="87"/>
      <c r="PST11" s="87"/>
      <c r="PSU11" s="87"/>
      <c r="PSV11" s="87"/>
      <c r="PSW11" s="87"/>
      <c r="PSX11" s="87"/>
      <c r="PSY11" s="87"/>
      <c r="PSZ11" s="87"/>
      <c r="PTA11" s="87"/>
      <c r="PTB11" s="87"/>
      <c r="PTC11" s="87"/>
      <c r="PTD11" s="87"/>
      <c r="PTE11" s="87"/>
      <c r="PTF11" s="87"/>
      <c r="PTG11" s="87"/>
      <c r="PTH11" s="87"/>
      <c r="PTI11" s="87"/>
      <c r="PTJ11" s="87"/>
      <c r="PTK11" s="87"/>
      <c r="PTL11" s="87"/>
      <c r="PTM11" s="87"/>
      <c r="PTN11" s="87"/>
      <c r="PTO11" s="87"/>
      <c r="PTP11" s="87"/>
      <c r="PTQ11" s="87"/>
      <c r="PTR11" s="87"/>
      <c r="PTS11" s="87"/>
      <c r="PTT11" s="87"/>
      <c r="PTU11" s="87"/>
      <c r="PTV11" s="87"/>
      <c r="PTW11" s="87"/>
      <c r="PTX11" s="87"/>
      <c r="PTY11" s="87"/>
      <c r="PTZ11" s="87"/>
      <c r="PUA11" s="87"/>
      <c r="PUB11" s="87"/>
      <c r="PUC11" s="87"/>
      <c r="PUD11" s="87"/>
      <c r="PUE11" s="87"/>
      <c r="PUF11" s="87"/>
      <c r="PUG11" s="87"/>
      <c r="PUH11" s="87"/>
      <c r="PUI11" s="87"/>
      <c r="PUJ11" s="87"/>
      <c r="PUK11" s="87"/>
      <c r="PUL11" s="87"/>
      <c r="PUM11" s="87"/>
      <c r="PUN11" s="87"/>
      <c r="PUO11" s="87"/>
      <c r="PUP11" s="87"/>
      <c r="PUQ11" s="87"/>
      <c r="PUR11" s="87"/>
      <c r="PUS11" s="87"/>
      <c r="PUT11" s="87"/>
      <c r="PUU11" s="87"/>
      <c r="PUV11" s="87"/>
      <c r="PUW11" s="87"/>
      <c r="PUX11" s="87"/>
      <c r="PUY11" s="87"/>
      <c r="PUZ11" s="87"/>
      <c r="PVA11" s="87"/>
      <c r="PVB11" s="87"/>
      <c r="PVC11" s="87"/>
      <c r="PVD11" s="87"/>
      <c r="PVE11" s="87"/>
      <c r="PVF11" s="87"/>
      <c r="PVG11" s="87"/>
      <c r="PVH11" s="87"/>
      <c r="PVI11" s="87"/>
      <c r="PVJ11" s="87"/>
      <c r="PVK11" s="87"/>
      <c r="PVL11" s="87"/>
      <c r="PVM11" s="87"/>
      <c r="PVN11" s="87"/>
      <c r="PVO11" s="87"/>
      <c r="PVP11" s="87"/>
      <c r="PVQ11" s="87"/>
      <c r="PVR11" s="87"/>
      <c r="PVS11" s="87"/>
      <c r="PVT11" s="87"/>
      <c r="PVU11" s="87"/>
      <c r="PVV11" s="87"/>
      <c r="PVW11" s="87"/>
      <c r="PVX11" s="87"/>
      <c r="PVY11" s="87"/>
      <c r="PVZ11" s="87"/>
      <c r="PWA11" s="87"/>
      <c r="PWB11" s="87"/>
      <c r="PWC11" s="87"/>
      <c r="PWD11" s="87"/>
      <c r="PWE11" s="87"/>
      <c r="PWF11" s="87"/>
      <c r="PWG11" s="87"/>
      <c r="PWH11" s="87"/>
      <c r="PWI11" s="87"/>
      <c r="PWJ11" s="87"/>
      <c r="PWK11" s="87"/>
      <c r="PWL11" s="87"/>
      <c r="PWM11" s="87"/>
      <c r="PWN11" s="87"/>
      <c r="PWO11" s="87"/>
      <c r="PWP11" s="87"/>
      <c r="PWQ11" s="87"/>
      <c r="PWR11" s="87"/>
      <c r="PWS11" s="87"/>
      <c r="PWT11" s="87"/>
      <c r="PWU11" s="87"/>
      <c r="PWV11" s="87"/>
      <c r="PWW11" s="87"/>
      <c r="PWX11" s="87"/>
      <c r="PWY11" s="87"/>
      <c r="PWZ11" s="87"/>
      <c r="PXA11" s="87"/>
      <c r="PXB11" s="87"/>
      <c r="PXC11" s="87"/>
      <c r="PXD11" s="87"/>
      <c r="PXE11" s="87"/>
      <c r="PXF11" s="87"/>
      <c r="PXG11" s="87"/>
      <c r="PXH11" s="87"/>
      <c r="PXI11" s="87"/>
      <c r="PXJ11" s="87"/>
      <c r="PXK11" s="87"/>
      <c r="PXL11" s="87"/>
      <c r="PXM11" s="87"/>
      <c r="PXN11" s="87"/>
      <c r="PXO11" s="87"/>
      <c r="PXP11" s="87"/>
      <c r="PXQ11" s="87"/>
      <c r="PXR11" s="87"/>
      <c r="PXS11" s="87"/>
      <c r="PXT11" s="87"/>
      <c r="PXU11" s="87"/>
      <c r="PXV11" s="87"/>
      <c r="PXW11" s="87"/>
      <c r="PXX11" s="87"/>
      <c r="PXY11" s="87"/>
      <c r="PXZ11" s="87"/>
      <c r="PYA11" s="87"/>
      <c r="PYB11" s="87"/>
      <c r="PYC11" s="87"/>
      <c r="PYD11" s="87"/>
      <c r="PYE11" s="87"/>
      <c r="PYF11" s="87"/>
      <c r="PYG11" s="87"/>
      <c r="PYH11" s="87"/>
      <c r="PYI11" s="87"/>
      <c r="PYJ11" s="87"/>
      <c r="PYK11" s="87"/>
      <c r="PYL11" s="87"/>
      <c r="PYM11" s="87"/>
      <c r="PYN11" s="87"/>
      <c r="PYO11" s="87"/>
      <c r="PYP11" s="87"/>
      <c r="PYQ11" s="87"/>
      <c r="PYR11" s="87"/>
      <c r="PYS11" s="87"/>
      <c r="PYT11" s="87"/>
      <c r="PYU11" s="87"/>
      <c r="PYV11" s="87"/>
      <c r="PYW11" s="87"/>
      <c r="PYX11" s="87"/>
      <c r="PYY11" s="87"/>
      <c r="PYZ11" s="87"/>
      <c r="PZA11" s="87"/>
      <c r="PZB11" s="87"/>
      <c r="PZC11" s="87"/>
      <c r="PZD11" s="87"/>
      <c r="PZE11" s="87"/>
      <c r="PZF11" s="87"/>
      <c r="PZG11" s="87"/>
      <c r="PZH11" s="87"/>
      <c r="PZI11" s="87"/>
      <c r="PZJ11" s="87"/>
      <c r="PZK11" s="87"/>
      <c r="PZL11" s="87"/>
      <c r="PZM11" s="87"/>
      <c r="PZN11" s="87"/>
      <c r="PZO11" s="87"/>
      <c r="PZP11" s="87"/>
      <c r="PZQ11" s="87"/>
      <c r="PZR11" s="87"/>
      <c r="PZS11" s="87"/>
      <c r="PZT11" s="87"/>
      <c r="PZU11" s="87"/>
      <c r="PZV11" s="87"/>
      <c r="PZW11" s="87"/>
      <c r="PZX11" s="87"/>
      <c r="PZY11" s="87"/>
      <c r="PZZ11" s="87"/>
      <c r="QAA11" s="87"/>
      <c r="QAB11" s="87"/>
      <c r="QAC11" s="87"/>
      <c r="QAD11" s="87"/>
      <c r="QAE11" s="87"/>
      <c r="QAF11" s="87"/>
      <c r="QAG11" s="87"/>
      <c r="QAH11" s="87"/>
      <c r="QAI11" s="87"/>
      <c r="QAJ11" s="87"/>
      <c r="QAK11" s="87"/>
      <c r="QAL11" s="87"/>
      <c r="QAM11" s="87"/>
      <c r="QAN11" s="87"/>
      <c r="QAO11" s="87"/>
      <c r="QAP11" s="87"/>
      <c r="QAQ11" s="87"/>
      <c r="QAR11" s="87"/>
      <c r="QAS11" s="87"/>
      <c r="QAT11" s="87"/>
      <c r="QAU11" s="87"/>
      <c r="QAV11" s="87"/>
      <c r="QAW11" s="87"/>
      <c r="QAX11" s="87"/>
      <c r="QAY11" s="87"/>
      <c r="QAZ11" s="87"/>
      <c r="QBA11" s="87"/>
      <c r="QBB11" s="87"/>
      <c r="QBC11" s="87"/>
      <c r="QBD11" s="87"/>
      <c r="QBE11" s="87"/>
      <c r="QBF11" s="87"/>
      <c r="QBG11" s="87"/>
      <c r="QBH11" s="87"/>
      <c r="QBI11" s="87"/>
      <c r="QBJ11" s="87"/>
      <c r="QBK11" s="87"/>
      <c r="QBL11" s="87"/>
      <c r="QBM11" s="87"/>
      <c r="QBN11" s="87"/>
      <c r="QBO11" s="87"/>
      <c r="QBP11" s="87"/>
      <c r="QBQ11" s="87"/>
      <c r="QBR11" s="87"/>
      <c r="QBS11" s="87"/>
      <c r="QBT11" s="87"/>
      <c r="QBU11" s="87"/>
      <c r="QBV11" s="87"/>
      <c r="QBW11" s="87"/>
      <c r="QBX11" s="87"/>
      <c r="QBY11" s="87"/>
      <c r="QBZ11" s="87"/>
      <c r="QCA11" s="87"/>
      <c r="QCB11" s="87"/>
      <c r="QCC11" s="87"/>
      <c r="QCD11" s="87"/>
      <c r="QCE11" s="87"/>
      <c r="QCF11" s="87"/>
      <c r="QCG11" s="87"/>
      <c r="QCH11" s="87"/>
      <c r="QCI11" s="87"/>
      <c r="QCJ11" s="87"/>
      <c r="QCK11" s="87"/>
      <c r="QCL11" s="87"/>
      <c r="QCM11" s="87"/>
      <c r="QCN11" s="87"/>
      <c r="QCO11" s="87"/>
      <c r="QCP11" s="87"/>
      <c r="QCQ11" s="87"/>
      <c r="QCR11" s="87"/>
      <c r="QCS11" s="87"/>
      <c r="QCT11" s="87"/>
      <c r="QCU11" s="87"/>
      <c r="QCV11" s="87"/>
      <c r="QCW11" s="87"/>
      <c r="QCX11" s="87"/>
      <c r="QCY11" s="87"/>
      <c r="QCZ11" s="87"/>
      <c r="QDA11" s="87"/>
      <c r="QDB11" s="87"/>
      <c r="QDC11" s="87"/>
      <c r="QDD11" s="87"/>
      <c r="QDE11" s="87"/>
      <c r="QDF11" s="87"/>
      <c r="QDG11" s="87"/>
      <c r="QDH11" s="87"/>
      <c r="QDI11" s="87"/>
      <c r="QDJ11" s="87"/>
      <c r="QDK11" s="87"/>
      <c r="QDL11" s="87"/>
      <c r="QDM11" s="87"/>
      <c r="QDN11" s="87"/>
      <c r="QDO11" s="87"/>
      <c r="QDP11" s="87"/>
      <c r="QDQ11" s="87"/>
      <c r="QDR11" s="87"/>
      <c r="QDS11" s="87"/>
      <c r="QDT11" s="87"/>
      <c r="QDU11" s="87"/>
      <c r="QDV11" s="87"/>
      <c r="QDW11" s="87"/>
      <c r="QDX11" s="87"/>
      <c r="QDY11" s="87"/>
      <c r="QDZ11" s="87"/>
      <c r="QEA11" s="87"/>
      <c r="QEB11" s="87"/>
      <c r="QEC11" s="87"/>
      <c r="QED11" s="87"/>
      <c r="QEE11" s="87"/>
      <c r="QEF11" s="87"/>
      <c r="QEG11" s="87"/>
      <c r="QEH11" s="87"/>
      <c r="QEI11" s="87"/>
      <c r="QEJ11" s="87"/>
      <c r="QEK11" s="87"/>
      <c r="QEL11" s="87"/>
      <c r="QEM11" s="87"/>
      <c r="QEN11" s="87"/>
      <c r="QEO11" s="87"/>
      <c r="QEP11" s="87"/>
      <c r="QEQ11" s="87"/>
      <c r="QER11" s="87"/>
      <c r="QES11" s="87"/>
      <c r="QET11" s="87"/>
      <c r="QEU11" s="87"/>
      <c r="QEV11" s="87"/>
      <c r="QEW11" s="87"/>
      <c r="QEX11" s="87"/>
      <c r="QEY11" s="87"/>
      <c r="QEZ11" s="87"/>
      <c r="QFA11" s="87"/>
      <c r="QFB11" s="87"/>
      <c r="QFC11" s="87"/>
      <c r="QFD11" s="87"/>
      <c r="QFE11" s="87"/>
      <c r="QFF11" s="87"/>
      <c r="QFG11" s="87"/>
      <c r="QFH11" s="87"/>
      <c r="QFI11" s="87"/>
      <c r="QFJ11" s="87"/>
      <c r="QFK11" s="87"/>
      <c r="QFL11" s="87"/>
      <c r="QFM11" s="87"/>
      <c r="QFN11" s="87"/>
      <c r="QFO11" s="87"/>
      <c r="QFP11" s="87"/>
      <c r="QFQ11" s="87"/>
      <c r="QFR11" s="87"/>
      <c r="QFS11" s="87"/>
      <c r="QFT11" s="87"/>
      <c r="QFU11" s="87"/>
      <c r="QFV11" s="87"/>
      <c r="QFW11" s="87"/>
      <c r="QFX11" s="87"/>
      <c r="QFY11" s="87"/>
      <c r="QFZ11" s="87"/>
      <c r="QGA11" s="87"/>
      <c r="QGB11" s="87"/>
      <c r="QGC11" s="87"/>
      <c r="QGD11" s="87"/>
      <c r="QGE11" s="87"/>
      <c r="QGF11" s="87"/>
      <c r="QGG11" s="87"/>
      <c r="QGH11" s="87"/>
      <c r="QGI11" s="87"/>
      <c r="QGJ11" s="87"/>
      <c r="QGK11" s="87"/>
      <c r="QGL11" s="87"/>
      <c r="QGM11" s="87"/>
      <c r="QGN11" s="87"/>
      <c r="QGO11" s="87"/>
      <c r="QGP11" s="87"/>
      <c r="QGQ11" s="87"/>
      <c r="QGR11" s="87"/>
      <c r="QGS11" s="87"/>
      <c r="QGT11" s="87"/>
      <c r="QGU11" s="87"/>
      <c r="QGV11" s="87"/>
      <c r="QGW11" s="87"/>
      <c r="QGX11" s="87"/>
      <c r="QGY11" s="87"/>
      <c r="QGZ11" s="87"/>
      <c r="QHA11" s="87"/>
      <c r="QHB11" s="87"/>
      <c r="QHC11" s="87"/>
      <c r="QHD11" s="87"/>
      <c r="QHE11" s="87"/>
      <c r="QHF11" s="87"/>
      <c r="QHG11" s="87"/>
      <c r="QHH11" s="87"/>
      <c r="QHI11" s="87"/>
      <c r="QHJ11" s="87"/>
      <c r="QHK11" s="87"/>
      <c r="QHL11" s="87"/>
      <c r="QHM11" s="87"/>
      <c r="QHN11" s="87"/>
      <c r="QHO11" s="87"/>
      <c r="QHP11" s="87"/>
      <c r="QHQ11" s="87"/>
      <c r="QHR11" s="87"/>
      <c r="QHS11" s="87"/>
      <c r="QHT11" s="87"/>
      <c r="QHU11" s="87"/>
      <c r="QHV11" s="87"/>
      <c r="QHW11" s="87"/>
      <c r="QHX11" s="87"/>
      <c r="QHY11" s="87"/>
      <c r="QHZ11" s="87"/>
      <c r="QIA11" s="87"/>
      <c r="QIB11" s="87"/>
      <c r="QIC11" s="87"/>
      <c r="QID11" s="87"/>
      <c r="QIE11" s="87"/>
      <c r="QIF11" s="87"/>
      <c r="QIG11" s="87"/>
      <c r="QIH11" s="87"/>
      <c r="QII11" s="87"/>
      <c r="QIJ11" s="87"/>
      <c r="QIK11" s="87"/>
      <c r="QIL11" s="87"/>
      <c r="QIM11" s="87"/>
      <c r="QIN11" s="87"/>
      <c r="QIO11" s="87"/>
      <c r="QIP11" s="87"/>
      <c r="QIQ11" s="87"/>
      <c r="QIR11" s="87"/>
      <c r="QIS11" s="87"/>
      <c r="QIT11" s="87"/>
      <c r="QIU11" s="87"/>
      <c r="QIV11" s="87"/>
      <c r="QIW11" s="87"/>
      <c r="QIX11" s="87"/>
      <c r="QIY11" s="87"/>
      <c r="QIZ11" s="87"/>
      <c r="QJA11" s="87"/>
      <c r="QJB11" s="87"/>
      <c r="QJC11" s="87"/>
      <c r="QJD11" s="87"/>
      <c r="QJE11" s="87"/>
      <c r="QJF11" s="87"/>
      <c r="QJG11" s="87"/>
      <c r="QJH11" s="87"/>
      <c r="QJI11" s="87"/>
      <c r="QJJ11" s="87"/>
      <c r="QJK11" s="87"/>
      <c r="QJL11" s="87"/>
      <c r="QJM11" s="87"/>
      <c r="QJN11" s="87"/>
      <c r="QJO11" s="87"/>
      <c r="QJP11" s="87"/>
      <c r="QJQ11" s="87"/>
      <c r="QJR11" s="87"/>
      <c r="QJS11" s="87"/>
      <c r="QJT11" s="87"/>
      <c r="QJU11" s="87"/>
      <c r="QJV11" s="87"/>
      <c r="QJW11" s="87"/>
      <c r="QJX11" s="87"/>
      <c r="QJY11" s="87"/>
      <c r="QJZ11" s="87"/>
      <c r="QKA11" s="87"/>
      <c r="QKB11" s="87"/>
      <c r="QKC11" s="87"/>
      <c r="QKD11" s="87"/>
      <c r="QKE11" s="87"/>
      <c r="QKF11" s="87"/>
      <c r="QKG11" s="87"/>
      <c r="QKH11" s="87"/>
      <c r="QKI11" s="87"/>
      <c r="QKJ11" s="87"/>
      <c r="QKK11" s="87"/>
      <c r="QKL11" s="87"/>
      <c r="QKM11" s="87"/>
      <c r="QKN11" s="87"/>
      <c r="QKO11" s="87"/>
      <c r="QKP11" s="87"/>
      <c r="QKQ11" s="87"/>
      <c r="QKR11" s="87"/>
      <c r="QKS11" s="87"/>
      <c r="QKT11" s="87"/>
      <c r="QKU11" s="87"/>
      <c r="QKV11" s="87"/>
      <c r="QKW11" s="87"/>
      <c r="QKX11" s="87"/>
      <c r="QKY11" s="87"/>
      <c r="QKZ11" s="87"/>
      <c r="QLA11" s="87"/>
      <c r="QLB11" s="87"/>
      <c r="QLC11" s="87"/>
      <c r="QLD11" s="87"/>
      <c r="QLE11" s="87"/>
      <c r="QLF11" s="87"/>
      <c r="QLG11" s="87"/>
      <c r="QLH11" s="87"/>
      <c r="QLI11" s="87"/>
      <c r="QLJ11" s="87"/>
      <c r="QLK11" s="87"/>
      <c r="QLL11" s="87"/>
      <c r="QLM11" s="87"/>
      <c r="QLN11" s="87"/>
      <c r="QLO11" s="87"/>
      <c r="QLP11" s="87"/>
      <c r="QLQ11" s="87"/>
      <c r="QLR11" s="87"/>
      <c r="QLS11" s="87"/>
      <c r="QLT11" s="87"/>
      <c r="QLU11" s="87"/>
      <c r="QLV11" s="87"/>
      <c r="QLW11" s="87"/>
      <c r="QLX11" s="87"/>
      <c r="QLY11" s="87"/>
      <c r="QLZ11" s="87"/>
      <c r="QMA11" s="87"/>
      <c r="QMB11" s="87"/>
      <c r="QMC11" s="87"/>
      <c r="QMD11" s="87"/>
      <c r="QME11" s="87"/>
      <c r="QMF11" s="87"/>
      <c r="QMG11" s="87"/>
      <c r="QMH11" s="87"/>
      <c r="QMI11" s="87"/>
      <c r="QMJ11" s="87"/>
      <c r="QMK11" s="87"/>
      <c r="QML11" s="87"/>
      <c r="QMM11" s="87"/>
      <c r="QMN11" s="87"/>
      <c r="QMO11" s="87"/>
      <c r="QMP11" s="87"/>
      <c r="QMQ11" s="87"/>
      <c r="QMR11" s="87"/>
      <c r="QMS11" s="87"/>
      <c r="QMT11" s="87"/>
      <c r="QMU11" s="87"/>
      <c r="QMV11" s="87"/>
      <c r="QMW11" s="87"/>
      <c r="QMX11" s="87"/>
      <c r="QMY11" s="87"/>
      <c r="QMZ11" s="87"/>
      <c r="QNA11" s="87"/>
      <c r="QNB11" s="87"/>
      <c r="QNC11" s="87"/>
      <c r="QND11" s="87"/>
      <c r="QNE11" s="87"/>
      <c r="QNF11" s="87"/>
      <c r="QNG11" s="87"/>
      <c r="QNH11" s="87"/>
      <c r="QNI11" s="87"/>
      <c r="QNJ11" s="87"/>
      <c r="QNK11" s="87"/>
      <c r="QNL11" s="87"/>
      <c r="QNM11" s="87"/>
      <c r="QNN11" s="87"/>
      <c r="QNO11" s="87"/>
      <c r="QNP11" s="87"/>
      <c r="QNQ11" s="87"/>
      <c r="QNR11" s="87"/>
      <c r="QNS11" s="87"/>
      <c r="QNT11" s="87"/>
      <c r="QNU11" s="87"/>
      <c r="QNV11" s="87"/>
      <c r="QNW11" s="87"/>
      <c r="QNX11" s="87"/>
      <c r="QNY11" s="87"/>
      <c r="QNZ11" s="87"/>
      <c r="QOA11" s="87"/>
      <c r="QOB11" s="87"/>
      <c r="QOC11" s="87"/>
      <c r="QOD11" s="87"/>
      <c r="QOE11" s="87"/>
      <c r="QOF11" s="87"/>
      <c r="QOG11" s="87"/>
      <c r="QOH11" s="87"/>
      <c r="QOI11" s="87"/>
      <c r="QOJ11" s="87"/>
      <c r="QOK11" s="87"/>
      <c r="QOL11" s="87"/>
      <c r="QOM11" s="87"/>
      <c r="QON11" s="87"/>
      <c r="QOO11" s="87"/>
      <c r="QOP11" s="87"/>
      <c r="QOQ11" s="87"/>
      <c r="QOR11" s="87"/>
      <c r="QOS11" s="87"/>
      <c r="QOT11" s="87"/>
      <c r="QOU11" s="87"/>
      <c r="QOV11" s="87"/>
      <c r="QOW11" s="87"/>
      <c r="QOX11" s="87"/>
      <c r="QOY11" s="87"/>
      <c r="QOZ11" s="87"/>
      <c r="QPA11" s="87"/>
      <c r="QPB11" s="87"/>
      <c r="QPC11" s="87"/>
      <c r="QPD11" s="87"/>
      <c r="QPE11" s="87"/>
      <c r="QPF11" s="87"/>
      <c r="QPG11" s="87"/>
      <c r="QPH11" s="87"/>
      <c r="QPI11" s="87"/>
      <c r="QPJ11" s="87"/>
      <c r="QPK11" s="87"/>
      <c r="QPL11" s="87"/>
      <c r="QPM11" s="87"/>
      <c r="QPN11" s="87"/>
      <c r="QPO11" s="87"/>
      <c r="QPP11" s="87"/>
      <c r="QPQ11" s="87"/>
      <c r="QPR11" s="87"/>
      <c r="QPS11" s="87"/>
      <c r="QPT11" s="87"/>
      <c r="QPU11" s="87"/>
      <c r="QPV11" s="87"/>
      <c r="QPW11" s="87"/>
      <c r="QPX11" s="87"/>
      <c r="QPY11" s="87"/>
      <c r="QPZ11" s="87"/>
      <c r="QQA11" s="87"/>
      <c r="QQB11" s="87"/>
      <c r="QQC11" s="87"/>
      <c r="QQD11" s="87"/>
      <c r="QQE11" s="87"/>
      <c r="QQF11" s="87"/>
      <c r="QQG11" s="87"/>
      <c r="QQH11" s="87"/>
      <c r="QQI11" s="87"/>
      <c r="QQJ11" s="87"/>
      <c r="QQK11" s="87"/>
      <c r="QQL11" s="87"/>
      <c r="QQM11" s="87"/>
      <c r="QQN11" s="87"/>
      <c r="QQO11" s="87"/>
      <c r="QQP11" s="87"/>
      <c r="QQQ11" s="87"/>
      <c r="QQR11" s="87"/>
      <c r="QQS11" s="87"/>
      <c r="QQT11" s="87"/>
      <c r="QQU11" s="87"/>
      <c r="QQV11" s="87"/>
      <c r="QQW11" s="87"/>
      <c r="QQX11" s="87"/>
      <c r="QQY11" s="87"/>
      <c r="QQZ11" s="87"/>
      <c r="QRA11" s="87"/>
      <c r="QRB11" s="87"/>
      <c r="QRC11" s="87"/>
      <c r="QRD11" s="87"/>
      <c r="QRE11" s="87"/>
      <c r="QRF11" s="87"/>
      <c r="QRG11" s="87"/>
      <c r="QRH11" s="87"/>
      <c r="QRI11" s="87"/>
      <c r="QRJ11" s="87"/>
      <c r="QRK11" s="87"/>
      <c r="QRL11" s="87"/>
      <c r="QRM11" s="87"/>
      <c r="QRN11" s="87"/>
      <c r="QRO11" s="87"/>
      <c r="QRP11" s="87"/>
      <c r="QRQ11" s="87"/>
      <c r="QRR11" s="87"/>
      <c r="QRS11" s="87"/>
      <c r="QRT11" s="87"/>
      <c r="QRU11" s="87"/>
      <c r="QRV11" s="87"/>
      <c r="QRW11" s="87"/>
      <c r="QRX11" s="87"/>
      <c r="QRY11" s="87"/>
      <c r="QRZ11" s="87"/>
      <c r="QSA11" s="87"/>
      <c r="QSB11" s="87"/>
      <c r="QSC11" s="87"/>
      <c r="QSD11" s="87"/>
      <c r="QSE11" s="87"/>
      <c r="QSF11" s="87"/>
      <c r="QSG11" s="87"/>
      <c r="QSH11" s="87"/>
      <c r="QSI11" s="87"/>
      <c r="QSJ11" s="87"/>
      <c r="QSK11" s="87"/>
      <c r="QSL11" s="87"/>
      <c r="QSM11" s="87"/>
      <c r="QSN11" s="87"/>
      <c r="QSO11" s="87"/>
      <c r="QSP11" s="87"/>
      <c r="QSQ11" s="87"/>
      <c r="QSR11" s="87"/>
      <c r="QSS11" s="87"/>
      <c r="QST11" s="87"/>
      <c r="QSU11" s="87"/>
      <c r="QSV11" s="87"/>
      <c r="QSW11" s="87"/>
      <c r="QSX11" s="87"/>
      <c r="QSY11" s="87"/>
      <c r="QSZ11" s="87"/>
      <c r="QTA11" s="87"/>
      <c r="QTB11" s="87"/>
      <c r="QTC11" s="87"/>
      <c r="QTD11" s="87"/>
      <c r="QTE11" s="87"/>
      <c r="QTF11" s="87"/>
      <c r="QTG11" s="87"/>
      <c r="QTH11" s="87"/>
      <c r="QTI11" s="87"/>
      <c r="QTJ11" s="87"/>
      <c r="QTK11" s="87"/>
      <c r="QTL11" s="87"/>
      <c r="QTM11" s="87"/>
      <c r="QTN11" s="87"/>
      <c r="QTO11" s="87"/>
      <c r="QTP11" s="87"/>
      <c r="QTQ11" s="87"/>
      <c r="QTR11" s="87"/>
      <c r="QTS11" s="87"/>
      <c r="QTT11" s="87"/>
      <c r="QTU11" s="87"/>
      <c r="QTV11" s="87"/>
      <c r="QTW11" s="87"/>
      <c r="QTX11" s="87"/>
      <c r="QTY11" s="87"/>
      <c r="QTZ11" s="87"/>
      <c r="QUA11" s="87"/>
      <c r="QUB11" s="87"/>
      <c r="QUC11" s="87"/>
      <c r="QUD11" s="87"/>
      <c r="QUE11" s="87"/>
      <c r="QUF11" s="87"/>
      <c r="QUG11" s="87"/>
      <c r="QUH11" s="87"/>
      <c r="QUI11" s="87"/>
      <c r="QUJ11" s="87"/>
      <c r="QUK11" s="87"/>
      <c r="QUL11" s="87"/>
      <c r="QUM11" s="87"/>
      <c r="QUN11" s="87"/>
      <c r="QUO11" s="87"/>
      <c r="QUP11" s="87"/>
      <c r="QUQ11" s="87"/>
      <c r="QUR11" s="87"/>
      <c r="QUS11" s="87"/>
      <c r="QUT11" s="87"/>
      <c r="QUU11" s="87"/>
      <c r="QUV11" s="87"/>
      <c r="QUW11" s="87"/>
      <c r="QUX11" s="87"/>
      <c r="QUY11" s="87"/>
      <c r="QUZ11" s="87"/>
      <c r="QVA11" s="87"/>
      <c r="QVB11" s="87"/>
      <c r="QVC11" s="87"/>
      <c r="QVD11" s="87"/>
      <c r="QVE11" s="87"/>
      <c r="QVF11" s="87"/>
      <c r="QVG11" s="87"/>
      <c r="QVH11" s="87"/>
      <c r="QVI11" s="87"/>
      <c r="QVJ11" s="87"/>
      <c r="QVK11" s="87"/>
      <c r="QVL11" s="87"/>
      <c r="QVM11" s="87"/>
      <c r="QVN11" s="87"/>
      <c r="QVO11" s="87"/>
      <c r="QVP11" s="87"/>
      <c r="QVQ11" s="87"/>
      <c r="QVR11" s="87"/>
      <c r="QVS11" s="87"/>
      <c r="QVT11" s="87"/>
      <c r="QVU11" s="87"/>
      <c r="QVV11" s="87"/>
      <c r="QVW11" s="87"/>
      <c r="QVX11" s="87"/>
      <c r="QVY11" s="87"/>
      <c r="QVZ11" s="87"/>
      <c r="QWA11" s="87"/>
      <c r="QWB11" s="87"/>
      <c r="QWC11" s="87"/>
      <c r="QWD11" s="87"/>
      <c r="QWE11" s="87"/>
      <c r="QWF11" s="87"/>
      <c r="QWG11" s="87"/>
      <c r="QWH11" s="87"/>
      <c r="QWI11" s="87"/>
      <c r="QWJ11" s="87"/>
      <c r="QWK11" s="87"/>
      <c r="QWL11" s="87"/>
      <c r="QWM11" s="87"/>
      <c r="QWN11" s="87"/>
      <c r="QWO11" s="87"/>
      <c r="QWP11" s="87"/>
      <c r="QWQ11" s="87"/>
      <c r="QWR11" s="87"/>
      <c r="QWS11" s="87"/>
      <c r="QWT11" s="87"/>
      <c r="QWU11" s="87"/>
      <c r="QWV11" s="87"/>
      <c r="QWW11" s="87"/>
      <c r="QWX11" s="87"/>
      <c r="QWY11" s="87"/>
      <c r="QWZ11" s="87"/>
      <c r="QXA11" s="87"/>
      <c r="QXB11" s="87"/>
      <c r="QXC11" s="87"/>
      <c r="QXD11" s="87"/>
      <c r="QXE11" s="87"/>
      <c r="QXF11" s="87"/>
      <c r="QXG11" s="87"/>
      <c r="QXH11" s="87"/>
      <c r="QXI11" s="87"/>
      <c r="QXJ11" s="87"/>
      <c r="QXK11" s="87"/>
      <c r="QXL11" s="87"/>
      <c r="QXM11" s="87"/>
      <c r="QXN11" s="87"/>
      <c r="QXO11" s="87"/>
      <c r="QXP11" s="87"/>
      <c r="QXQ11" s="87"/>
      <c r="QXR11" s="87"/>
      <c r="QXS11" s="87"/>
      <c r="QXT11" s="87"/>
      <c r="QXU11" s="87"/>
      <c r="QXV11" s="87"/>
      <c r="QXW11" s="87"/>
      <c r="QXX11" s="87"/>
      <c r="QXY11" s="87"/>
      <c r="QXZ11" s="87"/>
      <c r="QYA11" s="87"/>
      <c r="QYB11" s="87"/>
      <c r="QYC11" s="87"/>
      <c r="QYD11" s="87"/>
      <c r="QYE11" s="87"/>
      <c r="QYF11" s="87"/>
      <c r="QYG11" s="87"/>
      <c r="QYH11" s="87"/>
      <c r="QYI11" s="87"/>
      <c r="QYJ11" s="87"/>
      <c r="QYK11" s="87"/>
      <c r="QYL11" s="87"/>
      <c r="QYM11" s="87"/>
      <c r="QYN11" s="87"/>
      <c r="QYO11" s="87"/>
      <c r="QYP11" s="87"/>
      <c r="QYQ11" s="87"/>
      <c r="QYR11" s="87"/>
      <c r="QYS11" s="87"/>
      <c r="QYT11" s="87"/>
      <c r="QYU11" s="87"/>
      <c r="QYV11" s="87"/>
      <c r="QYW11" s="87"/>
      <c r="QYX11" s="87"/>
      <c r="QYY11" s="87"/>
      <c r="QYZ11" s="87"/>
      <c r="QZA11" s="87"/>
      <c r="QZB11" s="87"/>
      <c r="QZC11" s="87"/>
      <c r="QZD11" s="87"/>
      <c r="QZE11" s="87"/>
      <c r="QZF11" s="87"/>
      <c r="QZG11" s="87"/>
      <c r="QZH11" s="87"/>
      <c r="QZI11" s="87"/>
      <c r="QZJ11" s="87"/>
      <c r="QZK11" s="87"/>
      <c r="QZL11" s="87"/>
      <c r="QZM11" s="87"/>
      <c r="QZN11" s="87"/>
      <c r="QZO11" s="87"/>
      <c r="QZP11" s="87"/>
      <c r="QZQ11" s="87"/>
      <c r="QZR11" s="87"/>
      <c r="QZS11" s="87"/>
      <c r="QZT11" s="87"/>
      <c r="QZU11" s="87"/>
      <c r="QZV11" s="87"/>
      <c r="QZW11" s="87"/>
      <c r="QZX11" s="87"/>
      <c r="QZY11" s="87"/>
      <c r="QZZ11" s="87"/>
      <c r="RAA11" s="87"/>
      <c r="RAB11" s="87"/>
      <c r="RAC11" s="87"/>
      <c r="RAD11" s="87"/>
      <c r="RAE11" s="87"/>
      <c r="RAF11" s="87"/>
      <c r="RAG11" s="87"/>
      <c r="RAH11" s="87"/>
      <c r="RAI11" s="87"/>
      <c r="RAJ11" s="87"/>
      <c r="RAK11" s="87"/>
      <c r="RAL11" s="87"/>
      <c r="RAM11" s="87"/>
      <c r="RAN11" s="87"/>
      <c r="RAO11" s="87"/>
      <c r="RAP11" s="87"/>
      <c r="RAQ11" s="87"/>
      <c r="RAR11" s="87"/>
      <c r="RAS11" s="87"/>
      <c r="RAT11" s="87"/>
      <c r="RAU11" s="87"/>
      <c r="RAV11" s="87"/>
      <c r="RAW11" s="87"/>
      <c r="RAX11" s="87"/>
      <c r="RAY11" s="87"/>
      <c r="RAZ11" s="87"/>
      <c r="RBA11" s="87"/>
      <c r="RBB11" s="87"/>
      <c r="RBC11" s="87"/>
      <c r="RBD11" s="87"/>
      <c r="RBE11" s="87"/>
      <c r="RBF11" s="87"/>
      <c r="RBG11" s="87"/>
      <c r="RBH11" s="87"/>
      <c r="RBI11" s="87"/>
      <c r="RBJ11" s="87"/>
      <c r="RBK11" s="87"/>
      <c r="RBL11" s="87"/>
      <c r="RBM11" s="87"/>
      <c r="RBN11" s="87"/>
      <c r="RBO11" s="87"/>
      <c r="RBP11" s="87"/>
      <c r="RBQ11" s="87"/>
      <c r="RBR11" s="87"/>
      <c r="RBS11" s="87"/>
      <c r="RBT11" s="87"/>
      <c r="RBU11" s="87"/>
      <c r="RBV11" s="87"/>
      <c r="RBW11" s="87"/>
      <c r="RBX11" s="87"/>
      <c r="RBY11" s="87"/>
      <c r="RBZ11" s="87"/>
      <c r="RCA11" s="87"/>
      <c r="RCB11" s="87"/>
      <c r="RCC11" s="87"/>
      <c r="RCD11" s="87"/>
      <c r="RCE11" s="87"/>
      <c r="RCF11" s="87"/>
      <c r="RCG11" s="87"/>
      <c r="RCH11" s="87"/>
      <c r="RCI11" s="87"/>
      <c r="RCJ11" s="87"/>
      <c r="RCK11" s="87"/>
      <c r="RCL11" s="87"/>
      <c r="RCM11" s="87"/>
      <c r="RCN11" s="87"/>
      <c r="RCO11" s="87"/>
      <c r="RCP11" s="87"/>
      <c r="RCQ11" s="87"/>
      <c r="RCR11" s="87"/>
      <c r="RCS11" s="87"/>
      <c r="RCT11" s="87"/>
      <c r="RCU11" s="87"/>
      <c r="RCV11" s="87"/>
      <c r="RCW11" s="87"/>
      <c r="RCX11" s="87"/>
      <c r="RCY11" s="87"/>
      <c r="RCZ11" s="87"/>
      <c r="RDA11" s="87"/>
      <c r="RDB11" s="87"/>
      <c r="RDC11" s="87"/>
      <c r="RDD11" s="87"/>
      <c r="RDE11" s="87"/>
      <c r="RDF11" s="87"/>
      <c r="RDG11" s="87"/>
      <c r="RDH11" s="87"/>
      <c r="RDI11" s="87"/>
      <c r="RDJ11" s="87"/>
      <c r="RDK11" s="87"/>
      <c r="RDL11" s="87"/>
      <c r="RDM11" s="87"/>
      <c r="RDN11" s="87"/>
      <c r="RDO11" s="87"/>
      <c r="RDP11" s="87"/>
      <c r="RDQ11" s="87"/>
      <c r="RDR11" s="87"/>
      <c r="RDS11" s="87"/>
      <c r="RDT11" s="87"/>
      <c r="RDU11" s="87"/>
      <c r="RDV11" s="87"/>
      <c r="RDW11" s="87"/>
      <c r="RDX11" s="87"/>
      <c r="RDY11" s="87"/>
      <c r="RDZ11" s="87"/>
      <c r="REA11" s="87"/>
      <c r="REB11" s="87"/>
      <c r="REC11" s="87"/>
      <c r="RED11" s="87"/>
      <c r="REE11" s="87"/>
      <c r="REF11" s="87"/>
      <c r="REG11" s="87"/>
      <c r="REH11" s="87"/>
      <c r="REI11" s="87"/>
      <c r="REJ11" s="87"/>
      <c r="REK11" s="87"/>
      <c r="REL11" s="87"/>
      <c r="REM11" s="87"/>
      <c r="REN11" s="87"/>
      <c r="REO11" s="87"/>
      <c r="REP11" s="87"/>
      <c r="REQ11" s="87"/>
      <c r="RER11" s="87"/>
      <c r="RES11" s="87"/>
      <c r="RET11" s="87"/>
      <c r="REU11" s="87"/>
      <c r="REV11" s="87"/>
      <c r="REW11" s="87"/>
      <c r="REX11" s="87"/>
      <c r="REY11" s="87"/>
      <c r="REZ11" s="87"/>
      <c r="RFA11" s="87"/>
      <c r="RFB11" s="87"/>
      <c r="RFC11" s="87"/>
      <c r="RFD11" s="87"/>
      <c r="RFE11" s="87"/>
      <c r="RFF11" s="87"/>
      <c r="RFG11" s="87"/>
      <c r="RFH11" s="87"/>
      <c r="RFI11" s="87"/>
      <c r="RFJ11" s="87"/>
      <c r="RFK11" s="87"/>
      <c r="RFL11" s="87"/>
      <c r="RFM11" s="87"/>
      <c r="RFN11" s="87"/>
      <c r="RFO11" s="87"/>
      <c r="RFP11" s="87"/>
      <c r="RFQ11" s="87"/>
      <c r="RFR11" s="87"/>
      <c r="RFS11" s="87"/>
      <c r="RFT11" s="87"/>
      <c r="RFU11" s="87"/>
      <c r="RFV11" s="87"/>
      <c r="RFW11" s="87"/>
      <c r="RFX11" s="87"/>
      <c r="RFY11" s="87"/>
      <c r="RFZ11" s="87"/>
      <c r="RGA11" s="87"/>
      <c r="RGB11" s="87"/>
      <c r="RGC11" s="87"/>
      <c r="RGD11" s="87"/>
      <c r="RGE11" s="87"/>
      <c r="RGF11" s="87"/>
      <c r="RGG11" s="87"/>
      <c r="RGH11" s="87"/>
      <c r="RGI11" s="87"/>
      <c r="RGJ11" s="87"/>
      <c r="RGK11" s="87"/>
      <c r="RGL11" s="87"/>
      <c r="RGM11" s="87"/>
      <c r="RGN11" s="87"/>
      <c r="RGO11" s="87"/>
      <c r="RGP11" s="87"/>
      <c r="RGQ11" s="87"/>
      <c r="RGR11" s="87"/>
      <c r="RGS11" s="87"/>
      <c r="RGT11" s="87"/>
      <c r="RGU11" s="87"/>
      <c r="RGV11" s="87"/>
      <c r="RGW11" s="87"/>
      <c r="RGX11" s="87"/>
      <c r="RGY11" s="87"/>
      <c r="RGZ11" s="87"/>
      <c r="RHA11" s="87"/>
      <c r="RHB11" s="87"/>
      <c r="RHC11" s="87"/>
      <c r="RHD11" s="87"/>
      <c r="RHE11" s="87"/>
      <c r="RHF11" s="87"/>
      <c r="RHG11" s="87"/>
      <c r="RHH11" s="87"/>
      <c r="RHI11" s="87"/>
      <c r="RHJ11" s="87"/>
      <c r="RHK11" s="87"/>
      <c r="RHL11" s="87"/>
      <c r="RHM11" s="87"/>
      <c r="RHN11" s="87"/>
      <c r="RHO11" s="87"/>
      <c r="RHP11" s="87"/>
      <c r="RHQ11" s="87"/>
      <c r="RHR11" s="87"/>
      <c r="RHS11" s="87"/>
      <c r="RHT11" s="87"/>
      <c r="RHU11" s="87"/>
      <c r="RHV11" s="87"/>
      <c r="RHW11" s="87"/>
      <c r="RHX11" s="87"/>
      <c r="RHY11" s="87"/>
      <c r="RHZ11" s="87"/>
      <c r="RIA11" s="87"/>
      <c r="RIB11" s="87"/>
      <c r="RIC11" s="87"/>
      <c r="RID11" s="87"/>
      <c r="RIE11" s="87"/>
      <c r="RIF11" s="87"/>
      <c r="RIG11" s="87"/>
      <c r="RIH11" s="87"/>
      <c r="RII11" s="87"/>
      <c r="RIJ11" s="87"/>
      <c r="RIK11" s="87"/>
      <c r="RIL11" s="87"/>
      <c r="RIM11" s="87"/>
      <c r="RIN11" s="87"/>
      <c r="RIO11" s="87"/>
      <c r="RIP11" s="87"/>
      <c r="RIQ11" s="87"/>
      <c r="RIR11" s="87"/>
      <c r="RIS11" s="87"/>
      <c r="RIT11" s="87"/>
      <c r="RIU11" s="87"/>
      <c r="RIV11" s="87"/>
      <c r="RIW11" s="87"/>
      <c r="RIX11" s="87"/>
      <c r="RIY11" s="87"/>
      <c r="RIZ11" s="87"/>
      <c r="RJA11" s="87"/>
      <c r="RJB11" s="87"/>
      <c r="RJC11" s="87"/>
      <c r="RJD11" s="87"/>
      <c r="RJE11" s="87"/>
      <c r="RJF11" s="87"/>
      <c r="RJG11" s="87"/>
      <c r="RJH11" s="87"/>
      <c r="RJI11" s="87"/>
      <c r="RJJ11" s="87"/>
      <c r="RJK11" s="87"/>
      <c r="RJL11" s="87"/>
      <c r="RJM11" s="87"/>
      <c r="RJN11" s="87"/>
      <c r="RJO11" s="87"/>
      <c r="RJP11" s="87"/>
      <c r="RJQ11" s="87"/>
      <c r="RJR11" s="87"/>
      <c r="RJS11" s="87"/>
      <c r="RJT11" s="87"/>
      <c r="RJU11" s="87"/>
      <c r="RJV11" s="87"/>
      <c r="RJW11" s="87"/>
      <c r="RJX11" s="87"/>
      <c r="RJY11" s="87"/>
      <c r="RJZ11" s="87"/>
      <c r="RKA11" s="87"/>
      <c r="RKB11" s="87"/>
      <c r="RKC11" s="87"/>
      <c r="RKD11" s="87"/>
      <c r="RKE11" s="87"/>
      <c r="RKF11" s="87"/>
      <c r="RKG11" s="87"/>
      <c r="RKH11" s="87"/>
      <c r="RKI11" s="87"/>
      <c r="RKJ11" s="87"/>
      <c r="RKK11" s="87"/>
      <c r="RKL11" s="87"/>
      <c r="RKM11" s="87"/>
      <c r="RKN11" s="87"/>
      <c r="RKO11" s="87"/>
      <c r="RKP11" s="87"/>
      <c r="RKQ11" s="87"/>
      <c r="RKR11" s="87"/>
      <c r="RKS11" s="87"/>
      <c r="RKT11" s="87"/>
      <c r="RKU11" s="87"/>
      <c r="RKV11" s="87"/>
      <c r="RKW11" s="87"/>
      <c r="RKX11" s="87"/>
      <c r="RKY11" s="87"/>
      <c r="RKZ11" s="87"/>
      <c r="RLA11" s="87"/>
      <c r="RLB11" s="87"/>
      <c r="RLC11" s="87"/>
      <c r="RLD11" s="87"/>
      <c r="RLE11" s="87"/>
      <c r="RLF11" s="87"/>
      <c r="RLG11" s="87"/>
      <c r="RLH11" s="87"/>
      <c r="RLI11" s="87"/>
      <c r="RLJ11" s="87"/>
      <c r="RLK11" s="87"/>
      <c r="RLL11" s="87"/>
      <c r="RLM11" s="87"/>
      <c r="RLN11" s="87"/>
      <c r="RLO11" s="87"/>
      <c r="RLP11" s="87"/>
      <c r="RLQ11" s="87"/>
      <c r="RLR11" s="87"/>
      <c r="RLS11" s="87"/>
      <c r="RLT11" s="87"/>
      <c r="RLU11" s="87"/>
      <c r="RLV11" s="87"/>
      <c r="RLW11" s="87"/>
      <c r="RLX11" s="87"/>
      <c r="RLY11" s="87"/>
      <c r="RLZ11" s="87"/>
      <c r="RMA11" s="87"/>
      <c r="RMB11" s="87"/>
      <c r="RMC11" s="87"/>
      <c r="RMD11" s="87"/>
      <c r="RME11" s="87"/>
      <c r="RMF11" s="87"/>
      <c r="RMG11" s="87"/>
      <c r="RMH11" s="87"/>
      <c r="RMI11" s="87"/>
      <c r="RMJ11" s="87"/>
      <c r="RMK11" s="87"/>
      <c r="RML11" s="87"/>
      <c r="RMM11" s="87"/>
      <c r="RMN11" s="87"/>
      <c r="RMO11" s="87"/>
      <c r="RMP11" s="87"/>
      <c r="RMQ11" s="87"/>
      <c r="RMR11" s="87"/>
      <c r="RMS11" s="87"/>
      <c r="RMT11" s="87"/>
      <c r="RMU11" s="87"/>
      <c r="RMV11" s="87"/>
      <c r="RMW11" s="87"/>
      <c r="RMX11" s="87"/>
      <c r="RMY11" s="87"/>
      <c r="RMZ11" s="87"/>
      <c r="RNA11" s="87"/>
      <c r="RNB11" s="87"/>
      <c r="RNC11" s="87"/>
      <c r="RND11" s="87"/>
      <c r="RNE11" s="87"/>
      <c r="RNF11" s="87"/>
      <c r="RNG11" s="87"/>
      <c r="RNH11" s="87"/>
      <c r="RNI11" s="87"/>
      <c r="RNJ11" s="87"/>
      <c r="RNK11" s="87"/>
      <c r="RNL11" s="87"/>
      <c r="RNM11" s="87"/>
      <c r="RNN11" s="87"/>
      <c r="RNO11" s="87"/>
      <c r="RNP11" s="87"/>
      <c r="RNQ11" s="87"/>
      <c r="RNR11" s="87"/>
      <c r="RNS11" s="87"/>
      <c r="RNT11" s="87"/>
      <c r="RNU11" s="87"/>
      <c r="RNV11" s="87"/>
      <c r="RNW11" s="87"/>
      <c r="RNX11" s="87"/>
      <c r="RNY11" s="87"/>
      <c r="RNZ11" s="87"/>
      <c r="ROA11" s="87"/>
      <c r="ROB11" s="87"/>
      <c r="ROC11" s="87"/>
      <c r="ROD11" s="87"/>
      <c r="ROE11" s="87"/>
      <c r="ROF11" s="87"/>
      <c r="ROG11" s="87"/>
      <c r="ROH11" s="87"/>
      <c r="ROI11" s="87"/>
      <c r="ROJ11" s="87"/>
      <c r="ROK11" s="87"/>
      <c r="ROL11" s="87"/>
      <c r="ROM11" s="87"/>
      <c r="RON11" s="87"/>
      <c r="ROO11" s="87"/>
      <c r="ROP11" s="87"/>
      <c r="ROQ11" s="87"/>
      <c r="ROR11" s="87"/>
      <c r="ROS11" s="87"/>
      <c r="ROT11" s="87"/>
      <c r="ROU11" s="87"/>
      <c r="ROV11" s="87"/>
      <c r="ROW11" s="87"/>
      <c r="ROX11" s="87"/>
      <c r="ROY11" s="87"/>
      <c r="ROZ11" s="87"/>
      <c r="RPA11" s="87"/>
      <c r="RPB11" s="87"/>
      <c r="RPC11" s="87"/>
      <c r="RPD11" s="87"/>
      <c r="RPE11" s="87"/>
      <c r="RPF11" s="87"/>
      <c r="RPG11" s="87"/>
      <c r="RPH11" s="87"/>
      <c r="RPI11" s="87"/>
      <c r="RPJ11" s="87"/>
      <c r="RPK11" s="87"/>
      <c r="RPL11" s="87"/>
      <c r="RPM11" s="87"/>
      <c r="RPN11" s="87"/>
      <c r="RPO11" s="87"/>
      <c r="RPP11" s="87"/>
      <c r="RPQ11" s="87"/>
      <c r="RPR11" s="87"/>
      <c r="RPS11" s="87"/>
      <c r="RPT11" s="87"/>
      <c r="RPU11" s="87"/>
      <c r="RPV11" s="87"/>
      <c r="RPW11" s="87"/>
      <c r="RPX11" s="87"/>
      <c r="RPY11" s="87"/>
      <c r="RPZ11" s="87"/>
      <c r="RQA11" s="87"/>
      <c r="RQB11" s="87"/>
      <c r="RQC11" s="87"/>
      <c r="RQD11" s="87"/>
      <c r="RQE11" s="87"/>
      <c r="RQF11" s="87"/>
      <c r="RQG11" s="87"/>
      <c r="RQH11" s="87"/>
      <c r="RQI11" s="87"/>
      <c r="RQJ11" s="87"/>
      <c r="RQK11" s="87"/>
      <c r="RQL11" s="87"/>
      <c r="RQM11" s="87"/>
      <c r="RQN11" s="87"/>
      <c r="RQO11" s="87"/>
      <c r="RQP11" s="87"/>
      <c r="RQQ11" s="87"/>
      <c r="RQR11" s="87"/>
      <c r="RQS11" s="87"/>
      <c r="RQT11" s="87"/>
      <c r="RQU11" s="87"/>
      <c r="RQV11" s="87"/>
      <c r="RQW11" s="87"/>
      <c r="RQX11" s="87"/>
      <c r="RQY11" s="87"/>
      <c r="RQZ11" s="87"/>
      <c r="RRA11" s="87"/>
      <c r="RRB11" s="87"/>
      <c r="RRC11" s="87"/>
      <c r="RRD11" s="87"/>
      <c r="RRE11" s="87"/>
      <c r="RRF11" s="87"/>
      <c r="RRG11" s="87"/>
      <c r="RRH11" s="87"/>
      <c r="RRI11" s="87"/>
      <c r="RRJ11" s="87"/>
      <c r="RRK11" s="87"/>
      <c r="RRL11" s="87"/>
      <c r="RRM11" s="87"/>
      <c r="RRN11" s="87"/>
      <c r="RRO11" s="87"/>
      <c r="RRP11" s="87"/>
      <c r="RRQ11" s="87"/>
      <c r="RRR11" s="87"/>
      <c r="RRS11" s="87"/>
      <c r="RRT11" s="87"/>
      <c r="RRU11" s="87"/>
      <c r="RRV11" s="87"/>
      <c r="RRW11" s="87"/>
      <c r="RRX11" s="87"/>
      <c r="RRY11" s="87"/>
      <c r="RRZ11" s="87"/>
      <c r="RSA11" s="87"/>
      <c r="RSB11" s="87"/>
      <c r="RSC11" s="87"/>
      <c r="RSD11" s="87"/>
      <c r="RSE11" s="87"/>
      <c r="RSF11" s="87"/>
      <c r="RSG11" s="87"/>
      <c r="RSH11" s="87"/>
      <c r="RSI11" s="87"/>
      <c r="RSJ11" s="87"/>
      <c r="RSK11" s="87"/>
      <c r="RSL11" s="87"/>
      <c r="RSM11" s="87"/>
      <c r="RSN11" s="87"/>
      <c r="RSO11" s="87"/>
      <c r="RSP11" s="87"/>
      <c r="RSQ11" s="87"/>
      <c r="RSR11" s="87"/>
      <c r="RSS11" s="87"/>
      <c r="RST11" s="87"/>
      <c r="RSU11" s="87"/>
      <c r="RSV11" s="87"/>
      <c r="RSW11" s="87"/>
      <c r="RSX11" s="87"/>
      <c r="RSY11" s="87"/>
      <c r="RSZ11" s="87"/>
      <c r="RTA11" s="87"/>
      <c r="RTB11" s="87"/>
      <c r="RTC11" s="87"/>
      <c r="RTD11" s="87"/>
      <c r="RTE11" s="87"/>
      <c r="RTF11" s="87"/>
      <c r="RTG11" s="87"/>
      <c r="RTH11" s="87"/>
      <c r="RTI11" s="87"/>
      <c r="RTJ11" s="87"/>
      <c r="RTK11" s="87"/>
      <c r="RTL11" s="87"/>
      <c r="RTM11" s="87"/>
      <c r="RTN11" s="87"/>
      <c r="RTO11" s="87"/>
      <c r="RTP11" s="87"/>
      <c r="RTQ11" s="87"/>
      <c r="RTR11" s="87"/>
      <c r="RTS11" s="87"/>
      <c r="RTT11" s="87"/>
      <c r="RTU11" s="87"/>
      <c r="RTV11" s="87"/>
      <c r="RTW11" s="87"/>
      <c r="RTX11" s="87"/>
      <c r="RTY11" s="87"/>
      <c r="RTZ11" s="87"/>
      <c r="RUA11" s="87"/>
      <c r="RUB11" s="87"/>
      <c r="RUC11" s="87"/>
      <c r="RUD11" s="87"/>
      <c r="RUE11" s="87"/>
      <c r="RUF11" s="87"/>
      <c r="RUG11" s="87"/>
      <c r="RUH11" s="87"/>
      <c r="RUI11" s="87"/>
      <c r="RUJ11" s="87"/>
      <c r="RUK11" s="87"/>
      <c r="RUL11" s="87"/>
      <c r="RUM11" s="87"/>
      <c r="RUN11" s="87"/>
      <c r="RUO11" s="87"/>
      <c r="RUP11" s="87"/>
      <c r="RUQ11" s="87"/>
      <c r="RUR11" s="87"/>
      <c r="RUS11" s="87"/>
      <c r="RUT11" s="87"/>
      <c r="RUU11" s="87"/>
      <c r="RUV11" s="87"/>
      <c r="RUW11" s="87"/>
      <c r="RUX11" s="87"/>
      <c r="RUY11" s="87"/>
      <c r="RUZ11" s="87"/>
      <c r="RVA11" s="87"/>
      <c r="RVB11" s="87"/>
      <c r="RVC11" s="87"/>
      <c r="RVD11" s="87"/>
      <c r="RVE11" s="87"/>
      <c r="RVF11" s="87"/>
      <c r="RVG11" s="87"/>
      <c r="RVH11" s="87"/>
      <c r="RVI11" s="87"/>
      <c r="RVJ11" s="87"/>
      <c r="RVK11" s="87"/>
      <c r="RVL11" s="87"/>
      <c r="RVM11" s="87"/>
      <c r="RVN11" s="87"/>
      <c r="RVO11" s="87"/>
      <c r="RVP11" s="87"/>
      <c r="RVQ11" s="87"/>
      <c r="RVR11" s="87"/>
      <c r="RVS11" s="87"/>
      <c r="RVT11" s="87"/>
      <c r="RVU11" s="87"/>
      <c r="RVV11" s="87"/>
      <c r="RVW11" s="87"/>
      <c r="RVX11" s="87"/>
      <c r="RVY11" s="87"/>
      <c r="RVZ11" s="87"/>
      <c r="RWA11" s="87"/>
      <c r="RWB11" s="87"/>
      <c r="RWC11" s="87"/>
      <c r="RWD11" s="87"/>
      <c r="RWE11" s="87"/>
      <c r="RWF11" s="87"/>
      <c r="RWG11" s="87"/>
      <c r="RWH11" s="87"/>
      <c r="RWI11" s="87"/>
      <c r="RWJ11" s="87"/>
      <c r="RWK11" s="87"/>
      <c r="RWL11" s="87"/>
      <c r="RWM11" s="87"/>
      <c r="RWN11" s="87"/>
      <c r="RWO11" s="87"/>
      <c r="RWP11" s="87"/>
      <c r="RWQ11" s="87"/>
      <c r="RWR11" s="87"/>
      <c r="RWS11" s="87"/>
      <c r="RWT11" s="87"/>
      <c r="RWU11" s="87"/>
      <c r="RWV11" s="87"/>
      <c r="RWW11" s="87"/>
      <c r="RWX11" s="87"/>
      <c r="RWY11" s="87"/>
      <c r="RWZ11" s="87"/>
      <c r="RXA11" s="87"/>
      <c r="RXB11" s="87"/>
      <c r="RXC11" s="87"/>
      <c r="RXD11" s="87"/>
      <c r="RXE11" s="87"/>
      <c r="RXF11" s="87"/>
      <c r="RXG11" s="87"/>
      <c r="RXH11" s="87"/>
      <c r="RXI11" s="87"/>
      <c r="RXJ11" s="87"/>
      <c r="RXK11" s="87"/>
      <c r="RXL11" s="87"/>
      <c r="RXM11" s="87"/>
      <c r="RXN11" s="87"/>
      <c r="RXO11" s="87"/>
      <c r="RXP11" s="87"/>
      <c r="RXQ11" s="87"/>
      <c r="RXR11" s="87"/>
      <c r="RXS11" s="87"/>
      <c r="RXT11" s="87"/>
      <c r="RXU11" s="87"/>
      <c r="RXV11" s="87"/>
      <c r="RXW11" s="87"/>
      <c r="RXX11" s="87"/>
      <c r="RXY11" s="87"/>
      <c r="RXZ11" s="87"/>
      <c r="RYA11" s="87"/>
      <c r="RYB11" s="87"/>
      <c r="RYC11" s="87"/>
      <c r="RYD11" s="87"/>
      <c r="RYE11" s="87"/>
      <c r="RYF11" s="87"/>
      <c r="RYG11" s="87"/>
      <c r="RYH11" s="87"/>
      <c r="RYI11" s="87"/>
      <c r="RYJ11" s="87"/>
      <c r="RYK11" s="87"/>
      <c r="RYL11" s="87"/>
      <c r="RYM11" s="87"/>
      <c r="RYN11" s="87"/>
      <c r="RYO11" s="87"/>
      <c r="RYP11" s="87"/>
      <c r="RYQ11" s="87"/>
      <c r="RYR11" s="87"/>
      <c r="RYS11" s="87"/>
      <c r="RYT11" s="87"/>
      <c r="RYU11" s="87"/>
      <c r="RYV11" s="87"/>
      <c r="RYW11" s="87"/>
      <c r="RYX11" s="87"/>
      <c r="RYY11" s="87"/>
      <c r="RYZ11" s="87"/>
      <c r="RZA11" s="87"/>
      <c r="RZB11" s="87"/>
      <c r="RZC11" s="87"/>
      <c r="RZD11" s="87"/>
      <c r="RZE11" s="87"/>
      <c r="RZF11" s="87"/>
      <c r="RZG11" s="87"/>
      <c r="RZH11" s="87"/>
      <c r="RZI11" s="87"/>
      <c r="RZJ11" s="87"/>
      <c r="RZK11" s="87"/>
      <c r="RZL11" s="87"/>
      <c r="RZM11" s="87"/>
      <c r="RZN11" s="87"/>
      <c r="RZO11" s="87"/>
      <c r="RZP11" s="87"/>
      <c r="RZQ11" s="87"/>
      <c r="RZR11" s="87"/>
      <c r="RZS11" s="87"/>
      <c r="RZT11" s="87"/>
      <c r="RZU11" s="87"/>
      <c r="RZV11" s="87"/>
      <c r="RZW11" s="87"/>
      <c r="RZX11" s="87"/>
      <c r="RZY11" s="87"/>
      <c r="RZZ11" s="87"/>
      <c r="SAA11" s="87"/>
      <c r="SAB11" s="87"/>
      <c r="SAC11" s="87"/>
      <c r="SAD11" s="87"/>
      <c r="SAE11" s="87"/>
      <c r="SAF11" s="87"/>
      <c r="SAG11" s="87"/>
      <c r="SAH11" s="87"/>
      <c r="SAI11" s="87"/>
      <c r="SAJ11" s="87"/>
      <c r="SAK11" s="87"/>
      <c r="SAL11" s="87"/>
      <c r="SAM11" s="87"/>
      <c r="SAN11" s="87"/>
      <c r="SAO11" s="87"/>
      <c r="SAP11" s="87"/>
      <c r="SAQ11" s="87"/>
      <c r="SAR11" s="87"/>
      <c r="SAS11" s="87"/>
      <c r="SAT11" s="87"/>
      <c r="SAU11" s="87"/>
      <c r="SAV11" s="87"/>
      <c r="SAW11" s="87"/>
      <c r="SAX11" s="87"/>
      <c r="SAY11" s="87"/>
      <c r="SAZ11" s="87"/>
      <c r="SBA11" s="87"/>
      <c r="SBB11" s="87"/>
      <c r="SBC11" s="87"/>
      <c r="SBD11" s="87"/>
      <c r="SBE11" s="87"/>
      <c r="SBF11" s="87"/>
      <c r="SBG11" s="87"/>
      <c r="SBH11" s="87"/>
      <c r="SBI11" s="87"/>
      <c r="SBJ11" s="87"/>
      <c r="SBK11" s="87"/>
      <c r="SBL11" s="87"/>
      <c r="SBM11" s="87"/>
      <c r="SBN11" s="87"/>
      <c r="SBO11" s="87"/>
      <c r="SBP11" s="87"/>
      <c r="SBQ11" s="87"/>
      <c r="SBR11" s="87"/>
      <c r="SBS11" s="87"/>
      <c r="SBT11" s="87"/>
      <c r="SBU11" s="87"/>
      <c r="SBV11" s="87"/>
      <c r="SBW11" s="87"/>
      <c r="SBX11" s="87"/>
      <c r="SBY11" s="87"/>
      <c r="SBZ11" s="87"/>
      <c r="SCA11" s="87"/>
      <c r="SCB11" s="87"/>
      <c r="SCC11" s="87"/>
      <c r="SCD11" s="87"/>
      <c r="SCE11" s="87"/>
      <c r="SCF11" s="87"/>
      <c r="SCG11" s="87"/>
      <c r="SCH11" s="87"/>
      <c r="SCI11" s="87"/>
      <c r="SCJ11" s="87"/>
      <c r="SCK11" s="87"/>
      <c r="SCL11" s="87"/>
      <c r="SCM11" s="87"/>
      <c r="SCN11" s="87"/>
      <c r="SCO11" s="87"/>
      <c r="SCP11" s="87"/>
      <c r="SCQ11" s="87"/>
      <c r="SCR11" s="87"/>
      <c r="SCS11" s="87"/>
      <c r="SCT11" s="87"/>
      <c r="SCU11" s="87"/>
      <c r="SCV11" s="87"/>
      <c r="SCW11" s="87"/>
      <c r="SCX11" s="87"/>
      <c r="SCY11" s="87"/>
      <c r="SCZ11" s="87"/>
      <c r="SDA11" s="87"/>
      <c r="SDB11" s="87"/>
      <c r="SDC11" s="87"/>
      <c r="SDD11" s="87"/>
      <c r="SDE11" s="87"/>
      <c r="SDF11" s="87"/>
      <c r="SDG11" s="87"/>
      <c r="SDH11" s="87"/>
      <c r="SDI11" s="87"/>
      <c r="SDJ11" s="87"/>
      <c r="SDK11" s="87"/>
      <c r="SDL11" s="87"/>
      <c r="SDM11" s="87"/>
      <c r="SDN11" s="87"/>
      <c r="SDO11" s="87"/>
      <c r="SDP11" s="87"/>
      <c r="SDQ11" s="87"/>
      <c r="SDR11" s="87"/>
      <c r="SDS11" s="87"/>
      <c r="SDT11" s="87"/>
      <c r="SDU11" s="87"/>
      <c r="SDV11" s="87"/>
      <c r="SDW11" s="87"/>
      <c r="SDX11" s="87"/>
      <c r="SDY11" s="87"/>
      <c r="SDZ11" s="87"/>
      <c r="SEA11" s="87"/>
      <c r="SEB11" s="87"/>
      <c r="SEC11" s="87"/>
      <c r="SED11" s="87"/>
      <c r="SEE11" s="87"/>
      <c r="SEF11" s="87"/>
      <c r="SEG11" s="87"/>
      <c r="SEH11" s="87"/>
      <c r="SEI11" s="87"/>
      <c r="SEJ11" s="87"/>
      <c r="SEK11" s="87"/>
      <c r="SEL11" s="87"/>
      <c r="SEM11" s="87"/>
      <c r="SEN11" s="87"/>
      <c r="SEO11" s="87"/>
      <c r="SEP11" s="87"/>
      <c r="SEQ11" s="87"/>
      <c r="SER11" s="87"/>
      <c r="SES11" s="87"/>
      <c r="SET11" s="87"/>
      <c r="SEU11" s="87"/>
      <c r="SEV11" s="87"/>
      <c r="SEW11" s="87"/>
      <c r="SEX11" s="87"/>
      <c r="SEY11" s="87"/>
      <c r="SEZ11" s="87"/>
      <c r="SFA11" s="87"/>
      <c r="SFB11" s="87"/>
      <c r="SFC11" s="87"/>
      <c r="SFD11" s="87"/>
      <c r="SFE11" s="87"/>
      <c r="SFF11" s="87"/>
      <c r="SFG11" s="87"/>
      <c r="SFH11" s="87"/>
      <c r="SFI11" s="87"/>
      <c r="SFJ11" s="87"/>
      <c r="SFK11" s="87"/>
      <c r="SFL11" s="87"/>
      <c r="SFM11" s="87"/>
      <c r="SFN11" s="87"/>
      <c r="SFO11" s="87"/>
      <c r="SFP11" s="87"/>
      <c r="SFQ11" s="87"/>
      <c r="SFR11" s="87"/>
      <c r="SFS11" s="87"/>
      <c r="SFT11" s="87"/>
      <c r="SFU11" s="87"/>
      <c r="SFV11" s="87"/>
      <c r="SFW11" s="87"/>
      <c r="SFX11" s="87"/>
      <c r="SFY11" s="87"/>
      <c r="SFZ11" s="87"/>
      <c r="SGA11" s="87"/>
      <c r="SGB11" s="87"/>
      <c r="SGC11" s="87"/>
      <c r="SGD11" s="87"/>
      <c r="SGE11" s="87"/>
      <c r="SGF11" s="87"/>
      <c r="SGG11" s="87"/>
      <c r="SGH11" s="87"/>
      <c r="SGI11" s="87"/>
      <c r="SGJ11" s="87"/>
      <c r="SGK11" s="87"/>
      <c r="SGL11" s="87"/>
      <c r="SGM11" s="87"/>
      <c r="SGN11" s="87"/>
      <c r="SGO11" s="87"/>
      <c r="SGP11" s="87"/>
      <c r="SGQ11" s="87"/>
      <c r="SGR11" s="87"/>
      <c r="SGS11" s="87"/>
      <c r="SGT11" s="87"/>
      <c r="SGU11" s="87"/>
      <c r="SGV11" s="87"/>
      <c r="SGW11" s="87"/>
      <c r="SGX11" s="87"/>
      <c r="SGY11" s="87"/>
      <c r="SGZ11" s="87"/>
      <c r="SHA11" s="87"/>
      <c r="SHB11" s="87"/>
      <c r="SHC11" s="87"/>
      <c r="SHD11" s="87"/>
      <c r="SHE11" s="87"/>
      <c r="SHF11" s="87"/>
      <c r="SHG11" s="87"/>
      <c r="SHH11" s="87"/>
      <c r="SHI11" s="87"/>
      <c r="SHJ11" s="87"/>
      <c r="SHK11" s="87"/>
      <c r="SHL11" s="87"/>
      <c r="SHM11" s="87"/>
      <c r="SHN11" s="87"/>
      <c r="SHO11" s="87"/>
      <c r="SHP11" s="87"/>
      <c r="SHQ11" s="87"/>
      <c r="SHR11" s="87"/>
      <c r="SHS11" s="87"/>
      <c r="SHT11" s="87"/>
      <c r="SHU11" s="87"/>
      <c r="SHV11" s="87"/>
      <c r="SHW11" s="87"/>
      <c r="SHX11" s="87"/>
      <c r="SHY11" s="87"/>
      <c r="SHZ11" s="87"/>
      <c r="SIA11" s="87"/>
      <c r="SIB11" s="87"/>
      <c r="SIC11" s="87"/>
      <c r="SID11" s="87"/>
      <c r="SIE11" s="87"/>
      <c r="SIF11" s="87"/>
      <c r="SIG11" s="87"/>
      <c r="SIH11" s="87"/>
      <c r="SII11" s="87"/>
      <c r="SIJ11" s="87"/>
      <c r="SIK11" s="87"/>
      <c r="SIL11" s="87"/>
      <c r="SIM11" s="87"/>
      <c r="SIN11" s="87"/>
      <c r="SIO11" s="87"/>
      <c r="SIP11" s="87"/>
      <c r="SIQ11" s="87"/>
      <c r="SIR11" s="87"/>
      <c r="SIS11" s="87"/>
      <c r="SIT11" s="87"/>
      <c r="SIU11" s="87"/>
      <c r="SIV11" s="87"/>
      <c r="SIW11" s="87"/>
      <c r="SIX11" s="87"/>
      <c r="SIY11" s="87"/>
      <c r="SIZ11" s="87"/>
      <c r="SJA11" s="87"/>
      <c r="SJB11" s="87"/>
      <c r="SJC11" s="87"/>
      <c r="SJD11" s="87"/>
      <c r="SJE11" s="87"/>
      <c r="SJF11" s="87"/>
      <c r="SJG11" s="87"/>
      <c r="SJH11" s="87"/>
      <c r="SJI11" s="87"/>
      <c r="SJJ11" s="87"/>
      <c r="SJK11" s="87"/>
      <c r="SJL11" s="87"/>
      <c r="SJM11" s="87"/>
      <c r="SJN11" s="87"/>
      <c r="SJO11" s="87"/>
      <c r="SJP11" s="87"/>
      <c r="SJQ11" s="87"/>
      <c r="SJR11" s="87"/>
      <c r="SJS11" s="87"/>
      <c r="SJT11" s="87"/>
      <c r="SJU11" s="87"/>
      <c r="SJV11" s="87"/>
      <c r="SJW11" s="87"/>
      <c r="SJX11" s="87"/>
      <c r="SJY11" s="87"/>
      <c r="SJZ11" s="87"/>
      <c r="SKA11" s="87"/>
      <c r="SKB11" s="87"/>
      <c r="SKC11" s="87"/>
      <c r="SKD11" s="87"/>
      <c r="SKE11" s="87"/>
      <c r="SKF11" s="87"/>
      <c r="SKG11" s="87"/>
      <c r="SKH11" s="87"/>
      <c r="SKI11" s="87"/>
      <c r="SKJ11" s="87"/>
      <c r="SKK11" s="87"/>
      <c r="SKL11" s="87"/>
      <c r="SKM11" s="87"/>
      <c r="SKN11" s="87"/>
      <c r="SKO11" s="87"/>
      <c r="SKP11" s="87"/>
      <c r="SKQ11" s="87"/>
      <c r="SKR11" s="87"/>
      <c r="SKS11" s="87"/>
      <c r="SKT11" s="87"/>
      <c r="SKU11" s="87"/>
      <c r="SKV11" s="87"/>
      <c r="SKW11" s="87"/>
      <c r="SKX11" s="87"/>
      <c r="SKY11" s="87"/>
      <c r="SKZ11" s="87"/>
      <c r="SLA11" s="87"/>
      <c r="SLB11" s="87"/>
      <c r="SLC11" s="87"/>
      <c r="SLD11" s="87"/>
      <c r="SLE11" s="87"/>
      <c r="SLF11" s="87"/>
      <c r="SLG11" s="87"/>
      <c r="SLH11" s="87"/>
      <c r="SLI11" s="87"/>
      <c r="SLJ11" s="87"/>
      <c r="SLK11" s="87"/>
      <c r="SLL11" s="87"/>
      <c r="SLM11" s="87"/>
      <c r="SLN11" s="87"/>
      <c r="SLO11" s="87"/>
      <c r="SLP11" s="87"/>
      <c r="SLQ11" s="87"/>
      <c r="SLR11" s="87"/>
      <c r="SLS11" s="87"/>
      <c r="SLT11" s="87"/>
      <c r="SLU11" s="87"/>
      <c r="SLV11" s="87"/>
      <c r="SLW11" s="87"/>
      <c r="SLX11" s="87"/>
      <c r="SLY11" s="87"/>
      <c r="SLZ11" s="87"/>
      <c r="SMA11" s="87"/>
      <c r="SMB11" s="87"/>
      <c r="SMC11" s="87"/>
      <c r="SMD11" s="87"/>
      <c r="SME11" s="87"/>
      <c r="SMF11" s="87"/>
      <c r="SMG11" s="87"/>
      <c r="SMH11" s="87"/>
      <c r="SMI11" s="87"/>
      <c r="SMJ11" s="87"/>
      <c r="SMK11" s="87"/>
      <c r="SML11" s="87"/>
      <c r="SMM11" s="87"/>
      <c r="SMN11" s="87"/>
      <c r="SMO11" s="87"/>
      <c r="SMP11" s="87"/>
      <c r="SMQ11" s="87"/>
      <c r="SMR11" s="87"/>
      <c r="SMS11" s="87"/>
      <c r="SMT11" s="87"/>
      <c r="SMU11" s="87"/>
      <c r="SMV11" s="87"/>
      <c r="SMW11" s="87"/>
      <c r="SMX11" s="87"/>
      <c r="SMY11" s="87"/>
      <c r="SMZ11" s="87"/>
      <c r="SNA11" s="87"/>
      <c r="SNB11" s="87"/>
      <c r="SNC11" s="87"/>
      <c r="SND11" s="87"/>
      <c r="SNE11" s="87"/>
      <c r="SNF11" s="87"/>
      <c r="SNG11" s="87"/>
      <c r="SNH11" s="87"/>
      <c r="SNI11" s="87"/>
      <c r="SNJ11" s="87"/>
      <c r="SNK11" s="87"/>
      <c r="SNL11" s="87"/>
      <c r="SNM11" s="87"/>
      <c r="SNN11" s="87"/>
      <c r="SNO11" s="87"/>
      <c r="SNP11" s="87"/>
      <c r="SNQ11" s="87"/>
      <c r="SNR11" s="87"/>
      <c r="SNS11" s="87"/>
      <c r="SNT11" s="87"/>
      <c r="SNU11" s="87"/>
      <c r="SNV11" s="87"/>
      <c r="SNW11" s="87"/>
      <c r="SNX11" s="87"/>
      <c r="SNY11" s="87"/>
      <c r="SNZ11" s="87"/>
      <c r="SOA11" s="87"/>
      <c r="SOB11" s="87"/>
      <c r="SOC11" s="87"/>
      <c r="SOD11" s="87"/>
      <c r="SOE11" s="87"/>
      <c r="SOF11" s="87"/>
      <c r="SOG11" s="87"/>
      <c r="SOH11" s="87"/>
      <c r="SOI11" s="87"/>
      <c r="SOJ11" s="87"/>
      <c r="SOK11" s="87"/>
      <c r="SOL11" s="87"/>
      <c r="SOM11" s="87"/>
      <c r="SON11" s="87"/>
      <c r="SOO11" s="87"/>
      <c r="SOP11" s="87"/>
      <c r="SOQ11" s="87"/>
      <c r="SOR11" s="87"/>
      <c r="SOS11" s="87"/>
      <c r="SOT11" s="87"/>
      <c r="SOU11" s="87"/>
      <c r="SOV11" s="87"/>
      <c r="SOW11" s="87"/>
      <c r="SOX11" s="87"/>
      <c r="SOY11" s="87"/>
      <c r="SOZ11" s="87"/>
      <c r="SPA11" s="87"/>
      <c r="SPB11" s="87"/>
      <c r="SPC11" s="87"/>
      <c r="SPD11" s="87"/>
      <c r="SPE11" s="87"/>
      <c r="SPF11" s="87"/>
      <c r="SPG11" s="87"/>
      <c r="SPH11" s="87"/>
      <c r="SPI11" s="87"/>
      <c r="SPJ11" s="87"/>
      <c r="SPK11" s="87"/>
      <c r="SPL11" s="87"/>
      <c r="SPM11" s="87"/>
      <c r="SPN11" s="87"/>
      <c r="SPO11" s="87"/>
      <c r="SPP11" s="87"/>
      <c r="SPQ11" s="87"/>
      <c r="SPR11" s="87"/>
      <c r="SPS11" s="87"/>
      <c r="SPT11" s="87"/>
      <c r="SPU11" s="87"/>
      <c r="SPV11" s="87"/>
      <c r="SPW11" s="87"/>
      <c r="SPX11" s="87"/>
      <c r="SPY11" s="87"/>
      <c r="SPZ11" s="87"/>
      <c r="SQA11" s="87"/>
      <c r="SQB11" s="87"/>
      <c r="SQC11" s="87"/>
      <c r="SQD11" s="87"/>
      <c r="SQE11" s="87"/>
      <c r="SQF11" s="87"/>
      <c r="SQG11" s="87"/>
      <c r="SQH11" s="87"/>
      <c r="SQI11" s="87"/>
      <c r="SQJ11" s="87"/>
      <c r="SQK11" s="87"/>
      <c r="SQL11" s="87"/>
      <c r="SQM11" s="87"/>
      <c r="SQN11" s="87"/>
      <c r="SQO11" s="87"/>
      <c r="SQP11" s="87"/>
      <c r="SQQ11" s="87"/>
      <c r="SQR11" s="87"/>
      <c r="SQS11" s="87"/>
      <c r="SQT11" s="87"/>
      <c r="SQU11" s="87"/>
      <c r="SQV11" s="87"/>
      <c r="SQW11" s="87"/>
      <c r="SQX11" s="87"/>
      <c r="SQY11" s="87"/>
      <c r="SQZ11" s="87"/>
      <c r="SRA11" s="87"/>
      <c r="SRB11" s="87"/>
      <c r="SRC11" s="87"/>
      <c r="SRD11" s="87"/>
      <c r="SRE11" s="87"/>
      <c r="SRF11" s="87"/>
      <c r="SRG11" s="87"/>
      <c r="SRH11" s="87"/>
      <c r="SRI11" s="87"/>
      <c r="SRJ11" s="87"/>
      <c r="SRK11" s="87"/>
      <c r="SRL11" s="87"/>
      <c r="SRM11" s="87"/>
      <c r="SRN11" s="87"/>
      <c r="SRO11" s="87"/>
      <c r="SRP11" s="87"/>
      <c r="SRQ11" s="87"/>
      <c r="SRR11" s="87"/>
      <c r="SRS11" s="87"/>
      <c r="SRT11" s="87"/>
      <c r="SRU11" s="87"/>
      <c r="SRV11" s="87"/>
      <c r="SRW11" s="87"/>
      <c r="SRX11" s="87"/>
      <c r="SRY11" s="87"/>
      <c r="SRZ11" s="87"/>
      <c r="SSA11" s="87"/>
      <c r="SSB11" s="87"/>
      <c r="SSC11" s="87"/>
      <c r="SSD11" s="87"/>
      <c r="SSE11" s="87"/>
      <c r="SSF11" s="87"/>
      <c r="SSG11" s="87"/>
      <c r="SSH11" s="87"/>
      <c r="SSI11" s="87"/>
      <c r="SSJ11" s="87"/>
      <c r="SSK11" s="87"/>
      <c r="SSL11" s="87"/>
      <c r="SSM11" s="87"/>
      <c r="SSN11" s="87"/>
      <c r="SSO11" s="87"/>
      <c r="SSP11" s="87"/>
      <c r="SSQ11" s="87"/>
      <c r="SSR11" s="87"/>
      <c r="SSS11" s="87"/>
      <c r="SST11" s="87"/>
      <c r="SSU11" s="87"/>
      <c r="SSV11" s="87"/>
      <c r="SSW11" s="87"/>
      <c r="SSX11" s="87"/>
      <c r="SSY11" s="87"/>
      <c r="SSZ11" s="87"/>
      <c r="STA11" s="87"/>
      <c r="STB11" s="87"/>
      <c r="STC11" s="87"/>
      <c r="STD11" s="87"/>
      <c r="STE11" s="87"/>
      <c r="STF11" s="87"/>
      <c r="STG11" s="87"/>
      <c r="STH11" s="87"/>
      <c r="STI11" s="87"/>
      <c r="STJ11" s="87"/>
      <c r="STK11" s="87"/>
      <c r="STL11" s="87"/>
      <c r="STM11" s="87"/>
      <c r="STN11" s="87"/>
      <c r="STO11" s="87"/>
      <c r="STP11" s="87"/>
      <c r="STQ11" s="87"/>
      <c r="STR11" s="87"/>
      <c r="STS11" s="87"/>
      <c r="STT11" s="87"/>
      <c r="STU11" s="87"/>
      <c r="STV11" s="87"/>
      <c r="STW11" s="87"/>
      <c r="STX11" s="87"/>
      <c r="STY11" s="87"/>
      <c r="STZ11" s="87"/>
      <c r="SUA11" s="87"/>
      <c r="SUB11" s="87"/>
      <c r="SUC11" s="87"/>
      <c r="SUD11" s="87"/>
      <c r="SUE11" s="87"/>
      <c r="SUF11" s="87"/>
      <c r="SUG11" s="87"/>
      <c r="SUH11" s="87"/>
      <c r="SUI11" s="87"/>
      <c r="SUJ11" s="87"/>
      <c r="SUK11" s="87"/>
      <c r="SUL11" s="87"/>
      <c r="SUM11" s="87"/>
      <c r="SUN11" s="87"/>
      <c r="SUO11" s="87"/>
      <c r="SUP11" s="87"/>
      <c r="SUQ11" s="87"/>
      <c r="SUR11" s="87"/>
      <c r="SUS11" s="87"/>
      <c r="SUT11" s="87"/>
      <c r="SUU11" s="87"/>
      <c r="SUV11" s="87"/>
      <c r="SUW11" s="87"/>
      <c r="SUX11" s="87"/>
      <c r="SUY11" s="87"/>
      <c r="SUZ11" s="87"/>
      <c r="SVA11" s="87"/>
      <c r="SVB11" s="87"/>
      <c r="SVC11" s="87"/>
      <c r="SVD11" s="87"/>
      <c r="SVE11" s="87"/>
      <c r="SVF11" s="87"/>
      <c r="SVG11" s="87"/>
      <c r="SVH11" s="87"/>
      <c r="SVI11" s="87"/>
      <c r="SVJ11" s="87"/>
      <c r="SVK11" s="87"/>
      <c r="SVL11" s="87"/>
      <c r="SVM11" s="87"/>
      <c r="SVN11" s="87"/>
      <c r="SVO11" s="87"/>
      <c r="SVP11" s="87"/>
      <c r="SVQ11" s="87"/>
      <c r="SVR11" s="87"/>
      <c r="SVS11" s="87"/>
      <c r="SVT11" s="87"/>
      <c r="SVU11" s="87"/>
      <c r="SVV11" s="87"/>
      <c r="SVW11" s="87"/>
      <c r="SVX11" s="87"/>
      <c r="SVY11" s="87"/>
      <c r="SVZ11" s="87"/>
      <c r="SWA11" s="87"/>
      <c r="SWB11" s="87"/>
      <c r="SWC11" s="87"/>
      <c r="SWD11" s="87"/>
      <c r="SWE11" s="87"/>
      <c r="SWF11" s="87"/>
      <c r="SWG11" s="87"/>
      <c r="SWH11" s="87"/>
      <c r="SWI11" s="87"/>
      <c r="SWJ11" s="87"/>
      <c r="SWK11" s="87"/>
      <c r="SWL11" s="87"/>
      <c r="SWM11" s="87"/>
      <c r="SWN11" s="87"/>
      <c r="SWO11" s="87"/>
      <c r="SWP11" s="87"/>
      <c r="SWQ11" s="87"/>
      <c r="SWR11" s="87"/>
      <c r="SWS11" s="87"/>
      <c r="SWT11" s="87"/>
      <c r="SWU11" s="87"/>
      <c r="SWV11" s="87"/>
      <c r="SWW11" s="87"/>
      <c r="SWX11" s="87"/>
      <c r="SWY11" s="87"/>
      <c r="SWZ11" s="87"/>
      <c r="SXA11" s="87"/>
      <c r="SXB11" s="87"/>
      <c r="SXC11" s="87"/>
      <c r="SXD11" s="87"/>
      <c r="SXE11" s="87"/>
      <c r="SXF11" s="87"/>
      <c r="SXG11" s="87"/>
      <c r="SXH11" s="87"/>
      <c r="SXI11" s="87"/>
      <c r="SXJ11" s="87"/>
      <c r="SXK11" s="87"/>
      <c r="SXL11" s="87"/>
      <c r="SXM11" s="87"/>
      <c r="SXN11" s="87"/>
      <c r="SXO11" s="87"/>
      <c r="SXP11" s="87"/>
      <c r="SXQ11" s="87"/>
      <c r="SXR11" s="87"/>
      <c r="SXS11" s="87"/>
      <c r="SXT11" s="87"/>
      <c r="SXU11" s="87"/>
      <c r="SXV11" s="87"/>
      <c r="SXW11" s="87"/>
      <c r="SXX11" s="87"/>
      <c r="SXY11" s="87"/>
      <c r="SXZ11" s="87"/>
      <c r="SYA11" s="87"/>
      <c r="SYB11" s="87"/>
      <c r="SYC11" s="87"/>
      <c r="SYD11" s="87"/>
      <c r="SYE11" s="87"/>
      <c r="SYF11" s="87"/>
      <c r="SYG11" s="87"/>
      <c r="SYH11" s="87"/>
      <c r="SYI11" s="87"/>
      <c r="SYJ11" s="87"/>
      <c r="SYK11" s="87"/>
      <c r="SYL11" s="87"/>
      <c r="SYM11" s="87"/>
      <c r="SYN11" s="87"/>
      <c r="SYO11" s="87"/>
      <c r="SYP11" s="87"/>
      <c r="SYQ11" s="87"/>
      <c r="SYR11" s="87"/>
      <c r="SYS11" s="87"/>
      <c r="SYT11" s="87"/>
      <c r="SYU11" s="87"/>
      <c r="SYV11" s="87"/>
      <c r="SYW11" s="87"/>
      <c r="SYX11" s="87"/>
      <c r="SYY11" s="87"/>
      <c r="SYZ11" s="87"/>
      <c r="SZA11" s="87"/>
      <c r="SZB11" s="87"/>
      <c r="SZC11" s="87"/>
      <c r="SZD11" s="87"/>
      <c r="SZE11" s="87"/>
      <c r="SZF11" s="87"/>
      <c r="SZG11" s="87"/>
      <c r="SZH11" s="87"/>
      <c r="SZI11" s="87"/>
      <c r="SZJ11" s="87"/>
      <c r="SZK11" s="87"/>
      <c r="SZL11" s="87"/>
      <c r="SZM11" s="87"/>
      <c r="SZN11" s="87"/>
      <c r="SZO11" s="87"/>
      <c r="SZP11" s="87"/>
      <c r="SZQ11" s="87"/>
      <c r="SZR11" s="87"/>
      <c r="SZS11" s="87"/>
      <c r="SZT11" s="87"/>
      <c r="SZU11" s="87"/>
      <c r="SZV11" s="87"/>
      <c r="SZW11" s="87"/>
      <c r="SZX11" s="87"/>
      <c r="SZY11" s="87"/>
      <c r="SZZ11" s="87"/>
      <c r="TAA11" s="87"/>
      <c r="TAB11" s="87"/>
      <c r="TAC11" s="87"/>
      <c r="TAD11" s="87"/>
      <c r="TAE11" s="87"/>
      <c r="TAF11" s="87"/>
      <c r="TAG11" s="87"/>
      <c r="TAH11" s="87"/>
      <c r="TAI11" s="87"/>
      <c r="TAJ11" s="87"/>
      <c r="TAK11" s="87"/>
      <c r="TAL11" s="87"/>
      <c r="TAM11" s="87"/>
      <c r="TAN11" s="87"/>
      <c r="TAO11" s="87"/>
      <c r="TAP11" s="87"/>
      <c r="TAQ11" s="87"/>
      <c r="TAR11" s="87"/>
      <c r="TAS11" s="87"/>
      <c r="TAT11" s="87"/>
      <c r="TAU11" s="87"/>
      <c r="TAV11" s="87"/>
      <c r="TAW11" s="87"/>
      <c r="TAX11" s="87"/>
      <c r="TAY11" s="87"/>
      <c r="TAZ11" s="87"/>
      <c r="TBA11" s="87"/>
      <c r="TBB11" s="87"/>
      <c r="TBC11" s="87"/>
      <c r="TBD11" s="87"/>
      <c r="TBE11" s="87"/>
      <c r="TBF11" s="87"/>
      <c r="TBG11" s="87"/>
      <c r="TBH11" s="87"/>
      <c r="TBI11" s="87"/>
      <c r="TBJ11" s="87"/>
      <c r="TBK11" s="87"/>
      <c r="TBL11" s="87"/>
      <c r="TBM11" s="87"/>
      <c r="TBN11" s="87"/>
      <c r="TBO11" s="87"/>
      <c r="TBP11" s="87"/>
      <c r="TBQ11" s="87"/>
      <c r="TBR11" s="87"/>
      <c r="TBS11" s="87"/>
      <c r="TBT11" s="87"/>
      <c r="TBU11" s="87"/>
      <c r="TBV11" s="87"/>
      <c r="TBW11" s="87"/>
      <c r="TBX11" s="87"/>
      <c r="TBY11" s="87"/>
      <c r="TBZ11" s="87"/>
      <c r="TCA11" s="87"/>
      <c r="TCB11" s="87"/>
      <c r="TCC11" s="87"/>
      <c r="TCD11" s="87"/>
      <c r="TCE11" s="87"/>
      <c r="TCF11" s="87"/>
      <c r="TCG11" s="87"/>
      <c r="TCH11" s="87"/>
      <c r="TCI11" s="87"/>
      <c r="TCJ11" s="87"/>
      <c r="TCK11" s="87"/>
      <c r="TCL11" s="87"/>
      <c r="TCM11" s="87"/>
      <c r="TCN11" s="87"/>
      <c r="TCO11" s="87"/>
      <c r="TCP11" s="87"/>
      <c r="TCQ11" s="87"/>
      <c r="TCR11" s="87"/>
      <c r="TCS11" s="87"/>
      <c r="TCT11" s="87"/>
      <c r="TCU11" s="87"/>
      <c r="TCV11" s="87"/>
      <c r="TCW11" s="87"/>
      <c r="TCX11" s="87"/>
      <c r="TCY11" s="87"/>
      <c r="TCZ11" s="87"/>
      <c r="TDA11" s="87"/>
      <c r="TDB11" s="87"/>
      <c r="TDC11" s="87"/>
      <c r="TDD11" s="87"/>
      <c r="TDE11" s="87"/>
      <c r="TDF11" s="87"/>
      <c r="TDG11" s="87"/>
      <c r="TDH11" s="87"/>
      <c r="TDI11" s="87"/>
      <c r="TDJ11" s="87"/>
      <c r="TDK11" s="87"/>
      <c r="TDL11" s="87"/>
      <c r="TDM11" s="87"/>
      <c r="TDN11" s="87"/>
      <c r="TDO11" s="87"/>
      <c r="TDP11" s="87"/>
      <c r="TDQ11" s="87"/>
      <c r="TDR11" s="87"/>
      <c r="TDS11" s="87"/>
      <c r="TDT11" s="87"/>
      <c r="TDU11" s="87"/>
      <c r="TDV11" s="87"/>
      <c r="TDW11" s="87"/>
      <c r="TDX11" s="87"/>
      <c r="TDY11" s="87"/>
      <c r="TDZ11" s="87"/>
      <c r="TEA11" s="87"/>
      <c r="TEB11" s="87"/>
      <c r="TEC11" s="87"/>
      <c r="TED11" s="87"/>
      <c r="TEE11" s="87"/>
      <c r="TEF11" s="87"/>
      <c r="TEG11" s="87"/>
      <c r="TEH11" s="87"/>
      <c r="TEI11" s="87"/>
      <c r="TEJ11" s="87"/>
      <c r="TEK11" s="87"/>
      <c r="TEL11" s="87"/>
      <c r="TEM11" s="87"/>
      <c r="TEN11" s="87"/>
      <c r="TEO11" s="87"/>
      <c r="TEP11" s="87"/>
      <c r="TEQ11" s="87"/>
      <c r="TER11" s="87"/>
      <c r="TES11" s="87"/>
      <c r="TET11" s="87"/>
      <c r="TEU11" s="87"/>
      <c r="TEV11" s="87"/>
      <c r="TEW11" s="87"/>
      <c r="TEX11" s="87"/>
      <c r="TEY11" s="87"/>
      <c r="TEZ11" s="87"/>
      <c r="TFA11" s="87"/>
      <c r="TFB11" s="87"/>
      <c r="TFC11" s="87"/>
      <c r="TFD11" s="87"/>
      <c r="TFE11" s="87"/>
      <c r="TFF11" s="87"/>
      <c r="TFG11" s="87"/>
      <c r="TFH11" s="87"/>
      <c r="TFI11" s="87"/>
      <c r="TFJ11" s="87"/>
      <c r="TFK11" s="87"/>
      <c r="TFL11" s="87"/>
      <c r="TFM11" s="87"/>
      <c r="TFN11" s="87"/>
      <c r="TFO11" s="87"/>
      <c r="TFP11" s="87"/>
      <c r="TFQ11" s="87"/>
      <c r="TFR11" s="87"/>
      <c r="TFS11" s="87"/>
      <c r="TFT11" s="87"/>
      <c r="TFU11" s="87"/>
      <c r="TFV11" s="87"/>
      <c r="TFW11" s="87"/>
      <c r="TFX11" s="87"/>
      <c r="TFY11" s="87"/>
      <c r="TFZ11" s="87"/>
      <c r="TGA11" s="87"/>
      <c r="TGB11" s="87"/>
      <c r="TGC11" s="87"/>
      <c r="TGD11" s="87"/>
      <c r="TGE11" s="87"/>
      <c r="TGF11" s="87"/>
      <c r="TGG11" s="87"/>
      <c r="TGH11" s="87"/>
      <c r="TGI11" s="87"/>
      <c r="TGJ11" s="87"/>
      <c r="TGK11" s="87"/>
      <c r="TGL11" s="87"/>
      <c r="TGM11" s="87"/>
      <c r="TGN11" s="87"/>
      <c r="TGO11" s="87"/>
      <c r="TGP11" s="87"/>
      <c r="TGQ11" s="87"/>
      <c r="TGR11" s="87"/>
      <c r="TGS11" s="87"/>
      <c r="TGT11" s="87"/>
      <c r="TGU11" s="87"/>
      <c r="TGV11" s="87"/>
      <c r="TGW11" s="87"/>
      <c r="TGX11" s="87"/>
      <c r="TGY11" s="87"/>
      <c r="TGZ11" s="87"/>
      <c r="THA11" s="87"/>
      <c r="THB11" s="87"/>
      <c r="THC11" s="87"/>
      <c r="THD11" s="87"/>
      <c r="THE11" s="87"/>
      <c r="THF11" s="87"/>
      <c r="THG11" s="87"/>
      <c r="THH11" s="87"/>
      <c r="THI11" s="87"/>
      <c r="THJ11" s="87"/>
      <c r="THK11" s="87"/>
      <c r="THL11" s="87"/>
      <c r="THM11" s="87"/>
      <c r="THN11" s="87"/>
      <c r="THO11" s="87"/>
      <c r="THP11" s="87"/>
      <c r="THQ11" s="87"/>
      <c r="THR11" s="87"/>
      <c r="THS11" s="87"/>
      <c r="THT11" s="87"/>
      <c r="THU11" s="87"/>
      <c r="THV11" s="87"/>
      <c r="THW11" s="87"/>
      <c r="THX11" s="87"/>
      <c r="THY11" s="87"/>
      <c r="THZ11" s="87"/>
      <c r="TIA11" s="87"/>
      <c r="TIB11" s="87"/>
      <c r="TIC11" s="87"/>
      <c r="TID11" s="87"/>
      <c r="TIE11" s="87"/>
      <c r="TIF11" s="87"/>
      <c r="TIG11" s="87"/>
      <c r="TIH11" s="87"/>
      <c r="TII11" s="87"/>
      <c r="TIJ11" s="87"/>
      <c r="TIK11" s="87"/>
      <c r="TIL11" s="87"/>
      <c r="TIM11" s="87"/>
      <c r="TIN11" s="87"/>
      <c r="TIO11" s="87"/>
      <c r="TIP11" s="87"/>
      <c r="TIQ11" s="87"/>
      <c r="TIR11" s="87"/>
      <c r="TIS11" s="87"/>
      <c r="TIT11" s="87"/>
      <c r="TIU11" s="87"/>
      <c r="TIV11" s="87"/>
      <c r="TIW11" s="87"/>
      <c r="TIX11" s="87"/>
      <c r="TIY11" s="87"/>
      <c r="TIZ11" s="87"/>
      <c r="TJA11" s="87"/>
      <c r="TJB11" s="87"/>
      <c r="TJC11" s="87"/>
      <c r="TJD11" s="87"/>
      <c r="TJE11" s="87"/>
      <c r="TJF11" s="87"/>
      <c r="TJG11" s="87"/>
      <c r="TJH11" s="87"/>
      <c r="TJI11" s="87"/>
      <c r="TJJ11" s="87"/>
      <c r="TJK11" s="87"/>
      <c r="TJL11" s="87"/>
      <c r="TJM11" s="87"/>
      <c r="TJN11" s="87"/>
      <c r="TJO11" s="87"/>
      <c r="TJP11" s="87"/>
      <c r="TJQ11" s="87"/>
      <c r="TJR11" s="87"/>
      <c r="TJS11" s="87"/>
      <c r="TJT11" s="87"/>
      <c r="TJU11" s="87"/>
      <c r="TJV11" s="87"/>
      <c r="TJW11" s="87"/>
      <c r="TJX11" s="87"/>
      <c r="TJY11" s="87"/>
      <c r="TJZ11" s="87"/>
      <c r="TKA11" s="87"/>
      <c r="TKB11" s="87"/>
      <c r="TKC11" s="87"/>
      <c r="TKD11" s="87"/>
      <c r="TKE11" s="87"/>
      <c r="TKF11" s="87"/>
      <c r="TKG11" s="87"/>
      <c r="TKH11" s="87"/>
      <c r="TKI11" s="87"/>
      <c r="TKJ11" s="87"/>
      <c r="TKK11" s="87"/>
      <c r="TKL11" s="87"/>
      <c r="TKM11" s="87"/>
      <c r="TKN11" s="87"/>
      <c r="TKO11" s="87"/>
      <c r="TKP11" s="87"/>
      <c r="TKQ11" s="87"/>
      <c r="TKR11" s="87"/>
      <c r="TKS11" s="87"/>
      <c r="TKT11" s="87"/>
      <c r="TKU11" s="87"/>
      <c r="TKV11" s="87"/>
      <c r="TKW11" s="87"/>
      <c r="TKX11" s="87"/>
      <c r="TKY11" s="87"/>
      <c r="TKZ11" s="87"/>
      <c r="TLA11" s="87"/>
      <c r="TLB11" s="87"/>
      <c r="TLC11" s="87"/>
      <c r="TLD11" s="87"/>
      <c r="TLE11" s="87"/>
      <c r="TLF11" s="87"/>
      <c r="TLG11" s="87"/>
      <c r="TLH11" s="87"/>
      <c r="TLI11" s="87"/>
      <c r="TLJ11" s="87"/>
      <c r="TLK11" s="87"/>
      <c r="TLL11" s="87"/>
      <c r="TLM11" s="87"/>
      <c r="TLN11" s="87"/>
      <c r="TLO11" s="87"/>
      <c r="TLP11" s="87"/>
      <c r="TLQ11" s="87"/>
      <c r="TLR11" s="87"/>
      <c r="TLS11" s="87"/>
      <c r="TLT11" s="87"/>
      <c r="TLU11" s="87"/>
      <c r="TLV11" s="87"/>
      <c r="TLW11" s="87"/>
      <c r="TLX11" s="87"/>
      <c r="TLY11" s="87"/>
      <c r="TLZ11" s="87"/>
      <c r="TMA11" s="87"/>
      <c r="TMB11" s="87"/>
      <c r="TMC11" s="87"/>
      <c r="TMD11" s="87"/>
      <c r="TME11" s="87"/>
      <c r="TMF11" s="87"/>
      <c r="TMG11" s="87"/>
      <c r="TMH11" s="87"/>
      <c r="TMI11" s="87"/>
      <c r="TMJ11" s="87"/>
      <c r="TMK11" s="87"/>
      <c r="TML11" s="87"/>
      <c r="TMM11" s="87"/>
      <c r="TMN11" s="87"/>
      <c r="TMO11" s="87"/>
      <c r="TMP11" s="87"/>
      <c r="TMQ11" s="87"/>
      <c r="TMR11" s="87"/>
      <c r="TMS11" s="87"/>
      <c r="TMT11" s="87"/>
      <c r="TMU11" s="87"/>
      <c r="TMV11" s="87"/>
      <c r="TMW11" s="87"/>
      <c r="TMX11" s="87"/>
      <c r="TMY11" s="87"/>
      <c r="TMZ11" s="87"/>
      <c r="TNA11" s="87"/>
      <c r="TNB11" s="87"/>
      <c r="TNC11" s="87"/>
      <c r="TND11" s="87"/>
      <c r="TNE11" s="87"/>
      <c r="TNF11" s="87"/>
      <c r="TNG11" s="87"/>
      <c r="TNH11" s="87"/>
      <c r="TNI11" s="87"/>
      <c r="TNJ11" s="87"/>
      <c r="TNK11" s="87"/>
      <c r="TNL11" s="87"/>
      <c r="TNM11" s="87"/>
      <c r="TNN11" s="87"/>
      <c r="TNO11" s="87"/>
      <c r="TNP11" s="87"/>
      <c r="TNQ11" s="87"/>
      <c r="TNR11" s="87"/>
      <c r="TNS11" s="87"/>
      <c r="TNT11" s="87"/>
      <c r="TNU11" s="87"/>
      <c r="TNV11" s="87"/>
      <c r="TNW11" s="87"/>
      <c r="TNX11" s="87"/>
      <c r="TNY11" s="87"/>
      <c r="TNZ11" s="87"/>
      <c r="TOA11" s="87"/>
      <c r="TOB11" s="87"/>
      <c r="TOC11" s="87"/>
      <c r="TOD11" s="87"/>
      <c r="TOE11" s="87"/>
      <c r="TOF11" s="87"/>
      <c r="TOG11" s="87"/>
      <c r="TOH11" s="87"/>
      <c r="TOI11" s="87"/>
      <c r="TOJ11" s="87"/>
      <c r="TOK11" s="87"/>
      <c r="TOL11" s="87"/>
      <c r="TOM11" s="87"/>
      <c r="TON11" s="87"/>
      <c r="TOO11" s="87"/>
      <c r="TOP11" s="87"/>
      <c r="TOQ11" s="87"/>
      <c r="TOR11" s="87"/>
      <c r="TOS11" s="87"/>
      <c r="TOT11" s="87"/>
      <c r="TOU11" s="87"/>
      <c r="TOV11" s="87"/>
      <c r="TOW11" s="87"/>
      <c r="TOX11" s="87"/>
      <c r="TOY11" s="87"/>
      <c r="TOZ11" s="87"/>
      <c r="TPA11" s="87"/>
      <c r="TPB11" s="87"/>
      <c r="TPC11" s="87"/>
      <c r="TPD11" s="87"/>
      <c r="TPE11" s="87"/>
      <c r="TPF11" s="87"/>
      <c r="TPG11" s="87"/>
      <c r="TPH11" s="87"/>
      <c r="TPI11" s="87"/>
      <c r="TPJ11" s="87"/>
      <c r="TPK11" s="87"/>
      <c r="TPL11" s="87"/>
      <c r="TPM11" s="87"/>
      <c r="TPN11" s="87"/>
      <c r="TPO11" s="87"/>
      <c r="TPP11" s="87"/>
      <c r="TPQ11" s="87"/>
      <c r="TPR11" s="87"/>
      <c r="TPS11" s="87"/>
      <c r="TPT11" s="87"/>
      <c r="TPU11" s="87"/>
      <c r="TPV11" s="87"/>
      <c r="TPW11" s="87"/>
      <c r="TPX11" s="87"/>
      <c r="TPY11" s="87"/>
      <c r="TPZ11" s="87"/>
      <c r="TQA11" s="87"/>
      <c r="TQB11" s="87"/>
      <c r="TQC11" s="87"/>
      <c r="TQD11" s="87"/>
      <c r="TQE11" s="87"/>
      <c r="TQF11" s="87"/>
      <c r="TQG11" s="87"/>
      <c r="TQH11" s="87"/>
      <c r="TQI11" s="87"/>
      <c r="TQJ11" s="87"/>
      <c r="TQK11" s="87"/>
      <c r="TQL11" s="87"/>
      <c r="TQM11" s="87"/>
      <c r="TQN11" s="87"/>
      <c r="TQO11" s="87"/>
      <c r="TQP11" s="87"/>
      <c r="TQQ11" s="87"/>
      <c r="TQR11" s="87"/>
      <c r="TQS11" s="87"/>
      <c r="TQT11" s="87"/>
      <c r="TQU11" s="87"/>
      <c r="TQV11" s="87"/>
      <c r="TQW11" s="87"/>
      <c r="TQX11" s="87"/>
      <c r="TQY11" s="87"/>
      <c r="TQZ11" s="87"/>
      <c r="TRA11" s="87"/>
      <c r="TRB11" s="87"/>
      <c r="TRC11" s="87"/>
      <c r="TRD11" s="87"/>
      <c r="TRE11" s="87"/>
      <c r="TRF11" s="87"/>
      <c r="TRG11" s="87"/>
      <c r="TRH11" s="87"/>
      <c r="TRI11" s="87"/>
      <c r="TRJ11" s="87"/>
      <c r="TRK11" s="87"/>
      <c r="TRL11" s="87"/>
      <c r="TRM11" s="87"/>
      <c r="TRN11" s="87"/>
      <c r="TRO11" s="87"/>
      <c r="TRP11" s="87"/>
      <c r="TRQ11" s="87"/>
      <c r="TRR11" s="87"/>
      <c r="TRS11" s="87"/>
      <c r="TRT11" s="87"/>
      <c r="TRU11" s="87"/>
      <c r="TRV11" s="87"/>
      <c r="TRW11" s="87"/>
      <c r="TRX11" s="87"/>
      <c r="TRY11" s="87"/>
      <c r="TRZ11" s="87"/>
      <c r="TSA11" s="87"/>
      <c r="TSB11" s="87"/>
      <c r="TSC11" s="87"/>
      <c r="TSD11" s="87"/>
      <c r="TSE11" s="87"/>
      <c r="TSF11" s="87"/>
      <c r="TSG11" s="87"/>
      <c r="TSH11" s="87"/>
      <c r="TSI11" s="87"/>
      <c r="TSJ11" s="87"/>
      <c r="TSK11" s="87"/>
      <c r="TSL11" s="87"/>
      <c r="TSM11" s="87"/>
      <c r="TSN11" s="87"/>
      <c r="TSO11" s="87"/>
      <c r="TSP11" s="87"/>
      <c r="TSQ11" s="87"/>
      <c r="TSR11" s="87"/>
      <c r="TSS11" s="87"/>
      <c r="TST11" s="87"/>
      <c r="TSU11" s="87"/>
      <c r="TSV11" s="87"/>
      <c r="TSW11" s="87"/>
      <c r="TSX11" s="87"/>
      <c r="TSY11" s="87"/>
      <c r="TSZ11" s="87"/>
      <c r="TTA11" s="87"/>
      <c r="TTB11" s="87"/>
      <c r="TTC11" s="87"/>
      <c r="TTD11" s="87"/>
      <c r="TTE11" s="87"/>
      <c r="TTF11" s="87"/>
      <c r="TTG11" s="87"/>
      <c r="TTH11" s="87"/>
      <c r="TTI11" s="87"/>
      <c r="TTJ11" s="87"/>
      <c r="TTK11" s="87"/>
      <c r="TTL11" s="87"/>
      <c r="TTM11" s="87"/>
      <c r="TTN11" s="87"/>
      <c r="TTO11" s="87"/>
      <c r="TTP11" s="87"/>
      <c r="TTQ11" s="87"/>
      <c r="TTR11" s="87"/>
      <c r="TTS11" s="87"/>
      <c r="TTT11" s="87"/>
      <c r="TTU11" s="87"/>
      <c r="TTV11" s="87"/>
      <c r="TTW11" s="87"/>
      <c r="TTX11" s="87"/>
      <c r="TTY11" s="87"/>
      <c r="TTZ11" s="87"/>
      <c r="TUA11" s="87"/>
      <c r="TUB11" s="87"/>
      <c r="TUC11" s="87"/>
      <c r="TUD11" s="87"/>
      <c r="TUE11" s="87"/>
      <c r="TUF11" s="87"/>
      <c r="TUG11" s="87"/>
      <c r="TUH11" s="87"/>
      <c r="TUI11" s="87"/>
      <c r="TUJ11" s="87"/>
      <c r="TUK11" s="87"/>
      <c r="TUL11" s="87"/>
      <c r="TUM11" s="87"/>
      <c r="TUN11" s="87"/>
      <c r="TUO11" s="87"/>
      <c r="TUP11" s="87"/>
      <c r="TUQ11" s="87"/>
      <c r="TUR11" s="87"/>
      <c r="TUS11" s="87"/>
      <c r="TUT11" s="87"/>
      <c r="TUU11" s="87"/>
      <c r="TUV11" s="87"/>
      <c r="TUW11" s="87"/>
      <c r="TUX11" s="87"/>
      <c r="TUY11" s="87"/>
      <c r="TUZ11" s="87"/>
      <c r="TVA11" s="87"/>
      <c r="TVB11" s="87"/>
      <c r="TVC11" s="87"/>
      <c r="TVD11" s="87"/>
      <c r="TVE11" s="87"/>
      <c r="TVF11" s="87"/>
      <c r="TVG11" s="87"/>
      <c r="TVH11" s="87"/>
      <c r="TVI11" s="87"/>
      <c r="TVJ11" s="87"/>
      <c r="TVK11" s="87"/>
      <c r="TVL11" s="87"/>
      <c r="TVM11" s="87"/>
      <c r="TVN11" s="87"/>
      <c r="TVO11" s="87"/>
      <c r="TVP11" s="87"/>
      <c r="TVQ11" s="87"/>
      <c r="TVR11" s="87"/>
      <c r="TVS11" s="87"/>
      <c r="TVT11" s="87"/>
      <c r="TVU11" s="87"/>
      <c r="TVV11" s="87"/>
      <c r="TVW11" s="87"/>
      <c r="TVX11" s="87"/>
      <c r="TVY11" s="87"/>
      <c r="TVZ11" s="87"/>
      <c r="TWA11" s="87"/>
      <c r="TWB11" s="87"/>
      <c r="TWC11" s="87"/>
      <c r="TWD11" s="87"/>
      <c r="TWE11" s="87"/>
      <c r="TWF11" s="87"/>
      <c r="TWG11" s="87"/>
      <c r="TWH11" s="87"/>
      <c r="TWI11" s="87"/>
      <c r="TWJ11" s="87"/>
      <c r="TWK11" s="87"/>
      <c r="TWL11" s="87"/>
      <c r="TWM11" s="87"/>
      <c r="TWN11" s="87"/>
      <c r="TWO11" s="87"/>
      <c r="TWP11" s="87"/>
      <c r="TWQ11" s="87"/>
      <c r="TWR11" s="87"/>
      <c r="TWS11" s="87"/>
      <c r="TWT11" s="87"/>
      <c r="TWU11" s="87"/>
      <c r="TWV11" s="87"/>
      <c r="TWW11" s="87"/>
      <c r="TWX11" s="87"/>
      <c r="TWY11" s="87"/>
      <c r="TWZ11" s="87"/>
      <c r="TXA11" s="87"/>
      <c r="TXB11" s="87"/>
      <c r="TXC11" s="87"/>
      <c r="TXD11" s="87"/>
      <c r="TXE11" s="87"/>
      <c r="TXF11" s="87"/>
      <c r="TXG11" s="87"/>
      <c r="TXH11" s="87"/>
      <c r="TXI11" s="87"/>
      <c r="TXJ11" s="87"/>
      <c r="TXK11" s="87"/>
      <c r="TXL11" s="87"/>
      <c r="TXM11" s="87"/>
      <c r="TXN11" s="87"/>
      <c r="TXO11" s="87"/>
      <c r="TXP11" s="87"/>
      <c r="TXQ11" s="87"/>
      <c r="TXR11" s="87"/>
      <c r="TXS11" s="87"/>
      <c r="TXT11" s="87"/>
      <c r="TXU11" s="87"/>
      <c r="TXV11" s="87"/>
      <c r="TXW11" s="87"/>
      <c r="TXX11" s="87"/>
      <c r="TXY11" s="87"/>
      <c r="TXZ11" s="87"/>
      <c r="TYA11" s="87"/>
      <c r="TYB11" s="87"/>
      <c r="TYC11" s="87"/>
      <c r="TYD11" s="87"/>
      <c r="TYE11" s="87"/>
      <c r="TYF11" s="87"/>
      <c r="TYG11" s="87"/>
      <c r="TYH11" s="87"/>
      <c r="TYI11" s="87"/>
      <c r="TYJ11" s="87"/>
      <c r="TYK11" s="87"/>
      <c r="TYL11" s="87"/>
      <c r="TYM11" s="87"/>
      <c r="TYN11" s="87"/>
      <c r="TYO11" s="87"/>
      <c r="TYP11" s="87"/>
      <c r="TYQ11" s="87"/>
      <c r="TYR11" s="87"/>
      <c r="TYS11" s="87"/>
      <c r="TYT11" s="87"/>
      <c r="TYU11" s="87"/>
      <c r="TYV11" s="87"/>
      <c r="TYW11" s="87"/>
      <c r="TYX11" s="87"/>
      <c r="TYY11" s="87"/>
      <c r="TYZ11" s="87"/>
      <c r="TZA11" s="87"/>
      <c r="TZB11" s="87"/>
      <c r="TZC11" s="87"/>
      <c r="TZD11" s="87"/>
      <c r="TZE11" s="87"/>
      <c r="TZF11" s="87"/>
      <c r="TZG11" s="87"/>
      <c r="TZH11" s="87"/>
      <c r="TZI11" s="87"/>
      <c r="TZJ11" s="87"/>
      <c r="TZK11" s="87"/>
      <c r="TZL11" s="87"/>
      <c r="TZM11" s="87"/>
      <c r="TZN11" s="87"/>
      <c r="TZO11" s="87"/>
      <c r="TZP11" s="87"/>
      <c r="TZQ11" s="87"/>
      <c r="TZR11" s="87"/>
      <c r="TZS11" s="87"/>
      <c r="TZT11" s="87"/>
      <c r="TZU11" s="87"/>
      <c r="TZV11" s="87"/>
      <c r="TZW11" s="87"/>
      <c r="TZX11" s="87"/>
      <c r="TZY11" s="87"/>
      <c r="TZZ11" s="87"/>
      <c r="UAA11" s="87"/>
      <c r="UAB11" s="87"/>
      <c r="UAC11" s="87"/>
      <c r="UAD11" s="87"/>
      <c r="UAE11" s="87"/>
      <c r="UAF11" s="87"/>
      <c r="UAG11" s="87"/>
      <c r="UAH11" s="87"/>
      <c r="UAI11" s="87"/>
      <c r="UAJ11" s="87"/>
      <c r="UAK11" s="87"/>
      <c r="UAL11" s="87"/>
      <c r="UAM11" s="87"/>
      <c r="UAN11" s="87"/>
      <c r="UAO11" s="87"/>
      <c r="UAP11" s="87"/>
      <c r="UAQ11" s="87"/>
      <c r="UAR11" s="87"/>
      <c r="UAS11" s="87"/>
      <c r="UAT11" s="87"/>
      <c r="UAU11" s="87"/>
      <c r="UAV11" s="87"/>
      <c r="UAW11" s="87"/>
      <c r="UAX11" s="87"/>
      <c r="UAY11" s="87"/>
      <c r="UAZ11" s="87"/>
      <c r="UBA11" s="87"/>
      <c r="UBB11" s="87"/>
      <c r="UBC11" s="87"/>
      <c r="UBD11" s="87"/>
      <c r="UBE11" s="87"/>
      <c r="UBF11" s="87"/>
      <c r="UBG11" s="87"/>
      <c r="UBH11" s="87"/>
      <c r="UBI11" s="87"/>
      <c r="UBJ11" s="87"/>
      <c r="UBK11" s="87"/>
      <c r="UBL11" s="87"/>
      <c r="UBM11" s="87"/>
      <c r="UBN11" s="87"/>
      <c r="UBO11" s="87"/>
      <c r="UBP11" s="87"/>
      <c r="UBQ11" s="87"/>
      <c r="UBR11" s="87"/>
      <c r="UBS11" s="87"/>
      <c r="UBT11" s="87"/>
      <c r="UBU11" s="87"/>
      <c r="UBV11" s="87"/>
      <c r="UBW11" s="87"/>
      <c r="UBX11" s="87"/>
      <c r="UBY11" s="87"/>
      <c r="UBZ11" s="87"/>
      <c r="UCA11" s="87"/>
      <c r="UCB11" s="87"/>
      <c r="UCC11" s="87"/>
      <c r="UCD11" s="87"/>
      <c r="UCE11" s="87"/>
      <c r="UCF11" s="87"/>
      <c r="UCG11" s="87"/>
      <c r="UCH11" s="87"/>
      <c r="UCI11" s="87"/>
      <c r="UCJ11" s="87"/>
      <c r="UCK11" s="87"/>
      <c r="UCL11" s="87"/>
      <c r="UCM11" s="87"/>
      <c r="UCN11" s="87"/>
      <c r="UCO11" s="87"/>
      <c r="UCP11" s="87"/>
      <c r="UCQ11" s="87"/>
      <c r="UCR11" s="87"/>
      <c r="UCS11" s="87"/>
      <c r="UCT11" s="87"/>
      <c r="UCU11" s="87"/>
      <c r="UCV11" s="87"/>
      <c r="UCW11" s="87"/>
      <c r="UCX11" s="87"/>
      <c r="UCY11" s="87"/>
      <c r="UCZ11" s="87"/>
      <c r="UDA11" s="87"/>
      <c r="UDB11" s="87"/>
      <c r="UDC11" s="87"/>
      <c r="UDD11" s="87"/>
      <c r="UDE11" s="87"/>
      <c r="UDF11" s="87"/>
      <c r="UDG11" s="87"/>
      <c r="UDH11" s="87"/>
      <c r="UDI11" s="87"/>
      <c r="UDJ11" s="87"/>
      <c r="UDK11" s="87"/>
      <c r="UDL11" s="87"/>
      <c r="UDM11" s="87"/>
      <c r="UDN11" s="87"/>
      <c r="UDO11" s="87"/>
      <c r="UDP11" s="87"/>
      <c r="UDQ11" s="87"/>
      <c r="UDR11" s="87"/>
      <c r="UDS11" s="87"/>
      <c r="UDT11" s="87"/>
      <c r="UDU11" s="87"/>
      <c r="UDV11" s="87"/>
      <c r="UDW11" s="87"/>
      <c r="UDX11" s="87"/>
      <c r="UDY11" s="87"/>
      <c r="UDZ11" s="87"/>
      <c r="UEA11" s="87"/>
      <c r="UEB11" s="87"/>
      <c r="UEC11" s="87"/>
      <c r="UED11" s="87"/>
      <c r="UEE11" s="87"/>
      <c r="UEF11" s="87"/>
      <c r="UEG11" s="87"/>
      <c r="UEH11" s="87"/>
      <c r="UEI11" s="87"/>
      <c r="UEJ11" s="87"/>
      <c r="UEK11" s="87"/>
      <c r="UEL11" s="87"/>
      <c r="UEM11" s="87"/>
      <c r="UEN11" s="87"/>
      <c r="UEO11" s="87"/>
      <c r="UEP11" s="87"/>
      <c r="UEQ11" s="87"/>
      <c r="UER11" s="87"/>
      <c r="UES11" s="87"/>
      <c r="UET11" s="87"/>
      <c r="UEU11" s="87"/>
      <c r="UEV11" s="87"/>
      <c r="UEW11" s="87"/>
      <c r="UEX11" s="87"/>
      <c r="UEY11" s="87"/>
      <c r="UEZ11" s="87"/>
      <c r="UFA11" s="87"/>
      <c r="UFB11" s="87"/>
      <c r="UFC11" s="87"/>
      <c r="UFD11" s="87"/>
      <c r="UFE11" s="87"/>
      <c r="UFF11" s="87"/>
      <c r="UFG11" s="87"/>
      <c r="UFH11" s="87"/>
      <c r="UFI11" s="87"/>
      <c r="UFJ11" s="87"/>
      <c r="UFK11" s="87"/>
      <c r="UFL11" s="87"/>
      <c r="UFM11" s="87"/>
      <c r="UFN11" s="87"/>
      <c r="UFO11" s="87"/>
      <c r="UFP11" s="87"/>
      <c r="UFQ11" s="87"/>
      <c r="UFR11" s="87"/>
      <c r="UFS11" s="87"/>
      <c r="UFT11" s="87"/>
      <c r="UFU11" s="87"/>
      <c r="UFV11" s="87"/>
      <c r="UFW11" s="87"/>
      <c r="UFX11" s="87"/>
      <c r="UFY11" s="87"/>
      <c r="UFZ11" s="87"/>
      <c r="UGA11" s="87"/>
      <c r="UGB11" s="87"/>
      <c r="UGC11" s="87"/>
      <c r="UGD11" s="87"/>
      <c r="UGE11" s="87"/>
      <c r="UGF11" s="87"/>
      <c r="UGG11" s="87"/>
      <c r="UGH11" s="87"/>
      <c r="UGI11" s="87"/>
      <c r="UGJ11" s="87"/>
      <c r="UGK11" s="87"/>
      <c r="UGL11" s="87"/>
      <c r="UGM11" s="87"/>
      <c r="UGN11" s="87"/>
      <c r="UGO11" s="87"/>
      <c r="UGP11" s="87"/>
      <c r="UGQ11" s="87"/>
      <c r="UGR11" s="87"/>
      <c r="UGS11" s="87"/>
      <c r="UGT11" s="87"/>
      <c r="UGU11" s="87"/>
      <c r="UGV11" s="87"/>
      <c r="UGW11" s="87"/>
      <c r="UGX11" s="87"/>
      <c r="UGY11" s="87"/>
      <c r="UGZ11" s="87"/>
      <c r="UHA11" s="87"/>
      <c r="UHB11" s="87"/>
      <c r="UHC11" s="87"/>
      <c r="UHD11" s="87"/>
      <c r="UHE11" s="87"/>
      <c r="UHF11" s="87"/>
      <c r="UHG11" s="87"/>
      <c r="UHH11" s="87"/>
      <c r="UHI11" s="87"/>
      <c r="UHJ11" s="87"/>
      <c r="UHK11" s="87"/>
      <c r="UHL11" s="87"/>
      <c r="UHM11" s="87"/>
      <c r="UHN11" s="87"/>
      <c r="UHO11" s="87"/>
      <c r="UHP11" s="87"/>
      <c r="UHQ11" s="87"/>
      <c r="UHR11" s="87"/>
      <c r="UHS11" s="87"/>
      <c r="UHT11" s="87"/>
      <c r="UHU11" s="87"/>
      <c r="UHV11" s="87"/>
      <c r="UHW11" s="87"/>
      <c r="UHX11" s="87"/>
      <c r="UHY11" s="87"/>
      <c r="UHZ11" s="87"/>
      <c r="UIA11" s="87"/>
      <c r="UIB11" s="87"/>
      <c r="UIC11" s="87"/>
      <c r="UID11" s="87"/>
      <c r="UIE11" s="87"/>
      <c r="UIF11" s="87"/>
      <c r="UIG11" s="87"/>
      <c r="UIH11" s="87"/>
      <c r="UII11" s="87"/>
      <c r="UIJ11" s="87"/>
      <c r="UIK11" s="87"/>
      <c r="UIL11" s="87"/>
      <c r="UIM11" s="87"/>
      <c r="UIN11" s="87"/>
      <c r="UIO11" s="87"/>
      <c r="UIP11" s="87"/>
      <c r="UIQ11" s="87"/>
      <c r="UIR11" s="87"/>
      <c r="UIS11" s="87"/>
      <c r="UIT11" s="87"/>
      <c r="UIU11" s="87"/>
      <c r="UIV11" s="87"/>
      <c r="UIW11" s="87"/>
      <c r="UIX11" s="87"/>
      <c r="UIY11" s="87"/>
      <c r="UIZ11" s="87"/>
      <c r="UJA11" s="87"/>
      <c r="UJB11" s="87"/>
      <c r="UJC11" s="87"/>
      <c r="UJD11" s="87"/>
      <c r="UJE11" s="87"/>
      <c r="UJF11" s="87"/>
      <c r="UJG11" s="87"/>
      <c r="UJH11" s="87"/>
      <c r="UJI11" s="87"/>
      <c r="UJJ11" s="87"/>
      <c r="UJK11" s="87"/>
      <c r="UJL11" s="87"/>
      <c r="UJM11" s="87"/>
      <c r="UJN11" s="87"/>
      <c r="UJO11" s="87"/>
      <c r="UJP11" s="87"/>
      <c r="UJQ11" s="87"/>
      <c r="UJR11" s="87"/>
      <c r="UJS11" s="87"/>
      <c r="UJT11" s="87"/>
      <c r="UJU11" s="87"/>
      <c r="UJV11" s="87"/>
      <c r="UJW11" s="87"/>
      <c r="UJX11" s="87"/>
      <c r="UJY11" s="87"/>
      <c r="UJZ11" s="87"/>
      <c r="UKA11" s="87"/>
      <c r="UKB11" s="87"/>
      <c r="UKC11" s="87"/>
      <c r="UKD11" s="87"/>
      <c r="UKE11" s="87"/>
      <c r="UKF11" s="87"/>
      <c r="UKG11" s="87"/>
      <c r="UKH11" s="87"/>
      <c r="UKI11" s="87"/>
      <c r="UKJ11" s="87"/>
      <c r="UKK11" s="87"/>
      <c r="UKL11" s="87"/>
      <c r="UKM11" s="87"/>
      <c r="UKN11" s="87"/>
      <c r="UKO11" s="87"/>
      <c r="UKP11" s="87"/>
      <c r="UKQ11" s="87"/>
      <c r="UKR11" s="87"/>
      <c r="UKS11" s="87"/>
      <c r="UKT11" s="87"/>
      <c r="UKU11" s="87"/>
      <c r="UKV11" s="87"/>
      <c r="UKW11" s="87"/>
      <c r="UKX11" s="87"/>
      <c r="UKY11" s="87"/>
      <c r="UKZ11" s="87"/>
      <c r="ULA11" s="87"/>
      <c r="ULB11" s="87"/>
      <c r="ULC11" s="87"/>
      <c r="ULD11" s="87"/>
      <c r="ULE11" s="87"/>
      <c r="ULF11" s="87"/>
      <c r="ULG11" s="87"/>
      <c r="ULH11" s="87"/>
      <c r="ULI11" s="87"/>
      <c r="ULJ11" s="87"/>
      <c r="ULK11" s="87"/>
      <c r="ULL11" s="87"/>
      <c r="ULM11" s="87"/>
      <c r="ULN11" s="87"/>
      <c r="ULO11" s="87"/>
      <c r="ULP11" s="87"/>
      <c r="ULQ11" s="87"/>
      <c r="ULR11" s="87"/>
      <c r="ULS11" s="87"/>
      <c r="ULT11" s="87"/>
      <c r="ULU11" s="87"/>
      <c r="ULV11" s="87"/>
      <c r="ULW11" s="87"/>
      <c r="ULX11" s="87"/>
      <c r="ULY11" s="87"/>
      <c r="ULZ11" s="87"/>
      <c r="UMA11" s="87"/>
      <c r="UMB11" s="87"/>
      <c r="UMC11" s="87"/>
      <c r="UMD11" s="87"/>
      <c r="UME11" s="87"/>
      <c r="UMF11" s="87"/>
      <c r="UMG11" s="87"/>
      <c r="UMH11" s="87"/>
      <c r="UMI11" s="87"/>
      <c r="UMJ11" s="87"/>
      <c r="UMK11" s="87"/>
      <c r="UML11" s="87"/>
      <c r="UMM11" s="87"/>
      <c r="UMN11" s="87"/>
      <c r="UMO11" s="87"/>
      <c r="UMP11" s="87"/>
      <c r="UMQ11" s="87"/>
      <c r="UMR11" s="87"/>
      <c r="UMS11" s="87"/>
      <c r="UMT11" s="87"/>
      <c r="UMU11" s="87"/>
      <c r="UMV11" s="87"/>
      <c r="UMW11" s="87"/>
      <c r="UMX11" s="87"/>
      <c r="UMY11" s="87"/>
      <c r="UMZ11" s="87"/>
      <c r="UNA11" s="87"/>
      <c r="UNB11" s="87"/>
      <c r="UNC11" s="87"/>
      <c r="UND11" s="87"/>
      <c r="UNE11" s="87"/>
      <c r="UNF11" s="87"/>
      <c r="UNG11" s="87"/>
      <c r="UNH11" s="87"/>
      <c r="UNI11" s="87"/>
      <c r="UNJ11" s="87"/>
      <c r="UNK11" s="87"/>
      <c r="UNL11" s="87"/>
      <c r="UNM11" s="87"/>
      <c r="UNN11" s="87"/>
      <c r="UNO11" s="87"/>
      <c r="UNP11" s="87"/>
      <c r="UNQ11" s="87"/>
      <c r="UNR11" s="87"/>
      <c r="UNS11" s="87"/>
      <c r="UNT11" s="87"/>
      <c r="UNU11" s="87"/>
      <c r="UNV11" s="87"/>
      <c r="UNW11" s="87"/>
      <c r="UNX11" s="87"/>
      <c r="UNY11" s="87"/>
      <c r="UNZ11" s="87"/>
      <c r="UOA11" s="87"/>
      <c r="UOB11" s="87"/>
      <c r="UOC11" s="87"/>
      <c r="UOD11" s="87"/>
      <c r="UOE11" s="87"/>
      <c r="UOF11" s="87"/>
      <c r="UOG11" s="87"/>
      <c r="UOH11" s="87"/>
      <c r="UOI11" s="87"/>
      <c r="UOJ11" s="87"/>
      <c r="UOK11" s="87"/>
      <c r="UOL11" s="87"/>
      <c r="UOM11" s="87"/>
      <c r="UON11" s="87"/>
      <c r="UOO11" s="87"/>
      <c r="UOP11" s="87"/>
      <c r="UOQ11" s="87"/>
      <c r="UOR11" s="87"/>
      <c r="UOS11" s="87"/>
      <c r="UOT11" s="87"/>
      <c r="UOU11" s="87"/>
      <c r="UOV11" s="87"/>
      <c r="UOW11" s="87"/>
      <c r="UOX11" s="87"/>
      <c r="UOY11" s="87"/>
      <c r="UOZ11" s="87"/>
      <c r="UPA11" s="87"/>
      <c r="UPB11" s="87"/>
      <c r="UPC11" s="87"/>
      <c r="UPD11" s="87"/>
      <c r="UPE11" s="87"/>
      <c r="UPF11" s="87"/>
      <c r="UPG11" s="87"/>
      <c r="UPH11" s="87"/>
      <c r="UPI11" s="87"/>
      <c r="UPJ11" s="87"/>
      <c r="UPK11" s="87"/>
      <c r="UPL11" s="87"/>
      <c r="UPM11" s="87"/>
      <c r="UPN11" s="87"/>
      <c r="UPO11" s="87"/>
      <c r="UPP11" s="87"/>
      <c r="UPQ11" s="87"/>
      <c r="UPR11" s="87"/>
      <c r="UPS11" s="87"/>
      <c r="UPT11" s="87"/>
      <c r="UPU11" s="87"/>
      <c r="UPV11" s="87"/>
      <c r="UPW11" s="87"/>
      <c r="UPX11" s="87"/>
      <c r="UPY11" s="87"/>
      <c r="UPZ11" s="87"/>
      <c r="UQA11" s="87"/>
      <c r="UQB11" s="87"/>
      <c r="UQC11" s="87"/>
      <c r="UQD11" s="87"/>
      <c r="UQE11" s="87"/>
      <c r="UQF11" s="87"/>
      <c r="UQG11" s="87"/>
      <c r="UQH11" s="87"/>
      <c r="UQI11" s="87"/>
      <c r="UQJ11" s="87"/>
      <c r="UQK11" s="87"/>
      <c r="UQL11" s="87"/>
      <c r="UQM11" s="87"/>
      <c r="UQN11" s="87"/>
      <c r="UQO11" s="87"/>
      <c r="UQP11" s="87"/>
      <c r="UQQ11" s="87"/>
      <c r="UQR11" s="87"/>
      <c r="UQS11" s="87"/>
      <c r="UQT11" s="87"/>
      <c r="UQU11" s="87"/>
      <c r="UQV11" s="87"/>
      <c r="UQW11" s="87"/>
      <c r="UQX11" s="87"/>
      <c r="UQY11" s="87"/>
      <c r="UQZ11" s="87"/>
      <c r="URA11" s="87"/>
      <c r="URB11" s="87"/>
      <c r="URC11" s="87"/>
      <c r="URD11" s="87"/>
      <c r="URE11" s="87"/>
      <c r="URF11" s="87"/>
      <c r="URG11" s="87"/>
      <c r="URH11" s="87"/>
      <c r="URI11" s="87"/>
      <c r="URJ11" s="87"/>
      <c r="URK11" s="87"/>
      <c r="URL11" s="87"/>
      <c r="URM11" s="87"/>
      <c r="URN11" s="87"/>
      <c r="URO11" s="87"/>
      <c r="URP11" s="87"/>
      <c r="URQ11" s="87"/>
      <c r="URR11" s="87"/>
      <c r="URS11" s="87"/>
      <c r="URT11" s="87"/>
      <c r="URU11" s="87"/>
      <c r="URV11" s="87"/>
      <c r="URW11" s="87"/>
      <c r="URX11" s="87"/>
      <c r="URY11" s="87"/>
      <c r="URZ11" s="87"/>
      <c r="USA11" s="87"/>
      <c r="USB11" s="87"/>
      <c r="USC11" s="87"/>
      <c r="USD11" s="87"/>
      <c r="USE11" s="87"/>
      <c r="USF11" s="87"/>
      <c r="USG11" s="87"/>
      <c r="USH11" s="87"/>
      <c r="USI11" s="87"/>
      <c r="USJ11" s="87"/>
      <c r="USK11" s="87"/>
      <c r="USL11" s="87"/>
      <c r="USM11" s="87"/>
      <c r="USN11" s="87"/>
      <c r="USO11" s="87"/>
      <c r="USP11" s="87"/>
      <c r="USQ11" s="87"/>
      <c r="USR11" s="87"/>
      <c r="USS11" s="87"/>
      <c r="UST11" s="87"/>
      <c r="USU11" s="87"/>
      <c r="USV11" s="87"/>
      <c r="USW11" s="87"/>
      <c r="USX11" s="87"/>
      <c r="USY11" s="87"/>
      <c r="USZ11" s="87"/>
      <c r="UTA11" s="87"/>
      <c r="UTB11" s="87"/>
      <c r="UTC11" s="87"/>
      <c r="UTD11" s="87"/>
      <c r="UTE11" s="87"/>
      <c r="UTF11" s="87"/>
      <c r="UTG11" s="87"/>
      <c r="UTH11" s="87"/>
      <c r="UTI11" s="87"/>
      <c r="UTJ11" s="87"/>
      <c r="UTK11" s="87"/>
      <c r="UTL11" s="87"/>
      <c r="UTM11" s="87"/>
      <c r="UTN11" s="87"/>
      <c r="UTO11" s="87"/>
      <c r="UTP11" s="87"/>
      <c r="UTQ11" s="87"/>
      <c r="UTR11" s="87"/>
      <c r="UTS11" s="87"/>
      <c r="UTT11" s="87"/>
      <c r="UTU11" s="87"/>
      <c r="UTV11" s="87"/>
      <c r="UTW11" s="87"/>
      <c r="UTX11" s="87"/>
      <c r="UTY11" s="87"/>
      <c r="UTZ11" s="87"/>
      <c r="UUA11" s="87"/>
      <c r="UUB11" s="87"/>
      <c r="UUC11" s="87"/>
      <c r="UUD11" s="87"/>
      <c r="UUE11" s="87"/>
      <c r="UUF11" s="87"/>
      <c r="UUG11" s="87"/>
      <c r="UUH11" s="87"/>
      <c r="UUI11" s="87"/>
      <c r="UUJ11" s="87"/>
      <c r="UUK11" s="87"/>
      <c r="UUL11" s="87"/>
      <c r="UUM11" s="87"/>
      <c r="UUN11" s="87"/>
      <c r="UUO11" s="87"/>
      <c r="UUP11" s="87"/>
      <c r="UUQ11" s="87"/>
      <c r="UUR11" s="87"/>
      <c r="UUS11" s="87"/>
      <c r="UUT11" s="87"/>
      <c r="UUU11" s="87"/>
      <c r="UUV11" s="87"/>
      <c r="UUW11" s="87"/>
      <c r="UUX11" s="87"/>
      <c r="UUY11" s="87"/>
      <c r="UUZ11" s="87"/>
      <c r="UVA11" s="87"/>
      <c r="UVB11" s="87"/>
      <c r="UVC11" s="87"/>
      <c r="UVD11" s="87"/>
      <c r="UVE11" s="87"/>
      <c r="UVF11" s="87"/>
      <c r="UVG11" s="87"/>
      <c r="UVH11" s="87"/>
      <c r="UVI11" s="87"/>
      <c r="UVJ11" s="87"/>
      <c r="UVK11" s="87"/>
      <c r="UVL11" s="87"/>
      <c r="UVM11" s="87"/>
      <c r="UVN11" s="87"/>
      <c r="UVO11" s="87"/>
      <c r="UVP11" s="87"/>
      <c r="UVQ11" s="87"/>
      <c r="UVR11" s="87"/>
      <c r="UVS11" s="87"/>
      <c r="UVT11" s="87"/>
      <c r="UVU11" s="87"/>
      <c r="UVV11" s="87"/>
      <c r="UVW11" s="87"/>
      <c r="UVX11" s="87"/>
      <c r="UVY11" s="87"/>
      <c r="UVZ11" s="87"/>
      <c r="UWA11" s="87"/>
      <c r="UWB11" s="87"/>
      <c r="UWC11" s="87"/>
      <c r="UWD11" s="87"/>
      <c r="UWE11" s="87"/>
      <c r="UWF11" s="87"/>
      <c r="UWG11" s="87"/>
      <c r="UWH11" s="87"/>
      <c r="UWI11" s="87"/>
      <c r="UWJ11" s="87"/>
      <c r="UWK11" s="87"/>
      <c r="UWL11" s="87"/>
      <c r="UWM11" s="87"/>
      <c r="UWN11" s="87"/>
      <c r="UWO11" s="87"/>
      <c r="UWP11" s="87"/>
      <c r="UWQ11" s="87"/>
      <c r="UWR11" s="87"/>
      <c r="UWS11" s="87"/>
      <c r="UWT11" s="87"/>
      <c r="UWU11" s="87"/>
      <c r="UWV11" s="87"/>
      <c r="UWW11" s="87"/>
      <c r="UWX11" s="87"/>
      <c r="UWY11" s="87"/>
      <c r="UWZ11" s="87"/>
      <c r="UXA11" s="87"/>
      <c r="UXB11" s="87"/>
      <c r="UXC11" s="87"/>
      <c r="UXD11" s="87"/>
      <c r="UXE11" s="87"/>
      <c r="UXF11" s="87"/>
      <c r="UXG11" s="87"/>
      <c r="UXH11" s="87"/>
      <c r="UXI11" s="87"/>
      <c r="UXJ11" s="87"/>
      <c r="UXK11" s="87"/>
      <c r="UXL11" s="87"/>
      <c r="UXM11" s="87"/>
      <c r="UXN11" s="87"/>
      <c r="UXO11" s="87"/>
      <c r="UXP11" s="87"/>
      <c r="UXQ11" s="87"/>
      <c r="UXR11" s="87"/>
      <c r="UXS11" s="87"/>
      <c r="UXT11" s="87"/>
      <c r="UXU11" s="87"/>
      <c r="UXV11" s="87"/>
      <c r="UXW11" s="87"/>
      <c r="UXX11" s="87"/>
      <c r="UXY11" s="87"/>
      <c r="UXZ11" s="87"/>
      <c r="UYA11" s="87"/>
      <c r="UYB11" s="87"/>
      <c r="UYC11" s="87"/>
      <c r="UYD11" s="87"/>
      <c r="UYE11" s="87"/>
      <c r="UYF11" s="87"/>
      <c r="UYG11" s="87"/>
      <c r="UYH11" s="87"/>
      <c r="UYI11" s="87"/>
      <c r="UYJ11" s="87"/>
      <c r="UYK11" s="87"/>
      <c r="UYL11" s="87"/>
      <c r="UYM11" s="87"/>
      <c r="UYN11" s="87"/>
      <c r="UYO11" s="87"/>
      <c r="UYP11" s="87"/>
      <c r="UYQ11" s="87"/>
      <c r="UYR11" s="87"/>
      <c r="UYS11" s="87"/>
      <c r="UYT11" s="87"/>
      <c r="UYU11" s="87"/>
      <c r="UYV11" s="87"/>
      <c r="UYW11" s="87"/>
      <c r="UYX11" s="87"/>
      <c r="UYY11" s="87"/>
      <c r="UYZ11" s="87"/>
      <c r="UZA11" s="87"/>
      <c r="UZB11" s="87"/>
      <c r="UZC11" s="87"/>
      <c r="UZD11" s="87"/>
      <c r="UZE11" s="87"/>
      <c r="UZF11" s="87"/>
      <c r="UZG11" s="87"/>
      <c r="UZH11" s="87"/>
      <c r="UZI11" s="87"/>
      <c r="UZJ11" s="87"/>
      <c r="UZK11" s="87"/>
      <c r="UZL11" s="87"/>
      <c r="UZM11" s="87"/>
      <c r="UZN11" s="87"/>
      <c r="UZO11" s="87"/>
      <c r="UZP11" s="87"/>
      <c r="UZQ11" s="87"/>
      <c r="UZR11" s="87"/>
      <c r="UZS11" s="87"/>
      <c r="UZT11" s="87"/>
      <c r="UZU11" s="87"/>
      <c r="UZV11" s="87"/>
      <c r="UZW11" s="87"/>
      <c r="UZX11" s="87"/>
      <c r="UZY11" s="87"/>
      <c r="UZZ11" s="87"/>
      <c r="VAA11" s="87"/>
      <c r="VAB11" s="87"/>
      <c r="VAC11" s="87"/>
      <c r="VAD11" s="87"/>
      <c r="VAE11" s="87"/>
      <c r="VAF11" s="87"/>
      <c r="VAG11" s="87"/>
      <c r="VAH11" s="87"/>
      <c r="VAI11" s="87"/>
      <c r="VAJ11" s="87"/>
      <c r="VAK11" s="87"/>
      <c r="VAL11" s="87"/>
      <c r="VAM11" s="87"/>
      <c r="VAN11" s="87"/>
      <c r="VAO11" s="87"/>
      <c r="VAP11" s="87"/>
      <c r="VAQ11" s="87"/>
      <c r="VAR11" s="87"/>
      <c r="VAS11" s="87"/>
      <c r="VAT11" s="87"/>
      <c r="VAU11" s="87"/>
      <c r="VAV11" s="87"/>
      <c r="VAW11" s="87"/>
      <c r="VAX11" s="87"/>
      <c r="VAY11" s="87"/>
      <c r="VAZ11" s="87"/>
      <c r="VBA11" s="87"/>
      <c r="VBB11" s="87"/>
      <c r="VBC11" s="87"/>
      <c r="VBD11" s="87"/>
      <c r="VBE11" s="87"/>
      <c r="VBF11" s="87"/>
      <c r="VBG11" s="87"/>
      <c r="VBH11" s="87"/>
      <c r="VBI11" s="87"/>
      <c r="VBJ11" s="87"/>
      <c r="VBK11" s="87"/>
      <c r="VBL11" s="87"/>
      <c r="VBM11" s="87"/>
      <c r="VBN11" s="87"/>
      <c r="VBO11" s="87"/>
      <c r="VBP11" s="87"/>
      <c r="VBQ11" s="87"/>
      <c r="VBR11" s="87"/>
      <c r="VBS11" s="87"/>
      <c r="VBT11" s="87"/>
      <c r="VBU11" s="87"/>
      <c r="VBV11" s="87"/>
      <c r="VBW11" s="87"/>
      <c r="VBX11" s="87"/>
      <c r="VBY11" s="87"/>
      <c r="VBZ11" s="87"/>
      <c r="VCA11" s="87"/>
      <c r="VCB11" s="87"/>
      <c r="VCC11" s="87"/>
      <c r="VCD11" s="87"/>
      <c r="VCE11" s="87"/>
      <c r="VCF11" s="87"/>
      <c r="VCG11" s="87"/>
      <c r="VCH11" s="87"/>
      <c r="VCI11" s="87"/>
      <c r="VCJ11" s="87"/>
      <c r="VCK11" s="87"/>
      <c r="VCL11" s="87"/>
      <c r="VCM11" s="87"/>
      <c r="VCN11" s="87"/>
      <c r="VCO11" s="87"/>
      <c r="VCP11" s="87"/>
      <c r="VCQ11" s="87"/>
      <c r="VCR11" s="87"/>
      <c r="VCS11" s="87"/>
      <c r="VCT11" s="87"/>
      <c r="VCU11" s="87"/>
      <c r="VCV11" s="87"/>
      <c r="VCW11" s="87"/>
      <c r="VCX11" s="87"/>
      <c r="VCY11" s="87"/>
      <c r="VCZ11" s="87"/>
      <c r="VDA11" s="87"/>
      <c r="VDB11" s="87"/>
      <c r="VDC11" s="87"/>
      <c r="VDD11" s="87"/>
      <c r="VDE11" s="87"/>
      <c r="VDF11" s="87"/>
      <c r="VDG11" s="87"/>
      <c r="VDH11" s="87"/>
      <c r="VDI11" s="87"/>
      <c r="VDJ11" s="87"/>
      <c r="VDK11" s="87"/>
      <c r="VDL11" s="87"/>
      <c r="VDM11" s="87"/>
      <c r="VDN11" s="87"/>
      <c r="VDO11" s="87"/>
      <c r="VDP11" s="87"/>
      <c r="VDQ11" s="87"/>
      <c r="VDR11" s="87"/>
      <c r="VDS11" s="87"/>
      <c r="VDT11" s="87"/>
      <c r="VDU11" s="87"/>
      <c r="VDV11" s="87"/>
      <c r="VDW11" s="87"/>
      <c r="VDX11" s="87"/>
      <c r="VDY11" s="87"/>
      <c r="VDZ11" s="87"/>
      <c r="VEA11" s="87"/>
      <c r="VEB11" s="87"/>
      <c r="VEC11" s="87"/>
      <c r="VED11" s="87"/>
      <c r="VEE11" s="87"/>
      <c r="VEF11" s="87"/>
      <c r="VEG11" s="87"/>
      <c r="VEH11" s="87"/>
      <c r="VEI11" s="87"/>
      <c r="VEJ11" s="87"/>
      <c r="VEK11" s="87"/>
      <c r="VEL11" s="87"/>
      <c r="VEM11" s="87"/>
      <c r="VEN11" s="87"/>
      <c r="VEO11" s="87"/>
      <c r="VEP11" s="87"/>
      <c r="VEQ11" s="87"/>
      <c r="VER11" s="87"/>
      <c r="VES11" s="87"/>
      <c r="VET11" s="87"/>
      <c r="VEU11" s="87"/>
      <c r="VEV11" s="87"/>
      <c r="VEW11" s="87"/>
      <c r="VEX11" s="87"/>
      <c r="VEY11" s="87"/>
      <c r="VEZ11" s="87"/>
      <c r="VFA11" s="87"/>
      <c r="VFB11" s="87"/>
      <c r="VFC11" s="87"/>
      <c r="VFD11" s="87"/>
      <c r="VFE11" s="87"/>
      <c r="VFF11" s="87"/>
      <c r="VFG11" s="87"/>
      <c r="VFH11" s="87"/>
      <c r="VFI11" s="87"/>
      <c r="VFJ11" s="87"/>
      <c r="VFK11" s="87"/>
      <c r="VFL11" s="87"/>
      <c r="VFM11" s="87"/>
      <c r="VFN11" s="87"/>
      <c r="VFO11" s="87"/>
      <c r="VFP11" s="87"/>
      <c r="VFQ11" s="87"/>
      <c r="VFR11" s="87"/>
      <c r="VFS11" s="87"/>
      <c r="VFT11" s="87"/>
      <c r="VFU11" s="87"/>
      <c r="VFV11" s="87"/>
      <c r="VFW11" s="87"/>
      <c r="VFX11" s="87"/>
      <c r="VFY11" s="87"/>
      <c r="VFZ11" s="87"/>
      <c r="VGA11" s="87"/>
      <c r="VGB11" s="87"/>
      <c r="VGC11" s="87"/>
      <c r="VGD11" s="87"/>
      <c r="VGE11" s="87"/>
      <c r="VGF11" s="87"/>
      <c r="VGG11" s="87"/>
      <c r="VGH11" s="87"/>
      <c r="VGI11" s="87"/>
      <c r="VGJ11" s="87"/>
      <c r="VGK11" s="87"/>
      <c r="VGL11" s="87"/>
      <c r="VGM11" s="87"/>
      <c r="VGN11" s="87"/>
      <c r="VGO11" s="87"/>
      <c r="VGP11" s="87"/>
      <c r="VGQ11" s="87"/>
      <c r="VGR11" s="87"/>
      <c r="VGS11" s="87"/>
      <c r="VGT11" s="87"/>
      <c r="VGU11" s="87"/>
      <c r="VGV11" s="87"/>
      <c r="VGW11" s="87"/>
      <c r="VGX11" s="87"/>
      <c r="VGY11" s="87"/>
      <c r="VGZ11" s="87"/>
      <c r="VHA11" s="87"/>
      <c r="VHB11" s="87"/>
      <c r="VHC11" s="87"/>
      <c r="VHD11" s="87"/>
      <c r="VHE11" s="87"/>
      <c r="VHF11" s="87"/>
      <c r="VHG11" s="87"/>
      <c r="VHH11" s="87"/>
      <c r="VHI11" s="87"/>
      <c r="VHJ11" s="87"/>
      <c r="VHK11" s="87"/>
      <c r="VHL11" s="87"/>
      <c r="VHM11" s="87"/>
      <c r="VHN11" s="87"/>
      <c r="VHO11" s="87"/>
      <c r="VHP11" s="87"/>
      <c r="VHQ11" s="87"/>
      <c r="VHR11" s="87"/>
      <c r="VHS11" s="87"/>
      <c r="VHT11" s="87"/>
      <c r="VHU11" s="87"/>
      <c r="VHV11" s="87"/>
      <c r="VHW11" s="87"/>
      <c r="VHX11" s="87"/>
      <c r="VHY11" s="87"/>
      <c r="VHZ11" s="87"/>
      <c r="VIA11" s="87"/>
      <c r="VIB11" s="87"/>
      <c r="VIC11" s="87"/>
      <c r="VID11" s="87"/>
      <c r="VIE11" s="87"/>
      <c r="VIF11" s="87"/>
      <c r="VIG11" s="87"/>
      <c r="VIH11" s="87"/>
      <c r="VII11" s="87"/>
      <c r="VIJ11" s="87"/>
      <c r="VIK11" s="87"/>
      <c r="VIL11" s="87"/>
      <c r="VIM11" s="87"/>
      <c r="VIN11" s="87"/>
      <c r="VIO11" s="87"/>
      <c r="VIP11" s="87"/>
      <c r="VIQ11" s="87"/>
      <c r="VIR11" s="87"/>
      <c r="VIS11" s="87"/>
      <c r="VIT11" s="87"/>
      <c r="VIU11" s="87"/>
      <c r="VIV11" s="87"/>
      <c r="VIW11" s="87"/>
      <c r="VIX11" s="87"/>
      <c r="VIY11" s="87"/>
      <c r="VIZ11" s="87"/>
      <c r="VJA11" s="87"/>
      <c r="VJB11" s="87"/>
      <c r="VJC11" s="87"/>
      <c r="VJD11" s="87"/>
      <c r="VJE11" s="87"/>
      <c r="VJF11" s="87"/>
      <c r="VJG11" s="87"/>
      <c r="VJH11" s="87"/>
      <c r="VJI11" s="87"/>
      <c r="VJJ11" s="87"/>
      <c r="VJK11" s="87"/>
      <c r="VJL11" s="87"/>
      <c r="VJM11" s="87"/>
      <c r="VJN11" s="87"/>
      <c r="VJO11" s="87"/>
      <c r="VJP11" s="87"/>
      <c r="VJQ11" s="87"/>
      <c r="VJR11" s="87"/>
      <c r="VJS11" s="87"/>
      <c r="VJT11" s="87"/>
      <c r="VJU11" s="87"/>
      <c r="VJV11" s="87"/>
      <c r="VJW11" s="87"/>
      <c r="VJX11" s="87"/>
      <c r="VJY11" s="87"/>
      <c r="VJZ11" s="87"/>
      <c r="VKA11" s="87"/>
      <c r="VKB11" s="87"/>
      <c r="VKC11" s="87"/>
      <c r="VKD11" s="87"/>
      <c r="VKE11" s="87"/>
      <c r="VKF11" s="87"/>
      <c r="VKG11" s="87"/>
      <c r="VKH11" s="87"/>
      <c r="VKI11" s="87"/>
      <c r="VKJ11" s="87"/>
      <c r="VKK11" s="87"/>
      <c r="VKL11" s="87"/>
      <c r="VKM11" s="87"/>
      <c r="VKN11" s="87"/>
      <c r="VKO11" s="87"/>
      <c r="VKP11" s="87"/>
      <c r="VKQ11" s="87"/>
      <c r="VKR11" s="87"/>
      <c r="VKS11" s="87"/>
      <c r="VKT11" s="87"/>
      <c r="VKU11" s="87"/>
      <c r="VKV11" s="87"/>
      <c r="VKW11" s="87"/>
      <c r="VKX11" s="87"/>
      <c r="VKY11" s="87"/>
      <c r="VKZ11" s="87"/>
      <c r="VLA11" s="87"/>
      <c r="VLB11" s="87"/>
      <c r="VLC11" s="87"/>
      <c r="VLD11" s="87"/>
      <c r="VLE11" s="87"/>
      <c r="VLF11" s="87"/>
      <c r="VLG11" s="87"/>
      <c r="VLH11" s="87"/>
      <c r="VLI11" s="87"/>
      <c r="VLJ11" s="87"/>
      <c r="VLK11" s="87"/>
      <c r="VLL11" s="87"/>
      <c r="VLM11" s="87"/>
      <c r="VLN11" s="87"/>
      <c r="VLO11" s="87"/>
      <c r="VLP11" s="87"/>
      <c r="VLQ11" s="87"/>
      <c r="VLR11" s="87"/>
      <c r="VLS11" s="87"/>
      <c r="VLT11" s="87"/>
      <c r="VLU11" s="87"/>
      <c r="VLV11" s="87"/>
      <c r="VLW11" s="87"/>
      <c r="VLX11" s="87"/>
      <c r="VLY11" s="87"/>
      <c r="VLZ11" s="87"/>
      <c r="VMA11" s="87"/>
      <c r="VMB11" s="87"/>
      <c r="VMC11" s="87"/>
      <c r="VMD11" s="87"/>
      <c r="VME11" s="87"/>
      <c r="VMF11" s="87"/>
      <c r="VMG11" s="87"/>
      <c r="VMH11" s="87"/>
      <c r="VMI11" s="87"/>
      <c r="VMJ11" s="87"/>
      <c r="VMK11" s="87"/>
      <c r="VML11" s="87"/>
      <c r="VMM11" s="87"/>
      <c r="VMN11" s="87"/>
      <c r="VMO11" s="87"/>
      <c r="VMP11" s="87"/>
      <c r="VMQ11" s="87"/>
      <c r="VMR11" s="87"/>
      <c r="VMS11" s="87"/>
      <c r="VMT11" s="87"/>
      <c r="VMU11" s="87"/>
      <c r="VMV11" s="87"/>
      <c r="VMW11" s="87"/>
      <c r="VMX11" s="87"/>
      <c r="VMY11" s="87"/>
      <c r="VMZ11" s="87"/>
      <c r="VNA11" s="87"/>
      <c r="VNB11" s="87"/>
      <c r="VNC11" s="87"/>
      <c r="VND11" s="87"/>
      <c r="VNE11" s="87"/>
      <c r="VNF11" s="87"/>
      <c r="VNG11" s="87"/>
      <c r="VNH11" s="87"/>
      <c r="VNI11" s="87"/>
      <c r="VNJ11" s="87"/>
      <c r="VNK11" s="87"/>
      <c r="VNL11" s="87"/>
      <c r="VNM11" s="87"/>
      <c r="VNN11" s="87"/>
      <c r="VNO11" s="87"/>
      <c r="VNP11" s="87"/>
      <c r="VNQ11" s="87"/>
      <c r="VNR11" s="87"/>
      <c r="VNS11" s="87"/>
      <c r="VNT11" s="87"/>
      <c r="VNU11" s="87"/>
      <c r="VNV11" s="87"/>
      <c r="VNW11" s="87"/>
      <c r="VNX11" s="87"/>
      <c r="VNY11" s="87"/>
      <c r="VNZ11" s="87"/>
      <c r="VOA11" s="87"/>
      <c r="VOB11" s="87"/>
      <c r="VOC11" s="87"/>
      <c r="VOD11" s="87"/>
      <c r="VOE11" s="87"/>
      <c r="VOF11" s="87"/>
      <c r="VOG11" s="87"/>
      <c r="VOH11" s="87"/>
      <c r="VOI11" s="87"/>
      <c r="VOJ11" s="87"/>
      <c r="VOK11" s="87"/>
      <c r="VOL11" s="87"/>
      <c r="VOM11" s="87"/>
      <c r="VON11" s="87"/>
      <c r="VOO11" s="87"/>
      <c r="VOP11" s="87"/>
      <c r="VOQ11" s="87"/>
      <c r="VOR11" s="87"/>
      <c r="VOS11" s="87"/>
      <c r="VOT11" s="87"/>
      <c r="VOU11" s="87"/>
      <c r="VOV11" s="87"/>
      <c r="VOW11" s="87"/>
      <c r="VOX11" s="87"/>
      <c r="VOY11" s="87"/>
      <c r="VOZ11" s="87"/>
      <c r="VPA11" s="87"/>
      <c r="VPB11" s="87"/>
      <c r="VPC11" s="87"/>
      <c r="VPD11" s="87"/>
      <c r="VPE11" s="87"/>
      <c r="VPF11" s="87"/>
      <c r="VPG11" s="87"/>
      <c r="VPH11" s="87"/>
      <c r="VPI11" s="87"/>
      <c r="VPJ11" s="87"/>
      <c r="VPK11" s="87"/>
      <c r="VPL11" s="87"/>
      <c r="VPM11" s="87"/>
      <c r="VPN11" s="87"/>
      <c r="VPO11" s="87"/>
      <c r="VPP11" s="87"/>
      <c r="VPQ11" s="87"/>
      <c r="VPR11" s="87"/>
      <c r="VPS11" s="87"/>
      <c r="VPT11" s="87"/>
      <c r="VPU11" s="87"/>
      <c r="VPV11" s="87"/>
      <c r="VPW11" s="87"/>
      <c r="VPX11" s="87"/>
      <c r="VPY11" s="87"/>
      <c r="VPZ11" s="87"/>
      <c r="VQA11" s="87"/>
      <c r="VQB11" s="87"/>
      <c r="VQC11" s="87"/>
      <c r="VQD11" s="87"/>
      <c r="VQE11" s="87"/>
      <c r="VQF11" s="87"/>
      <c r="VQG11" s="87"/>
      <c r="VQH11" s="87"/>
      <c r="VQI11" s="87"/>
      <c r="VQJ11" s="87"/>
      <c r="VQK11" s="87"/>
      <c r="VQL11" s="87"/>
      <c r="VQM11" s="87"/>
      <c r="VQN11" s="87"/>
      <c r="VQO11" s="87"/>
      <c r="VQP11" s="87"/>
      <c r="VQQ11" s="87"/>
      <c r="VQR11" s="87"/>
      <c r="VQS11" s="87"/>
      <c r="VQT11" s="87"/>
      <c r="VQU11" s="87"/>
      <c r="VQV11" s="87"/>
      <c r="VQW11" s="87"/>
      <c r="VQX11" s="87"/>
      <c r="VQY11" s="87"/>
      <c r="VQZ11" s="87"/>
      <c r="VRA11" s="87"/>
      <c r="VRB11" s="87"/>
      <c r="VRC11" s="87"/>
      <c r="VRD11" s="87"/>
      <c r="VRE11" s="87"/>
      <c r="VRF11" s="87"/>
      <c r="VRG11" s="87"/>
      <c r="VRH11" s="87"/>
      <c r="VRI11" s="87"/>
      <c r="VRJ11" s="87"/>
      <c r="VRK11" s="87"/>
      <c r="VRL11" s="87"/>
      <c r="VRM11" s="87"/>
      <c r="VRN11" s="87"/>
      <c r="VRO11" s="87"/>
      <c r="VRP11" s="87"/>
      <c r="VRQ11" s="87"/>
      <c r="VRR11" s="87"/>
      <c r="VRS11" s="87"/>
      <c r="VRT11" s="87"/>
      <c r="VRU11" s="87"/>
      <c r="VRV11" s="87"/>
      <c r="VRW11" s="87"/>
      <c r="VRX11" s="87"/>
      <c r="VRY11" s="87"/>
      <c r="VRZ11" s="87"/>
      <c r="VSA11" s="87"/>
      <c r="VSB11" s="87"/>
      <c r="VSC11" s="87"/>
      <c r="VSD11" s="87"/>
      <c r="VSE11" s="87"/>
      <c r="VSF11" s="87"/>
      <c r="VSG11" s="87"/>
      <c r="VSH11" s="87"/>
      <c r="VSI11" s="87"/>
      <c r="VSJ11" s="87"/>
      <c r="VSK11" s="87"/>
      <c r="VSL11" s="87"/>
      <c r="VSM11" s="87"/>
      <c r="VSN11" s="87"/>
      <c r="VSO11" s="87"/>
      <c r="VSP11" s="87"/>
      <c r="VSQ11" s="87"/>
      <c r="VSR11" s="87"/>
      <c r="VSS11" s="87"/>
      <c r="VST11" s="87"/>
      <c r="VSU11" s="87"/>
      <c r="VSV11" s="87"/>
      <c r="VSW11" s="87"/>
      <c r="VSX11" s="87"/>
      <c r="VSY11" s="87"/>
      <c r="VSZ11" s="87"/>
      <c r="VTA11" s="87"/>
      <c r="VTB11" s="87"/>
      <c r="VTC11" s="87"/>
      <c r="VTD11" s="87"/>
      <c r="VTE11" s="87"/>
      <c r="VTF11" s="87"/>
      <c r="VTG11" s="87"/>
      <c r="VTH11" s="87"/>
      <c r="VTI11" s="87"/>
      <c r="VTJ11" s="87"/>
      <c r="VTK11" s="87"/>
      <c r="VTL11" s="87"/>
      <c r="VTM11" s="87"/>
      <c r="VTN11" s="87"/>
      <c r="VTO11" s="87"/>
      <c r="VTP11" s="87"/>
      <c r="VTQ11" s="87"/>
      <c r="VTR11" s="87"/>
      <c r="VTS11" s="87"/>
      <c r="VTT11" s="87"/>
      <c r="VTU11" s="87"/>
      <c r="VTV11" s="87"/>
      <c r="VTW11" s="87"/>
      <c r="VTX11" s="87"/>
      <c r="VTY11" s="87"/>
      <c r="VTZ11" s="87"/>
      <c r="VUA11" s="87"/>
      <c r="VUB11" s="87"/>
      <c r="VUC11" s="87"/>
      <c r="VUD11" s="87"/>
      <c r="VUE11" s="87"/>
      <c r="VUF11" s="87"/>
      <c r="VUG11" s="87"/>
      <c r="VUH11" s="87"/>
      <c r="VUI11" s="87"/>
      <c r="VUJ11" s="87"/>
      <c r="VUK11" s="87"/>
      <c r="VUL11" s="87"/>
      <c r="VUM11" s="87"/>
      <c r="VUN11" s="87"/>
      <c r="VUO11" s="87"/>
      <c r="VUP11" s="87"/>
      <c r="VUQ11" s="87"/>
      <c r="VUR11" s="87"/>
      <c r="VUS11" s="87"/>
      <c r="VUT11" s="87"/>
      <c r="VUU11" s="87"/>
      <c r="VUV11" s="87"/>
      <c r="VUW11" s="87"/>
      <c r="VUX11" s="87"/>
      <c r="VUY11" s="87"/>
      <c r="VUZ11" s="87"/>
      <c r="VVA11" s="87"/>
      <c r="VVB11" s="87"/>
      <c r="VVC11" s="87"/>
      <c r="VVD11" s="87"/>
      <c r="VVE11" s="87"/>
      <c r="VVF11" s="87"/>
      <c r="VVG11" s="87"/>
      <c r="VVH11" s="87"/>
      <c r="VVI11" s="87"/>
      <c r="VVJ11" s="87"/>
      <c r="VVK11" s="87"/>
      <c r="VVL11" s="87"/>
      <c r="VVM11" s="87"/>
      <c r="VVN11" s="87"/>
      <c r="VVO11" s="87"/>
      <c r="VVP11" s="87"/>
      <c r="VVQ11" s="87"/>
      <c r="VVR11" s="87"/>
      <c r="VVS11" s="87"/>
      <c r="VVT11" s="87"/>
      <c r="VVU11" s="87"/>
      <c r="VVV11" s="87"/>
      <c r="VVW11" s="87"/>
      <c r="VVX11" s="87"/>
      <c r="VVY11" s="87"/>
      <c r="VVZ11" s="87"/>
      <c r="VWA11" s="87"/>
      <c r="VWB11" s="87"/>
      <c r="VWC11" s="87"/>
      <c r="VWD11" s="87"/>
      <c r="VWE11" s="87"/>
      <c r="VWF11" s="87"/>
      <c r="VWG11" s="87"/>
      <c r="VWH11" s="87"/>
      <c r="VWI11" s="87"/>
      <c r="VWJ11" s="87"/>
      <c r="VWK11" s="87"/>
      <c r="VWL11" s="87"/>
      <c r="VWM11" s="87"/>
      <c r="VWN11" s="87"/>
      <c r="VWO11" s="87"/>
      <c r="VWP11" s="87"/>
      <c r="VWQ11" s="87"/>
      <c r="VWR11" s="87"/>
      <c r="VWS11" s="87"/>
      <c r="VWT11" s="87"/>
      <c r="VWU11" s="87"/>
      <c r="VWV11" s="87"/>
      <c r="VWW11" s="87"/>
      <c r="VWX11" s="87"/>
      <c r="VWY11" s="87"/>
      <c r="VWZ11" s="87"/>
      <c r="VXA11" s="87"/>
      <c r="VXB11" s="87"/>
      <c r="VXC11" s="87"/>
      <c r="VXD11" s="87"/>
      <c r="VXE11" s="87"/>
      <c r="VXF11" s="87"/>
      <c r="VXG11" s="87"/>
      <c r="VXH11" s="87"/>
      <c r="VXI11" s="87"/>
      <c r="VXJ11" s="87"/>
      <c r="VXK11" s="87"/>
      <c r="VXL11" s="87"/>
      <c r="VXM11" s="87"/>
      <c r="VXN11" s="87"/>
      <c r="VXO11" s="87"/>
      <c r="VXP11" s="87"/>
      <c r="VXQ11" s="87"/>
      <c r="VXR11" s="87"/>
      <c r="VXS11" s="87"/>
      <c r="VXT11" s="87"/>
      <c r="VXU11" s="87"/>
      <c r="VXV11" s="87"/>
      <c r="VXW11" s="87"/>
      <c r="VXX11" s="87"/>
      <c r="VXY11" s="87"/>
      <c r="VXZ11" s="87"/>
      <c r="VYA11" s="87"/>
      <c r="VYB11" s="87"/>
      <c r="VYC11" s="87"/>
      <c r="VYD11" s="87"/>
      <c r="VYE11" s="87"/>
      <c r="VYF11" s="87"/>
      <c r="VYG11" s="87"/>
      <c r="VYH11" s="87"/>
      <c r="VYI11" s="87"/>
      <c r="VYJ11" s="87"/>
      <c r="VYK11" s="87"/>
      <c r="VYL11" s="87"/>
      <c r="VYM11" s="87"/>
      <c r="VYN11" s="87"/>
      <c r="VYO11" s="87"/>
      <c r="VYP11" s="87"/>
      <c r="VYQ11" s="87"/>
      <c r="VYR11" s="87"/>
      <c r="VYS11" s="87"/>
      <c r="VYT11" s="87"/>
      <c r="VYU11" s="87"/>
      <c r="VYV11" s="87"/>
      <c r="VYW11" s="87"/>
      <c r="VYX11" s="87"/>
      <c r="VYY11" s="87"/>
      <c r="VYZ11" s="87"/>
      <c r="VZA11" s="87"/>
      <c r="VZB11" s="87"/>
      <c r="VZC11" s="87"/>
      <c r="VZD11" s="87"/>
      <c r="VZE11" s="87"/>
      <c r="VZF11" s="87"/>
      <c r="VZG11" s="87"/>
      <c r="VZH11" s="87"/>
      <c r="VZI11" s="87"/>
      <c r="VZJ11" s="87"/>
      <c r="VZK11" s="87"/>
      <c r="VZL11" s="87"/>
      <c r="VZM11" s="87"/>
      <c r="VZN11" s="87"/>
      <c r="VZO11" s="87"/>
      <c r="VZP11" s="87"/>
      <c r="VZQ11" s="87"/>
      <c r="VZR11" s="87"/>
      <c r="VZS11" s="87"/>
      <c r="VZT11" s="87"/>
      <c r="VZU11" s="87"/>
      <c r="VZV11" s="87"/>
      <c r="VZW11" s="87"/>
      <c r="VZX11" s="87"/>
      <c r="VZY11" s="87"/>
      <c r="VZZ11" s="87"/>
      <c r="WAA11" s="87"/>
      <c r="WAB11" s="87"/>
      <c r="WAC11" s="87"/>
      <c r="WAD11" s="87"/>
      <c r="WAE11" s="87"/>
      <c r="WAF11" s="87"/>
      <c r="WAG11" s="87"/>
      <c r="WAH11" s="87"/>
      <c r="WAI11" s="87"/>
      <c r="WAJ11" s="87"/>
      <c r="WAK11" s="87"/>
      <c r="WAL11" s="87"/>
      <c r="WAM11" s="87"/>
      <c r="WAN11" s="87"/>
      <c r="WAO11" s="87"/>
      <c r="WAP11" s="87"/>
      <c r="WAQ11" s="87"/>
      <c r="WAR11" s="87"/>
      <c r="WAS11" s="87"/>
      <c r="WAT11" s="87"/>
      <c r="WAU11" s="87"/>
      <c r="WAV11" s="87"/>
      <c r="WAW11" s="87"/>
      <c r="WAX11" s="87"/>
      <c r="WAY11" s="87"/>
      <c r="WAZ11" s="87"/>
      <c r="WBA11" s="87"/>
      <c r="WBB11" s="87"/>
      <c r="WBC11" s="87"/>
      <c r="WBD11" s="87"/>
      <c r="WBE11" s="87"/>
      <c r="WBF11" s="87"/>
      <c r="WBG11" s="87"/>
      <c r="WBH11" s="87"/>
      <c r="WBI11" s="87"/>
      <c r="WBJ11" s="87"/>
      <c r="WBK11" s="87"/>
      <c r="WBL11" s="87"/>
      <c r="WBM11" s="87"/>
      <c r="WBN11" s="87"/>
      <c r="WBO11" s="87"/>
      <c r="WBP11" s="87"/>
      <c r="WBQ11" s="87"/>
      <c r="WBR11" s="87"/>
      <c r="WBS11" s="87"/>
      <c r="WBT11" s="87"/>
      <c r="WBU11" s="87"/>
      <c r="WBV11" s="87"/>
      <c r="WBW11" s="87"/>
      <c r="WBX11" s="87"/>
      <c r="WBY11" s="87"/>
      <c r="WBZ11" s="87"/>
      <c r="WCA11" s="87"/>
      <c r="WCB11" s="87"/>
      <c r="WCC11" s="87"/>
      <c r="WCD11" s="87"/>
      <c r="WCE11" s="87"/>
      <c r="WCF11" s="87"/>
      <c r="WCG11" s="87"/>
      <c r="WCH11" s="87"/>
      <c r="WCI11" s="87"/>
      <c r="WCJ11" s="87"/>
      <c r="WCK11" s="87"/>
      <c r="WCL11" s="87"/>
      <c r="WCM11" s="87"/>
      <c r="WCN11" s="87"/>
      <c r="WCO11" s="87"/>
      <c r="WCP11" s="87"/>
      <c r="WCQ11" s="87"/>
      <c r="WCR11" s="87"/>
      <c r="WCS11" s="87"/>
      <c r="WCT11" s="87"/>
      <c r="WCU11" s="87"/>
      <c r="WCV11" s="87"/>
      <c r="WCW11" s="87"/>
      <c r="WCX11" s="87"/>
      <c r="WCY11" s="87"/>
      <c r="WCZ11" s="87"/>
      <c r="WDA11" s="87"/>
      <c r="WDB11" s="87"/>
      <c r="WDC11" s="87"/>
      <c r="WDD11" s="87"/>
      <c r="WDE11" s="87"/>
      <c r="WDF11" s="87"/>
      <c r="WDG11" s="87"/>
      <c r="WDH11" s="87"/>
      <c r="WDI11" s="87"/>
      <c r="WDJ11" s="87"/>
      <c r="WDK11" s="87"/>
      <c r="WDL11" s="87"/>
      <c r="WDM11" s="87"/>
      <c r="WDN11" s="87"/>
      <c r="WDO11" s="87"/>
      <c r="WDP11" s="87"/>
      <c r="WDQ11" s="87"/>
      <c r="WDR11" s="87"/>
      <c r="WDS11" s="87"/>
      <c r="WDT11" s="87"/>
      <c r="WDU11" s="87"/>
      <c r="WDV11" s="87"/>
      <c r="WDW11" s="87"/>
      <c r="WDX11" s="87"/>
      <c r="WDY11" s="87"/>
      <c r="WDZ11" s="87"/>
      <c r="WEA11" s="87"/>
      <c r="WEB11" s="87"/>
      <c r="WEC11" s="87"/>
      <c r="WED11" s="87"/>
      <c r="WEE11" s="87"/>
      <c r="WEF11" s="87"/>
      <c r="WEG11" s="87"/>
      <c r="WEH11" s="87"/>
      <c r="WEI11" s="87"/>
      <c r="WEJ11" s="87"/>
      <c r="WEK11" s="87"/>
      <c r="WEL11" s="87"/>
      <c r="WEM11" s="87"/>
      <c r="WEN11" s="87"/>
      <c r="WEO11" s="87"/>
      <c r="WEP11" s="87"/>
      <c r="WEQ11" s="87"/>
      <c r="WER11" s="87"/>
      <c r="WES11" s="87"/>
      <c r="WET11" s="87"/>
      <c r="WEU11" s="87"/>
      <c r="WEV11" s="87"/>
      <c r="WEW11" s="87"/>
      <c r="WEX11" s="87"/>
      <c r="WEY11" s="87"/>
      <c r="WEZ11" s="87"/>
      <c r="WFA11" s="87"/>
      <c r="WFB11" s="87"/>
      <c r="WFC11" s="87"/>
      <c r="WFD11" s="87"/>
      <c r="WFE11" s="87"/>
      <c r="WFF11" s="87"/>
      <c r="WFG11" s="87"/>
      <c r="WFH11" s="87"/>
      <c r="WFI11" s="87"/>
      <c r="WFJ11" s="87"/>
      <c r="WFK11" s="87"/>
      <c r="WFL11" s="87"/>
      <c r="WFM11" s="87"/>
      <c r="WFN11" s="87"/>
      <c r="WFO11" s="87"/>
      <c r="WFP11" s="87"/>
      <c r="WFQ11" s="87"/>
      <c r="WFR11" s="87"/>
      <c r="WFS11" s="87"/>
      <c r="WFT11" s="87"/>
      <c r="WFU11" s="87"/>
      <c r="WFV11" s="87"/>
      <c r="WFW11" s="87"/>
      <c r="WFX11" s="87"/>
      <c r="WFY11" s="87"/>
      <c r="WFZ11" s="87"/>
      <c r="WGA11" s="87"/>
      <c r="WGB11" s="87"/>
      <c r="WGC11" s="87"/>
      <c r="WGD11" s="87"/>
      <c r="WGE11" s="87"/>
      <c r="WGF11" s="87"/>
      <c r="WGG11" s="87"/>
      <c r="WGH11" s="87"/>
      <c r="WGI11" s="87"/>
      <c r="WGJ11" s="87"/>
      <c r="WGK11" s="87"/>
      <c r="WGL11" s="87"/>
      <c r="WGM11" s="87"/>
      <c r="WGN11" s="87"/>
      <c r="WGO11" s="87"/>
      <c r="WGP11" s="87"/>
      <c r="WGQ11" s="87"/>
      <c r="WGR11" s="87"/>
      <c r="WGS11" s="87"/>
      <c r="WGT11" s="87"/>
      <c r="WGU11" s="87"/>
      <c r="WGV11" s="87"/>
      <c r="WGW11" s="87"/>
      <c r="WGX11" s="87"/>
      <c r="WGY11" s="87"/>
      <c r="WGZ11" s="87"/>
      <c r="WHA11" s="87"/>
      <c r="WHB11" s="87"/>
      <c r="WHC11" s="87"/>
      <c r="WHD11" s="87"/>
      <c r="WHE11" s="87"/>
      <c r="WHF11" s="87"/>
      <c r="WHG11" s="87"/>
      <c r="WHH11" s="87"/>
      <c r="WHI11" s="87"/>
      <c r="WHJ11" s="87"/>
      <c r="WHK11" s="87"/>
      <c r="WHL11" s="87"/>
      <c r="WHM11" s="87"/>
      <c r="WHN11" s="87"/>
      <c r="WHO11" s="87"/>
      <c r="WHP11" s="87"/>
      <c r="WHQ11" s="87"/>
      <c r="WHR11" s="87"/>
      <c r="WHS11" s="87"/>
      <c r="WHT11" s="87"/>
      <c r="WHU11" s="87"/>
      <c r="WHV11" s="87"/>
      <c r="WHW11" s="87"/>
      <c r="WHX11" s="87"/>
      <c r="WHY11" s="87"/>
      <c r="WHZ11" s="87"/>
      <c r="WIA11" s="87"/>
      <c r="WIB11" s="87"/>
      <c r="WIC11" s="87"/>
      <c r="WID11" s="87"/>
      <c r="WIE11" s="87"/>
      <c r="WIF11" s="87"/>
      <c r="WIG11" s="87"/>
      <c r="WIH11" s="87"/>
      <c r="WII11" s="87"/>
      <c r="WIJ11" s="87"/>
      <c r="WIK11" s="87"/>
      <c r="WIL11" s="87"/>
      <c r="WIM11" s="87"/>
      <c r="WIN11" s="87"/>
      <c r="WIO11" s="87"/>
      <c r="WIP11" s="87"/>
      <c r="WIQ11" s="87"/>
      <c r="WIR11" s="87"/>
      <c r="WIS11" s="87"/>
      <c r="WIT11" s="87"/>
      <c r="WIU11" s="87"/>
      <c r="WIV11" s="87"/>
      <c r="WIW11" s="87"/>
      <c r="WIX11" s="87"/>
      <c r="WIY11" s="87"/>
      <c r="WIZ11" s="87"/>
      <c r="WJA11" s="87"/>
      <c r="WJB11" s="87"/>
      <c r="WJC11" s="87"/>
      <c r="WJD11" s="87"/>
      <c r="WJE11" s="87"/>
      <c r="WJF11" s="87"/>
      <c r="WJG11" s="87"/>
      <c r="WJH11" s="87"/>
      <c r="WJI11" s="87"/>
      <c r="WJJ11" s="87"/>
      <c r="WJK11" s="87"/>
      <c r="WJL11" s="87"/>
      <c r="WJM11" s="87"/>
      <c r="WJN11" s="87"/>
      <c r="WJO11" s="87"/>
      <c r="WJP11" s="87"/>
      <c r="WJQ11" s="87"/>
      <c r="WJR11" s="87"/>
      <c r="WJS11" s="87"/>
      <c r="WJT11" s="87"/>
      <c r="WJU11" s="87"/>
      <c r="WJV11" s="87"/>
      <c r="WJW11" s="87"/>
      <c r="WJX11" s="87"/>
      <c r="WJY11" s="87"/>
      <c r="WJZ11" s="87"/>
      <c r="WKA11" s="87"/>
      <c r="WKB11" s="87"/>
      <c r="WKC11" s="87"/>
      <c r="WKD11" s="87"/>
      <c r="WKE11" s="87"/>
      <c r="WKF11" s="87"/>
      <c r="WKG11" s="87"/>
      <c r="WKH11" s="87"/>
      <c r="WKI11" s="87"/>
      <c r="WKJ11" s="87"/>
      <c r="WKK11" s="87"/>
      <c r="WKL11" s="87"/>
      <c r="WKM11" s="87"/>
      <c r="WKN11" s="87"/>
      <c r="WKO11" s="87"/>
      <c r="WKP11" s="87"/>
      <c r="WKQ11" s="87"/>
      <c r="WKR11" s="87"/>
      <c r="WKS11" s="87"/>
      <c r="WKT11" s="87"/>
      <c r="WKU11" s="87"/>
      <c r="WKV11" s="87"/>
      <c r="WKW11" s="87"/>
      <c r="WKX11" s="87"/>
      <c r="WKY11" s="87"/>
      <c r="WKZ11" s="87"/>
      <c r="WLA11" s="87"/>
      <c r="WLB11" s="87"/>
      <c r="WLC11" s="87"/>
      <c r="WLD11" s="87"/>
      <c r="WLE11" s="87"/>
      <c r="WLF11" s="87"/>
      <c r="WLG11" s="87"/>
      <c r="WLH11" s="87"/>
      <c r="WLI11" s="87"/>
      <c r="WLJ11" s="87"/>
      <c r="WLK11" s="87"/>
      <c r="WLL11" s="87"/>
      <c r="WLM11" s="87"/>
      <c r="WLN11" s="87"/>
      <c r="WLO11" s="87"/>
      <c r="WLP11" s="87"/>
      <c r="WLQ11" s="87"/>
      <c r="WLR11" s="87"/>
      <c r="WLS11" s="87"/>
      <c r="WLT11" s="87"/>
      <c r="WLU11" s="87"/>
      <c r="WLV11" s="87"/>
      <c r="WLW11" s="87"/>
      <c r="WLX11" s="87"/>
      <c r="WLY11" s="87"/>
      <c r="WLZ11" s="87"/>
      <c r="WMA11" s="87"/>
      <c r="WMB11" s="87"/>
      <c r="WMC11" s="87"/>
      <c r="WMD11" s="87"/>
      <c r="WME11" s="87"/>
      <c r="WMF11" s="87"/>
      <c r="WMG11" s="87"/>
      <c r="WMH11" s="87"/>
      <c r="WMI11" s="87"/>
      <c r="WMJ11" s="87"/>
      <c r="WMK11" s="87"/>
      <c r="WML11" s="87"/>
      <c r="WMM11" s="87"/>
      <c r="WMN11" s="87"/>
      <c r="WMO11" s="87"/>
      <c r="WMP11" s="87"/>
      <c r="WMQ11" s="87"/>
      <c r="WMR11" s="87"/>
      <c r="WMS11" s="87"/>
      <c r="WMT11" s="87"/>
      <c r="WMU11" s="87"/>
      <c r="WMV11" s="87"/>
      <c r="WMW11" s="87"/>
      <c r="WMX11" s="87"/>
      <c r="WMY11" s="87"/>
      <c r="WMZ11" s="87"/>
      <c r="WNA11" s="87"/>
      <c r="WNB11" s="87"/>
      <c r="WNC11" s="87"/>
      <c r="WND11" s="87"/>
      <c r="WNE11" s="87"/>
      <c r="WNF11" s="87"/>
      <c r="WNG11" s="87"/>
      <c r="WNH11" s="87"/>
      <c r="WNI11" s="87"/>
      <c r="WNJ11" s="87"/>
      <c r="WNK11" s="87"/>
      <c r="WNL11" s="87"/>
      <c r="WNM11" s="87"/>
      <c r="WNN11" s="87"/>
      <c r="WNO11" s="87"/>
      <c r="WNP11" s="87"/>
      <c r="WNQ11" s="87"/>
      <c r="WNR11" s="87"/>
      <c r="WNS11" s="87"/>
      <c r="WNT11" s="87"/>
      <c r="WNU11" s="87"/>
      <c r="WNV11" s="87"/>
      <c r="WNW11" s="87"/>
      <c r="WNX11" s="87"/>
      <c r="WNY11" s="87"/>
      <c r="WNZ11" s="87"/>
      <c r="WOA11" s="87"/>
      <c r="WOB11" s="87"/>
      <c r="WOC11" s="87"/>
      <c r="WOD11" s="87"/>
      <c r="WOE11" s="87"/>
      <c r="WOF11" s="87"/>
      <c r="WOG11" s="87"/>
      <c r="WOH11" s="87"/>
      <c r="WOI11" s="87"/>
      <c r="WOJ11" s="87"/>
      <c r="WOK11" s="87"/>
      <c r="WOL11" s="87"/>
      <c r="WOM11" s="87"/>
      <c r="WON11" s="87"/>
      <c r="WOO11" s="87"/>
      <c r="WOP11" s="87"/>
      <c r="WOQ11" s="87"/>
      <c r="WOR11" s="87"/>
      <c r="WOS11" s="87"/>
      <c r="WOT11" s="87"/>
      <c r="WOU11" s="87"/>
      <c r="WOV11" s="87"/>
      <c r="WOW11" s="87"/>
      <c r="WOX11" s="87"/>
      <c r="WOY11" s="87"/>
      <c r="WOZ11" s="87"/>
      <c r="WPA11" s="87"/>
      <c r="WPB11" s="87"/>
      <c r="WPC11" s="87"/>
      <c r="WPD11" s="87"/>
      <c r="WPE11" s="87"/>
      <c r="WPF11" s="87"/>
      <c r="WPG11" s="87"/>
      <c r="WPH11" s="87"/>
      <c r="WPI11" s="87"/>
      <c r="WPJ11" s="87"/>
      <c r="WPK11" s="87"/>
      <c r="WPL11" s="87"/>
      <c r="WPM11" s="87"/>
      <c r="WPN11" s="87"/>
      <c r="WPO11" s="87"/>
      <c r="WPP11" s="87"/>
      <c r="WPQ11" s="87"/>
      <c r="WPR11" s="87"/>
      <c r="WPS11" s="87"/>
      <c r="WPT11" s="87"/>
      <c r="WPU11" s="87"/>
      <c r="WPV11" s="87"/>
      <c r="WPW11" s="87"/>
      <c r="WPX11" s="87"/>
      <c r="WPY11" s="87"/>
      <c r="WPZ11" s="87"/>
      <c r="WQA11" s="87"/>
      <c r="WQB11" s="87"/>
      <c r="WQC11" s="87"/>
      <c r="WQD11" s="87"/>
      <c r="WQE11" s="87"/>
      <c r="WQF11" s="87"/>
      <c r="WQG11" s="87"/>
      <c r="WQH11" s="87"/>
      <c r="WQI11" s="87"/>
      <c r="WQJ11" s="87"/>
      <c r="WQK11" s="87"/>
      <c r="WQL11" s="87"/>
      <c r="WQM11" s="87"/>
      <c r="WQN11" s="87"/>
      <c r="WQO11" s="87"/>
      <c r="WQP11" s="87"/>
      <c r="WQQ11" s="87"/>
      <c r="WQR11" s="87"/>
      <c r="WQS11" s="87"/>
      <c r="WQT11" s="87"/>
      <c r="WQU11" s="87"/>
      <c r="WQV11" s="87"/>
      <c r="WQW11" s="87"/>
      <c r="WQX11" s="87"/>
      <c r="WQY11" s="87"/>
      <c r="WQZ11" s="87"/>
      <c r="WRA11" s="87"/>
      <c r="WRB11" s="87"/>
      <c r="WRC11" s="87"/>
      <c r="WRD11" s="87"/>
      <c r="WRE11" s="87"/>
      <c r="WRF11" s="87"/>
      <c r="WRG11" s="87"/>
      <c r="WRH11" s="87"/>
      <c r="WRI11" s="87"/>
      <c r="WRJ11" s="87"/>
      <c r="WRK11" s="87"/>
      <c r="WRL11" s="87"/>
      <c r="WRM11" s="87"/>
      <c r="WRN11" s="87"/>
      <c r="WRO11" s="87"/>
      <c r="WRP11" s="87"/>
      <c r="WRQ11" s="87"/>
      <c r="WRR11" s="87"/>
      <c r="WRS11" s="87"/>
      <c r="WRT11" s="87"/>
      <c r="WRU11" s="87"/>
      <c r="WRV11" s="87"/>
      <c r="WRW11" s="87"/>
      <c r="WRX11" s="87"/>
      <c r="WRY11" s="87"/>
      <c r="WRZ11" s="87"/>
      <c r="WSA11" s="87"/>
      <c r="WSB11" s="87"/>
      <c r="WSC11" s="87"/>
      <c r="WSD11" s="87"/>
      <c r="WSE11" s="87"/>
      <c r="WSF11" s="87"/>
      <c r="WSG11" s="87"/>
      <c r="WSH11" s="87"/>
      <c r="WSI11" s="87"/>
      <c r="WSJ11" s="87"/>
      <c r="WSK11" s="87"/>
      <c r="WSL11" s="87"/>
      <c r="WSM11" s="87"/>
      <c r="WSN11" s="87"/>
      <c r="WSO11" s="87"/>
      <c r="WSP11" s="87"/>
      <c r="WSQ11" s="87"/>
      <c r="WSR11" s="87"/>
      <c r="WSS11" s="87"/>
      <c r="WST11" s="87"/>
      <c r="WSU11" s="87"/>
      <c r="WSV11" s="87"/>
      <c r="WSW11" s="87"/>
      <c r="WSX11" s="87"/>
      <c r="WSY11" s="87"/>
      <c r="WSZ11" s="87"/>
      <c r="WTA11" s="87"/>
      <c r="WTB11" s="87"/>
      <c r="WTC11" s="87"/>
      <c r="WTD11" s="87"/>
      <c r="WTE11" s="87"/>
      <c r="WTF11" s="87"/>
      <c r="WTG11" s="87"/>
      <c r="WTH11" s="87"/>
      <c r="WTI11" s="87"/>
      <c r="WTJ11" s="87"/>
      <c r="WTK11" s="87"/>
      <c r="WTL11" s="87"/>
      <c r="WTM11" s="87"/>
      <c r="WTN11" s="87"/>
      <c r="WTO11" s="87"/>
      <c r="WTP11" s="87"/>
      <c r="WTQ11" s="87"/>
      <c r="WTR11" s="87"/>
      <c r="WTS11" s="87"/>
      <c r="WTT11" s="87"/>
      <c r="WTU11" s="87"/>
      <c r="WTV11" s="87"/>
      <c r="WTW11" s="87"/>
      <c r="WTX11" s="87"/>
      <c r="WTY11" s="87"/>
      <c r="WTZ11" s="87"/>
      <c r="WUA11" s="87"/>
      <c r="WUB11" s="87"/>
      <c r="WUC11" s="87"/>
      <c r="WUD11" s="87"/>
      <c r="WUE11" s="87"/>
      <c r="WUF11" s="87"/>
      <c r="WUG11" s="87"/>
      <c r="WUH11" s="87"/>
      <c r="WUI11" s="87"/>
      <c r="WUJ11" s="87"/>
      <c r="WUK11" s="87"/>
      <c r="WUL11" s="87"/>
      <c r="WUM11" s="87"/>
      <c r="WUN11" s="87"/>
      <c r="WUO11" s="87"/>
      <c r="WUP11" s="87"/>
      <c r="WUQ11" s="87"/>
      <c r="WUR11" s="87"/>
      <c r="WUS11" s="87"/>
      <c r="WUT11" s="87"/>
      <c r="WUU11" s="87"/>
      <c r="WUV11" s="87"/>
      <c r="WUW11" s="87"/>
      <c r="WUX11" s="87"/>
      <c r="WUY11" s="87"/>
      <c r="WUZ11" s="87"/>
      <c r="WVA11" s="87"/>
      <c r="WVB11" s="87"/>
      <c r="WVC11" s="87"/>
      <c r="WVD11" s="87"/>
      <c r="WVE11" s="87"/>
      <c r="WVF11" s="87"/>
      <c r="WVG11" s="87"/>
      <c r="WVH11" s="87"/>
      <c r="WVI11" s="87"/>
      <c r="WVJ11" s="87"/>
      <c r="WVK11" s="87"/>
      <c r="WVL11" s="87"/>
      <c r="WVM11" s="87"/>
      <c r="WVN11" s="87"/>
      <c r="WVO11" s="87"/>
      <c r="WVP11" s="87"/>
      <c r="WVQ11" s="87"/>
      <c r="WVR11" s="87"/>
      <c r="WVS11" s="87"/>
      <c r="WVT11" s="87"/>
      <c r="WVU11" s="87"/>
      <c r="WVV11" s="87"/>
      <c r="WVW11" s="87"/>
      <c r="WVX11" s="87"/>
      <c r="WVY11" s="87"/>
      <c r="WVZ11" s="87"/>
      <c r="WWA11" s="87"/>
      <c r="WWB11" s="87"/>
      <c r="WWC11" s="87"/>
      <c r="WWD11" s="87"/>
      <c r="WWE11" s="87"/>
      <c r="WWF11" s="87"/>
      <c r="WWG11" s="87"/>
      <c r="WWH11" s="87"/>
      <c r="WWI11" s="87"/>
      <c r="WWJ11" s="87"/>
      <c r="WWK11" s="87"/>
      <c r="WWL11" s="87"/>
      <c r="WWM11" s="87"/>
      <c r="WWN11" s="87"/>
      <c r="WWO11" s="87"/>
      <c r="WWP11" s="87"/>
      <c r="WWQ11" s="87"/>
      <c r="WWR11" s="87"/>
      <c r="WWS11" s="87"/>
      <c r="WWT11" s="87"/>
      <c r="WWU11" s="87"/>
      <c r="WWV11" s="87"/>
      <c r="WWW11" s="87"/>
      <c r="WWX11" s="87"/>
      <c r="WWY11" s="87"/>
      <c r="WWZ11" s="87"/>
      <c r="WXA11" s="87"/>
      <c r="WXB11" s="87"/>
      <c r="WXC11" s="87"/>
      <c r="WXD11" s="87"/>
      <c r="WXE11" s="87"/>
      <c r="WXF11" s="87"/>
      <c r="WXG11" s="87"/>
      <c r="WXH11" s="87"/>
      <c r="WXI11" s="87"/>
      <c r="WXJ11" s="87"/>
      <c r="WXK11" s="87"/>
      <c r="WXL11" s="87"/>
      <c r="WXM11" s="87"/>
      <c r="WXN11" s="87"/>
      <c r="WXO11" s="87"/>
      <c r="WXP11" s="87"/>
      <c r="WXQ11" s="87"/>
      <c r="WXR11" s="87"/>
      <c r="WXS11" s="87"/>
      <c r="WXT11" s="87"/>
      <c r="WXU11" s="87"/>
      <c r="WXV11" s="87"/>
      <c r="WXW11" s="87"/>
      <c r="WXX11" s="87"/>
      <c r="WXY11" s="87"/>
      <c r="WXZ11" s="87"/>
      <c r="WYA11" s="87"/>
      <c r="WYB11" s="87"/>
      <c r="WYC11" s="87"/>
      <c r="WYD11" s="87"/>
      <c r="WYE11" s="87"/>
      <c r="WYF11" s="87"/>
      <c r="WYG11" s="87"/>
      <c r="WYH11" s="87"/>
      <c r="WYI11" s="87"/>
      <c r="WYJ11" s="87"/>
      <c r="WYK11" s="87"/>
      <c r="WYL11" s="87"/>
      <c r="WYM11" s="87"/>
      <c r="WYN11" s="87"/>
      <c r="WYO11" s="87"/>
      <c r="WYP11" s="87"/>
      <c r="WYQ11" s="87"/>
      <c r="WYR11" s="87"/>
      <c r="WYS11" s="87"/>
      <c r="WYT11" s="87"/>
      <c r="WYU11" s="87"/>
      <c r="WYV11" s="87"/>
      <c r="WYW11" s="87"/>
      <c r="WYX11" s="87"/>
      <c r="WYY11" s="87"/>
      <c r="WYZ11" s="87"/>
      <c r="WZA11" s="87"/>
      <c r="WZB11" s="87"/>
      <c r="WZC11" s="87"/>
      <c r="WZD11" s="87"/>
      <c r="WZE11" s="87"/>
      <c r="WZF11" s="87"/>
      <c r="WZG11" s="87"/>
      <c r="WZH11" s="87"/>
      <c r="WZI11" s="87"/>
      <c r="WZJ11" s="87"/>
      <c r="WZK11" s="87"/>
      <c r="WZL11" s="87"/>
      <c r="WZM11" s="87"/>
      <c r="WZN11" s="87"/>
      <c r="WZO11" s="87"/>
      <c r="WZP11" s="87"/>
      <c r="WZQ11" s="87"/>
      <c r="WZR11" s="87"/>
      <c r="WZS11" s="87"/>
      <c r="WZT11" s="87"/>
      <c r="WZU11" s="87"/>
      <c r="WZV11" s="87"/>
      <c r="WZW11" s="87"/>
      <c r="WZX11" s="87"/>
      <c r="WZY11" s="87"/>
      <c r="WZZ11" s="87"/>
      <c r="XAA11" s="87"/>
      <c r="XAB11" s="87"/>
      <c r="XAC11" s="87"/>
      <c r="XAD11" s="87"/>
      <c r="XAE11" s="87"/>
      <c r="XAF11" s="87"/>
      <c r="XAG11" s="87"/>
      <c r="XAH11" s="87"/>
      <c r="XAI11" s="87"/>
      <c r="XAJ11" s="87"/>
      <c r="XAK11" s="87"/>
      <c r="XAL11" s="87"/>
      <c r="XAM11" s="87"/>
      <c r="XAN11" s="87"/>
      <c r="XAO11" s="87"/>
      <c r="XAP11" s="87"/>
      <c r="XAQ11" s="87"/>
      <c r="XAR11" s="87"/>
      <c r="XAS11" s="87"/>
      <c r="XAT11" s="87"/>
      <c r="XAU11" s="87"/>
      <c r="XAV11" s="87"/>
      <c r="XAW11" s="87"/>
      <c r="XAX11" s="87"/>
      <c r="XAY11" s="87"/>
      <c r="XAZ11" s="87"/>
      <c r="XBA11" s="87"/>
      <c r="XBB11" s="87"/>
      <c r="XBC11" s="87"/>
      <c r="XBD11" s="87"/>
      <c r="XBE11" s="87"/>
      <c r="XBF11" s="87"/>
      <c r="XBG11" s="87"/>
      <c r="XBH11" s="87"/>
      <c r="XBI11" s="87"/>
      <c r="XBJ11" s="87"/>
      <c r="XBK11" s="87"/>
      <c r="XBL11" s="87"/>
      <c r="XBM11" s="87"/>
      <c r="XBN11" s="87"/>
      <c r="XBO11" s="87"/>
      <c r="XBP11" s="87"/>
      <c r="XBQ11" s="87"/>
      <c r="XBR11" s="87"/>
      <c r="XBS11" s="87"/>
      <c r="XBT11" s="87"/>
      <c r="XBU11" s="87"/>
      <c r="XBV11" s="87"/>
      <c r="XBW11" s="87"/>
      <c r="XBX11" s="87"/>
      <c r="XBY11" s="87"/>
      <c r="XBZ11" s="87"/>
      <c r="XCA11" s="87"/>
      <c r="XCB11" s="87"/>
      <c r="XCC11" s="87"/>
      <c r="XCD11" s="87"/>
      <c r="XCE11" s="87"/>
      <c r="XCF11" s="87"/>
      <c r="XCG11" s="87"/>
      <c r="XCH11" s="87"/>
      <c r="XCI11" s="87"/>
      <c r="XCJ11" s="87"/>
      <c r="XCK11" s="87"/>
      <c r="XCL11" s="87"/>
      <c r="XCM11" s="87"/>
      <c r="XCN11" s="87"/>
      <c r="XCO11" s="87"/>
      <c r="XCP11" s="87"/>
      <c r="XCQ11" s="87"/>
      <c r="XCR11" s="87"/>
      <c r="XCS11" s="87"/>
      <c r="XCT11" s="87"/>
      <c r="XCU11" s="87"/>
      <c r="XCV11" s="87"/>
    </row>
    <row r="12" spans="1:16324" ht="14.5">
      <c r="A12" s="102">
        <v>11</v>
      </c>
      <c r="B12" s="94">
        <v>100</v>
      </c>
      <c r="C12" s="103" t="s">
        <v>1008</v>
      </c>
      <c r="D12" s="103" t="s">
        <v>1010</v>
      </c>
      <c r="E12" s="95">
        <v>220</v>
      </c>
      <c r="F12" s="19" t="s">
        <v>890</v>
      </c>
      <c r="G12" s="96">
        <v>0.5</v>
      </c>
      <c r="H12" s="96">
        <f t="shared" si="0"/>
        <v>2.2727272727272729</v>
      </c>
      <c r="I12" s="95">
        <v>1</v>
      </c>
      <c r="J12" s="96">
        <v>1</v>
      </c>
      <c r="K12" s="96">
        <f t="shared" ref="K12:K13" si="83">ROUND(SQRT(1-(J12)^2)/J12,2)</f>
        <v>0</v>
      </c>
      <c r="L12" s="97">
        <f t="shared" si="28"/>
        <v>0.5</v>
      </c>
      <c r="M12" s="97">
        <f t="shared" si="29"/>
        <v>0</v>
      </c>
      <c r="N12" s="97">
        <f t="shared" si="30"/>
        <v>0.25</v>
      </c>
      <c r="O12" s="118"/>
      <c r="P12" s="118"/>
      <c r="Q12" s="118"/>
      <c r="R12" s="118"/>
      <c r="S12" s="118"/>
      <c r="T12" s="118"/>
      <c r="U12" s="86">
        <f t="shared" si="82"/>
        <v>2.7272727272727275</v>
      </c>
      <c r="V12" s="86">
        <f t="shared" si="31"/>
        <v>15.90909090909091</v>
      </c>
      <c r="W12" s="116" t="s">
        <v>872</v>
      </c>
      <c r="X12" s="87" t="s">
        <v>300</v>
      </c>
      <c r="Y12" s="87">
        <f t="shared" si="32"/>
        <v>6</v>
      </c>
      <c r="Z12" s="87" t="str">
        <f>INDEX(автоматы!$B$3:$D$11,MATCH(Y12,автоматы!$A$3:$A$11,0),MATCH(X12,кол_пол,0))</f>
        <v>EZ9F34106</v>
      </c>
      <c r="AA12" s="87">
        <f t="shared" si="33"/>
        <v>4</v>
      </c>
      <c r="AB12" s="87" t="str">
        <f>VLOOKUP(AA12,автоматы!$H$3:$I$17,2,0)</f>
        <v>GZ1 E08</v>
      </c>
      <c r="AC12" s="87">
        <f t="shared" si="34"/>
        <v>20</v>
      </c>
      <c r="AD12" s="87" t="str">
        <f>VLOOKUP(AC12,автоматы!$N$3:$O$19,2,0)</f>
        <v>LZMB1-A20-I</v>
      </c>
      <c r="AE12" s="88">
        <f t="shared" si="35"/>
        <v>6</v>
      </c>
      <c r="AF12" s="87" t="str">
        <f>INDEX(автоматы!$T$2:$V$15,MATCH(AE12,автоматы!$S$2:$S$15,0),MATCH(X12,автоматы!$T$1:$V$1,0))</f>
        <v>iC60N C6 1P</v>
      </c>
      <c r="AG12" s="87">
        <f t="shared" si="36"/>
        <v>6</v>
      </c>
      <c r="AH12" s="87" t="str">
        <f>VLOOKUP(AG12,автоматы!$Z$3:$AA$9,2,0)</f>
        <v>A9D31606</v>
      </c>
      <c r="AI12" s="2">
        <f t="shared" si="37"/>
        <v>15</v>
      </c>
      <c r="AJ12" t="str">
        <f>VLOOKUP(AI12,автоматы!$AE$3:$AF$26,2,0)</f>
        <v>EZC100F3015</v>
      </c>
      <c r="AK12" s="3">
        <f t="shared" si="38"/>
        <v>4</v>
      </c>
      <c r="AL12" t="str">
        <f>VLOOKUP(AK12,DEKraft!$I$2:$J$16,2,0)</f>
        <v>21227DEK</v>
      </c>
      <c r="AM12">
        <f t="shared" si="39"/>
        <v>4</v>
      </c>
      <c r="AN12" t="str">
        <f>VLOOKUP(AM12,systeme!$A$33:$B$47,2,0)</f>
        <v>GM2ME08</v>
      </c>
      <c r="AO12">
        <f t="shared" si="40"/>
        <v>4</v>
      </c>
      <c r="AP12">
        <f>VLOOKUP(AO12,chint!$A$34:$B$48,2,0)</f>
        <v>495079</v>
      </c>
      <c r="AQ12" s="3">
        <f t="shared" si="41"/>
        <v>6</v>
      </c>
      <c r="AR12" t="str">
        <f>INDEX(DEKraft!$B$2:$D$13,MATCH(AQ12,DEKraft!$A$2:$A$13,0),MATCH(X12,DEKraft!$B$1:$D$1,0))</f>
        <v>13151DEK</v>
      </c>
      <c r="AS12" t="str">
        <f>INDEX(DEKraft!$B$21:$D$32,MATCH(AQ12,DEKraft!$A$21:$A$32,0),MATCH(X12,DEKraft!$B$20:$D$20,0))</f>
        <v>12269DEK</v>
      </c>
      <c r="AT12" t="str">
        <f>INDEX(systeme!$B$2:$D$10,MATCH(AQ12,systeme!$A$2:$A$10,0),MATCH(X12,systeme!$B$1:$D$1,0))</f>
        <v>C9F36106</v>
      </c>
      <c r="AU12">
        <f>INDEX(chint!$B$2:$D$10,MATCH(AQ12,chint!$A$2:$A$10,0),MATCH(X12,chint!$B$1:$D$1,0))</f>
        <v>179625</v>
      </c>
      <c r="AV12" s="3">
        <f t="shared" si="42"/>
        <v>6</v>
      </c>
      <c r="AW12" t="str">
        <f>VLOOKUP(AV12,DEKraft!$A$41:$B$47,2,0)</f>
        <v>16202DEK</v>
      </c>
      <c r="AX12">
        <f t="shared" si="43"/>
        <v>10</v>
      </c>
      <c r="AY12" t="str">
        <f>VLOOKUP(AX12,systeme!$G$2:$H$7,2,0)</f>
        <v>C9D36610</v>
      </c>
      <c r="AZ12">
        <f t="shared" si="44"/>
        <v>6</v>
      </c>
      <c r="BA12">
        <f>VLOOKUP(AV12,chint!$G$2:$H$8,2,0)</f>
        <v>689000</v>
      </c>
      <c r="BB12" s="3">
        <f t="shared" si="45"/>
        <v>25</v>
      </c>
      <c r="BC12" t="str">
        <f>VLOOKUP(BB12,DEKraft!$I$21:$J$36,2,0)</f>
        <v>28100DEK</v>
      </c>
      <c r="BD12">
        <f t="shared" si="46"/>
        <v>16</v>
      </c>
      <c r="BE12" t="str">
        <f>VLOOKUP(BD12,systeme!$A$16:$B$30,2,0)</f>
        <v>SPC100F016L3DF</v>
      </c>
      <c r="BF12">
        <f t="shared" si="47"/>
        <v>16</v>
      </c>
      <c r="BG12" s="4">
        <f>VLOOKUP(BF12,chint!$A$14:$B$31,2,0)</f>
        <v>271581</v>
      </c>
      <c r="BH12">
        <f t="shared" si="48"/>
        <v>6</v>
      </c>
      <c r="BI12" t="str">
        <f>INDEX(КЭАЗ!$B$2:$E$14,MATCH(BH12,КЭАЗ!$A$2:$A$14,0),MATCH(X12,КЭАЗ!$B$1:$D$1,0))</f>
        <v>kea.341877</v>
      </c>
      <c r="BJ12">
        <f t="shared" si="49"/>
        <v>6</v>
      </c>
      <c r="BK12" t="str">
        <f>INDEX(hy!$B$2:$D$18,MATCH(BJ12,hy!$A$2:$A$18,0),MATCH(X12,hy!$B$1:$D$1,0))</f>
        <v>HGD63M 1PMCS0000C 00006</v>
      </c>
      <c r="BL12" t="str">
        <f>VLOOKUP(BJ12,hy!$G$2:$H$15,2,0)</f>
        <v>HRO63M 1NG4С0000C00006G</v>
      </c>
      <c r="BM12">
        <f t="shared" si="50"/>
        <v>4</v>
      </c>
      <c r="BN12" t="str">
        <f>VLOOKUP(BM12,hy!$A$41:$B$55,2,0)</f>
        <v>MMS32K 0004</v>
      </c>
      <c r="BO12">
        <f t="shared" si="51"/>
        <v>100</v>
      </c>
      <c r="BP12" t="str">
        <f>VLOOKUP(BO12,hy!$A$21:$B$35,2,0)</f>
        <v>HGP100S-G 3PT4S0000C 00100H</v>
      </c>
      <c r="BQ12" s="89">
        <f>IF($W12=автоматы!$D$45,Z12,IF($W12=автоматы!$D$46,AF12,IF($W12=автоматы!$D$47,AH12,IF($W12=автоматы!$D$48,AB12,IF($W12=автоматы!$D$49,AJ12,IF($W12=автоматы!$D$50,AD12,IF($W12=автоматы!$D$51,BI12,IF($W12=автоматы!$D$52,AR12,IF($W12=автоматы!$D$53,AS12,IF($W12=автоматы!$D$54,AW12,IF($W12=автоматы!$D$55,AL12,IF($W12=автоматы!$D$56,BC12,IF($W12=автоматы!$D$57,AT12,IF($W12=автоматы!$D$58,AY12,IF($W12=автоматы!$D$59,AN12,IF($W12=автоматы!$D$60,BE12,IF($W12=автоматы!$D$61,AU12,IF($W12=автоматы!$D$62,BA12,IF($W12=автоматы!$D$63,AP12,IF($W12=автоматы!$D$64,BG12,IF($W12=автоматы!$D$65,BK12,IF($W12=автоматы!$D$66,BL12,IF($W12=автоматы!$D$67,BN12,IF($W12=автоматы!$D$68,BP12,"др"))))))))))))))))))))))))</f>
        <v>179625</v>
      </c>
      <c r="BR12" s="89">
        <f>IF($W12=автоматы!$D$45,Y12,IF($W12=автоматы!$D$46,AE12,IF($W12=автоматы!$D$47,AG12,IF($W12=автоматы!$D$48,AA12,IF($W12=автоматы!$D$49,AI12,IF($W12=автоматы!$D$50,AC12,IF($W12=автоматы!$D$51,BH12,IF($W12=автоматы!$D$52,AQ12,IF($W12=автоматы!$D$53,AQ12,IF($W12=автоматы!$D$54,AV12,IF($W12=автоматы!$D$55,AK12,IF($W12=автоматы!$D$56,BB12,IF($W12=автоматы!$D$57,AQ12,IF($W12=автоматы!$D$58,AX12,IF($W12=автоматы!$D$59,AM12,IF($W12=автоматы!$D$60,BD12,IF($W12=автоматы!$D$61,AQ12,IF($W12=автоматы!$D$62,AZ12,IF($W12=автоматы!$D$63,AO12,IF($W12=автоматы!$D$64,BF12,IF($W12=автоматы!$D$65,BJ12,IF($W12=автоматы!$D$66,BJ12,IF($W12=автоматы!$D$67,BM12,IF($W12=автоматы!$D$68,BO12,"др"))))))))))))))))))))))))</f>
        <v>6</v>
      </c>
      <c r="BS12" s="89" t="str">
        <f>CONCATENATE(IF($W12=автоматы!$A$1,Y12,IF($W12=автоматы!$H$1,VLOOKUP(AA12,автоматы!$H$3:$K$17,3,0),IF($W12=автоматы!$N$1,VLOOKUP(AC12,автоматы!$N$3:$Q$19,3,0),IF($W12=автоматы!$S$17,AE12,IF($W12=автоматы!$Z$1,AG12,IF($W12=автоматы!$AE$1,AI12,"др"))))))," А")</f>
        <v>др А</v>
      </c>
      <c r="BT12" s="89" t="str">
        <f>IF($W12=автоматы!$A$1,Y12*10,IF($W12=автоматы!$H$1,VLOOKUP(AA12,автоматы!$H$3:$K$17,4,0),IF($W12=автоматы!$N$1,VLOOKUP(AC12,автоматы!$N$3:$Q$19,4,0),IF($W12=автоматы!$S$17,AE12*10,IF($W12=автоматы!$Z$1,AG12*10,IF($W12=автоматы!$AE$1,AI12*10,"др"))))))</f>
        <v>др</v>
      </c>
      <c r="BU12" s="85"/>
      <c r="BV12" s="90" t="s">
        <v>147</v>
      </c>
      <c r="BW12" s="90">
        <v>1</v>
      </c>
      <c r="BX12" s="91">
        <v>3</v>
      </c>
      <c r="BY12" s="92">
        <v>1.5</v>
      </c>
      <c r="BZ12" s="91">
        <f>HLOOKUP(BV12,каталог!$CG$1:$CO$22,MATCH(BY12,каталог!$CF$1:$CF$22,0),0)*BW12</f>
        <v>19</v>
      </c>
      <c r="CA12" s="87" t="str">
        <f t="shared" si="52"/>
        <v>нГр.1</v>
      </c>
      <c r="CB12" s="87" t="str">
        <f t="shared" si="53"/>
        <v>ВВГнг(А)-LS 3x1,5</v>
      </c>
    </row>
    <row r="13" spans="1:16324" ht="14.5">
      <c r="A13" s="102">
        <v>12</v>
      </c>
      <c r="B13" s="94">
        <v>100</v>
      </c>
      <c r="C13" s="103" t="s">
        <v>1009</v>
      </c>
      <c r="D13" s="103" t="s">
        <v>1011</v>
      </c>
      <c r="E13" s="95">
        <v>220</v>
      </c>
      <c r="F13" s="19" t="s">
        <v>888</v>
      </c>
      <c r="G13" s="96">
        <v>0.25</v>
      </c>
      <c r="H13" s="96">
        <f t="shared" si="0"/>
        <v>1.1363636363636365</v>
      </c>
      <c r="I13" s="95">
        <v>1</v>
      </c>
      <c r="J13" s="96">
        <v>1</v>
      </c>
      <c r="K13" s="96">
        <f t="shared" si="83"/>
        <v>0</v>
      </c>
      <c r="L13" s="97">
        <f t="shared" si="28"/>
        <v>0.25</v>
      </c>
      <c r="M13" s="97">
        <f t="shared" si="29"/>
        <v>0</v>
      </c>
      <c r="N13" s="97">
        <f t="shared" si="30"/>
        <v>6.25E-2</v>
      </c>
      <c r="O13" s="118"/>
      <c r="P13" s="118"/>
      <c r="Q13" s="118"/>
      <c r="R13" s="118"/>
      <c r="S13" s="118"/>
      <c r="T13" s="118"/>
      <c r="U13" s="86">
        <f t="shared" si="82"/>
        <v>1.3636363636363638</v>
      </c>
      <c r="V13" s="86">
        <f t="shared" si="31"/>
        <v>7.954545454545455</v>
      </c>
      <c r="W13" s="116" t="s">
        <v>872</v>
      </c>
      <c r="X13" s="87" t="s">
        <v>300</v>
      </c>
      <c r="Y13" s="87">
        <f t="shared" si="32"/>
        <v>6</v>
      </c>
      <c r="Z13" s="87" t="str">
        <f>INDEX(автоматы!$B$3:$D$11,MATCH(Y13,автоматы!$A$3:$A$11,0),MATCH(X13,кол_пол,0))</f>
        <v>EZ9F34106</v>
      </c>
      <c r="AA13" s="87">
        <f t="shared" si="33"/>
        <v>1.6</v>
      </c>
      <c r="AB13" s="87" t="str">
        <f>VLOOKUP(AA13,автоматы!$H$3:$I$17,2,0)</f>
        <v>GZ1 E06</v>
      </c>
      <c r="AC13" s="87">
        <f t="shared" si="34"/>
        <v>20</v>
      </c>
      <c r="AD13" s="87" t="str">
        <f>VLOOKUP(AC13,автоматы!$N$3:$O$19,2,0)</f>
        <v>LZMB1-A20-I</v>
      </c>
      <c r="AE13" s="88">
        <f t="shared" si="35"/>
        <v>6</v>
      </c>
      <c r="AF13" s="87" t="str">
        <f>INDEX(автоматы!$T$2:$V$15,MATCH(AE13,автоматы!$S$2:$S$15,0),MATCH(X13,автоматы!$T$1:$V$1,0))</f>
        <v>iC60N C6 1P</v>
      </c>
      <c r="AG13" s="87">
        <f t="shared" si="36"/>
        <v>6</v>
      </c>
      <c r="AH13" s="87" t="str">
        <f>VLOOKUP(AG13,автоматы!$Z$3:$AA$9,2,0)</f>
        <v>A9D31606</v>
      </c>
      <c r="AI13" s="2">
        <f t="shared" si="37"/>
        <v>15</v>
      </c>
      <c r="AJ13" t="str">
        <f>VLOOKUP(AI13,автоматы!$AE$3:$AF$26,2,0)</f>
        <v>EZC100F3015</v>
      </c>
      <c r="AK13" s="3">
        <f t="shared" si="38"/>
        <v>1.6</v>
      </c>
      <c r="AL13" t="str">
        <f>VLOOKUP(AK13,DEKraft!$I$2:$J$16,2,0)</f>
        <v>21225DEK</v>
      </c>
      <c r="AM13">
        <f t="shared" si="39"/>
        <v>1.6</v>
      </c>
      <c r="AN13" t="str">
        <f>VLOOKUP(AM13,systeme!$A$33:$B$47,2,0)</f>
        <v>GM2ME06</v>
      </c>
      <c r="AO13">
        <f t="shared" si="40"/>
        <v>1.6</v>
      </c>
      <c r="AP13">
        <f>VLOOKUP(AO13,chint!$A$34:$B$48,2,0)</f>
        <v>495077</v>
      </c>
      <c r="AQ13" s="3">
        <f t="shared" si="41"/>
        <v>6</v>
      </c>
      <c r="AR13" t="str">
        <f>INDEX(DEKraft!$B$2:$D$13,MATCH(AQ13,DEKraft!$A$2:$A$13,0),MATCH(X13,DEKraft!$B$1:$D$1,0))</f>
        <v>13151DEK</v>
      </c>
      <c r="AS13" t="str">
        <f>INDEX(DEKraft!$B$21:$D$32,MATCH(AQ13,DEKraft!$A$21:$A$32,0),MATCH(X13,DEKraft!$B$20:$D$20,0))</f>
        <v>12269DEK</v>
      </c>
      <c r="AT13" t="str">
        <f>INDEX(systeme!$B$2:$D$10,MATCH(AQ13,systeme!$A$2:$A$10,0),MATCH(X13,systeme!$B$1:$D$1,0))</f>
        <v>C9F36106</v>
      </c>
      <c r="AU13">
        <f>INDEX(chint!$B$2:$D$10,MATCH(AQ13,chint!$A$2:$A$10,0),MATCH(X13,chint!$B$1:$D$1,0))</f>
        <v>179625</v>
      </c>
      <c r="AV13" s="3">
        <f t="shared" si="42"/>
        <v>6</v>
      </c>
      <c r="AW13" t="str">
        <f>VLOOKUP(AV13,DEKraft!$A$41:$B$47,2,0)</f>
        <v>16202DEK</v>
      </c>
      <c r="AX13">
        <f t="shared" si="43"/>
        <v>10</v>
      </c>
      <c r="AY13" t="str">
        <f>VLOOKUP(AX13,systeme!$G$2:$H$7,2,0)</f>
        <v>C9D36610</v>
      </c>
      <c r="AZ13">
        <f t="shared" si="44"/>
        <v>6</v>
      </c>
      <c r="BA13">
        <f>VLOOKUP(AV13,chint!$G$2:$H$8,2,0)</f>
        <v>689000</v>
      </c>
      <c r="BB13" s="3">
        <f t="shared" si="45"/>
        <v>25</v>
      </c>
      <c r="BC13" t="str">
        <f>VLOOKUP(BB13,DEKraft!$I$21:$J$36,2,0)</f>
        <v>28100DEK</v>
      </c>
      <c r="BD13">
        <f t="shared" si="46"/>
        <v>16</v>
      </c>
      <c r="BE13" t="str">
        <f>VLOOKUP(BD13,systeme!$A$16:$B$30,2,0)</f>
        <v>SPC100F016L3DF</v>
      </c>
      <c r="BF13">
        <f t="shared" si="47"/>
        <v>16</v>
      </c>
      <c r="BG13" s="4">
        <f>VLOOKUP(BF13,chint!$A$14:$B$31,2,0)</f>
        <v>271581</v>
      </c>
      <c r="BH13">
        <f t="shared" si="48"/>
        <v>6</v>
      </c>
      <c r="BI13" t="str">
        <f>INDEX(КЭАЗ!$B$2:$E$14,MATCH(BH13,КЭАЗ!$A$2:$A$14,0),MATCH(X13,КЭАЗ!$B$1:$D$1,0))</f>
        <v>kea.341877</v>
      </c>
      <c r="BJ13">
        <f t="shared" si="49"/>
        <v>6</v>
      </c>
      <c r="BK13" t="str">
        <f>INDEX(hy!$B$2:$D$18,MATCH(BJ13,hy!$A$2:$A$18,0),MATCH(X13,hy!$B$1:$D$1,0))</f>
        <v>HGD63M 1PMCS0000C 00006</v>
      </c>
      <c r="BL13" t="str">
        <f>VLOOKUP(BJ13,hy!$G$2:$H$15,2,0)</f>
        <v>HRO63M 1NG4С0000C00006G</v>
      </c>
      <c r="BM13">
        <f t="shared" si="50"/>
        <v>1.6</v>
      </c>
      <c r="BN13" t="str">
        <f>VLOOKUP(BM13,hy!$A$41:$B$55,2,0)</f>
        <v>MMS32K 01P6</v>
      </c>
      <c r="BO13">
        <f t="shared" si="51"/>
        <v>100</v>
      </c>
      <c r="BP13" t="str">
        <f>VLOOKUP(BO13,hy!$A$21:$B$35,2,0)</f>
        <v>HGP100S-G 3PT4S0000C 00100H</v>
      </c>
      <c r="BQ13" s="89">
        <f>IF($W13=автоматы!$D$45,Z13,IF($W13=автоматы!$D$46,AF13,IF($W13=автоматы!$D$47,AH13,IF($W13=автоматы!$D$48,AB13,IF($W13=автоматы!$D$49,AJ13,IF($W13=автоматы!$D$50,AD13,IF($W13=автоматы!$D$51,BI13,IF($W13=автоматы!$D$52,AR13,IF($W13=автоматы!$D$53,AS13,IF($W13=автоматы!$D$54,AW13,IF($W13=автоматы!$D$55,AL13,IF($W13=автоматы!$D$56,BC13,IF($W13=автоматы!$D$57,AT13,IF($W13=автоматы!$D$58,AY13,IF($W13=автоматы!$D$59,AN13,IF($W13=автоматы!$D$60,BE13,IF($W13=автоматы!$D$61,AU13,IF($W13=автоматы!$D$62,BA13,IF($W13=автоматы!$D$63,AP13,IF($W13=автоматы!$D$64,BG13,IF($W13=автоматы!$D$65,BK13,IF($W13=автоматы!$D$66,BL13,IF($W13=автоматы!$D$67,BN13,IF($W13=автоматы!$D$68,BP13,"др"))))))))))))))))))))))))</f>
        <v>179625</v>
      </c>
      <c r="BR13" s="89">
        <f>IF($W13=автоматы!$D$45,Y13,IF($W13=автоматы!$D$46,AE13,IF($W13=автоматы!$D$47,AG13,IF($W13=автоматы!$D$48,AA13,IF($W13=автоматы!$D$49,AI13,IF($W13=автоматы!$D$50,AC13,IF($W13=автоматы!$D$51,BH13,IF($W13=автоматы!$D$52,AQ13,IF($W13=автоматы!$D$53,AQ13,IF($W13=автоматы!$D$54,AV13,IF($W13=автоматы!$D$55,AK13,IF($W13=автоматы!$D$56,BB13,IF($W13=автоматы!$D$57,AQ13,IF($W13=автоматы!$D$58,AX13,IF($W13=автоматы!$D$59,AM13,IF($W13=автоматы!$D$60,BD13,IF($W13=автоматы!$D$61,AQ13,IF($W13=автоматы!$D$62,AZ13,IF($W13=автоматы!$D$63,AO13,IF($W13=автоматы!$D$64,BF13,IF($W13=автоматы!$D$65,BJ13,IF($W13=автоматы!$D$66,BJ13,IF($W13=автоматы!$D$67,BM13,IF($W13=автоматы!$D$68,BO13,"др"))))))))))))))))))))))))</f>
        <v>6</v>
      </c>
      <c r="BS13" s="89" t="str">
        <f>CONCATENATE(IF($W13=автоматы!$A$1,Y13,IF($W13=автоматы!$H$1,VLOOKUP(AA13,автоматы!$H$3:$K$17,3,0),IF($W13=автоматы!$N$1,VLOOKUP(AC13,автоматы!$N$3:$Q$19,3,0),IF($W13=автоматы!$S$17,AE13,IF($W13=автоматы!$Z$1,AG13,IF($W13=автоматы!$AE$1,AI13,"др"))))))," А")</f>
        <v>др А</v>
      </c>
      <c r="BT13" s="89" t="str">
        <f>IF($W13=автоматы!$A$1,Y13*10,IF($W13=автоматы!$H$1,VLOOKUP(AA13,автоматы!$H$3:$K$17,4,0),IF($W13=автоматы!$N$1,VLOOKUP(AC13,автоматы!$N$3:$Q$19,4,0),IF($W13=автоматы!$S$17,AE13*10,IF($W13=автоматы!$Z$1,AG13*10,IF($W13=автоматы!$AE$1,AI13*10,"др"))))))</f>
        <v>др</v>
      </c>
      <c r="BU13" s="85"/>
      <c r="BV13" s="90" t="s">
        <v>147</v>
      </c>
      <c r="BW13" s="90">
        <v>1</v>
      </c>
      <c r="BX13" s="91">
        <v>3</v>
      </c>
      <c r="BY13" s="92">
        <v>1.5</v>
      </c>
      <c r="BZ13" s="91">
        <f>HLOOKUP(BV13,каталог!$CG$1:$CO$22,MATCH(BY13,каталог!$CF$1:$CF$22,0),0)*BW13</f>
        <v>19</v>
      </c>
      <c r="CA13" s="87" t="str">
        <f t="shared" si="52"/>
        <v>нГр.2</v>
      </c>
      <c r="CB13" s="87" t="str">
        <f t="shared" si="53"/>
        <v>ВВГнг(А)-LS 3x1,5</v>
      </c>
    </row>
    <row r="14" spans="1:16324" s="87" customFormat="1" ht="14.5">
      <c r="A14" s="102">
        <v>11</v>
      </c>
      <c r="B14" s="94">
        <v>100</v>
      </c>
      <c r="C14" s="103" t="s">
        <v>1012</v>
      </c>
      <c r="D14" s="100" t="s">
        <v>1039</v>
      </c>
      <c r="E14" s="95">
        <v>220</v>
      </c>
      <c r="F14" s="19" t="s">
        <v>889</v>
      </c>
      <c r="G14" s="96">
        <v>0.26</v>
      </c>
      <c r="H14" s="96">
        <f t="shared" ref="H14:H21" si="84">IF(E14&lt;=230,(G14)/((E14/1000)*J14*(B14/100)),(G14)/(1.732*(E14/1000)*J14*(B14/100)))</f>
        <v>1.2059369202226347</v>
      </c>
      <c r="I14" s="95">
        <v>1</v>
      </c>
      <c r="J14" s="96">
        <v>0.98</v>
      </c>
      <c r="K14" s="96">
        <f t="shared" ref="K14:K21" si="85">ROUND(SQRT(1-(J14)^2)/J14,2)</f>
        <v>0.2</v>
      </c>
      <c r="L14" s="97">
        <f t="shared" si="28"/>
        <v>0.26</v>
      </c>
      <c r="M14" s="97">
        <f t="shared" si="29"/>
        <v>5.2000000000000005E-2</v>
      </c>
      <c r="N14" s="97">
        <f t="shared" si="30"/>
        <v>6.7600000000000007E-2</v>
      </c>
      <c r="O14" s="97"/>
      <c r="P14" s="97"/>
      <c r="Q14" s="97"/>
      <c r="R14" s="97"/>
      <c r="S14" s="97"/>
      <c r="T14" s="97"/>
      <c r="U14" s="86">
        <f>H14*1.1</f>
        <v>1.3265306122448983</v>
      </c>
      <c r="V14" s="86">
        <f>7*H14</f>
        <v>8.4415584415584419</v>
      </c>
      <c r="W14" s="116" t="s">
        <v>874</v>
      </c>
      <c r="X14" s="87" t="s">
        <v>301</v>
      </c>
      <c r="Y14" s="87">
        <f>IF(U14&lt;=6,6,IF(U14&lt;=10,10,IF(U14&lt;=16,16,IF(U14&lt;=20,20,IF(U14&lt;=25,25,IF(U14&lt;=32,32,IF(U14&lt;=40,40,IF(U14&lt;=50,50,IF(U14&lt;=63,63,"др.выкл")))))))))</f>
        <v>6</v>
      </c>
      <c r="Z14" s="87" t="str">
        <f>INDEX(автоматы!$B$3:$D$11,MATCH(Y14,автоматы!$A$3:$A$11,0),MATCH(X14,кол_пол,0))</f>
        <v>EZ9F34206</v>
      </c>
      <c r="AA14" s="87">
        <f>IF(U14&lt;=0.16,0.16,IF(U14&lt;=0.25,0.25,IF(U14&lt;=0.4,0.4,IF(U14&lt;=0.63,0.63,IF(U14&lt;=1,1,IF(U14&lt;=1.6,1.6,IF(U14&lt;=2.5,2.5,IF(U14&lt;=4,4,IF(U14&lt;=6.3,6.3,IF(U14&lt;=10,10,IF(U14&lt;=14,14,IF(U14&lt;=18,18,IF(U14&lt;=23,23,IF(U14&lt;=25,25,IF(U14&lt;=32,32,"др.авт")))))))))))))))</f>
        <v>1.6</v>
      </c>
      <c r="AB14" s="87" t="str">
        <f>VLOOKUP(AA14,автоматы!$H$3:$I$17,2,0)</f>
        <v>GZ1 E06</v>
      </c>
      <c r="AC14" s="87">
        <f>IF(U14&lt;=20,20,IF(U14&lt;=25,25,IF(U14&lt;=32,32,IF(U14&lt;=40,40,IF(U14&lt;=50,50,IF(U14&lt;=63,63,IF(U14&lt;=80,80,IF(U14&lt;=100,100,IF(U14&lt;=125,125,IF(U14&lt;=160,160,IF(U14&lt;=200,200,IF(U14&lt;=250,250,IF(U14&lt;=300,300,IF(U14&lt;=320,320,IF(U14&lt;=400,400,IF(U14&lt;=500,500,IF(U14&lt;=630,630,"др.авт")))))))))))))))))</f>
        <v>20</v>
      </c>
      <c r="AD14" s="87" t="str">
        <f>VLOOKUP(AC14,автоматы!$N$3:$O$19,2,0)</f>
        <v>LZMB1-A20-I</v>
      </c>
      <c r="AE14" s="88">
        <f>IF(U14&lt;=6,6,IF(U14&lt;=10,10,IF(U14&lt;=16,16,IF(U14&lt;=20,20,IF(U14&lt;=25,25,IF(U14&lt;=32,32,IF(U14&lt;=40,40,IF(U14&lt;=50,50,IF(U14&lt;=63,63,"др.выкл")))))))))</f>
        <v>6</v>
      </c>
      <c r="AF14" s="87" t="str">
        <f>INDEX(автоматы!$T$2:$V$15,MATCH(AE14,автоматы!$S$2:$S$15,0),MATCH(X14,автоматы!$T$1:$V$1,0))</f>
        <v>iC60N C6 2P</v>
      </c>
      <c r="AG14" s="87">
        <f>IF(U14&lt;=6,6,IF(U14&lt;=10,10,IF(U14&lt;=16,16,IF(U14&lt;=20,20,IF(U14&lt;=25,25,IF(U14&lt;=32,32,IF(U14&lt;=40,40,"др.выкл")))))))</f>
        <v>6</v>
      </c>
      <c r="AH14" s="87" t="str">
        <f>VLOOKUP(AG14,автоматы!$Z$3:$AA$9,2,0)</f>
        <v>A9D31606</v>
      </c>
      <c r="AI14" s="2">
        <f>IF(U14&lt;=15,15,IF(U14&lt;=16,16,IF(U14&lt;=20,20,IF(U14&lt;=25,25,IF(U14&lt;=32,32,IF(U14&lt;=40,40,IF(U14&lt;=45,45,IF(U14&lt;=50,50,IF(U14&lt;=60,60,IF(U14&lt;=63,63,IF(U14&lt;=75,75,IF(U14&lt;=80,80,IF(U14&lt;=100,100,IF(U14&lt;=125,125,IF(U14&lt;=150,150,IF(U14&lt;=160,160,IF(U14&lt;=175,175,IF(U14&lt;=200,200,IF(U14&lt;=225,225,IF(U14&lt;=250,250,IF(U14&lt;=320,320,IF(U14&lt;=350,350,IF(U14&lt;=400,400,"др.выкл")))))))))))))))))))))))</f>
        <v>15</v>
      </c>
      <c r="AJ14" t="str">
        <f>VLOOKUP(AI14,автоматы!$AE$3:$AF$26,2,0)</f>
        <v>EZC100F3015</v>
      </c>
      <c r="AK14" s="3">
        <f>IF(U14&lt;=0.16,0.16,IF(U14&lt;=0.25,0.25,IF(U14&lt;=0.4,0.4,IF(U14&lt;=0.63,0.63,IF(U14&lt;=1,1,IF(U14&lt;=1.6,1.6,IF(U14&lt;=2.5,2.5,IF(U14&lt;=4,4,IF(U14&lt;=6.3,6.3,IF(U14&lt;=10,10,IF(U14&lt;=14,14,IF(U14&lt;=18,18,IF(U14&lt;=23,23,IF(U14&lt;=25,25,IF(U14&lt;=32,32,"др.авт")))))))))))))))</f>
        <v>1.6</v>
      </c>
      <c r="AL14" t="str">
        <f>VLOOKUP(AK14,DEKraft!$I$2:$J$16,2,0)</f>
        <v>21225DEK</v>
      </c>
      <c r="AM14">
        <f>IF(U14&lt;=0.16,0.16,IF(U14&lt;=0.25,0.25,IF(U14&lt;=0.4,0.4,IF(U14&lt;=0.63,0.63,IF(U14&lt;=1,1,IF(U14&lt;=1.6,1.6,IF(U14&lt;=2.5,2.5,IF(U14&lt;=4,4,IF(U14&lt;=6.3,6.3,IF(U14&lt;=10,10,IF(U14&lt;=14,14,IF(U14&lt;=18,18,IF(U14&lt;=23,23,IF(U14&lt;=25,25,IF(U14&lt;=32,32,"др.авт")))))))))))))))</f>
        <v>1.6</v>
      </c>
      <c r="AN14" t="str">
        <f>VLOOKUP(AM14,systeme!$A$33:$B$47,2,0)</f>
        <v>GM2ME06</v>
      </c>
      <c r="AO14">
        <f>IF(U14&lt;=0.16,0.16,IF(U14&lt;=0.25,0.25,IF(U14&lt;=0.4,0.4,IF(U14&lt;=0.63,0.63,IF(U14&lt;=1,1,IF(U14&lt;=1.6,1.6,IF(U14&lt;=2.5,2.5,IF(U14&lt;=4,4,IF(U14&lt;=6.3,6.3,IF(U14&lt;=10,10,IF(U14&lt;=14,14,IF(U14&lt;=18,18,IF(U14&lt;=23,23,IF(U14&lt;=25,25,IF(U14&lt;=32,32,"др.авт")))))))))))))))</f>
        <v>1.6</v>
      </c>
      <c r="AP14">
        <f>VLOOKUP(AO14,chint!$A$34:$B$48,2,0)</f>
        <v>495077</v>
      </c>
      <c r="AQ14" s="3">
        <f>IF(U14&lt;=6,6,IF(U14&lt;=10,10,IF(U14&lt;=16,16,IF(U14&lt;=20,20,IF(U14&lt;=25,25,IF(U14&lt;=32,32,IF(U14&lt;=40,40,IF(U14&lt;=50,50,IF(U14&lt;=63,63,"др.выкл")))))))))</f>
        <v>6</v>
      </c>
      <c r="AR14" t="str">
        <f>INDEX(DEKraft!$B$2:$D$13,MATCH(AQ14,DEKraft!$A$2:$A$13,0),MATCH(X14,DEKraft!$B$1:$D$1,0))</f>
        <v>13163DEK</v>
      </c>
      <c r="AS14" t="str">
        <f>INDEX(DEKraft!$B$21:$D$32,MATCH(AQ14,DEKraft!$A$21:$A$32,0),MATCH(X14,DEKraft!$B$20:$D$20,0))</f>
        <v>12285DEK</v>
      </c>
      <c r="AT14" t="str">
        <f>INDEX(systeme!$B$2:$D$10,MATCH(AQ14,systeme!$A$2:$A$10,0),MATCH(X14,systeme!$B$1:$D$1,0))</f>
        <v>C9F36206</v>
      </c>
      <c r="AU14">
        <f>INDEX(chint!$B$2:$D$10,MATCH(AQ14,chint!$A$2:$A$10,0),MATCH(X14,chint!$B$1:$D$1,0))</f>
        <v>179667</v>
      </c>
      <c r="AV14" s="3">
        <f>IF(U14&lt;=6,6,IF(U14&lt;=10,10,IF(U14&lt;=16,16,IF(U14&lt;=20,20,IF(U14&lt;=25,25,IF(U14&lt;=32,32,IF(U14&lt;=40,40,"др.выкл")))))))</f>
        <v>6</v>
      </c>
      <c r="AW14" t="str">
        <f>VLOOKUP(AV14,DEKraft!$A$41:$B$47,2,0)</f>
        <v>16202DEK</v>
      </c>
      <c r="AX14">
        <f>IF(U14&lt;=10,10,IF(U14&lt;=16,16,IF(U14&lt;=20,20,IF(U14&lt;=25,25,IF(U14&lt;=32,32,IF(U14&lt;=40,40,"др.выкл"))))))</f>
        <v>10</v>
      </c>
      <c r="AY14" t="str">
        <f>VLOOKUP(AX14,systeme!$G$2:$H$7,2,0)</f>
        <v>C9D36610</v>
      </c>
      <c r="AZ14">
        <f>IF(U14&lt;=6,6,IF(U14&lt;=10,10,IF(U14&lt;=16,16,IF(U14&lt;=20,20,IF(U14&lt;=25,25,IF(U14&lt;=32,32,IF(U14&lt;=40,40,"др.выкл")))))))</f>
        <v>6</v>
      </c>
      <c r="BA14">
        <f>VLOOKUP(AV14,chint!$G$2:$H$8,2,0)</f>
        <v>689000</v>
      </c>
      <c r="BB14" s="3">
        <f>IF(U14&lt;=25,25,IF(U14&lt;=32,32,IF(U14&lt;=40,40,IF(U14&lt;=50,50,IF(U14&lt;=63,63,IF(U14&lt;=80,80,IF(U14&lt;=100,100,IF(U14&lt;=125,125,IF(U14&lt;=140,140,IF(U14&lt;=160,160,IF(U14&lt;=200,200,IF(U14&lt;=250,250,IF(U14&lt;=320,320,IF(U14&lt;=400,400,IF(U14&lt;=500,500,IF(U14&lt;=630,630,"др.выкл"))))))))))))))))</f>
        <v>25</v>
      </c>
      <c r="BC14" t="str">
        <f>VLOOKUP(BB14,DEKraft!$I$21:$J$36,2,0)</f>
        <v>28100DEK</v>
      </c>
      <c r="BD14">
        <f>IF(U14&lt;=16,16,IF(U14&lt;=25,25,IF(U14&lt;=32,32,IF(U14&lt;=40,40,IF(U14&lt;=50,50,IF(U14&lt;=63,63,IF(U14&lt;=80,80,IF(U14&lt;=100,100,IF(U14&lt;=125,125,IF(U14&lt;=160,160,IF(U14&lt;=200,200,IF(U14&lt;=250,250,IF(U14&lt;=400,400,IF(U14&lt;=500,500,IF(U14&lt;=600,600,"др.авт")))))))))))))))</f>
        <v>16</v>
      </c>
      <c r="BE14" t="str">
        <f>VLOOKUP(BD14,systeme!$A$16:$B$30,2,0)</f>
        <v>SPC100F016L3DF</v>
      </c>
      <c r="BF14">
        <f>IF(U14&lt;=16,16,IF(U14&lt;=25,25,IF(U14&lt;=32,32,IF(U14&lt;=40,40,IF(U14&lt;=50,50,IF(U14&lt;=63,63,IF(U14&lt;=80,80,IF(U14&lt;=100,100,IF(U14&lt;=125,125,IF(U14&lt;=160,160,IF(U14&lt;=200,200,IF(U14&lt;=225,225,IF(U14&lt;=250,250,IF(U14&lt;=315,315,IF(U14&lt;=350,350,IF(U14&lt;=400,400,IF(U14&lt;=500,500,IF(U14&lt;=630,630,"др.выкл"))))))))))))))))))</f>
        <v>16</v>
      </c>
      <c r="BG14" s="4">
        <f>VLOOKUP(BF14,chint!$A$14:$B$31,2,0)</f>
        <v>271581</v>
      </c>
      <c r="BH14">
        <f>IF(U14&lt;=6,6,IF(U14&lt;=10,10,IF(U14&lt;=16,16,IF(U14&lt;=20,20,IF(U14&lt;=25,25,IF(U14&lt;=32,32,IF(U14&lt;=40,40,IF(U14&lt;=50,50,IF(U14&lt;=63,63,"др.выкл")))))))))</f>
        <v>6</v>
      </c>
      <c r="BI14" t="str">
        <f>INDEX(КЭАЗ!$B$2:$E$14,MATCH(BH14,КЭАЗ!$A$2:$A$14,0),MATCH(X14,КЭАЗ!$B$1:$D$1,0))</f>
        <v>kea.341916</v>
      </c>
      <c r="BJ14">
        <f>IF(U14&lt;=6,6,IF(U14&lt;=10,10,IF(U14&lt;=16,16,IF(U14&lt;=20,20,IF(U14&lt;=25,25,IF(U14&lt;=32,32,IF(U14&lt;=40,40,IF(U14&lt;=50,50,IF(U14&lt;=63,63,IF(U14&lt;=80,80,IF(U14&lt;=100,100,IF(U14&lt;=125,125,"др.выкл"))))))))))))</f>
        <v>6</v>
      </c>
      <c r="BK14" t="str">
        <f>INDEX(hy!$B$2:$D$18,MATCH(BJ14,hy!$A$2:$A$18,0),MATCH(X14,hy!$B$1:$D$1,0))</f>
        <v>HGD63M 2PMCS0000C 00006</v>
      </c>
      <c r="BL14" t="str">
        <f>VLOOKUP(BJ14,hy!$G$2:$H$15,2,0)</f>
        <v>HRO63M 1NG4С0000C00006G</v>
      </c>
      <c r="BM14">
        <f>IF(U14&lt;=0.16,0.16,IF(U14&lt;=0.25,0.25,IF(U14&lt;=0.4,0.4,IF(U14&lt;=0.63,0.63,IF(U14&lt;=1,1,IF(U14&lt;=1.6,1.6,IF(U14&lt;=2.5,2.5,IF(U14&lt;=4,4,IF(U14&lt;=6.3,6.3,IF(U14&lt;=10,10,IF(U14&lt;=14,14,IF(U14&lt;=18,18,IF(U14&lt;=23,23,IF(U14&lt;=25,25,IF(U14&lt;=32,32,"др.авт")))))))))))))))</f>
        <v>1.6</v>
      </c>
      <c r="BN14" t="str">
        <f>VLOOKUP(BM14,hy!$A$41:$B$55,2,0)</f>
        <v>MMS32K 01P6</v>
      </c>
      <c r="BO14">
        <f>IF(U14&lt;=100,100,IF(U14&lt;=125,125,IF(U14&lt;=150,150,IF(U14&lt;=160,160,IF(U14&lt;=175,175,IF(U14&lt;=200,200,IF(U14&lt;=225,225,IF(U14&lt;=250,250,IF(U14&lt;=300,300,IF(U14&lt;=350,350,IF(U14&lt;=400,400,IF(U14&lt;=500,500,IF(U14&lt;=630,630,IF(U14&lt;=700,700,IF(U14&lt;=800,800,"др.выкл")))))))))))))))</f>
        <v>100</v>
      </c>
      <c r="BP14" t="str">
        <f>VLOOKUP(BO14,hy!$A$21:$B$35,2,0)</f>
        <v>HGP100S-G 3PT4S0000C 00100H</v>
      </c>
      <c r="BQ14" s="89">
        <f>IF($W14=автоматы!$D$45,Z14,IF($W14=автоматы!$D$46,AF14,IF($W14=автоматы!$D$47,AH14,IF($W14=автоматы!$D$48,AB14,IF($W14=автоматы!$D$49,AJ14,IF($W14=автоматы!$D$50,AD14,IF($W14=автоматы!$D$51,BI14,IF($W14=автоматы!$D$52,AR14,IF($W14=автоматы!$D$53,AS14,IF($W14=автоматы!$D$54,AW14,IF($W14=автоматы!$D$55,AL14,IF($W14=автоматы!$D$56,BC14,IF($W14=автоматы!$D$57,AT14,IF($W14=автоматы!$D$58,AY14,IF($W14=автоматы!$D$59,AN14,IF($W14=автоматы!$D$60,BE14,IF($W14=автоматы!$D$61,AU14,IF($W14=автоматы!$D$62,BA14,IF($W14=автоматы!$D$63,AP14,IF($W14=автоматы!$D$64,BG14,IF($W14=автоматы!$D$65,BK14,IF($W14=автоматы!$D$66,BL14,IF($W14=автоматы!$D$67,BN14,IF($W14=автоматы!$D$68,BP14,"др"))))))))))))))))))))))))</f>
        <v>495077</v>
      </c>
      <c r="BR14" s="89">
        <f>IF($W14=автоматы!$D$45,Y14,IF($W14=автоматы!$D$46,AE14,IF($W14=автоматы!$D$47,AG14,IF($W14=автоматы!$D$48,AA14,IF($W14=автоматы!$D$49,AI14,IF($W14=автоматы!$D$50,AC14,IF($W14=автоматы!$D$51,BH14,IF($W14=автоматы!$D$52,AQ14,IF($W14=автоматы!$D$53,AQ14,IF($W14=автоматы!$D$54,AV14,IF($W14=автоматы!$D$55,AK14,IF($W14=автоматы!$D$56,BB14,IF($W14=автоматы!$D$57,AQ14,IF($W14=автоматы!$D$58,AX14,IF($W14=автоматы!$D$59,AM14,IF($W14=автоматы!$D$60,BD14,IF($W14=автоматы!$D$61,AQ14,IF($W14=автоматы!$D$62,AZ14,IF($W14=автоматы!$D$63,AO14,IF($W14=автоматы!$D$64,BF14,IF($W14=автоматы!$D$65,BJ14,IF($W14=автоматы!$D$66,BJ14,IF($W14=автоматы!$D$67,BM14,IF($W14=автоматы!$D$68,BO14,"др"))))))))))))))))))))))))</f>
        <v>1.6</v>
      </c>
      <c r="BS14" s="89" t="str">
        <f>CONCATENATE(IF($W14=автоматы!$A$1,Y14,IF($W14=автоматы!$H$1,VLOOKUP(AA14,автоматы!$H$3:$K$17,3,0),IF($W14=автоматы!$N$1,VLOOKUP(AC14,автоматы!$N$3:$Q$19,3,0),IF($W14=автоматы!$S$17,AE14,IF($W14=автоматы!$Z$1,AG14,IF($W14=автоматы!$AE$1,AI14,"др"))))))," А")</f>
        <v>др А</v>
      </c>
      <c r="BT14" s="89" t="str">
        <f>IF($W14=автоматы!$A$1,Y14*10,IF($W14=автоматы!$H$1,VLOOKUP(AA14,автоматы!$H$3:$K$17,4,0),IF($W14=автоматы!$N$1,VLOOKUP(AC14,автоматы!$N$3:$Q$19,4,0),IF($W14=автоматы!$S$17,AE14*10,IF($W14=автоматы!$Z$1,AG14*10,IF($W14=автоматы!$AE$1,AI14*10,"др"))))))</f>
        <v>др</v>
      </c>
      <c r="BU14" s="85"/>
      <c r="BV14" s="90" t="s">
        <v>147</v>
      </c>
      <c r="BW14" s="90">
        <v>1</v>
      </c>
      <c r="BX14" s="91">
        <v>3</v>
      </c>
      <c r="BY14" s="92">
        <v>1.5</v>
      </c>
      <c r="BZ14" s="91">
        <f>HLOOKUP(BV14,каталог!$CG$1:$CO$22,MATCH(BY14,каталог!$CF$1:$CF$22,0),0)*BW14</f>
        <v>19</v>
      </c>
      <c r="CA14" s="87" t="str">
        <f>CONCATENATE("н",C14,"")</f>
        <v>нА1</v>
      </c>
      <c r="CB14" s="87" t="str">
        <f>CONCATENATE(BV14," ",BX14,"x",BY14)</f>
        <v>ВВГнг(А)-LS 3x1,5</v>
      </c>
    </row>
    <row r="15" spans="1:16324" s="87" customFormat="1" ht="14.5">
      <c r="A15" s="102">
        <v>12</v>
      </c>
      <c r="B15" s="94">
        <v>100</v>
      </c>
      <c r="C15" s="103" t="s">
        <v>1013</v>
      </c>
      <c r="D15" s="100" t="s">
        <v>1039</v>
      </c>
      <c r="E15" s="95">
        <v>220</v>
      </c>
      <c r="F15" s="19" t="s">
        <v>889</v>
      </c>
      <c r="G15" s="96">
        <v>0.26</v>
      </c>
      <c r="H15" s="96">
        <f t="shared" si="84"/>
        <v>1.2059369202226347</v>
      </c>
      <c r="I15" s="95">
        <v>1</v>
      </c>
      <c r="J15" s="96">
        <v>0.98</v>
      </c>
      <c r="K15" s="96">
        <f t="shared" si="85"/>
        <v>0.2</v>
      </c>
      <c r="L15" s="97">
        <f t="shared" si="28"/>
        <v>0.26</v>
      </c>
      <c r="M15" s="97">
        <f t="shared" si="29"/>
        <v>5.2000000000000005E-2</v>
      </c>
      <c r="N15" s="97">
        <f t="shared" si="30"/>
        <v>6.7600000000000007E-2</v>
      </c>
      <c r="O15" s="97"/>
      <c r="P15" s="97"/>
      <c r="Q15" s="97"/>
      <c r="R15" s="97"/>
      <c r="S15" s="97"/>
      <c r="T15" s="97"/>
      <c r="U15" s="86">
        <f t="shared" ref="U15:U19" si="86">H15*1.1</f>
        <v>1.3265306122448983</v>
      </c>
      <c r="V15" s="86">
        <f>7*H15</f>
        <v>8.4415584415584419</v>
      </c>
      <c r="W15" s="116" t="s">
        <v>874</v>
      </c>
      <c r="X15" s="87" t="s">
        <v>301</v>
      </c>
      <c r="Y15" s="87">
        <f>IF(U15&lt;=6,6,IF(U15&lt;=10,10,IF(U15&lt;=16,16,IF(U15&lt;=20,20,IF(U15&lt;=25,25,IF(U15&lt;=32,32,IF(U15&lt;=40,40,IF(U15&lt;=50,50,IF(U15&lt;=63,63,"др.выкл")))))))))</f>
        <v>6</v>
      </c>
      <c r="Z15" s="87" t="str">
        <f>INDEX(автоматы!$B$3:$D$11,MATCH(Y15,автоматы!$A$3:$A$11,0),MATCH(X15,кол_пол,0))</f>
        <v>EZ9F34206</v>
      </c>
      <c r="AA15" s="87">
        <f>IF(U15&lt;=0.16,0.16,IF(U15&lt;=0.25,0.25,IF(U15&lt;=0.4,0.4,IF(U15&lt;=0.63,0.63,IF(U15&lt;=1,1,IF(U15&lt;=1.6,1.6,IF(U15&lt;=2.5,2.5,IF(U15&lt;=4,4,IF(U15&lt;=6.3,6.3,IF(U15&lt;=10,10,IF(U15&lt;=14,14,IF(U15&lt;=18,18,IF(U15&lt;=23,23,IF(U15&lt;=25,25,IF(U15&lt;=32,32,"др.авт")))))))))))))))</f>
        <v>1.6</v>
      </c>
      <c r="AB15" s="87" t="str">
        <f>VLOOKUP(AA15,автоматы!$H$3:$I$17,2,0)</f>
        <v>GZ1 E06</v>
      </c>
      <c r="AC15" s="87">
        <f>IF(U15&lt;=20,20,IF(U15&lt;=25,25,IF(U15&lt;=32,32,IF(U15&lt;=40,40,IF(U15&lt;=50,50,IF(U15&lt;=63,63,IF(U15&lt;=80,80,IF(U15&lt;=100,100,IF(U15&lt;=125,125,IF(U15&lt;=160,160,IF(U15&lt;=200,200,IF(U15&lt;=250,250,IF(U15&lt;=300,300,IF(U15&lt;=320,320,IF(U15&lt;=400,400,IF(U15&lt;=500,500,IF(U15&lt;=630,630,"др.авт")))))))))))))))))</f>
        <v>20</v>
      </c>
      <c r="AD15" s="87" t="str">
        <f>VLOOKUP(AC15,автоматы!$N$3:$O$19,2,0)</f>
        <v>LZMB1-A20-I</v>
      </c>
      <c r="AE15" s="88">
        <f>IF(U15&lt;=6,6,IF(U15&lt;=10,10,IF(U15&lt;=16,16,IF(U15&lt;=20,20,IF(U15&lt;=25,25,IF(U15&lt;=32,32,IF(U15&lt;=40,40,IF(U15&lt;=50,50,IF(U15&lt;=63,63,"др.выкл")))))))))</f>
        <v>6</v>
      </c>
      <c r="AF15" s="87" t="str">
        <f>INDEX(автоматы!$T$2:$V$15,MATCH(AE15,автоматы!$S$2:$S$15,0),MATCH(X15,автоматы!$T$1:$V$1,0))</f>
        <v>iC60N C6 2P</v>
      </c>
      <c r="AG15" s="87">
        <f>IF(U15&lt;=6,6,IF(U15&lt;=10,10,IF(U15&lt;=16,16,IF(U15&lt;=20,20,IF(U15&lt;=25,25,IF(U15&lt;=32,32,IF(U15&lt;=40,40,"др.выкл")))))))</f>
        <v>6</v>
      </c>
      <c r="AH15" s="87" t="str">
        <f>VLOOKUP(AG15,автоматы!$Z$3:$AA$9,2,0)</f>
        <v>A9D31606</v>
      </c>
      <c r="AI15" s="2">
        <f>IF(U15&lt;=15,15,IF(U15&lt;=16,16,IF(U15&lt;=20,20,IF(U15&lt;=25,25,IF(U15&lt;=32,32,IF(U15&lt;=40,40,IF(U15&lt;=45,45,IF(U15&lt;=50,50,IF(U15&lt;=60,60,IF(U15&lt;=63,63,IF(U15&lt;=75,75,IF(U15&lt;=80,80,IF(U15&lt;=100,100,IF(U15&lt;=125,125,IF(U15&lt;=150,150,IF(U15&lt;=160,160,IF(U15&lt;=175,175,IF(U15&lt;=200,200,IF(U15&lt;=225,225,IF(U15&lt;=250,250,IF(U15&lt;=320,320,IF(U15&lt;=350,350,IF(U15&lt;=400,400,"др.выкл")))))))))))))))))))))))</f>
        <v>15</v>
      </c>
      <c r="AJ15" t="str">
        <f>VLOOKUP(AI15,автоматы!$AE$3:$AF$26,2,0)</f>
        <v>EZC100F3015</v>
      </c>
      <c r="AK15" s="3">
        <f>IF(U15&lt;=0.16,0.16,IF(U15&lt;=0.25,0.25,IF(U15&lt;=0.4,0.4,IF(U15&lt;=0.63,0.63,IF(U15&lt;=1,1,IF(U15&lt;=1.6,1.6,IF(U15&lt;=2.5,2.5,IF(U15&lt;=4,4,IF(U15&lt;=6.3,6.3,IF(U15&lt;=10,10,IF(U15&lt;=14,14,IF(U15&lt;=18,18,IF(U15&lt;=23,23,IF(U15&lt;=25,25,IF(U15&lt;=32,32,"др.авт")))))))))))))))</f>
        <v>1.6</v>
      </c>
      <c r="AL15" t="str">
        <f>VLOOKUP(AK15,DEKraft!$I$2:$J$16,2,0)</f>
        <v>21225DEK</v>
      </c>
      <c r="AM15">
        <f>IF(U15&lt;=0.16,0.16,IF(U15&lt;=0.25,0.25,IF(U15&lt;=0.4,0.4,IF(U15&lt;=0.63,0.63,IF(U15&lt;=1,1,IF(U15&lt;=1.6,1.6,IF(U15&lt;=2.5,2.5,IF(U15&lt;=4,4,IF(U15&lt;=6.3,6.3,IF(U15&lt;=10,10,IF(U15&lt;=14,14,IF(U15&lt;=18,18,IF(U15&lt;=23,23,IF(U15&lt;=25,25,IF(U15&lt;=32,32,"др.авт")))))))))))))))</f>
        <v>1.6</v>
      </c>
      <c r="AN15" t="str">
        <f>VLOOKUP(AM15,systeme!$A$33:$B$47,2,0)</f>
        <v>GM2ME06</v>
      </c>
      <c r="AO15">
        <f>IF(U15&lt;=0.16,0.16,IF(U15&lt;=0.25,0.25,IF(U15&lt;=0.4,0.4,IF(U15&lt;=0.63,0.63,IF(U15&lt;=1,1,IF(U15&lt;=1.6,1.6,IF(U15&lt;=2.5,2.5,IF(U15&lt;=4,4,IF(U15&lt;=6.3,6.3,IF(U15&lt;=10,10,IF(U15&lt;=14,14,IF(U15&lt;=18,18,IF(U15&lt;=23,23,IF(U15&lt;=25,25,IF(U15&lt;=32,32,"др.авт")))))))))))))))</f>
        <v>1.6</v>
      </c>
      <c r="AP15">
        <f>VLOOKUP(AO15,chint!$A$34:$B$48,2,0)</f>
        <v>495077</v>
      </c>
      <c r="AQ15" s="3">
        <f>IF(U15&lt;=6,6,IF(U15&lt;=10,10,IF(U15&lt;=16,16,IF(U15&lt;=20,20,IF(U15&lt;=25,25,IF(U15&lt;=32,32,IF(U15&lt;=40,40,IF(U15&lt;=50,50,IF(U15&lt;=63,63,"др.выкл")))))))))</f>
        <v>6</v>
      </c>
      <c r="AR15" t="str">
        <f>INDEX(DEKraft!$B$2:$D$13,MATCH(AQ15,DEKraft!$A$2:$A$13,0),MATCH(X15,DEKraft!$B$1:$D$1,0))</f>
        <v>13163DEK</v>
      </c>
      <c r="AS15" t="str">
        <f>INDEX(DEKraft!$B$21:$D$32,MATCH(AQ15,DEKraft!$A$21:$A$32,0),MATCH(X15,DEKraft!$B$20:$D$20,0))</f>
        <v>12285DEK</v>
      </c>
      <c r="AT15" t="str">
        <f>INDEX(systeme!$B$2:$D$10,MATCH(AQ15,systeme!$A$2:$A$10,0),MATCH(X15,systeme!$B$1:$D$1,0))</f>
        <v>C9F36206</v>
      </c>
      <c r="AU15">
        <f>INDEX(chint!$B$2:$D$10,MATCH(AQ15,chint!$A$2:$A$10,0),MATCH(X15,chint!$B$1:$D$1,0))</f>
        <v>179667</v>
      </c>
      <c r="AV15" s="3">
        <f>IF(U15&lt;=6,6,IF(U15&lt;=10,10,IF(U15&lt;=16,16,IF(U15&lt;=20,20,IF(U15&lt;=25,25,IF(U15&lt;=32,32,IF(U15&lt;=40,40,"др.выкл")))))))</f>
        <v>6</v>
      </c>
      <c r="AW15" t="str">
        <f>VLOOKUP(AV15,DEKraft!$A$41:$B$47,2,0)</f>
        <v>16202DEK</v>
      </c>
      <c r="AX15">
        <f>IF(U15&lt;=10,10,IF(U15&lt;=16,16,IF(U15&lt;=20,20,IF(U15&lt;=25,25,IF(U15&lt;=32,32,IF(U15&lt;=40,40,"др.выкл"))))))</f>
        <v>10</v>
      </c>
      <c r="AY15" t="str">
        <f>VLOOKUP(AX15,systeme!$G$2:$H$7,2,0)</f>
        <v>C9D36610</v>
      </c>
      <c r="AZ15">
        <f>IF(U15&lt;=6,6,IF(U15&lt;=10,10,IF(U15&lt;=16,16,IF(U15&lt;=20,20,IF(U15&lt;=25,25,IF(U15&lt;=32,32,IF(U15&lt;=40,40,"др.выкл")))))))</f>
        <v>6</v>
      </c>
      <c r="BA15">
        <f>VLOOKUP(AV15,chint!$G$2:$H$8,2,0)</f>
        <v>689000</v>
      </c>
      <c r="BB15" s="3">
        <f>IF(U15&lt;=25,25,IF(U15&lt;=32,32,IF(U15&lt;=40,40,IF(U15&lt;=50,50,IF(U15&lt;=63,63,IF(U15&lt;=80,80,IF(U15&lt;=100,100,IF(U15&lt;=125,125,IF(U15&lt;=140,140,IF(U15&lt;=160,160,IF(U15&lt;=200,200,IF(U15&lt;=250,250,IF(U15&lt;=320,320,IF(U15&lt;=400,400,IF(U15&lt;=500,500,IF(U15&lt;=630,630,"др.выкл"))))))))))))))))</f>
        <v>25</v>
      </c>
      <c r="BC15" t="str">
        <f>VLOOKUP(BB15,DEKraft!$I$21:$J$36,2,0)</f>
        <v>28100DEK</v>
      </c>
      <c r="BD15">
        <f>IF(U15&lt;=16,16,IF(U15&lt;=25,25,IF(U15&lt;=32,32,IF(U15&lt;=40,40,IF(U15&lt;=50,50,IF(U15&lt;=63,63,IF(U15&lt;=80,80,IF(U15&lt;=100,100,IF(U15&lt;=125,125,IF(U15&lt;=160,160,IF(U15&lt;=200,200,IF(U15&lt;=250,250,IF(U15&lt;=400,400,IF(U15&lt;=500,500,IF(U15&lt;=600,600,"др.авт")))))))))))))))</f>
        <v>16</v>
      </c>
      <c r="BE15" t="str">
        <f>VLOOKUP(BD15,systeme!$A$16:$B$30,2,0)</f>
        <v>SPC100F016L3DF</v>
      </c>
      <c r="BF15">
        <f>IF(U15&lt;=16,16,IF(U15&lt;=25,25,IF(U15&lt;=32,32,IF(U15&lt;=40,40,IF(U15&lt;=50,50,IF(U15&lt;=63,63,IF(U15&lt;=80,80,IF(U15&lt;=100,100,IF(U15&lt;=125,125,IF(U15&lt;=160,160,IF(U15&lt;=200,200,IF(U15&lt;=225,225,IF(U15&lt;=250,250,IF(U15&lt;=315,315,IF(U15&lt;=350,350,IF(U15&lt;=400,400,IF(U15&lt;=500,500,IF(U15&lt;=630,630,"др.выкл"))))))))))))))))))</f>
        <v>16</v>
      </c>
      <c r="BG15" s="4">
        <f>VLOOKUP(BF15,chint!$A$14:$B$31,2,0)</f>
        <v>271581</v>
      </c>
      <c r="BH15">
        <f>IF(U15&lt;=6,6,IF(U15&lt;=10,10,IF(U15&lt;=16,16,IF(U15&lt;=20,20,IF(U15&lt;=25,25,IF(U15&lt;=32,32,IF(U15&lt;=40,40,IF(U15&lt;=50,50,IF(U15&lt;=63,63,"др.выкл")))))))))</f>
        <v>6</v>
      </c>
      <c r="BI15" t="str">
        <f>INDEX(КЭАЗ!$B$2:$E$14,MATCH(BH15,КЭАЗ!$A$2:$A$14,0),MATCH(X15,КЭАЗ!$B$1:$D$1,0))</f>
        <v>kea.341916</v>
      </c>
      <c r="BJ15">
        <f>IF(U15&lt;=6,6,IF(U15&lt;=10,10,IF(U15&lt;=16,16,IF(U15&lt;=20,20,IF(U15&lt;=25,25,IF(U15&lt;=32,32,IF(U15&lt;=40,40,IF(U15&lt;=50,50,IF(U15&lt;=63,63,IF(U15&lt;=80,80,IF(U15&lt;=100,100,IF(U15&lt;=125,125,"др.выкл"))))))))))))</f>
        <v>6</v>
      </c>
      <c r="BK15" t="str">
        <f>INDEX(hy!$B$2:$D$18,MATCH(BJ15,hy!$A$2:$A$18,0),MATCH(X15,hy!$B$1:$D$1,0))</f>
        <v>HGD63M 2PMCS0000C 00006</v>
      </c>
      <c r="BL15" t="str">
        <f>VLOOKUP(BJ15,hy!$G$2:$H$15,2,0)</f>
        <v>HRO63M 1NG4С0000C00006G</v>
      </c>
      <c r="BM15">
        <f>IF(U15&lt;=0.16,0.16,IF(U15&lt;=0.25,0.25,IF(U15&lt;=0.4,0.4,IF(U15&lt;=0.63,0.63,IF(U15&lt;=1,1,IF(U15&lt;=1.6,1.6,IF(U15&lt;=2.5,2.5,IF(U15&lt;=4,4,IF(U15&lt;=6.3,6.3,IF(U15&lt;=10,10,IF(U15&lt;=14,14,IF(U15&lt;=18,18,IF(U15&lt;=23,23,IF(U15&lt;=25,25,IF(U15&lt;=32,32,"др.авт")))))))))))))))</f>
        <v>1.6</v>
      </c>
      <c r="BN15" t="str">
        <f>VLOOKUP(BM15,hy!$A$41:$B$55,2,0)</f>
        <v>MMS32K 01P6</v>
      </c>
      <c r="BO15">
        <f>IF(U15&lt;=100,100,IF(U15&lt;=125,125,IF(U15&lt;=150,150,IF(U15&lt;=160,160,IF(U15&lt;=175,175,IF(U15&lt;=200,200,IF(U15&lt;=225,225,IF(U15&lt;=250,250,IF(U15&lt;=300,300,IF(U15&lt;=350,350,IF(U15&lt;=400,400,IF(U15&lt;=500,500,IF(U15&lt;=630,630,IF(U15&lt;=700,700,IF(U15&lt;=800,800,"др.выкл")))))))))))))))</f>
        <v>100</v>
      </c>
      <c r="BP15" t="str">
        <f>VLOOKUP(BO15,hy!$A$21:$B$35,2,0)</f>
        <v>HGP100S-G 3PT4S0000C 00100H</v>
      </c>
      <c r="BQ15" s="89">
        <f>IF($W15=автоматы!$D$45,Z15,IF($W15=автоматы!$D$46,AF15,IF($W15=автоматы!$D$47,AH15,IF($W15=автоматы!$D$48,AB15,IF($W15=автоматы!$D$49,AJ15,IF($W15=автоматы!$D$50,AD15,IF($W15=автоматы!$D$51,BI15,IF($W15=автоматы!$D$52,AR15,IF($W15=автоматы!$D$53,AS15,IF($W15=автоматы!$D$54,AW15,IF($W15=автоматы!$D$55,AL15,IF($W15=автоматы!$D$56,BC15,IF($W15=автоматы!$D$57,AT15,IF($W15=автоматы!$D$58,AY15,IF($W15=автоматы!$D$59,AN15,IF($W15=автоматы!$D$60,BE15,IF($W15=автоматы!$D$61,AU15,IF($W15=автоматы!$D$62,BA15,IF($W15=автоматы!$D$63,AP15,IF($W15=автоматы!$D$64,BG15,IF($W15=автоматы!$D$65,BK15,IF($W15=автоматы!$D$66,BL15,IF($W15=автоматы!$D$67,BN15,IF($W15=автоматы!$D$68,BP15,"др"))))))))))))))))))))))))</f>
        <v>495077</v>
      </c>
      <c r="BR15" s="89">
        <f>IF($W15=автоматы!$D$45,Y15,IF($W15=автоматы!$D$46,AE15,IF($W15=автоматы!$D$47,AG15,IF($W15=автоматы!$D$48,AA15,IF($W15=автоматы!$D$49,AI15,IF($W15=автоматы!$D$50,AC15,IF($W15=автоматы!$D$51,BH15,IF($W15=автоматы!$D$52,AQ15,IF($W15=автоматы!$D$53,AQ15,IF($W15=автоматы!$D$54,AV15,IF($W15=автоматы!$D$55,AK15,IF($W15=автоматы!$D$56,BB15,IF($W15=автоматы!$D$57,AQ15,IF($W15=автоматы!$D$58,AX15,IF($W15=автоматы!$D$59,AM15,IF($W15=автоматы!$D$60,BD15,IF($W15=автоматы!$D$61,AQ15,IF($W15=автоматы!$D$62,AZ15,IF($W15=автоматы!$D$63,AO15,IF($W15=автоматы!$D$64,BF15,IF($W15=автоматы!$D$65,BJ15,IF($W15=автоматы!$D$66,BJ15,IF($W15=автоматы!$D$67,BM15,IF($W15=автоматы!$D$68,BO15,"др"))))))))))))))))))))))))</f>
        <v>1.6</v>
      </c>
      <c r="BS15" s="89" t="str">
        <f>CONCATENATE(IF($W15=автоматы!$A$1,Y15,IF($W15=автоматы!$H$1,VLOOKUP(AA15,автоматы!$H$3:$K$17,3,0),IF($W15=автоматы!$N$1,VLOOKUP(AC15,автоматы!$N$3:$Q$19,3,0),IF($W15=автоматы!$S$17,AE15,IF($W15=автоматы!$Z$1,AG15,IF($W15=автоматы!$AE$1,AI15,"др"))))))," А")</f>
        <v>др А</v>
      </c>
      <c r="BT15" s="89" t="str">
        <f>IF($W15=автоматы!$A$1,Y15*10,IF($W15=автоматы!$H$1,VLOOKUP(AA15,автоматы!$H$3:$K$17,4,0),IF($W15=автоматы!$N$1,VLOOKUP(AC15,автоматы!$N$3:$Q$19,4,0),IF($W15=автоматы!$S$17,AE15*10,IF($W15=автоматы!$Z$1,AG15*10,IF($W15=автоматы!$AE$1,AI15*10,"др"))))))</f>
        <v>др</v>
      </c>
      <c r="BU15" s="85"/>
      <c r="BV15" s="90" t="s">
        <v>147</v>
      </c>
      <c r="BW15" s="90">
        <v>1</v>
      </c>
      <c r="BX15" s="91">
        <v>3</v>
      </c>
      <c r="BY15" s="92">
        <v>1.5</v>
      </c>
      <c r="BZ15" s="91">
        <f>HLOOKUP(BV15,каталог!$CG$1:$CO$22,MATCH(BY15,каталог!$CF$1:$CF$22,0),0)*BW15</f>
        <v>19</v>
      </c>
      <c r="CA15" s="87" t="str">
        <f>CONCATENATE("н",C15,"")</f>
        <v>нА2</v>
      </c>
      <c r="CB15" s="87" t="str">
        <f>CONCATENATE(BV15," ",BX15,"x",BY15)</f>
        <v>ВВГнг(А)-LS 3x1,5</v>
      </c>
    </row>
    <row r="16" spans="1:16324" s="87" customFormat="1" ht="14.5">
      <c r="A16" s="102">
        <v>11</v>
      </c>
      <c r="B16" s="94">
        <v>100</v>
      </c>
      <c r="C16" s="103" t="s">
        <v>1036</v>
      </c>
      <c r="D16" s="100" t="s">
        <v>1039</v>
      </c>
      <c r="E16" s="95">
        <v>220</v>
      </c>
      <c r="F16" s="19" t="s">
        <v>890</v>
      </c>
      <c r="G16" s="96">
        <v>0.26</v>
      </c>
      <c r="H16" s="96">
        <f t="shared" si="84"/>
        <v>1.2059369202226347</v>
      </c>
      <c r="I16" s="95">
        <v>1</v>
      </c>
      <c r="J16" s="96">
        <v>0.98</v>
      </c>
      <c r="K16" s="96">
        <f t="shared" si="85"/>
        <v>0.2</v>
      </c>
      <c r="L16" s="97">
        <f t="shared" ref="L16:L17" si="87">I16*G16</f>
        <v>0.26</v>
      </c>
      <c r="M16" s="97">
        <f t="shared" ref="M16:M17" si="88">I16*G16*K16</f>
        <v>5.2000000000000005E-2</v>
      </c>
      <c r="N16" s="97">
        <f t="shared" ref="N16:N17" si="89">1*G16^2</f>
        <v>6.7600000000000007E-2</v>
      </c>
      <c r="O16" s="97"/>
      <c r="P16" s="97"/>
      <c r="Q16" s="97"/>
      <c r="R16" s="97"/>
      <c r="S16" s="97"/>
      <c r="T16" s="97"/>
      <c r="U16" s="86"/>
      <c r="V16" s="86"/>
      <c r="W16" s="116"/>
      <c r="AE16" s="88"/>
      <c r="AI16" s="2"/>
      <c r="AJ16"/>
      <c r="AK16" s="3"/>
      <c r="AL16"/>
      <c r="AM16"/>
      <c r="AN16"/>
      <c r="AO16"/>
      <c r="AP16"/>
      <c r="AQ16" s="3"/>
      <c r="AR16"/>
      <c r="AS16"/>
      <c r="AT16"/>
      <c r="AU16"/>
      <c r="AV16" s="3"/>
      <c r="AW16"/>
      <c r="AX16"/>
      <c r="AY16"/>
      <c r="AZ16"/>
      <c r="BA16"/>
      <c r="BB16" s="3"/>
      <c r="BC16"/>
      <c r="BD16"/>
      <c r="BE16"/>
      <c r="BF16"/>
      <c r="BG16" s="4"/>
      <c r="BH16"/>
      <c r="BI16"/>
      <c r="BJ16"/>
      <c r="BK16"/>
      <c r="BL16"/>
      <c r="BM16"/>
      <c r="BN16"/>
      <c r="BO16"/>
      <c r="BP16"/>
      <c r="BQ16" s="89"/>
      <c r="BR16" s="89"/>
      <c r="BS16" s="89"/>
      <c r="BT16" s="89"/>
      <c r="BU16" s="85"/>
      <c r="BV16" s="90"/>
      <c r="BW16" s="90"/>
      <c r="BX16" s="91"/>
      <c r="BY16" s="92"/>
      <c r="BZ16" s="91"/>
    </row>
    <row r="17" spans="1:84" s="87" customFormat="1" ht="14.5">
      <c r="A17" s="102">
        <v>12</v>
      </c>
      <c r="B17" s="94">
        <v>100</v>
      </c>
      <c r="C17" s="103" t="s">
        <v>1037</v>
      </c>
      <c r="D17" s="119" t="s">
        <v>1040</v>
      </c>
      <c r="E17" s="132">
        <v>220</v>
      </c>
      <c r="F17" s="133" t="s">
        <v>888</v>
      </c>
      <c r="G17" s="168">
        <v>0.26</v>
      </c>
      <c r="H17" s="96">
        <f t="shared" si="84"/>
        <v>1.2059369202226347</v>
      </c>
      <c r="I17" s="95">
        <v>1</v>
      </c>
      <c r="J17" s="96">
        <v>0.98</v>
      </c>
      <c r="K17" s="96">
        <f t="shared" si="85"/>
        <v>0.2</v>
      </c>
      <c r="L17" s="97">
        <f t="shared" si="87"/>
        <v>0.26</v>
      </c>
      <c r="M17" s="97">
        <f t="shared" si="88"/>
        <v>5.2000000000000005E-2</v>
      </c>
      <c r="N17" s="97">
        <f t="shared" si="89"/>
        <v>6.7600000000000007E-2</v>
      </c>
      <c r="O17" s="97"/>
      <c r="P17" s="97"/>
      <c r="Q17" s="97"/>
      <c r="R17" s="97"/>
      <c r="S17" s="97"/>
      <c r="T17" s="97"/>
      <c r="U17" s="86"/>
      <c r="V17" s="86"/>
      <c r="W17" s="116"/>
      <c r="AE17" s="88"/>
      <c r="AI17" s="2"/>
      <c r="AJ17"/>
      <c r="AK17" s="3"/>
      <c r="AL17"/>
      <c r="AM17"/>
      <c r="AN17"/>
      <c r="AO17"/>
      <c r="AP17"/>
      <c r="AQ17" s="3"/>
      <c r="AR17"/>
      <c r="AS17"/>
      <c r="AT17"/>
      <c r="AU17"/>
      <c r="AV17" s="3"/>
      <c r="AW17"/>
      <c r="AX17"/>
      <c r="AY17"/>
      <c r="AZ17"/>
      <c r="BA17"/>
      <c r="BB17" s="3"/>
      <c r="BC17"/>
      <c r="BD17"/>
      <c r="BE17"/>
      <c r="BF17"/>
      <c r="BG17" s="4"/>
      <c r="BH17"/>
      <c r="BI17"/>
      <c r="BJ17"/>
      <c r="BK17"/>
      <c r="BL17"/>
      <c r="BM17"/>
      <c r="BN17"/>
      <c r="BO17"/>
      <c r="BP17"/>
      <c r="BQ17" s="89"/>
      <c r="BR17" s="89"/>
      <c r="BS17" s="89"/>
      <c r="BT17" s="89"/>
      <c r="BU17" s="85"/>
      <c r="BV17" s="90"/>
      <c r="BW17" s="90"/>
      <c r="BX17" s="91"/>
      <c r="BY17" s="92"/>
      <c r="BZ17" s="91"/>
    </row>
    <row r="18" spans="1:84" s="87" customFormat="1" ht="14.5">
      <c r="A18" s="102">
        <v>11</v>
      </c>
      <c r="B18" s="94">
        <v>100</v>
      </c>
      <c r="C18" s="103" t="s">
        <v>1041</v>
      </c>
      <c r="D18" s="100" t="s">
        <v>1038</v>
      </c>
      <c r="E18" s="95">
        <v>220</v>
      </c>
      <c r="F18" s="19" t="s">
        <v>889</v>
      </c>
      <c r="G18" s="96">
        <v>0.42</v>
      </c>
      <c r="H18" s="96">
        <f t="shared" si="84"/>
        <v>1.9090909090909089</v>
      </c>
      <c r="I18" s="95">
        <v>1</v>
      </c>
      <c r="J18" s="96">
        <v>1</v>
      </c>
      <c r="K18" s="96">
        <f t="shared" si="85"/>
        <v>0</v>
      </c>
      <c r="L18" s="97">
        <f t="shared" si="28"/>
        <v>0.42</v>
      </c>
      <c r="M18" s="97">
        <f t="shared" si="29"/>
        <v>0</v>
      </c>
      <c r="N18" s="97">
        <f t="shared" si="30"/>
        <v>0.17639999999999997</v>
      </c>
      <c r="O18" s="97"/>
      <c r="P18" s="97"/>
      <c r="Q18" s="97"/>
      <c r="R18" s="97"/>
      <c r="S18" s="97"/>
      <c r="T18" s="97"/>
      <c r="U18" s="86">
        <f t="shared" si="86"/>
        <v>2.1</v>
      </c>
      <c r="V18" s="86">
        <f>7*H18</f>
        <v>13.363636363636363</v>
      </c>
      <c r="W18" s="116" t="s">
        <v>874</v>
      </c>
      <c r="X18" s="87" t="s">
        <v>301</v>
      </c>
      <c r="Y18" s="87">
        <f>IF(U18&lt;=6,6,IF(U18&lt;=10,10,IF(U18&lt;=16,16,IF(U18&lt;=20,20,IF(U18&lt;=25,25,IF(U18&lt;=32,32,IF(U18&lt;=40,40,IF(U18&lt;=50,50,IF(U18&lt;=63,63,"др.выкл")))))))))</f>
        <v>6</v>
      </c>
      <c r="Z18" s="87" t="str">
        <f>INDEX(автоматы!$B$3:$D$11,MATCH(Y18,автоматы!$A$3:$A$11,0),MATCH(X18,кол_пол,0))</f>
        <v>EZ9F34206</v>
      </c>
      <c r="AA18" s="87">
        <f>IF(U18&lt;=0.16,0.16,IF(U18&lt;=0.25,0.25,IF(U18&lt;=0.4,0.4,IF(U18&lt;=0.63,0.63,IF(U18&lt;=1,1,IF(U18&lt;=1.6,1.6,IF(U18&lt;=2.5,2.5,IF(U18&lt;=4,4,IF(U18&lt;=6.3,6.3,IF(U18&lt;=10,10,IF(U18&lt;=14,14,IF(U18&lt;=18,18,IF(U18&lt;=23,23,IF(U18&lt;=25,25,IF(U18&lt;=32,32,"др.авт")))))))))))))))</f>
        <v>2.5</v>
      </c>
      <c r="AB18" s="87" t="str">
        <f>VLOOKUP(AA18,автоматы!$H$3:$I$17,2,0)</f>
        <v>GZ1 E07</v>
      </c>
      <c r="AC18" s="87">
        <f>IF(U18&lt;=20,20,IF(U18&lt;=25,25,IF(U18&lt;=32,32,IF(U18&lt;=40,40,IF(U18&lt;=50,50,IF(U18&lt;=63,63,IF(U18&lt;=80,80,IF(U18&lt;=100,100,IF(U18&lt;=125,125,IF(U18&lt;=160,160,IF(U18&lt;=200,200,IF(U18&lt;=250,250,IF(U18&lt;=300,300,IF(U18&lt;=320,320,IF(U18&lt;=400,400,IF(U18&lt;=500,500,IF(U18&lt;=630,630,"др.авт")))))))))))))))))</f>
        <v>20</v>
      </c>
      <c r="AD18" s="87" t="str">
        <f>VLOOKUP(AC18,автоматы!$N$3:$O$19,2,0)</f>
        <v>LZMB1-A20-I</v>
      </c>
      <c r="AE18" s="88">
        <f>IF(U18&lt;=6,6,IF(U18&lt;=10,10,IF(U18&lt;=16,16,IF(U18&lt;=20,20,IF(U18&lt;=25,25,IF(U18&lt;=32,32,IF(U18&lt;=40,40,IF(U18&lt;=50,50,IF(U18&lt;=63,63,"др.выкл")))))))))</f>
        <v>6</v>
      </c>
      <c r="AF18" s="87" t="str">
        <f>INDEX(автоматы!$T$2:$V$15,MATCH(AE18,автоматы!$S$2:$S$15,0),MATCH(X18,автоматы!$T$1:$V$1,0))</f>
        <v>iC60N C6 2P</v>
      </c>
      <c r="AG18" s="87">
        <f>IF(U18&lt;=6,6,IF(U18&lt;=10,10,IF(U18&lt;=16,16,IF(U18&lt;=20,20,IF(U18&lt;=25,25,IF(U18&lt;=32,32,IF(U18&lt;=40,40,"др.выкл")))))))</f>
        <v>6</v>
      </c>
      <c r="AH18" s="87" t="str">
        <f>VLOOKUP(AG18,автоматы!$Z$3:$AA$9,2,0)</f>
        <v>A9D31606</v>
      </c>
      <c r="AI18" s="2">
        <f>IF(U18&lt;=15,15,IF(U18&lt;=16,16,IF(U18&lt;=20,20,IF(U18&lt;=25,25,IF(U18&lt;=32,32,IF(U18&lt;=40,40,IF(U18&lt;=45,45,IF(U18&lt;=50,50,IF(U18&lt;=60,60,IF(U18&lt;=63,63,IF(U18&lt;=75,75,IF(U18&lt;=80,80,IF(U18&lt;=100,100,IF(U18&lt;=125,125,IF(U18&lt;=150,150,IF(U18&lt;=160,160,IF(U18&lt;=175,175,IF(U18&lt;=200,200,IF(U18&lt;=225,225,IF(U18&lt;=250,250,IF(U18&lt;=320,320,IF(U18&lt;=350,350,IF(U18&lt;=400,400,"др.выкл")))))))))))))))))))))))</f>
        <v>15</v>
      </c>
      <c r="AJ18" t="str">
        <f>VLOOKUP(AI18,автоматы!$AE$3:$AF$26,2,0)</f>
        <v>EZC100F3015</v>
      </c>
      <c r="AK18" s="3">
        <f>IF(U18&lt;=0.16,0.16,IF(U18&lt;=0.25,0.25,IF(U18&lt;=0.4,0.4,IF(U18&lt;=0.63,0.63,IF(U18&lt;=1,1,IF(U18&lt;=1.6,1.6,IF(U18&lt;=2.5,2.5,IF(U18&lt;=4,4,IF(U18&lt;=6.3,6.3,IF(U18&lt;=10,10,IF(U18&lt;=14,14,IF(U18&lt;=18,18,IF(U18&lt;=23,23,IF(U18&lt;=25,25,IF(U18&lt;=32,32,"др.авт")))))))))))))))</f>
        <v>2.5</v>
      </c>
      <c r="AL18" t="str">
        <f>VLOOKUP(AK18,DEKraft!$I$2:$J$16,2,0)</f>
        <v>21226DEK</v>
      </c>
      <c r="AM18">
        <f>IF(U18&lt;=0.16,0.16,IF(U18&lt;=0.25,0.25,IF(U18&lt;=0.4,0.4,IF(U18&lt;=0.63,0.63,IF(U18&lt;=1,1,IF(U18&lt;=1.6,1.6,IF(U18&lt;=2.5,2.5,IF(U18&lt;=4,4,IF(U18&lt;=6.3,6.3,IF(U18&lt;=10,10,IF(U18&lt;=14,14,IF(U18&lt;=18,18,IF(U18&lt;=23,23,IF(U18&lt;=25,25,IF(U18&lt;=32,32,"др.авт")))))))))))))))</f>
        <v>2.5</v>
      </c>
      <c r="AN18" t="str">
        <f>VLOOKUP(AM18,systeme!$A$33:$B$47,2,0)</f>
        <v>GM2ME07</v>
      </c>
      <c r="AO18">
        <f>IF(U18&lt;=0.16,0.16,IF(U18&lt;=0.25,0.25,IF(U18&lt;=0.4,0.4,IF(U18&lt;=0.63,0.63,IF(U18&lt;=1,1,IF(U18&lt;=1.6,1.6,IF(U18&lt;=2.5,2.5,IF(U18&lt;=4,4,IF(U18&lt;=6.3,6.3,IF(U18&lt;=10,10,IF(U18&lt;=14,14,IF(U18&lt;=18,18,IF(U18&lt;=23,23,IF(U18&lt;=25,25,IF(U18&lt;=32,32,"др.авт")))))))))))))))</f>
        <v>2.5</v>
      </c>
      <c r="AP18">
        <f>VLOOKUP(AO18,chint!$A$34:$B$48,2,0)</f>
        <v>495078</v>
      </c>
      <c r="AQ18" s="3">
        <f>IF(U18&lt;=6,6,IF(U18&lt;=10,10,IF(U18&lt;=16,16,IF(U18&lt;=20,20,IF(U18&lt;=25,25,IF(U18&lt;=32,32,IF(U18&lt;=40,40,IF(U18&lt;=50,50,IF(U18&lt;=63,63,"др.выкл")))))))))</f>
        <v>6</v>
      </c>
      <c r="AR18" t="str">
        <f>INDEX(DEKraft!$B$2:$D$13,MATCH(AQ18,DEKraft!$A$2:$A$13,0),MATCH(X18,DEKraft!$B$1:$D$1,0))</f>
        <v>13163DEK</v>
      </c>
      <c r="AS18" t="str">
        <f>INDEX(DEKraft!$B$21:$D$32,MATCH(AQ18,DEKraft!$A$21:$A$32,0),MATCH(X18,DEKraft!$B$20:$D$20,0))</f>
        <v>12285DEK</v>
      </c>
      <c r="AT18" t="str">
        <f>INDEX(systeme!$B$2:$D$10,MATCH(AQ18,systeme!$A$2:$A$10,0),MATCH(X18,systeme!$B$1:$D$1,0))</f>
        <v>C9F36206</v>
      </c>
      <c r="AU18">
        <f>INDEX(chint!$B$2:$D$10,MATCH(AQ18,chint!$A$2:$A$10,0),MATCH(X18,chint!$B$1:$D$1,0))</f>
        <v>179667</v>
      </c>
      <c r="AV18" s="3">
        <f>IF(U18&lt;=6,6,IF(U18&lt;=10,10,IF(U18&lt;=16,16,IF(U18&lt;=20,20,IF(U18&lt;=25,25,IF(U18&lt;=32,32,IF(U18&lt;=40,40,"др.выкл")))))))</f>
        <v>6</v>
      </c>
      <c r="AW18" t="str">
        <f>VLOOKUP(AV18,DEKraft!$A$41:$B$47,2,0)</f>
        <v>16202DEK</v>
      </c>
      <c r="AX18">
        <f>IF(U18&lt;=10,10,IF(U18&lt;=16,16,IF(U18&lt;=20,20,IF(U18&lt;=25,25,IF(U18&lt;=32,32,IF(U18&lt;=40,40,"др.выкл"))))))</f>
        <v>10</v>
      </c>
      <c r="AY18" t="str">
        <f>VLOOKUP(AX18,systeme!$G$2:$H$7,2,0)</f>
        <v>C9D36610</v>
      </c>
      <c r="AZ18">
        <f>IF(U18&lt;=6,6,IF(U18&lt;=10,10,IF(U18&lt;=16,16,IF(U18&lt;=20,20,IF(U18&lt;=25,25,IF(U18&lt;=32,32,IF(U18&lt;=40,40,"др.выкл")))))))</f>
        <v>6</v>
      </c>
      <c r="BA18">
        <f>VLOOKUP(AV18,chint!$G$2:$H$8,2,0)</f>
        <v>689000</v>
      </c>
      <c r="BB18" s="3">
        <f>IF(U18&lt;=25,25,IF(U18&lt;=32,32,IF(U18&lt;=40,40,IF(U18&lt;=50,50,IF(U18&lt;=63,63,IF(U18&lt;=80,80,IF(U18&lt;=100,100,IF(U18&lt;=125,125,IF(U18&lt;=140,140,IF(U18&lt;=160,160,IF(U18&lt;=200,200,IF(U18&lt;=250,250,IF(U18&lt;=320,320,IF(U18&lt;=400,400,IF(U18&lt;=500,500,IF(U18&lt;=630,630,"др.выкл"))))))))))))))))</f>
        <v>25</v>
      </c>
      <c r="BC18" t="str">
        <f>VLOOKUP(BB18,DEKraft!$I$21:$J$36,2,0)</f>
        <v>28100DEK</v>
      </c>
      <c r="BD18">
        <f>IF(U18&lt;=16,16,IF(U18&lt;=25,25,IF(U18&lt;=32,32,IF(U18&lt;=40,40,IF(U18&lt;=50,50,IF(U18&lt;=63,63,IF(U18&lt;=80,80,IF(U18&lt;=100,100,IF(U18&lt;=125,125,IF(U18&lt;=160,160,IF(U18&lt;=200,200,IF(U18&lt;=250,250,IF(U18&lt;=400,400,IF(U18&lt;=500,500,IF(U18&lt;=600,600,"др.авт")))))))))))))))</f>
        <v>16</v>
      </c>
      <c r="BE18" t="str">
        <f>VLOOKUP(BD18,systeme!$A$16:$B$30,2,0)</f>
        <v>SPC100F016L3DF</v>
      </c>
      <c r="BF18">
        <f>IF(U18&lt;=16,16,IF(U18&lt;=25,25,IF(U18&lt;=32,32,IF(U18&lt;=40,40,IF(U18&lt;=50,50,IF(U18&lt;=63,63,IF(U18&lt;=80,80,IF(U18&lt;=100,100,IF(U18&lt;=125,125,IF(U18&lt;=160,160,IF(U18&lt;=200,200,IF(U18&lt;=225,225,IF(U18&lt;=250,250,IF(U18&lt;=315,315,IF(U18&lt;=350,350,IF(U18&lt;=400,400,IF(U18&lt;=500,500,IF(U18&lt;=630,630,"др.выкл"))))))))))))))))))</f>
        <v>16</v>
      </c>
      <c r="BG18" s="4">
        <f>VLOOKUP(BF18,chint!$A$14:$B$31,2,0)</f>
        <v>271581</v>
      </c>
      <c r="BH18">
        <f>IF(U18&lt;=6,6,IF(U18&lt;=10,10,IF(U18&lt;=16,16,IF(U18&lt;=20,20,IF(U18&lt;=25,25,IF(U18&lt;=32,32,IF(U18&lt;=40,40,IF(U18&lt;=50,50,IF(U18&lt;=63,63,"др.выкл")))))))))</f>
        <v>6</v>
      </c>
      <c r="BI18" t="str">
        <f>INDEX(КЭАЗ!$B$2:$E$14,MATCH(BH18,КЭАЗ!$A$2:$A$14,0),MATCH(X18,КЭАЗ!$B$1:$D$1,0))</f>
        <v>kea.341916</v>
      </c>
      <c r="BJ18">
        <f>IF(U18&lt;=6,6,IF(U18&lt;=10,10,IF(U18&lt;=16,16,IF(U18&lt;=20,20,IF(U18&lt;=25,25,IF(U18&lt;=32,32,IF(U18&lt;=40,40,IF(U18&lt;=50,50,IF(U18&lt;=63,63,IF(U18&lt;=80,80,IF(U18&lt;=100,100,IF(U18&lt;=125,125,"др.выкл"))))))))))))</f>
        <v>6</v>
      </c>
      <c r="BK18" t="str">
        <f>INDEX(hy!$B$2:$D$18,MATCH(BJ18,hy!$A$2:$A$18,0),MATCH(X18,hy!$B$1:$D$1,0))</f>
        <v>HGD63M 2PMCS0000C 00006</v>
      </c>
      <c r="BL18" t="str">
        <f>VLOOKUP(BJ18,hy!$G$2:$H$15,2,0)</f>
        <v>HRO63M 1NG4С0000C00006G</v>
      </c>
      <c r="BM18">
        <f>IF(U18&lt;=0.16,0.16,IF(U18&lt;=0.25,0.25,IF(U18&lt;=0.4,0.4,IF(U18&lt;=0.63,0.63,IF(U18&lt;=1,1,IF(U18&lt;=1.6,1.6,IF(U18&lt;=2.5,2.5,IF(U18&lt;=4,4,IF(U18&lt;=6.3,6.3,IF(U18&lt;=10,10,IF(U18&lt;=14,14,IF(U18&lt;=18,18,IF(U18&lt;=23,23,IF(U18&lt;=25,25,IF(U18&lt;=32,32,"др.авт")))))))))))))))</f>
        <v>2.5</v>
      </c>
      <c r="BN18" t="str">
        <f>VLOOKUP(BM18,hy!$A$41:$B$55,2,0)</f>
        <v>MMS32K 02P5</v>
      </c>
      <c r="BO18">
        <f>IF(U18&lt;=100,100,IF(U18&lt;=125,125,IF(U18&lt;=150,150,IF(U18&lt;=160,160,IF(U18&lt;=175,175,IF(U18&lt;=200,200,IF(U18&lt;=225,225,IF(U18&lt;=250,250,IF(U18&lt;=300,300,IF(U18&lt;=350,350,IF(U18&lt;=400,400,IF(U18&lt;=500,500,IF(U18&lt;=630,630,IF(U18&lt;=700,700,IF(U18&lt;=800,800,"др.выкл")))))))))))))))</f>
        <v>100</v>
      </c>
      <c r="BP18" t="str">
        <f>VLOOKUP(BO18,hy!$A$21:$B$35,2,0)</f>
        <v>HGP100S-G 3PT4S0000C 00100H</v>
      </c>
      <c r="BQ18" s="89">
        <f>IF($W18=автоматы!$D$45,Z18,IF($W18=автоматы!$D$46,AF18,IF($W18=автоматы!$D$47,AH18,IF($W18=автоматы!$D$48,AB18,IF($W18=автоматы!$D$49,AJ18,IF($W18=автоматы!$D$50,AD18,IF($W18=автоматы!$D$51,BI18,IF($W18=автоматы!$D$52,AR18,IF($W18=автоматы!$D$53,AS18,IF($W18=автоматы!$D$54,AW18,IF($W18=автоматы!$D$55,AL18,IF($W18=автоматы!$D$56,BC18,IF($W18=автоматы!$D$57,AT18,IF($W18=автоматы!$D$58,AY18,IF($W18=автоматы!$D$59,AN18,IF($W18=автоматы!$D$60,BE18,IF($W18=автоматы!$D$61,AU18,IF($W18=автоматы!$D$62,BA18,IF($W18=автоматы!$D$63,AP18,IF($W18=автоматы!$D$64,BG18,IF($W18=автоматы!$D$65,BK18,IF($W18=автоматы!$D$66,BL18,IF($W18=автоматы!$D$67,BN18,IF($W18=автоматы!$D$68,BP18,"др"))))))))))))))))))))))))</f>
        <v>495078</v>
      </c>
      <c r="BR18" s="89">
        <f>IF($W18=автоматы!$D$45,Y18,IF($W18=автоматы!$D$46,AE18,IF($W18=автоматы!$D$47,AG18,IF($W18=автоматы!$D$48,AA18,IF($W18=автоматы!$D$49,AI18,IF($W18=автоматы!$D$50,AC18,IF($W18=автоматы!$D$51,BH18,IF($W18=автоматы!$D$52,AQ18,IF($W18=автоматы!$D$53,AQ18,IF($W18=автоматы!$D$54,AV18,IF($W18=автоматы!$D$55,AK18,IF($W18=автоматы!$D$56,BB18,IF($W18=автоматы!$D$57,AQ18,IF($W18=автоматы!$D$58,AX18,IF($W18=автоматы!$D$59,AM18,IF($W18=автоматы!$D$60,BD18,IF($W18=автоматы!$D$61,AQ18,IF($W18=автоматы!$D$62,AZ18,IF($W18=автоматы!$D$63,AO18,IF($W18=автоматы!$D$64,BF18,IF($W18=автоматы!$D$65,BJ18,IF($W18=автоматы!$D$66,BJ18,IF($W18=автоматы!$D$67,BM18,IF($W18=автоматы!$D$68,BO18,"др"))))))))))))))))))))))))</f>
        <v>2.5</v>
      </c>
      <c r="BS18" s="89" t="str">
        <f>CONCATENATE(IF($W18=автоматы!$A$1,Y18,IF($W18=автоматы!$H$1,VLOOKUP(AA18,автоматы!$H$3:$K$17,3,0),IF($W18=автоматы!$N$1,VLOOKUP(AC18,автоматы!$N$3:$Q$19,3,0),IF($W18=автоматы!$S$17,AE18,IF($W18=автоматы!$Z$1,AG18,IF($W18=автоматы!$AE$1,AI18,"др"))))))," А")</f>
        <v>др А</v>
      </c>
      <c r="BT18" s="89" t="str">
        <f>IF($W18=автоматы!$A$1,Y18*10,IF($W18=автоматы!$H$1,VLOOKUP(AA18,автоматы!$H$3:$K$17,4,0),IF($W18=автоматы!$N$1,VLOOKUP(AC18,автоматы!$N$3:$Q$19,4,0),IF($W18=автоматы!$S$17,AE18*10,IF($W18=автоматы!$Z$1,AG18*10,IF($W18=автоматы!$AE$1,AI18*10,"др"))))))</f>
        <v>др</v>
      </c>
      <c r="BU18" s="85"/>
      <c r="BV18" s="90" t="s">
        <v>147</v>
      </c>
      <c r="BW18" s="90">
        <v>1</v>
      </c>
      <c r="BX18" s="91">
        <v>3</v>
      </c>
      <c r="BY18" s="92">
        <v>1.5</v>
      </c>
      <c r="BZ18" s="91">
        <f>HLOOKUP(BV18,каталог!$CG$1:$CO$22,MATCH(BY18,каталог!$CF$1:$CF$22,0),0)*BW18</f>
        <v>19</v>
      </c>
      <c r="CA18" s="87" t="str">
        <f>CONCATENATE("н",C18,"")</f>
        <v>нП1</v>
      </c>
      <c r="CB18" s="87" t="str">
        <f>CONCATENATE(BV18," ",BX18,"x",BY18)</f>
        <v>ВВГнг(А)-LS 3x1,5</v>
      </c>
    </row>
    <row r="19" spans="1:84" s="87" customFormat="1" ht="14.5">
      <c r="A19" s="102">
        <v>12</v>
      </c>
      <c r="B19" s="94">
        <v>100</v>
      </c>
      <c r="C19" s="103" t="s">
        <v>1042</v>
      </c>
      <c r="D19" s="100" t="s">
        <v>1038</v>
      </c>
      <c r="E19" s="95">
        <v>220</v>
      </c>
      <c r="F19" s="19" t="s">
        <v>888</v>
      </c>
      <c r="G19" s="96">
        <v>0.42</v>
      </c>
      <c r="H19" s="96">
        <f t="shared" si="84"/>
        <v>1.9090909090909089</v>
      </c>
      <c r="I19" s="95">
        <v>1</v>
      </c>
      <c r="J19" s="96">
        <v>1</v>
      </c>
      <c r="K19" s="96">
        <f t="shared" si="85"/>
        <v>0</v>
      </c>
      <c r="L19" s="97">
        <f t="shared" si="28"/>
        <v>0.42</v>
      </c>
      <c r="M19" s="97">
        <f t="shared" si="29"/>
        <v>0</v>
      </c>
      <c r="N19" s="97">
        <f t="shared" si="30"/>
        <v>0.17639999999999997</v>
      </c>
      <c r="O19" s="97"/>
      <c r="P19" s="97"/>
      <c r="Q19" s="97"/>
      <c r="R19" s="97"/>
      <c r="S19" s="97"/>
      <c r="T19" s="97"/>
      <c r="U19" s="86">
        <f t="shared" si="86"/>
        <v>2.1</v>
      </c>
      <c r="V19" s="86">
        <f>7*H19</f>
        <v>13.363636363636363</v>
      </c>
      <c r="W19" s="116" t="s">
        <v>874</v>
      </c>
      <c r="X19" s="87" t="s">
        <v>301</v>
      </c>
      <c r="Y19" s="87">
        <f>IF(U19&lt;=6,6,IF(U19&lt;=10,10,IF(U19&lt;=16,16,IF(U19&lt;=20,20,IF(U19&lt;=25,25,IF(U19&lt;=32,32,IF(U19&lt;=40,40,IF(U19&lt;=50,50,IF(U19&lt;=63,63,"др.выкл")))))))))</f>
        <v>6</v>
      </c>
      <c r="Z19" s="87" t="str">
        <f>INDEX(автоматы!$B$3:$D$11,MATCH(Y19,автоматы!$A$3:$A$11,0),MATCH(X19,кол_пол,0))</f>
        <v>EZ9F34206</v>
      </c>
      <c r="AA19" s="87">
        <f>IF(U19&lt;=0.16,0.16,IF(U19&lt;=0.25,0.25,IF(U19&lt;=0.4,0.4,IF(U19&lt;=0.63,0.63,IF(U19&lt;=1,1,IF(U19&lt;=1.6,1.6,IF(U19&lt;=2.5,2.5,IF(U19&lt;=4,4,IF(U19&lt;=6.3,6.3,IF(U19&lt;=10,10,IF(U19&lt;=14,14,IF(U19&lt;=18,18,IF(U19&lt;=23,23,IF(U19&lt;=25,25,IF(U19&lt;=32,32,"др.авт")))))))))))))))</f>
        <v>2.5</v>
      </c>
      <c r="AB19" s="87" t="str">
        <f>VLOOKUP(AA19,автоматы!$H$3:$I$17,2,0)</f>
        <v>GZ1 E07</v>
      </c>
      <c r="AC19" s="87">
        <f>IF(U19&lt;=20,20,IF(U19&lt;=25,25,IF(U19&lt;=32,32,IF(U19&lt;=40,40,IF(U19&lt;=50,50,IF(U19&lt;=63,63,IF(U19&lt;=80,80,IF(U19&lt;=100,100,IF(U19&lt;=125,125,IF(U19&lt;=160,160,IF(U19&lt;=200,200,IF(U19&lt;=250,250,IF(U19&lt;=300,300,IF(U19&lt;=320,320,IF(U19&lt;=400,400,IF(U19&lt;=500,500,IF(U19&lt;=630,630,"др.авт")))))))))))))))))</f>
        <v>20</v>
      </c>
      <c r="AD19" s="87" t="str">
        <f>VLOOKUP(AC19,автоматы!$N$3:$O$19,2,0)</f>
        <v>LZMB1-A20-I</v>
      </c>
      <c r="AE19" s="88">
        <f>IF(U19&lt;=6,6,IF(U19&lt;=10,10,IF(U19&lt;=16,16,IF(U19&lt;=20,20,IF(U19&lt;=25,25,IF(U19&lt;=32,32,IF(U19&lt;=40,40,IF(U19&lt;=50,50,IF(U19&lt;=63,63,"др.выкл")))))))))</f>
        <v>6</v>
      </c>
      <c r="AF19" s="87" t="str">
        <f>INDEX(автоматы!$T$2:$V$15,MATCH(AE19,автоматы!$S$2:$S$15,0),MATCH(X19,автоматы!$T$1:$V$1,0))</f>
        <v>iC60N C6 2P</v>
      </c>
      <c r="AG19" s="87">
        <f>IF(U19&lt;=6,6,IF(U19&lt;=10,10,IF(U19&lt;=16,16,IF(U19&lt;=20,20,IF(U19&lt;=25,25,IF(U19&lt;=32,32,IF(U19&lt;=40,40,"др.выкл")))))))</f>
        <v>6</v>
      </c>
      <c r="AH19" s="87" t="str">
        <f>VLOOKUP(AG19,автоматы!$Z$3:$AA$9,2,0)</f>
        <v>A9D31606</v>
      </c>
      <c r="AI19" s="2">
        <f>IF(U19&lt;=15,15,IF(U19&lt;=16,16,IF(U19&lt;=20,20,IF(U19&lt;=25,25,IF(U19&lt;=32,32,IF(U19&lt;=40,40,IF(U19&lt;=45,45,IF(U19&lt;=50,50,IF(U19&lt;=60,60,IF(U19&lt;=63,63,IF(U19&lt;=75,75,IF(U19&lt;=80,80,IF(U19&lt;=100,100,IF(U19&lt;=125,125,IF(U19&lt;=150,150,IF(U19&lt;=160,160,IF(U19&lt;=175,175,IF(U19&lt;=200,200,IF(U19&lt;=225,225,IF(U19&lt;=250,250,IF(U19&lt;=320,320,IF(U19&lt;=350,350,IF(U19&lt;=400,400,"др.выкл")))))))))))))))))))))))</f>
        <v>15</v>
      </c>
      <c r="AJ19" t="str">
        <f>VLOOKUP(AI19,автоматы!$AE$3:$AF$26,2,0)</f>
        <v>EZC100F3015</v>
      </c>
      <c r="AK19" s="3">
        <f>IF(U19&lt;=0.16,0.16,IF(U19&lt;=0.25,0.25,IF(U19&lt;=0.4,0.4,IF(U19&lt;=0.63,0.63,IF(U19&lt;=1,1,IF(U19&lt;=1.6,1.6,IF(U19&lt;=2.5,2.5,IF(U19&lt;=4,4,IF(U19&lt;=6.3,6.3,IF(U19&lt;=10,10,IF(U19&lt;=14,14,IF(U19&lt;=18,18,IF(U19&lt;=23,23,IF(U19&lt;=25,25,IF(U19&lt;=32,32,"др.авт")))))))))))))))</f>
        <v>2.5</v>
      </c>
      <c r="AL19" t="str">
        <f>VLOOKUP(AK19,DEKraft!$I$2:$J$16,2,0)</f>
        <v>21226DEK</v>
      </c>
      <c r="AM19">
        <f>IF(U19&lt;=0.16,0.16,IF(U19&lt;=0.25,0.25,IF(U19&lt;=0.4,0.4,IF(U19&lt;=0.63,0.63,IF(U19&lt;=1,1,IF(U19&lt;=1.6,1.6,IF(U19&lt;=2.5,2.5,IF(U19&lt;=4,4,IF(U19&lt;=6.3,6.3,IF(U19&lt;=10,10,IF(U19&lt;=14,14,IF(U19&lt;=18,18,IF(U19&lt;=23,23,IF(U19&lt;=25,25,IF(U19&lt;=32,32,"др.авт")))))))))))))))</f>
        <v>2.5</v>
      </c>
      <c r="AN19" t="str">
        <f>VLOOKUP(AM19,systeme!$A$33:$B$47,2,0)</f>
        <v>GM2ME07</v>
      </c>
      <c r="AO19">
        <f>IF(U19&lt;=0.16,0.16,IF(U19&lt;=0.25,0.25,IF(U19&lt;=0.4,0.4,IF(U19&lt;=0.63,0.63,IF(U19&lt;=1,1,IF(U19&lt;=1.6,1.6,IF(U19&lt;=2.5,2.5,IF(U19&lt;=4,4,IF(U19&lt;=6.3,6.3,IF(U19&lt;=10,10,IF(U19&lt;=14,14,IF(U19&lt;=18,18,IF(U19&lt;=23,23,IF(U19&lt;=25,25,IF(U19&lt;=32,32,"др.авт")))))))))))))))</f>
        <v>2.5</v>
      </c>
      <c r="AP19">
        <f>VLOOKUP(AO19,chint!$A$34:$B$48,2,0)</f>
        <v>495078</v>
      </c>
      <c r="AQ19" s="3">
        <f>IF(U19&lt;=6,6,IF(U19&lt;=10,10,IF(U19&lt;=16,16,IF(U19&lt;=20,20,IF(U19&lt;=25,25,IF(U19&lt;=32,32,IF(U19&lt;=40,40,IF(U19&lt;=50,50,IF(U19&lt;=63,63,"др.выкл")))))))))</f>
        <v>6</v>
      </c>
      <c r="AR19" t="str">
        <f>INDEX(DEKraft!$B$2:$D$13,MATCH(AQ19,DEKraft!$A$2:$A$13,0),MATCH(X19,DEKraft!$B$1:$D$1,0))</f>
        <v>13163DEK</v>
      </c>
      <c r="AS19" t="str">
        <f>INDEX(DEKraft!$B$21:$D$32,MATCH(AQ19,DEKraft!$A$21:$A$32,0),MATCH(X19,DEKraft!$B$20:$D$20,0))</f>
        <v>12285DEK</v>
      </c>
      <c r="AT19" t="str">
        <f>INDEX(systeme!$B$2:$D$10,MATCH(AQ19,systeme!$A$2:$A$10,0),MATCH(X19,systeme!$B$1:$D$1,0))</f>
        <v>C9F36206</v>
      </c>
      <c r="AU19">
        <f>INDEX(chint!$B$2:$D$10,MATCH(AQ19,chint!$A$2:$A$10,0),MATCH(X19,chint!$B$1:$D$1,0))</f>
        <v>179667</v>
      </c>
      <c r="AV19" s="3">
        <f>IF(U19&lt;=6,6,IF(U19&lt;=10,10,IF(U19&lt;=16,16,IF(U19&lt;=20,20,IF(U19&lt;=25,25,IF(U19&lt;=32,32,IF(U19&lt;=40,40,"др.выкл")))))))</f>
        <v>6</v>
      </c>
      <c r="AW19" t="str">
        <f>VLOOKUP(AV19,DEKraft!$A$41:$B$47,2,0)</f>
        <v>16202DEK</v>
      </c>
      <c r="AX19">
        <f>IF(U19&lt;=10,10,IF(U19&lt;=16,16,IF(U19&lt;=20,20,IF(U19&lt;=25,25,IF(U19&lt;=32,32,IF(U19&lt;=40,40,"др.выкл"))))))</f>
        <v>10</v>
      </c>
      <c r="AY19" t="str">
        <f>VLOOKUP(AX19,systeme!$G$2:$H$7,2,0)</f>
        <v>C9D36610</v>
      </c>
      <c r="AZ19">
        <f>IF(U19&lt;=6,6,IF(U19&lt;=10,10,IF(U19&lt;=16,16,IF(U19&lt;=20,20,IF(U19&lt;=25,25,IF(U19&lt;=32,32,IF(U19&lt;=40,40,"др.выкл")))))))</f>
        <v>6</v>
      </c>
      <c r="BA19">
        <f>VLOOKUP(AV19,chint!$G$2:$H$8,2,0)</f>
        <v>689000</v>
      </c>
      <c r="BB19" s="3">
        <f>IF(U19&lt;=25,25,IF(U19&lt;=32,32,IF(U19&lt;=40,40,IF(U19&lt;=50,50,IF(U19&lt;=63,63,IF(U19&lt;=80,80,IF(U19&lt;=100,100,IF(U19&lt;=125,125,IF(U19&lt;=140,140,IF(U19&lt;=160,160,IF(U19&lt;=200,200,IF(U19&lt;=250,250,IF(U19&lt;=320,320,IF(U19&lt;=400,400,IF(U19&lt;=500,500,IF(U19&lt;=630,630,"др.выкл"))))))))))))))))</f>
        <v>25</v>
      </c>
      <c r="BC19" t="str">
        <f>VLOOKUP(BB19,DEKraft!$I$21:$J$36,2,0)</f>
        <v>28100DEK</v>
      </c>
      <c r="BD19">
        <f>IF(U19&lt;=16,16,IF(U19&lt;=25,25,IF(U19&lt;=32,32,IF(U19&lt;=40,40,IF(U19&lt;=50,50,IF(U19&lt;=63,63,IF(U19&lt;=80,80,IF(U19&lt;=100,100,IF(U19&lt;=125,125,IF(U19&lt;=160,160,IF(U19&lt;=200,200,IF(U19&lt;=250,250,IF(U19&lt;=400,400,IF(U19&lt;=500,500,IF(U19&lt;=600,600,"др.авт")))))))))))))))</f>
        <v>16</v>
      </c>
      <c r="BE19" t="str">
        <f>VLOOKUP(BD19,systeme!$A$16:$B$30,2,0)</f>
        <v>SPC100F016L3DF</v>
      </c>
      <c r="BF19">
        <f>IF(U19&lt;=16,16,IF(U19&lt;=25,25,IF(U19&lt;=32,32,IF(U19&lt;=40,40,IF(U19&lt;=50,50,IF(U19&lt;=63,63,IF(U19&lt;=80,80,IF(U19&lt;=100,100,IF(U19&lt;=125,125,IF(U19&lt;=160,160,IF(U19&lt;=200,200,IF(U19&lt;=225,225,IF(U19&lt;=250,250,IF(U19&lt;=315,315,IF(U19&lt;=350,350,IF(U19&lt;=400,400,IF(U19&lt;=500,500,IF(U19&lt;=630,630,"др.выкл"))))))))))))))))))</f>
        <v>16</v>
      </c>
      <c r="BG19" s="4">
        <f>VLOOKUP(BF19,chint!$A$14:$B$31,2,0)</f>
        <v>271581</v>
      </c>
      <c r="BH19">
        <f>IF(U19&lt;=6,6,IF(U19&lt;=10,10,IF(U19&lt;=16,16,IF(U19&lt;=20,20,IF(U19&lt;=25,25,IF(U19&lt;=32,32,IF(U19&lt;=40,40,IF(U19&lt;=50,50,IF(U19&lt;=63,63,"др.выкл")))))))))</f>
        <v>6</v>
      </c>
      <c r="BI19" t="str">
        <f>INDEX(КЭАЗ!$B$2:$E$14,MATCH(BH19,КЭАЗ!$A$2:$A$14,0),MATCH(X19,КЭАЗ!$B$1:$D$1,0))</f>
        <v>kea.341916</v>
      </c>
      <c r="BJ19">
        <f>IF(U19&lt;=6,6,IF(U19&lt;=10,10,IF(U19&lt;=16,16,IF(U19&lt;=20,20,IF(U19&lt;=25,25,IF(U19&lt;=32,32,IF(U19&lt;=40,40,IF(U19&lt;=50,50,IF(U19&lt;=63,63,IF(U19&lt;=80,80,IF(U19&lt;=100,100,IF(U19&lt;=125,125,"др.выкл"))))))))))))</f>
        <v>6</v>
      </c>
      <c r="BK19" t="str">
        <f>INDEX(hy!$B$2:$D$18,MATCH(BJ19,hy!$A$2:$A$18,0),MATCH(X19,hy!$B$1:$D$1,0))</f>
        <v>HGD63M 2PMCS0000C 00006</v>
      </c>
      <c r="BL19" t="str">
        <f>VLOOKUP(BJ19,hy!$G$2:$H$15,2,0)</f>
        <v>HRO63M 1NG4С0000C00006G</v>
      </c>
      <c r="BM19">
        <f>IF(U19&lt;=0.16,0.16,IF(U19&lt;=0.25,0.25,IF(U19&lt;=0.4,0.4,IF(U19&lt;=0.63,0.63,IF(U19&lt;=1,1,IF(U19&lt;=1.6,1.6,IF(U19&lt;=2.5,2.5,IF(U19&lt;=4,4,IF(U19&lt;=6.3,6.3,IF(U19&lt;=10,10,IF(U19&lt;=14,14,IF(U19&lt;=18,18,IF(U19&lt;=23,23,IF(U19&lt;=25,25,IF(U19&lt;=32,32,"др.авт")))))))))))))))</f>
        <v>2.5</v>
      </c>
      <c r="BN19" t="str">
        <f>VLOOKUP(BM19,hy!$A$41:$B$55,2,0)</f>
        <v>MMS32K 02P5</v>
      </c>
      <c r="BO19">
        <f>IF(U19&lt;=100,100,IF(U19&lt;=125,125,IF(U19&lt;=150,150,IF(U19&lt;=160,160,IF(U19&lt;=175,175,IF(U19&lt;=200,200,IF(U19&lt;=225,225,IF(U19&lt;=250,250,IF(U19&lt;=300,300,IF(U19&lt;=350,350,IF(U19&lt;=400,400,IF(U19&lt;=500,500,IF(U19&lt;=630,630,IF(U19&lt;=700,700,IF(U19&lt;=800,800,"др.выкл")))))))))))))))</f>
        <v>100</v>
      </c>
      <c r="BP19" t="str">
        <f>VLOOKUP(BO19,hy!$A$21:$B$35,2,0)</f>
        <v>HGP100S-G 3PT4S0000C 00100H</v>
      </c>
      <c r="BQ19" s="89">
        <f>IF($W19=автоматы!$D$45,Z19,IF($W19=автоматы!$D$46,AF19,IF($W19=автоматы!$D$47,AH19,IF($W19=автоматы!$D$48,AB19,IF($W19=автоматы!$D$49,AJ19,IF($W19=автоматы!$D$50,AD19,IF($W19=автоматы!$D$51,BI19,IF($W19=автоматы!$D$52,AR19,IF($W19=автоматы!$D$53,AS19,IF($W19=автоматы!$D$54,AW19,IF($W19=автоматы!$D$55,AL19,IF($W19=автоматы!$D$56,BC19,IF($W19=автоматы!$D$57,AT19,IF($W19=автоматы!$D$58,AY19,IF($W19=автоматы!$D$59,AN19,IF($W19=автоматы!$D$60,BE19,IF($W19=автоматы!$D$61,AU19,IF($W19=автоматы!$D$62,BA19,IF($W19=автоматы!$D$63,AP19,IF($W19=автоматы!$D$64,BG19,IF($W19=автоматы!$D$65,BK19,IF($W19=автоматы!$D$66,BL19,IF($W19=автоматы!$D$67,BN19,IF($W19=автоматы!$D$68,BP19,"др"))))))))))))))))))))))))</f>
        <v>495078</v>
      </c>
      <c r="BR19" s="89">
        <f>IF($W19=автоматы!$D$45,Y19,IF($W19=автоматы!$D$46,AE19,IF($W19=автоматы!$D$47,AG19,IF($W19=автоматы!$D$48,AA19,IF($W19=автоматы!$D$49,AI19,IF($W19=автоматы!$D$50,AC19,IF($W19=автоматы!$D$51,BH19,IF($W19=автоматы!$D$52,AQ19,IF($W19=автоматы!$D$53,AQ19,IF($W19=автоматы!$D$54,AV19,IF($W19=автоматы!$D$55,AK19,IF($W19=автоматы!$D$56,BB19,IF($W19=автоматы!$D$57,AQ19,IF($W19=автоматы!$D$58,AX19,IF($W19=автоматы!$D$59,AM19,IF($W19=автоматы!$D$60,BD19,IF($W19=автоматы!$D$61,AQ19,IF($W19=автоматы!$D$62,AZ19,IF($W19=автоматы!$D$63,AO19,IF($W19=автоматы!$D$64,BF19,IF($W19=автоматы!$D$65,BJ19,IF($W19=автоматы!$D$66,BJ19,IF($W19=автоматы!$D$67,BM19,IF($W19=автоматы!$D$68,BO19,"др"))))))))))))))))))))))))</f>
        <v>2.5</v>
      </c>
      <c r="BS19" s="89" t="str">
        <f>CONCATENATE(IF($W19=автоматы!$A$1,Y19,IF($W19=автоматы!$H$1,VLOOKUP(AA19,автоматы!$H$3:$K$17,3,0),IF($W19=автоматы!$N$1,VLOOKUP(AC19,автоматы!$N$3:$Q$19,3,0),IF($W19=автоматы!$S$17,AE19,IF($W19=автоматы!$Z$1,AG19,IF($W19=автоматы!$AE$1,AI19,"др"))))))," А")</f>
        <v>др А</v>
      </c>
      <c r="BT19" s="89" t="str">
        <f>IF($W19=автоматы!$A$1,Y19*10,IF($W19=автоматы!$H$1,VLOOKUP(AA19,автоматы!$H$3:$K$17,4,0),IF($W19=автоматы!$N$1,VLOOKUP(AC19,автоматы!$N$3:$Q$19,4,0),IF($W19=автоматы!$S$17,AE19*10,IF($W19=автоматы!$Z$1,AG19*10,IF($W19=автоматы!$AE$1,AI19*10,"др"))))))</f>
        <v>др</v>
      </c>
      <c r="BU19" s="85"/>
      <c r="BV19" s="90" t="s">
        <v>147</v>
      </c>
      <c r="BW19" s="90">
        <v>1</v>
      </c>
      <c r="BX19" s="91">
        <v>3</v>
      </c>
      <c r="BY19" s="92">
        <v>1.5</v>
      </c>
      <c r="BZ19" s="91">
        <f>HLOOKUP(BV19,каталог!$CG$1:$CO$22,MATCH(BY19,каталог!$CF$1:$CF$22,0),0)*BW19</f>
        <v>19</v>
      </c>
      <c r="CA19" s="87" t="str">
        <f>CONCATENATE("н",C19,"")</f>
        <v>нП2</v>
      </c>
      <c r="CB19" s="87" t="str">
        <f>CONCATENATE(BV19," ",BX19,"x",BY19)</f>
        <v>ВВГнг(А)-LS 3x1,5</v>
      </c>
    </row>
    <row r="20" spans="1:84" s="87" customFormat="1" ht="14.5">
      <c r="A20" s="102">
        <v>11</v>
      </c>
      <c r="B20" s="94">
        <v>100</v>
      </c>
      <c r="C20" s="103" t="s">
        <v>1043</v>
      </c>
      <c r="D20" s="100" t="s">
        <v>1038</v>
      </c>
      <c r="E20" s="95">
        <v>220</v>
      </c>
      <c r="F20" s="19" t="s">
        <v>888</v>
      </c>
      <c r="G20" s="96">
        <v>0.42</v>
      </c>
      <c r="H20" s="96">
        <f t="shared" si="84"/>
        <v>1.9090909090909089</v>
      </c>
      <c r="I20" s="95">
        <v>1</v>
      </c>
      <c r="J20" s="96">
        <v>1</v>
      </c>
      <c r="K20" s="96">
        <f t="shared" si="85"/>
        <v>0</v>
      </c>
      <c r="L20" s="97">
        <f t="shared" ref="L20:L21" si="90">I20*G20</f>
        <v>0.42</v>
      </c>
      <c r="M20" s="97">
        <f t="shared" ref="M20:M21" si="91">I20*G20*K20</f>
        <v>0</v>
      </c>
      <c r="N20" s="97">
        <f t="shared" ref="N20:N21" si="92">1*G20^2</f>
        <v>0.17639999999999997</v>
      </c>
      <c r="O20" s="97"/>
      <c r="P20" s="97"/>
      <c r="Q20" s="97"/>
      <c r="R20" s="97"/>
      <c r="S20" s="97"/>
      <c r="T20" s="97"/>
      <c r="U20" s="86">
        <f t="shared" ref="U20:U21" si="93">H20*1.1</f>
        <v>2.1</v>
      </c>
      <c r="V20" s="86">
        <f>7*H20</f>
        <v>13.363636363636363</v>
      </c>
      <c r="W20" s="116" t="s">
        <v>874</v>
      </c>
      <c r="X20" s="87" t="s">
        <v>301</v>
      </c>
      <c r="Y20" s="87">
        <f>IF(U20&lt;=6,6,IF(U20&lt;=10,10,IF(U20&lt;=16,16,IF(U20&lt;=20,20,IF(U20&lt;=25,25,IF(U20&lt;=32,32,IF(U20&lt;=40,40,IF(U20&lt;=50,50,IF(U20&lt;=63,63,"др.выкл")))))))))</f>
        <v>6</v>
      </c>
      <c r="Z20" s="87" t="str">
        <f>INDEX(автоматы!$B$3:$D$11,MATCH(Y20,автоматы!$A$3:$A$11,0),MATCH(X20,кол_пол,0))</f>
        <v>EZ9F34206</v>
      </c>
      <c r="AA20" s="87">
        <f>IF(U20&lt;=0.16,0.16,IF(U20&lt;=0.25,0.25,IF(U20&lt;=0.4,0.4,IF(U20&lt;=0.63,0.63,IF(U20&lt;=1,1,IF(U20&lt;=1.6,1.6,IF(U20&lt;=2.5,2.5,IF(U20&lt;=4,4,IF(U20&lt;=6.3,6.3,IF(U20&lt;=10,10,IF(U20&lt;=14,14,IF(U20&lt;=18,18,IF(U20&lt;=23,23,IF(U20&lt;=25,25,IF(U20&lt;=32,32,"др.авт")))))))))))))))</f>
        <v>2.5</v>
      </c>
      <c r="AB20" s="87" t="str">
        <f>VLOOKUP(AA20,автоматы!$H$3:$I$17,2,0)</f>
        <v>GZ1 E07</v>
      </c>
      <c r="AC20" s="87">
        <f>IF(U20&lt;=20,20,IF(U20&lt;=25,25,IF(U20&lt;=32,32,IF(U20&lt;=40,40,IF(U20&lt;=50,50,IF(U20&lt;=63,63,IF(U20&lt;=80,80,IF(U20&lt;=100,100,IF(U20&lt;=125,125,IF(U20&lt;=160,160,IF(U20&lt;=200,200,IF(U20&lt;=250,250,IF(U20&lt;=300,300,IF(U20&lt;=320,320,IF(U20&lt;=400,400,IF(U20&lt;=500,500,IF(U20&lt;=630,630,"др.авт")))))))))))))))))</f>
        <v>20</v>
      </c>
      <c r="AD20" s="87" t="str">
        <f>VLOOKUP(AC20,автоматы!$N$3:$O$19,2,0)</f>
        <v>LZMB1-A20-I</v>
      </c>
      <c r="AE20" s="88">
        <f>IF(U20&lt;=6,6,IF(U20&lt;=10,10,IF(U20&lt;=16,16,IF(U20&lt;=20,20,IF(U20&lt;=25,25,IF(U20&lt;=32,32,IF(U20&lt;=40,40,IF(U20&lt;=50,50,IF(U20&lt;=63,63,"др.выкл")))))))))</f>
        <v>6</v>
      </c>
      <c r="AF20" s="87" t="str">
        <f>INDEX(автоматы!$T$2:$V$15,MATCH(AE20,автоматы!$S$2:$S$15,0),MATCH(X20,автоматы!$T$1:$V$1,0))</f>
        <v>iC60N C6 2P</v>
      </c>
      <c r="AG20" s="87">
        <f>IF(U20&lt;=6,6,IF(U20&lt;=10,10,IF(U20&lt;=16,16,IF(U20&lt;=20,20,IF(U20&lt;=25,25,IF(U20&lt;=32,32,IF(U20&lt;=40,40,"др.выкл")))))))</f>
        <v>6</v>
      </c>
      <c r="AH20" s="87" t="str">
        <f>VLOOKUP(AG20,автоматы!$Z$3:$AA$9,2,0)</f>
        <v>A9D31606</v>
      </c>
      <c r="AI20" s="2">
        <f>IF(U20&lt;=15,15,IF(U20&lt;=16,16,IF(U20&lt;=20,20,IF(U20&lt;=25,25,IF(U20&lt;=32,32,IF(U20&lt;=40,40,IF(U20&lt;=45,45,IF(U20&lt;=50,50,IF(U20&lt;=60,60,IF(U20&lt;=63,63,IF(U20&lt;=75,75,IF(U20&lt;=80,80,IF(U20&lt;=100,100,IF(U20&lt;=125,125,IF(U20&lt;=150,150,IF(U20&lt;=160,160,IF(U20&lt;=175,175,IF(U20&lt;=200,200,IF(U20&lt;=225,225,IF(U20&lt;=250,250,IF(U20&lt;=320,320,IF(U20&lt;=350,350,IF(U20&lt;=400,400,"др.выкл")))))))))))))))))))))))</f>
        <v>15</v>
      </c>
      <c r="AJ20" t="str">
        <f>VLOOKUP(AI20,автоматы!$AE$3:$AF$26,2,0)</f>
        <v>EZC100F3015</v>
      </c>
      <c r="AK20" s="3">
        <f>IF(U20&lt;=0.16,0.16,IF(U20&lt;=0.25,0.25,IF(U20&lt;=0.4,0.4,IF(U20&lt;=0.63,0.63,IF(U20&lt;=1,1,IF(U20&lt;=1.6,1.6,IF(U20&lt;=2.5,2.5,IF(U20&lt;=4,4,IF(U20&lt;=6.3,6.3,IF(U20&lt;=10,10,IF(U20&lt;=14,14,IF(U20&lt;=18,18,IF(U20&lt;=23,23,IF(U20&lt;=25,25,IF(U20&lt;=32,32,"др.авт")))))))))))))))</f>
        <v>2.5</v>
      </c>
      <c r="AL20" t="str">
        <f>VLOOKUP(AK20,DEKraft!$I$2:$J$16,2,0)</f>
        <v>21226DEK</v>
      </c>
      <c r="AM20">
        <f>IF(U20&lt;=0.16,0.16,IF(U20&lt;=0.25,0.25,IF(U20&lt;=0.4,0.4,IF(U20&lt;=0.63,0.63,IF(U20&lt;=1,1,IF(U20&lt;=1.6,1.6,IF(U20&lt;=2.5,2.5,IF(U20&lt;=4,4,IF(U20&lt;=6.3,6.3,IF(U20&lt;=10,10,IF(U20&lt;=14,14,IF(U20&lt;=18,18,IF(U20&lt;=23,23,IF(U20&lt;=25,25,IF(U20&lt;=32,32,"др.авт")))))))))))))))</f>
        <v>2.5</v>
      </c>
      <c r="AN20" t="str">
        <f>VLOOKUP(AM20,systeme!$A$33:$B$47,2,0)</f>
        <v>GM2ME07</v>
      </c>
      <c r="AO20">
        <f>IF(U20&lt;=0.16,0.16,IF(U20&lt;=0.25,0.25,IF(U20&lt;=0.4,0.4,IF(U20&lt;=0.63,0.63,IF(U20&lt;=1,1,IF(U20&lt;=1.6,1.6,IF(U20&lt;=2.5,2.5,IF(U20&lt;=4,4,IF(U20&lt;=6.3,6.3,IF(U20&lt;=10,10,IF(U20&lt;=14,14,IF(U20&lt;=18,18,IF(U20&lt;=23,23,IF(U20&lt;=25,25,IF(U20&lt;=32,32,"др.авт")))))))))))))))</f>
        <v>2.5</v>
      </c>
      <c r="AP20">
        <f>VLOOKUP(AO20,chint!$A$34:$B$48,2,0)</f>
        <v>495078</v>
      </c>
      <c r="AQ20" s="3">
        <f>IF(U20&lt;=6,6,IF(U20&lt;=10,10,IF(U20&lt;=16,16,IF(U20&lt;=20,20,IF(U20&lt;=25,25,IF(U20&lt;=32,32,IF(U20&lt;=40,40,IF(U20&lt;=50,50,IF(U20&lt;=63,63,"др.выкл")))))))))</f>
        <v>6</v>
      </c>
      <c r="AR20" t="str">
        <f>INDEX(DEKraft!$B$2:$D$13,MATCH(AQ20,DEKraft!$A$2:$A$13,0),MATCH(X20,DEKraft!$B$1:$D$1,0))</f>
        <v>13163DEK</v>
      </c>
      <c r="AS20" t="str">
        <f>INDEX(DEKraft!$B$21:$D$32,MATCH(AQ20,DEKraft!$A$21:$A$32,0),MATCH(X20,DEKraft!$B$20:$D$20,0))</f>
        <v>12285DEK</v>
      </c>
      <c r="AT20" t="str">
        <f>INDEX(systeme!$B$2:$D$10,MATCH(AQ20,systeme!$A$2:$A$10,0),MATCH(X20,systeme!$B$1:$D$1,0))</f>
        <v>C9F36206</v>
      </c>
      <c r="AU20">
        <f>INDEX(chint!$B$2:$D$10,MATCH(AQ20,chint!$A$2:$A$10,0),MATCH(X20,chint!$B$1:$D$1,0))</f>
        <v>179667</v>
      </c>
      <c r="AV20" s="3">
        <f>IF(U20&lt;=6,6,IF(U20&lt;=10,10,IF(U20&lt;=16,16,IF(U20&lt;=20,20,IF(U20&lt;=25,25,IF(U20&lt;=32,32,IF(U20&lt;=40,40,"др.выкл")))))))</f>
        <v>6</v>
      </c>
      <c r="AW20" t="str">
        <f>VLOOKUP(AV20,DEKraft!$A$41:$B$47,2,0)</f>
        <v>16202DEK</v>
      </c>
      <c r="AX20">
        <f>IF(U20&lt;=10,10,IF(U20&lt;=16,16,IF(U20&lt;=20,20,IF(U20&lt;=25,25,IF(U20&lt;=32,32,IF(U20&lt;=40,40,"др.выкл"))))))</f>
        <v>10</v>
      </c>
      <c r="AY20" t="str">
        <f>VLOOKUP(AX20,systeme!$G$2:$H$7,2,0)</f>
        <v>C9D36610</v>
      </c>
      <c r="AZ20">
        <f>IF(U20&lt;=6,6,IF(U20&lt;=10,10,IF(U20&lt;=16,16,IF(U20&lt;=20,20,IF(U20&lt;=25,25,IF(U20&lt;=32,32,IF(U20&lt;=40,40,"др.выкл")))))))</f>
        <v>6</v>
      </c>
      <c r="BA20">
        <f>VLOOKUP(AV20,chint!$G$2:$H$8,2,0)</f>
        <v>689000</v>
      </c>
      <c r="BB20" s="3">
        <f>IF(U20&lt;=25,25,IF(U20&lt;=32,32,IF(U20&lt;=40,40,IF(U20&lt;=50,50,IF(U20&lt;=63,63,IF(U20&lt;=80,80,IF(U20&lt;=100,100,IF(U20&lt;=125,125,IF(U20&lt;=140,140,IF(U20&lt;=160,160,IF(U20&lt;=200,200,IF(U20&lt;=250,250,IF(U20&lt;=320,320,IF(U20&lt;=400,400,IF(U20&lt;=500,500,IF(U20&lt;=630,630,"др.выкл"))))))))))))))))</f>
        <v>25</v>
      </c>
      <c r="BC20" t="str">
        <f>VLOOKUP(BB20,DEKraft!$I$21:$J$36,2,0)</f>
        <v>28100DEK</v>
      </c>
      <c r="BD20">
        <f>IF(U20&lt;=16,16,IF(U20&lt;=25,25,IF(U20&lt;=32,32,IF(U20&lt;=40,40,IF(U20&lt;=50,50,IF(U20&lt;=63,63,IF(U20&lt;=80,80,IF(U20&lt;=100,100,IF(U20&lt;=125,125,IF(U20&lt;=160,160,IF(U20&lt;=200,200,IF(U20&lt;=250,250,IF(U20&lt;=400,400,IF(U20&lt;=500,500,IF(U20&lt;=600,600,"др.авт")))))))))))))))</f>
        <v>16</v>
      </c>
      <c r="BE20" t="str">
        <f>VLOOKUP(BD20,systeme!$A$16:$B$30,2,0)</f>
        <v>SPC100F016L3DF</v>
      </c>
      <c r="BF20">
        <f>IF(U20&lt;=16,16,IF(U20&lt;=25,25,IF(U20&lt;=32,32,IF(U20&lt;=40,40,IF(U20&lt;=50,50,IF(U20&lt;=63,63,IF(U20&lt;=80,80,IF(U20&lt;=100,100,IF(U20&lt;=125,125,IF(U20&lt;=160,160,IF(U20&lt;=200,200,IF(U20&lt;=225,225,IF(U20&lt;=250,250,IF(U20&lt;=315,315,IF(U20&lt;=350,350,IF(U20&lt;=400,400,IF(U20&lt;=500,500,IF(U20&lt;=630,630,"др.выкл"))))))))))))))))))</f>
        <v>16</v>
      </c>
      <c r="BG20" s="4">
        <f>VLOOKUP(BF20,chint!$A$14:$B$31,2,0)</f>
        <v>271581</v>
      </c>
      <c r="BH20">
        <f>IF(U20&lt;=6,6,IF(U20&lt;=10,10,IF(U20&lt;=16,16,IF(U20&lt;=20,20,IF(U20&lt;=25,25,IF(U20&lt;=32,32,IF(U20&lt;=40,40,IF(U20&lt;=50,50,IF(U20&lt;=63,63,"др.выкл")))))))))</f>
        <v>6</v>
      </c>
      <c r="BI20" t="str">
        <f>INDEX(КЭАЗ!$B$2:$E$14,MATCH(BH20,КЭАЗ!$A$2:$A$14,0),MATCH(X20,КЭАЗ!$B$1:$D$1,0))</f>
        <v>kea.341916</v>
      </c>
      <c r="BJ20">
        <f>IF(U20&lt;=6,6,IF(U20&lt;=10,10,IF(U20&lt;=16,16,IF(U20&lt;=20,20,IF(U20&lt;=25,25,IF(U20&lt;=32,32,IF(U20&lt;=40,40,IF(U20&lt;=50,50,IF(U20&lt;=63,63,IF(U20&lt;=80,80,IF(U20&lt;=100,100,IF(U20&lt;=125,125,"др.выкл"))))))))))))</f>
        <v>6</v>
      </c>
      <c r="BK20" t="str">
        <f>INDEX(hy!$B$2:$D$18,MATCH(BJ20,hy!$A$2:$A$18,0),MATCH(X20,hy!$B$1:$D$1,0))</f>
        <v>HGD63M 2PMCS0000C 00006</v>
      </c>
      <c r="BL20" t="str">
        <f>VLOOKUP(BJ20,hy!$G$2:$H$15,2,0)</f>
        <v>HRO63M 1NG4С0000C00006G</v>
      </c>
      <c r="BM20">
        <f>IF(U20&lt;=0.16,0.16,IF(U20&lt;=0.25,0.25,IF(U20&lt;=0.4,0.4,IF(U20&lt;=0.63,0.63,IF(U20&lt;=1,1,IF(U20&lt;=1.6,1.6,IF(U20&lt;=2.5,2.5,IF(U20&lt;=4,4,IF(U20&lt;=6.3,6.3,IF(U20&lt;=10,10,IF(U20&lt;=14,14,IF(U20&lt;=18,18,IF(U20&lt;=23,23,IF(U20&lt;=25,25,IF(U20&lt;=32,32,"др.авт")))))))))))))))</f>
        <v>2.5</v>
      </c>
      <c r="BN20" t="str">
        <f>VLOOKUP(BM20,hy!$A$41:$B$55,2,0)</f>
        <v>MMS32K 02P5</v>
      </c>
      <c r="BO20">
        <f>IF(U20&lt;=100,100,IF(U20&lt;=125,125,IF(U20&lt;=150,150,IF(U20&lt;=160,160,IF(U20&lt;=175,175,IF(U20&lt;=200,200,IF(U20&lt;=225,225,IF(U20&lt;=250,250,IF(U20&lt;=300,300,IF(U20&lt;=350,350,IF(U20&lt;=400,400,IF(U20&lt;=500,500,IF(U20&lt;=630,630,IF(U20&lt;=700,700,IF(U20&lt;=800,800,"др.выкл")))))))))))))))</f>
        <v>100</v>
      </c>
      <c r="BP20" t="str">
        <f>VLOOKUP(BO20,hy!$A$21:$B$35,2,0)</f>
        <v>HGP100S-G 3PT4S0000C 00100H</v>
      </c>
      <c r="BQ20" s="89">
        <f>IF($W20=автоматы!$D$45,Z20,IF($W20=автоматы!$D$46,AF20,IF($W20=автоматы!$D$47,AH20,IF($W20=автоматы!$D$48,AB20,IF($W20=автоматы!$D$49,AJ20,IF($W20=автоматы!$D$50,AD20,IF($W20=автоматы!$D$51,BI20,IF($W20=автоматы!$D$52,AR20,IF($W20=автоматы!$D$53,AS20,IF($W20=автоматы!$D$54,AW20,IF($W20=автоматы!$D$55,AL20,IF($W20=автоматы!$D$56,BC20,IF($W20=автоматы!$D$57,AT20,IF($W20=автоматы!$D$58,AY20,IF($W20=автоматы!$D$59,AN20,IF($W20=автоматы!$D$60,BE20,IF($W20=автоматы!$D$61,AU20,IF($W20=автоматы!$D$62,BA20,IF($W20=автоматы!$D$63,AP20,IF($W20=автоматы!$D$64,BG20,IF($W20=автоматы!$D$65,BK20,IF($W20=автоматы!$D$66,BL20,IF($W20=автоматы!$D$67,BN20,IF($W20=автоматы!$D$68,BP20,"др"))))))))))))))))))))))))</f>
        <v>495078</v>
      </c>
      <c r="BR20" s="89">
        <f>IF($W20=автоматы!$D$45,Y20,IF($W20=автоматы!$D$46,AE20,IF($W20=автоматы!$D$47,AG20,IF($W20=автоматы!$D$48,AA20,IF($W20=автоматы!$D$49,AI20,IF($W20=автоматы!$D$50,AC20,IF($W20=автоматы!$D$51,BH20,IF($W20=автоматы!$D$52,AQ20,IF($W20=автоматы!$D$53,AQ20,IF($W20=автоматы!$D$54,AV20,IF($W20=автоматы!$D$55,AK20,IF($W20=автоматы!$D$56,BB20,IF($W20=автоматы!$D$57,AQ20,IF($W20=автоматы!$D$58,AX20,IF($W20=автоматы!$D$59,AM20,IF($W20=автоматы!$D$60,BD20,IF($W20=автоматы!$D$61,AQ20,IF($W20=автоматы!$D$62,AZ20,IF($W20=автоматы!$D$63,AO20,IF($W20=автоматы!$D$64,BF20,IF($W20=автоматы!$D$65,BJ20,IF($W20=автоматы!$D$66,BJ20,IF($W20=автоматы!$D$67,BM20,IF($W20=автоматы!$D$68,BO20,"др"))))))))))))))))))))))))</f>
        <v>2.5</v>
      </c>
      <c r="BS20" s="89" t="str">
        <f>CONCATENATE(IF($W20=автоматы!$A$1,Y20,IF($W20=автоматы!$H$1,VLOOKUP(AA20,автоматы!$H$3:$K$17,3,0),IF($W20=автоматы!$N$1,VLOOKUP(AC20,автоматы!$N$3:$Q$19,3,0),IF($W20=автоматы!$S$17,AE20,IF($W20=автоматы!$Z$1,AG20,IF($W20=автоматы!$AE$1,AI20,"др"))))))," А")</f>
        <v>др А</v>
      </c>
      <c r="BT20" s="89" t="str">
        <f>IF($W20=автоматы!$A$1,Y20*10,IF($W20=автоматы!$H$1,VLOOKUP(AA20,автоматы!$H$3:$K$17,4,0),IF($W20=автоматы!$N$1,VLOOKUP(AC20,автоматы!$N$3:$Q$19,4,0),IF($W20=автоматы!$S$17,AE20*10,IF($W20=автоматы!$Z$1,AG20*10,IF($W20=автоматы!$AE$1,AI20*10,"др"))))))</f>
        <v>др</v>
      </c>
      <c r="BU20" s="85"/>
      <c r="BV20" s="90" t="s">
        <v>147</v>
      </c>
      <c r="BW20" s="90">
        <v>1</v>
      </c>
      <c r="BX20" s="91">
        <v>3</v>
      </c>
      <c r="BY20" s="92">
        <v>1.5</v>
      </c>
      <c r="BZ20" s="91">
        <f>HLOOKUP(BV20,каталог!$CG$1:$CO$22,MATCH(BY20,каталог!$CF$1:$CF$22,0),0)*BW20</f>
        <v>19</v>
      </c>
      <c r="CA20" s="87" t="str">
        <f>CONCATENATE("н",C20,"")</f>
        <v>нП3</v>
      </c>
      <c r="CB20" s="87" t="str">
        <f>CONCATENATE(BV20," ",BX20,"x",BY20)</f>
        <v>ВВГнг(А)-LS 3x1,5</v>
      </c>
    </row>
    <row r="21" spans="1:84" s="87" customFormat="1" ht="14.5">
      <c r="A21" s="102">
        <v>12</v>
      </c>
      <c r="B21" s="94">
        <v>100</v>
      </c>
      <c r="C21" s="103" t="s">
        <v>1044</v>
      </c>
      <c r="D21" s="100" t="s">
        <v>1038</v>
      </c>
      <c r="E21" s="95">
        <v>220</v>
      </c>
      <c r="F21" s="19" t="s">
        <v>889</v>
      </c>
      <c r="G21" s="96">
        <v>0.42</v>
      </c>
      <c r="H21" s="96">
        <f t="shared" si="84"/>
        <v>1.9090909090909089</v>
      </c>
      <c r="I21" s="95">
        <v>1</v>
      </c>
      <c r="J21" s="96">
        <v>1</v>
      </c>
      <c r="K21" s="96">
        <f t="shared" si="85"/>
        <v>0</v>
      </c>
      <c r="L21" s="97">
        <f t="shared" si="90"/>
        <v>0.42</v>
      </c>
      <c r="M21" s="97">
        <f t="shared" si="91"/>
        <v>0</v>
      </c>
      <c r="N21" s="97">
        <f t="shared" si="92"/>
        <v>0.17639999999999997</v>
      </c>
      <c r="O21" s="97"/>
      <c r="P21" s="97"/>
      <c r="Q21" s="97"/>
      <c r="R21" s="97"/>
      <c r="S21" s="97"/>
      <c r="T21" s="97"/>
      <c r="U21" s="86">
        <f t="shared" si="93"/>
        <v>2.1</v>
      </c>
      <c r="V21" s="86">
        <f>7*H21</f>
        <v>13.363636363636363</v>
      </c>
      <c r="W21" s="116" t="s">
        <v>874</v>
      </c>
      <c r="X21" s="87" t="s">
        <v>301</v>
      </c>
      <c r="Y21" s="87">
        <f>IF(U21&lt;=6,6,IF(U21&lt;=10,10,IF(U21&lt;=16,16,IF(U21&lt;=20,20,IF(U21&lt;=25,25,IF(U21&lt;=32,32,IF(U21&lt;=40,40,IF(U21&lt;=50,50,IF(U21&lt;=63,63,"др.выкл")))))))))</f>
        <v>6</v>
      </c>
      <c r="Z21" s="87" t="str">
        <f>INDEX(автоматы!$B$3:$D$11,MATCH(Y21,автоматы!$A$3:$A$11,0),MATCH(X21,кол_пол,0))</f>
        <v>EZ9F34206</v>
      </c>
      <c r="AA21" s="87">
        <f>IF(U21&lt;=0.16,0.16,IF(U21&lt;=0.25,0.25,IF(U21&lt;=0.4,0.4,IF(U21&lt;=0.63,0.63,IF(U21&lt;=1,1,IF(U21&lt;=1.6,1.6,IF(U21&lt;=2.5,2.5,IF(U21&lt;=4,4,IF(U21&lt;=6.3,6.3,IF(U21&lt;=10,10,IF(U21&lt;=14,14,IF(U21&lt;=18,18,IF(U21&lt;=23,23,IF(U21&lt;=25,25,IF(U21&lt;=32,32,"др.авт")))))))))))))))</f>
        <v>2.5</v>
      </c>
      <c r="AB21" s="87" t="str">
        <f>VLOOKUP(AA21,автоматы!$H$3:$I$17,2,0)</f>
        <v>GZ1 E07</v>
      </c>
      <c r="AC21" s="87">
        <f>IF(U21&lt;=20,20,IF(U21&lt;=25,25,IF(U21&lt;=32,32,IF(U21&lt;=40,40,IF(U21&lt;=50,50,IF(U21&lt;=63,63,IF(U21&lt;=80,80,IF(U21&lt;=100,100,IF(U21&lt;=125,125,IF(U21&lt;=160,160,IF(U21&lt;=200,200,IF(U21&lt;=250,250,IF(U21&lt;=300,300,IF(U21&lt;=320,320,IF(U21&lt;=400,400,IF(U21&lt;=500,500,IF(U21&lt;=630,630,"др.авт")))))))))))))))))</f>
        <v>20</v>
      </c>
      <c r="AD21" s="87" t="str">
        <f>VLOOKUP(AC21,автоматы!$N$3:$O$19,2,0)</f>
        <v>LZMB1-A20-I</v>
      </c>
      <c r="AE21" s="88">
        <f>IF(U21&lt;=6,6,IF(U21&lt;=10,10,IF(U21&lt;=16,16,IF(U21&lt;=20,20,IF(U21&lt;=25,25,IF(U21&lt;=32,32,IF(U21&lt;=40,40,IF(U21&lt;=50,50,IF(U21&lt;=63,63,"др.выкл")))))))))</f>
        <v>6</v>
      </c>
      <c r="AF21" s="87" t="str">
        <f>INDEX(автоматы!$T$2:$V$15,MATCH(AE21,автоматы!$S$2:$S$15,0),MATCH(X21,автоматы!$T$1:$V$1,0))</f>
        <v>iC60N C6 2P</v>
      </c>
      <c r="AG21" s="87">
        <f>IF(U21&lt;=6,6,IF(U21&lt;=10,10,IF(U21&lt;=16,16,IF(U21&lt;=20,20,IF(U21&lt;=25,25,IF(U21&lt;=32,32,IF(U21&lt;=40,40,"др.выкл")))))))</f>
        <v>6</v>
      </c>
      <c r="AH21" s="87" t="str">
        <f>VLOOKUP(AG21,автоматы!$Z$3:$AA$9,2,0)</f>
        <v>A9D31606</v>
      </c>
      <c r="AI21" s="2">
        <f>IF(U21&lt;=15,15,IF(U21&lt;=16,16,IF(U21&lt;=20,20,IF(U21&lt;=25,25,IF(U21&lt;=32,32,IF(U21&lt;=40,40,IF(U21&lt;=45,45,IF(U21&lt;=50,50,IF(U21&lt;=60,60,IF(U21&lt;=63,63,IF(U21&lt;=75,75,IF(U21&lt;=80,80,IF(U21&lt;=100,100,IF(U21&lt;=125,125,IF(U21&lt;=150,150,IF(U21&lt;=160,160,IF(U21&lt;=175,175,IF(U21&lt;=200,200,IF(U21&lt;=225,225,IF(U21&lt;=250,250,IF(U21&lt;=320,320,IF(U21&lt;=350,350,IF(U21&lt;=400,400,"др.выкл")))))))))))))))))))))))</f>
        <v>15</v>
      </c>
      <c r="AJ21" t="str">
        <f>VLOOKUP(AI21,автоматы!$AE$3:$AF$26,2,0)</f>
        <v>EZC100F3015</v>
      </c>
      <c r="AK21" s="3">
        <f>IF(U21&lt;=0.16,0.16,IF(U21&lt;=0.25,0.25,IF(U21&lt;=0.4,0.4,IF(U21&lt;=0.63,0.63,IF(U21&lt;=1,1,IF(U21&lt;=1.6,1.6,IF(U21&lt;=2.5,2.5,IF(U21&lt;=4,4,IF(U21&lt;=6.3,6.3,IF(U21&lt;=10,10,IF(U21&lt;=14,14,IF(U21&lt;=18,18,IF(U21&lt;=23,23,IF(U21&lt;=25,25,IF(U21&lt;=32,32,"др.авт")))))))))))))))</f>
        <v>2.5</v>
      </c>
      <c r="AL21" t="str">
        <f>VLOOKUP(AK21,DEKraft!$I$2:$J$16,2,0)</f>
        <v>21226DEK</v>
      </c>
      <c r="AM21">
        <f>IF(U21&lt;=0.16,0.16,IF(U21&lt;=0.25,0.25,IF(U21&lt;=0.4,0.4,IF(U21&lt;=0.63,0.63,IF(U21&lt;=1,1,IF(U21&lt;=1.6,1.6,IF(U21&lt;=2.5,2.5,IF(U21&lt;=4,4,IF(U21&lt;=6.3,6.3,IF(U21&lt;=10,10,IF(U21&lt;=14,14,IF(U21&lt;=18,18,IF(U21&lt;=23,23,IF(U21&lt;=25,25,IF(U21&lt;=32,32,"др.авт")))))))))))))))</f>
        <v>2.5</v>
      </c>
      <c r="AN21" t="str">
        <f>VLOOKUP(AM21,systeme!$A$33:$B$47,2,0)</f>
        <v>GM2ME07</v>
      </c>
      <c r="AO21">
        <f>IF(U21&lt;=0.16,0.16,IF(U21&lt;=0.25,0.25,IF(U21&lt;=0.4,0.4,IF(U21&lt;=0.63,0.63,IF(U21&lt;=1,1,IF(U21&lt;=1.6,1.6,IF(U21&lt;=2.5,2.5,IF(U21&lt;=4,4,IF(U21&lt;=6.3,6.3,IF(U21&lt;=10,10,IF(U21&lt;=14,14,IF(U21&lt;=18,18,IF(U21&lt;=23,23,IF(U21&lt;=25,25,IF(U21&lt;=32,32,"др.авт")))))))))))))))</f>
        <v>2.5</v>
      </c>
      <c r="AP21">
        <f>VLOOKUP(AO21,chint!$A$34:$B$48,2,0)</f>
        <v>495078</v>
      </c>
      <c r="AQ21" s="3">
        <f>IF(U21&lt;=6,6,IF(U21&lt;=10,10,IF(U21&lt;=16,16,IF(U21&lt;=20,20,IF(U21&lt;=25,25,IF(U21&lt;=32,32,IF(U21&lt;=40,40,IF(U21&lt;=50,50,IF(U21&lt;=63,63,"др.выкл")))))))))</f>
        <v>6</v>
      </c>
      <c r="AR21" t="str">
        <f>INDEX(DEKraft!$B$2:$D$13,MATCH(AQ21,DEKraft!$A$2:$A$13,0),MATCH(X21,DEKraft!$B$1:$D$1,0))</f>
        <v>13163DEK</v>
      </c>
      <c r="AS21" t="str">
        <f>INDEX(DEKraft!$B$21:$D$32,MATCH(AQ21,DEKraft!$A$21:$A$32,0),MATCH(X21,DEKraft!$B$20:$D$20,0))</f>
        <v>12285DEK</v>
      </c>
      <c r="AT21" t="str">
        <f>INDEX(systeme!$B$2:$D$10,MATCH(AQ21,systeme!$A$2:$A$10,0),MATCH(X21,systeme!$B$1:$D$1,0))</f>
        <v>C9F36206</v>
      </c>
      <c r="AU21">
        <f>INDEX(chint!$B$2:$D$10,MATCH(AQ21,chint!$A$2:$A$10,0),MATCH(X21,chint!$B$1:$D$1,0))</f>
        <v>179667</v>
      </c>
      <c r="AV21" s="3">
        <f>IF(U21&lt;=6,6,IF(U21&lt;=10,10,IF(U21&lt;=16,16,IF(U21&lt;=20,20,IF(U21&lt;=25,25,IF(U21&lt;=32,32,IF(U21&lt;=40,40,"др.выкл")))))))</f>
        <v>6</v>
      </c>
      <c r="AW21" t="str">
        <f>VLOOKUP(AV21,DEKraft!$A$41:$B$47,2,0)</f>
        <v>16202DEK</v>
      </c>
      <c r="AX21">
        <f>IF(U21&lt;=10,10,IF(U21&lt;=16,16,IF(U21&lt;=20,20,IF(U21&lt;=25,25,IF(U21&lt;=32,32,IF(U21&lt;=40,40,"др.выкл"))))))</f>
        <v>10</v>
      </c>
      <c r="AY21" t="str">
        <f>VLOOKUP(AX21,systeme!$G$2:$H$7,2,0)</f>
        <v>C9D36610</v>
      </c>
      <c r="AZ21">
        <f>IF(U21&lt;=6,6,IF(U21&lt;=10,10,IF(U21&lt;=16,16,IF(U21&lt;=20,20,IF(U21&lt;=25,25,IF(U21&lt;=32,32,IF(U21&lt;=40,40,"др.выкл")))))))</f>
        <v>6</v>
      </c>
      <c r="BA21">
        <f>VLOOKUP(AV21,chint!$G$2:$H$8,2,0)</f>
        <v>689000</v>
      </c>
      <c r="BB21" s="3">
        <f>IF(U21&lt;=25,25,IF(U21&lt;=32,32,IF(U21&lt;=40,40,IF(U21&lt;=50,50,IF(U21&lt;=63,63,IF(U21&lt;=80,80,IF(U21&lt;=100,100,IF(U21&lt;=125,125,IF(U21&lt;=140,140,IF(U21&lt;=160,160,IF(U21&lt;=200,200,IF(U21&lt;=250,250,IF(U21&lt;=320,320,IF(U21&lt;=400,400,IF(U21&lt;=500,500,IF(U21&lt;=630,630,"др.выкл"))))))))))))))))</f>
        <v>25</v>
      </c>
      <c r="BC21" t="str">
        <f>VLOOKUP(BB21,DEKraft!$I$21:$J$36,2,0)</f>
        <v>28100DEK</v>
      </c>
      <c r="BD21">
        <f>IF(U21&lt;=16,16,IF(U21&lt;=25,25,IF(U21&lt;=32,32,IF(U21&lt;=40,40,IF(U21&lt;=50,50,IF(U21&lt;=63,63,IF(U21&lt;=80,80,IF(U21&lt;=100,100,IF(U21&lt;=125,125,IF(U21&lt;=160,160,IF(U21&lt;=200,200,IF(U21&lt;=250,250,IF(U21&lt;=400,400,IF(U21&lt;=500,500,IF(U21&lt;=600,600,"др.авт")))))))))))))))</f>
        <v>16</v>
      </c>
      <c r="BE21" t="str">
        <f>VLOOKUP(BD21,systeme!$A$16:$B$30,2,0)</f>
        <v>SPC100F016L3DF</v>
      </c>
      <c r="BF21">
        <f>IF(U21&lt;=16,16,IF(U21&lt;=25,25,IF(U21&lt;=32,32,IF(U21&lt;=40,40,IF(U21&lt;=50,50,IF(U21&lt;=63,63,IF(U21&lt;=80,80,IF(U21&lt;=100,100,IF(U21&lt;=125,125,IF(U21&lt;=160,160,IF(U21&lt;=200,200,IF(U21&lt;=225,225,IF(U21&lt;=250,250,IF(U21&lt;=315,315,IF(U21&lt;=350,350,IF(U21&lt;=400,400,IF(U21&lt;=500,500,IF(U21&lt;=630,630,"др.выкл"))))))))))))))))))</f>
        <v>16</v>
      </c>
      <c r="BG21" s="4">
        <f>VLOOKUP(BF21,chint!$A$14:$B$31,2,0)</f>
        <v>271581</v>
      </c>
      <c r="BH21">
        <f>IF(U21&lt;=6,6,IF(U21&lt;=10,10,IF(U21&lt;=16,16,IF(U21&lt;=20,20,IF(U21&lt;=25,25,IF(U21&lt;=32,32,IF(U21&lt;=40,40,IF(U21&lt;=50,50,IF(U21&lt;=63,63,"др.выкл")))))))))</f>
        <v>6</v>
      </c>
      <c r="BI21" t="str">
        <f>INDEX(КЭАЗ!$B$2:$E$14,MATCH(BH21,КЭАЗ!$A$2:$A$14,0),MATCH(X21,КЭАЗ!$B$1:$D$1,0))</f>
        <v>kea.341916</v>
      </c>
      <c r="BJ21">
        <f>IF(U21&lt;=6,6,IF(U21&lt;=10,10,IF(U21&lt;=16,16,IF(U21&lt;=20,20,IF(U21&lt;=25,25,IF(U21&lt;=32,32,IF(U21&lt;=40,40,IF(U21&lt;=50,50,IF(U21&lt;=63,63,IF(U21&lt;=80,80,IF(U21&lt;=100,100,IF(U21&lt;=125,125,"др.выкл"))))))))))))</f>
        <v>6</v>
      </c>
      <c r="BK21" t="str">
        <f>INDEX(hy!$B$2:$D$18,MATCH(BJ21,hy!$A$2:$A$18,0),MATCH(X21,hy!$B$1:$D$1,0))</f>
        <v>HGD63M 2PMCS0000C 00006</v>
      </c>
      <c r="BL21" t="str">
        <f>VLOOKUP(BJ21,hy!$G$2:$H$15,2,0)</f>
        <v>HRO63M 1NG4С0000C00006G</v>
      </c>
      <c r="BM21">
        <f>IF(U21&lt;=0.16,0.16,IF(U21&lt;=0.25,0.25,IF(U21&lt;=0.4,0.4,IF(U21&lt;=0.63,0.63,IF(U21&lt;=1,1,IF(U21&lt;=1.6,1.6,IF(U21&lt;=2.5,2.5,IF(U21&lt;=4,4,IF(U21&lt;=6.3,6.3,IF(U21&lt;=10,10,IF(U21&lt;=14,14,IF(U21&lt;=18,18,IF(U21&lt;=23,23,IF(U21&lt;=25,25,IF(U21&lt;=32,32,"др.авт")))))))))))))))</f>
        <v>2.5</v>
      </c>
      <c r="BN21" t="str">
        <f>VLOOKUP(BM21,hy!$A$41:$B$55,2,0)</f>
        <v>MMS32K 02P5</v>
      </c>
      <c r="BO21">
        <f>IF(U21&lt;=100,100,IF(U21&lt;=125,125,IF(U21&lt;=150,150,IF(U21&lt;=160,160,IF(U21&lt;=175,175,IF(U21&lt;=200,200,IF(U21&lt;=225,225,IF(U21&lt;=250,250,IF(U21&lt;=300,300,IF(U21&lt;=350,350,IF(U21&lt;=400,400,IF(U21&lt;=500,500,IF(U21&lt;=630,630,IF(U21&lt;=700,700,IF(U21&lt;=800,800,"др.выкл")))))))))))))))</f>
        <v>100</v>
      </c>
      <c r="BP21" t="str">
        <f>VLOOKUP(BO21,hy!$A$21:$B$35,2,0)</f>
        <v>HGP100S-G 3PT4S0000C 00100H</v>
      </c>
      <c r="BQ21" s="89">
        <f>IF($W21=автоматы!$D$45,Z21,IF($W21=автоматы!$D$46,AF21,IF($W21=автоматы!$D$47,AH21,IF($W21=автоматы!$D$48,AB21,IF($W21=автоматы!$D$49,AJ21,IF($W21=автоматы!$D$50,AD21,IF($W21=автоматы!$D$51,BI21,IF($W21=автоматы!$D$52,AR21,IF($W21=автоматы!$D$53,AS21,IF($W21=автоматы!$D$54,AW21,IF($W21=автоматы!$D$55,AL21,IF($W21=автоматы!$D$56,BC21,IF($W21=автоматы!$D$57,AT21,IF($W21=автоматы!$D$58,AY21,IF($W21=автоматы!$D$59,AN21,IF($W21=автоматы!$D$60,BE21,IF($W21=автоматы!$D$61,AU21,IF($W21=автоматы!$D$62,BA21,IF($W21=автоматы!$D$63,AP21,IF($W21=автоматы!$D$64,BG21,IF($W21=автоматы!$D$65,BK21,IF($W21=автоматы!$D$66,BL21,IF($W21=автоматы!$D$67,BN21,IF($W21=автоматы!$D$68,BP21,"др"))))))))))))))))))))))))</f>
        <v>495078</v>
      </c>
      <c r="BR21" s="89">
        <f>IF($W21=автоматы!$D$45,Y21,IF($W21=автоматы!$D$46,AE21,IF($W21=автоматы!$D$47,AG21,IF($W21=автоматы!$D$48,AA21,IF($W21=автоматы!$D$49,AI21,IF($W21=автоматы!$D$50,AC21,IF($W21=автоматы!$D$51,BH21,IF($W21=автоматы!$D$52,AQ21,IF($W21=автоматы!$D$53,AQ21,IF($W21=автоматы!$D$54,AV21,IF($W21=автоматы!$D$55,AK21,IF($W21=автоматы!$D$56,BB21,IF($W21=автоматы!$D$57,AQ21,IF($W21=автоматы!$D$58,AX21,IF($W21=автоматы!$D$59,AM21,IF($W21=автоматы!$D$60,BD21,IF($W21=автоматы!$D$61,AQ21,IF($W21=автоматы!$D$62,AZ21,IF($W21=автоматы!$D$63,AO21,IF($W21=автоматы!$D$64,BF21,IF($W21=автоматы!$D$65,BJ21,IF($W21=автоматы!$D$66,BJ21,IF($W21=автоматы!$D$67,BM21,IF($W21=автоматы!$D$68,BO21,"др"))))))))))))))))))))))))</f>
        <v>2.5</v>
      </c>
      <c r="BS21" s="89" t="str">
        <f>CONCATENATE(IF($W21=автоматы!$A$1,Y21,IF($W21=автоматы!$H$1,VLOOKUP(AA21,автоматы!$H$3:$K$17,3,0),IF($W21=автоматы!$N$1,VLOOKUP(AC21,автоматы!$N$3:$Q$19,3,0),IF($W21=автоматы!$S$17,AE21,IF($W21=автоматы!$Z$1,AG21,IF($W21=автоматы!$AE$1,AI21,"др"))))))," А")</f>
        <v>др А</v>
      </c>
      <c r="BT21" s="89" t="str">
        <f>IF($W21=автоматы!$A$1,Y21*10,IF($W21=автоматы!$H$1,VLOOKUP(AA21,автоматы!$H$3:$K$17,4,0),IF($W21=автоматы!$N$1,VLOOKUP(AC21,автоматы!$N$3:$Q$19,4,0),IF($W21=автоматы!$S$17,AE21*10,IF($W21=автоматы!$Z$1,AG21*10,IF($W21=автоматы!$AE$1,AI21*10,"др"))))))</f>
        <v>др</v>
      </c>
      <c r="BU21" s="85"/>
      <c r="BV21" s="90" t="s">
        <v>147</v>
      </c>
      <c r="BW21" s="90">
        <v>1</v>
      </c>
      <c r="BX21" s="91">
        <v>3</v>
      </c>
      <c r="BY21" s="92">
        <v>1.5</v>
      </c>
      <c r="BZ21" s="91">
        <f>HLOOKUP(BV21,каталог!$CG$1:$CO$22,MATCH(BY21,каталог!$CF$1:$CF$22,0),0)*BW21</f>
        <v>19</v>
      </c>
      <c r="CA21" s="87" t="str">
        <f>CONCATENATE("н",C21,"")</f>
        <v>нП4</v>
      </c>
      <c r="CB21" s="87" t="str">
        <f>CONCATENATE(BV21," ",BX21,"x",BY21)</f>
        <v>ВВГнг(А)-LS 3x1,5</v>
      </c>
    </row>
    <row r="22" spans="1:84" ht="25">
      <c r="A22" s="102">
        <v>11</v>
      </c>
      <c r="B22" s="94">
        <v>100</v>
      </c>
      <c r="C22" s="103" t="s">
        <v>996</v>
      </c>
      <c r="D22" s="100" t="s">
        <v>998</v>
      </c>
      <c r="E22" s="95">
        <v>380</v>
      </c>
      <c r="F22" s="19" t="s">
        <v>580</v>
      </c>
      <c r="G22" s="96">
        <v>16.3</v>
      </c>
      <c r="H22" s="96">
        <f t="shared" si="0"/>
        <v>26.91958080762706</v>
      </c>
      <c r="I22" s="95">
        <v>1</v>
      </c>
      <c r="J22" s="96">
        <v>0.92</v>
      </c>
      <c r="K22" s="96">
        <f t="shared" ref="K22:K34" si="94">ROUND(SQRT(1-(J22)^2)/J22,2)</f>
        <v>0.43</v>
      </c>
      <c r="L22" s="97">
        <f t="shared" si="28"/>
        <v>16.3</v>
      </c>
      <c r="M22" s="97">
        <f t="shared" si="29"/>
        <v>7.0090000000000003</v>
      </c>
      <c r="N22" s="97">
        <f t="shared" si="30"/>
        <v>265.69</v>
      </c>
      <c r="O22" s="118"/>
      <c r="P22" s="118"/>
      <c r="Q22" s="118"/>
      <c r="R22" s="118"/>
      <c r="S22" s="118"/>
      <c r="T22" s="118"/>
      <c r="U22" s="86">
        <f>H22*1.2</f>
        <v>32.303496969152469</v>
      </c>
      <c r="V22" s="86">
        <f t="shared" ref="V22:V31" si="95">7*H22</f>
        <v>188.43706565338942</v>
      </c>
      <c r="W22" s="116" t="s">
        <v>872</v>
      </c>
      <c r="X22" s="87" t="s">
        <v>302</v>
      </c>
      <c r="Y22" s="87">
        <f t="shared" ref="Y22" si="96">IF(U22&lt;=6,6,IF(U22&lt;=10,10,IF(U22&lt;=16,16,IF(U22&lt;=20,20,IF(U22&lt;=25,25,IF(U22&lt;=32,32,IF(U22&lt;=40,40,IF(U22&lt;=50,50,IF(U22&lt;=63,63,"др.выкл")))))))))</f>
        <v>40</v>
      </c>
      <c r="Z22" s="87" t="str">
        <f>INDEX(автоматы!$B$3:$D$11,MATCH(Y22,автоматы!$A$3:$A$11,0),MATCH(X22,кол_пол,0))</f>
        <v>EZ9F34340</v>
      </c>
      <c r="AA22" s="87" t="str">
        <f t="shared" ref="AA22" si="97">IF(U22&lt;=0.16,0.16,IF(U22&lt;=0.25,0.25,IF(U22&lt;=0.4,0.4,IF(U22&lt;=0.63,0.63,IF(U22&lt;=1,1,IF(U22&lt;=1.6,1.6,IF(U22&lt;=2.5,2.5,IF(U22&lt;=4,4,IF(U22&lt;=6.3,6.3,IF(U22&lt;=10,10,IF(U22&lt;=14,14,IF(U22&lt;=18,18,IF(U22&lt;=23,23,IF(U22&lt;=25,25,IF(U22&lt;=32,32,"др.авт")))))))))))))))</f>
        <v>др.авт</v>
      </c>
      <c r="AB22" s="87" t="e">
        <f>VLOOKUP(AA22,автоматы!$H$3:$I$17,2,0)</f>
        <v>#N/A</v>
      </c>
      <c r="AC22" s="87">
        <f t="shared" ref="AC22" si="98">IF(U22&lt;=20,20,IF(U22&lt;=25,25,IF(U22&lt;=32,32,IF(U22&lt;=40,40,IF(U22&lt;=50,50,IF(U22&lt;=63,63,IF(U22&lt;=80,80,IF(U22&lt;=100,100,IF(U22&lt;=125,125,IF(U22&lt;=160,160,IF(U22&lt;=200,200,IF(U22&lt;=250,250,IF(U22&lt;=300,300,IF(U22&lt;=320,320,IF(U22&lt;=400,400,IF(U22&lt;=500,500,IF(U22&lt;=630,630,"др.авт")))))))))))))))))</f>
        <v>40</v>
      </c>
      <c r="AD22" s="87" t="str">
        <f>VLOOKUP(AC22,автоматы!$N$3:$O$19,2,0)</f>
        <v>LZMB1-A40-I</v>
      </c>
      <c r="AE22" s="88">
        <f t="shared" ref="AE22" si="99">IF(U22&lt;=6,6,IF(U22&lt;=10,10,IF(U22&lt;=16,16,IF(U22&lt;=20,20,IF(U22&lt;=25,25,IF(U22&lt;=32,32,IF(U22&lt;=40,40,IF(U22&lt;=50,50,IF(U22&lt;=63,63,"др.выкл")))))))))</f>
        <v>40</v>
      </c>
      <c r="AF22" s="87" t="str">
        <f>INDEX(автоматы!$T$2:$V$15,MATCH(AE22,автоматы!$S$2:$S$15,0),MATCH(X22,автоматы!$T$1:$V$1,0))</f>
        <v>iC60N C40 3P</v>
      </c>
      <c r="AG22" s="87">
        <f t="shared" ref="AG22" si="100">IF(U22&lt;=6,6,IF(U22&lt;=10,10,IF(U22&lt;=16,16,IF(U22&lt;=20,20,IF(U22&lt;=25,25,IF(U22&lt;=32,32,IF(U22&lt;=40,40,"др.выкл")))))))</f>
        <v>40</v>
      </c>
      <c r="AH22" s="87" t="str">
        <f>VLOOKUP(AG22,автоматы!$Z$3:$AA$9,2,0)</f>
        <v>A9D31640</v>
      </c>
      <c r="AI22" s="2">
        <f t="shared" ref="AI22" si="101">IF(U22&lt;=15,15,IF(U22&lt;=16,16,IF(U22&lt;=20,20,IF(U22&lt;=25,25,IF(U22&lt;=32,32,IF(U22&lt;=40,40,IF(U22&lt;=45,45,IF(U22&lt;=50,50,IF(U22&lt;=60,60,IF(U22&lt;=63,63,IF(U22&lt;=75,75,IF(U22&lt;=80,80,IF(U22&lt;=100,100,IF(U22&lt;=125,125,IF(U22&lt;=150,150,IF(U22&lt;=160,160,IF(U22&lt;=175,175,IF(U22&lt;=200,200,IF(U22&lt;=225,225,IF(U22&lt;=250,250,IF(U22&lt;=320,320,IF(U22&lt;=350,350,IF(U22&lt;=400,400,"др.выкл")))))))))))))))))))))))</f>
        <v>40</v>
      </c>
      <c r="AJ22" t="str">
        <f>VLOOKUP(AI22,автоматы!$AE$3:$AF$26,2,0)</f>
        <v>EZC100F3040</v>
      </c>
      <c r="AK22" s="3" t="str">
        <f>IF(U22&lt;=0.16,0.16,IF(U22&lt;=0.25,0.25,IF(U22&lt;=0.4,0.4,IF(U22&lt;=0.63,0.63,IF(U22&lt;=1,1,IF(U22&lt;=1.6,1.6,IF(U22&lt;=2.5,2.5,IF(U22&lt;=4,4,IF(U22&lt;=6.3,6.3,IF(U22&lt;=10,10,IF(U22&lt;=14,14,IF(U22&lt;=18,18,IF(U22&lt;=23,23,IF(U22&lt;=25,25,IF(U22&lt;=32,32,"др.авт")))))))))))))))</f>
        <v>др.авт</v>
      </c>
      <c r="AL22" t="e">
        <f>VLOOKUP(AK22,DEKraft!$I$2:$J$16,2,0)</f>
        <v>#N/A</v>
      </c>
      <c r="AM22" t="str">
        <f>IF(U22&lt;=0.16,0.16,IF(U22&lt;=0.25,0.25,IF(U22&lt;=0.4,0.4,IF(U22&lt;=0.63,0.63,IF(U22&lt;=1,1,IF(U22&lt;=1.6,1.6,IF(U22&lt;=2.5,2.5,IF(U22&lt;=4,4,IF(U22&lt;=6.3,6.3,IF(U22&lt;=10,10,IF(U22&lt;=14,14,IF(U22&lt;=18,18,IF(U22&lt;=23,23,IF(U22&lt;=25,25,IF(U22&lt;=32,32,"др.авт")))))))))))))))</f>
        <v>др.авт</v>
      </c>
      <c r="AN22" t="e">
        <f>VLOOKUP(AM22,systeme!$A$33:$B$47,2,0)</f>
        <v>#N/A</v>
      </c>
      <c r="AO22" t="str">
        <f>IF(U22&lt;=0.16,0.16,IF(U22&lt;=0.25,0.25,IF(U22&lt;=0.4,0.4,IF(U22&lt;=0.63,0.63,IF(U22&lt;=1,1,IF(U22&lt;=1.6,1.6,IF(U22&lt;=2.5,2.5,IF(U22&lt;=4,4,IF(U22&lt;=6.3,6.3,IF(U22&lt;=10,10,IF(U22&lt;=14,14,IF(U22&lt;=18,18,IF(U22&lt;=23,23,IF(U22&lt;=25,25,IF(U22&lt;=32,32,"др.авт")))))))))))))))</f>
        <v>др.авт</v>
      </c>
      <c r="AP22" t="e">
        <f>VLOOKUP(AO22,chint!$A$34:$B$48,2,0)</f>
        <v>#N/A</v>
      </c>
      <c r="AQ22" s="3">
        <f>IF(U22&lt;=6,6,IF(U22&lt;=10,10,IF(U22&lt;=16,16,IF(U22&lt;=20,20,IF(U22&lt;=25,25,IF(U22&lt;=32,32,IF(U22&lt;=40,40,IF(U22&lt;=50,50,IF(U22&lt;=63,63,"др.выкл")))))))))</f>
        <v>40</v>
      </c>
      <c r="AR22" t="str">
        <f>INDEX(DEKraft!$B$2:$D$13,MATCH(AQ22,DEKraft!$A$2:$A$13,0),MATCH(X22,DEKraft!$B$1:$D$1,0))</f>
        <v>13181DEK</v>
      </c>
      <c r="AS22" t="str">
        <f>INDEX(DEKraft!$B$21:$D$32,MATCH(AQ22,DEKraft!$A$21:$A$32,0),MATCH(X22,DEKraft!$B$20:$D$20,0))</f>
        <v>12309DEK</v>
      </c>
      <c r="AT22" t="str">
        <f>INDEX(systeme!$B$2:$D$10,MATCH(AQ22,systeme!$A$2:$A$10,0),MATCH(X22,systeme!$B$1:$D$1,0))</f>
        <v>C9F36340</v>
      </c>
      <c r="AU22">
        <f>INDEX(chint!$B$2:$D$10,MATCH(AQ22,chint!$A$2:$A$10,0),MATCH(X22,chint!$B$1:$D$1,0))</f>
        <v>179707</v>
      </c>
      <c r="AV22" s="3">
        <f>IF(U22&lt;=6,6,IF(U22&lt;=10,10,IF(U22&lt;=16,16,IF(U22&lt;=20,20,IF(U22&lt;=25,25,IF(U22&lt;=32,32,IF(U22&lt;=40,40,"др.выкл")))))))</f>
        <v>40</v>
      </c>
      <c r="AW22" t="str">
        <f>VLOOKUP(AV22,DEKraft!$A$41:$B$47,2,0)</f>
        <v>16208DEK</v>
      </c>
      <c r="AX22">
        <f>IF(U22&lt;=10,10,IF(U22&lt;=16,16,IF(U22&lt;=20,20,IF(U22&lt;=25,25,IF(U22&lt;=32,32,IF(U22&lt;=40,40,"др.выкл"))))))</f>
        <v>40</v>
      </c>
      <c r="AY22" t="str">
        <f>VLOOKUP(AX22,systeme!$G$2:$H$7,2,0)</f>
        <v>C9D36640</v>
      </c>
      <c r="AZ22">
        <f>IF(U22&lt;=6,6,IF(U22&lt;=10,10,IF(U22&lt;=16,16,IF(U22&lt;=20,20,IF(U22&lt;=25,25,IF(U22&lt;=32,32,IF(U22&lt;=40,40,"др.выкл")))))))</f>
        <v>40</v>
      </c>
      <c r="BA22">
        <f>VLOOKUP(AV22,chint!$G$2:$H$8,2,0)</f>
        <v>252635</v>
      </c>
      <c r="BB22" s="3">
        <f>IF(U22&lt;=25,25,IF(U22&lt;=32,32,IF(U22&lt;=40,40,IF(U22&lt;=50,50,IF(U22&lt;=63,63,IF(U22&lt;=80,80,IF(U22&lt;=100,100,IF(U22&lt;=125,125,IF(U22&lt;=140,140,IF(U22&lt;=160,160,IF(U22&lt;=200,200,IF(U22&lt;=250,250,IF(U22&lt;=320,320,IF(U22&lt;=400,400,IF(U22&lt;=500,500,IF(U22&lt;=630,630,"др.выкл"))))))))))))))))</f>
        <v>40</v>
      </c>
      <c r="BC22" t="str">
        <f>VLOOKUP(BB22,DEKraft!$I$21:$J$36,2,0)</f>
        <v>28102DEK</v>
      </c>
      <c r="BD22">
        <f t="shared" ref="BD22" si="102">IF(U22&lt;=16,16,IF(U22&lt;=25,25,IF(U22&lt;=32,32,IF(U22&lt;=40,40,IF(U22&lt;=50,50,IF(U22&lt;=63,63,IF(U22&lt;=80,80,IF(U22&lt;=100,100,IF(U22&lt;=125,125,IF(U22&lt;=160,160,IF(U22&lt;=200,200,IF(U22&lt;=250,250,IF(U22&lt;=400,400,IF(U22&lt;=500,500,IF(U22&lt;=600,600,"др.авт")))))))))))))))</f>
        <v>40</v>
      </c>
      <c r="BE22" t="str">
        <f>VLOOKUP(BD22,systeme!$A$16:$B$30,2,0)</f>
        <v>SPC100F040L3DF</v>
      </c>
      <c r="BF22">
        <f>IF(U22&lt;=16,16,IF(U22&lt;=25,25,IF(U22&lt;=32,32,IF(U22&lt;=40,40,IF(U22&lt;=50,50,IF(U22&lt;=63,63,IF(U22&lt;=80,80,IF(U22&lt;=100,100,IF(U22&lt;=125,125,IF(U22&lt;=160,160,IF(U22&lt;=200,200,IF(U22&lt;=225,225,IF(U22&lt;=250,250,IF(U22&lt;=315,315,IF(U22&lt;=350,350,IF(U22&lt;=400,400,IF(U22&lt;=500,500,IF(U22&lt;=630,630,"др.выкл"))))))))))))))))))</f>
        <v>40</v>
      </c>
      <c r="BG22" s="4">
        <f>VLOOKUP(BF22,chint!$A$14:$B$31,2,0)</f>
        <v>271585</v>
      </c>
      <c r="BH22">
        <f>IF(U22&lt;=6,6,IF(U22&lt;=10,10,IF(U22&lt;=16,16,IF(U22&lt;=20,20,IF(U22&lt;=25,25,IF(U22&lt;=32,32,IF(U22&lt;=40,40,IF(U22&lt;=50,50,IF(U22&lt;=63,63,"др.выкл")))))))))</f>
        <v>40</v>
      </c>
      <c r="BI22" t="e">
        <f>INDEX(КЭАЗ!$B$2:$E$14,MATCH(BH22,КЭАЗ!$A$2:$A$14,0),MATCH(X22,КЭАЗ!$B$1:$D$1,0))</f>
        <v>#N/A</v>
      </c>
      <c r="BJ22">
        <f>IF(U22&lt;=6,6,IF(U22&lt;=10,10,IF(U22&lt;=16,16,IF(U22&lt;=20,20,IF(U22&lt;=25,25,IF(U22&lt;=32,32,IF(U22&lt;=40,40,IF(U22&lt;=50,50,IF(U22&lt;=63,63,IF(U22&lt;=80,80,IF(U22&lt;=100,100,IF(U22&lt;=125,125,"др.выкл"))))))))))))</f>
        <v>40</v>
      </c>
      <c r="BK22" t="str">
        <f>INDEX(hy!$B$2:$D$18,MATCH(BJ22,hy!$A$2:$A$18,0),MATCH(X22,hy!$B$1:$D$1,0))</f>
        <v>HGD63M 3PMCS0000C 00040</v>
      </c>
      <c r="BL22" t="str">
        <f>VLOOKUP(BJ22,hy!$G$2:$H$15,2,0)</f>
        <v>HRO63M 1NG4С0000C00040G</v>
      </c>
      <c r="BM22" t="str">
        <f>IF(U22&lt;=0.16,0.16,IF(U22&lt;=0.25,0.25,IF(U22&lt;=0.4,0.4,IF(U22&lt;=0.63,0.63,IF(U22&lt;=1,1,IF(U22&lt;=1.6,1.6,IF(U22&lt;=2.5,2.5,IF(U22&lt;=4,4,IF(U22&lt;=6.3,6.3,IF(U22&lt;=10,10,IF(U22&lt;=14,14,IF(U22&lt;=18,18,IF(U22&lt;=23,23,IF(U22&lt;=25,25,IF(U22&lt;=32,32,"др.авт")))))))))))))))</f>
        <v>др.авт</v>
      </c>
      <c r="BN22" t="e">
        <f>VLOOKUP(BM22,hy!$A$41:$B$55,2,0)</f>
        <v>#N/A</v>
      </c>
      <c r="BO22">
        <f>IF(U22&lt;=100,100,IF(U22&lt;=125,125,IF(U22&lt;=150,150,IF(U22&lt;=160,160,IF(U22&lt;=175,175,IF(U22&lt;=200,200,IF(U22&lt;=225,225,IF(U22&lt;=250,250,IF(U22&lt;=300,300,IF(U22&lt;=350,350,IF(U22&lt;=400,400,IF(U22&lt;=500,500,IF(U22&lt;=630,630,IF(U22&lt;=700,700,IF(U22&lt;=800,800,"др.выкл")))))))))))))))</f>
        <v>100</v>
      </c>
      <c r="BP22" t="str">
        <f>VLOOKUP(BO22,hy!$A$21:$B$35,2,0)</f>
        <v>HGP100S-G 3PT4S0000C 00100H</v>
      </c>
      <c r="BQ22" s="89">
        <f>IF($W22=автоматы!$D$45,Z22,IF($W22=автоматы!$D$46,AF22,IF($W22=автоматы!$D$47,AH22,IF($W22=автоматы!$D$48,AB22,IF($W22=автоматы!$D$49,AJ22,IF($W22=автоматы!$D$50,AD22,IF($W22=автоматы!$D$51,BI22,IF($W22=автоматы!$D$52,AR22,IF($W22=автоматы!$D$53,AS22,IF($W22=автоматы!$D$54,AW22,IF($W22=автоматы!$D$55,AL22,IF($W22=автоматы!$D$56,BC22,IF($W22=автоматы!$D$57,AT22,IF($W22=автоматы!$D$58,AY22,IF($W22=автоматы!$D$59,AN22,IF($W22=автоматы!$D$60,BE22,IF($W22=автоматы!$D$61,AU22,IF($W22=автоматы!$D$62,BA22,IF($W22=автоматы!$D$63,AP22,IF($W22=автоматы!$D$64,BG22,IF($W22=автоматы!$D$65,BK22,IF($W22=автоматы!$D$66,BL22,IF($W22=автоматы!$D$67,BN22,IF($W22=автоматы!$D$68,BP22,"др"))))))))))))))))))))))))</f>
        <v>179707</v>
      </c>
      <c r="BR22" s="89">
        <f>IF($W22=автоматы!$D$45,Y22,IF($W22=автоматы!$D$46,AE22,IF($W22=автоматы!$D$47,AG22,IF($W22=автоматы!$D$48,AA22,IF($W22=автоматы!$D$49,AI22,IF($W22=автоматы!$D$50,AC22,IF($W22=автоматы!$D$51,BH22,IF($W22=автоматы!$D$52,AQ22,IF($W22=автоматы!$D$53,AQ22,IF($W22=автоматы!$D$54,AV22,IF($W22=автоматы!$D$55,AK22,IF($W22=автоматы!$D$56,BB22,IF($W22=автоматы!$D$57,AQ22,IF($W22=автоматы!$D$58,AX22,IF($W22=автоматы!$D$59,AM22,IF($W22=автоматы!$D$60,BD22,IF($W22=автоматы!$D$61,AQ22,IF($W22=автоматы!$D$62,AZ22,IF($W22=автоматы!$D$63,AO22,IF($W22=автоматы!$D$64,BF22,IF($W22=автоматы!$D$65,BJ22,IF($W22=автоматы!$D$66,BJ22,IF($W22=автоматы!$D$67,BM22,IF($W22=автоматы!$D$68,BO22,"др"))))))))))))))))))))))))</f>
        <v>40</v>
      </c>
      <c r="BS22" s="89" t="str">
        <f>CONCATENATE(IF($W22=автоматы!$A$1,Y22,IF($W22=автоматы!$H$1,VLOOKUP(AA22,автоматы!$H$3:$K$17,3,0),IF($W22=автоматы!$N$1,VLOOKUP(AC22,автоматы!$N$3:$Q$19,3,0),IF($W22=автоматы!$S$17,AE22,IF($W22=автоматы!$Z$1,AG22,IF($W22=автоматы!$AE$1,AI22,"др"))))))," А")</f>
        <v>др А</v>
      </c>
      <c r="BT22" s="89" t="str">
        <f>IF($W22=автоматы!$A$1,Y22*10,IF($W22=автоматы!$H$1,VLOOKUP(AA22,автоматы!$H$3:$K$17,4,0),IF($W22=автоматы!$N$1,VLOOKUP(AC22,автоматы!$N$3:$Q$19,4,0),IF($W22=автоматы!$S$17,AE22*10,IF($W22=автоматы!$Z$1,AG22*10,IF($W22=автоматы!$AE$1,AI22*10,"др"))))))</f>
        <v>др</v>
      </c>
      <c r="BU22" s="85"/>
      <c r="BV22" s="90" t="s">
        <v>147</v>
      </c>
      <c r="BW22" s="90">
        <v>1</v>
      </c>
      <c r="BX22" s="91">
        <v>5</v>
      </c>
      <c r="BY22" s="92">
        <v>2.5</v>
      </c>
      <c r="BZ22" s="91">
        <f>HLOOKUP(BV22,каталог!$CG$1:$CO$22,MATCH(BY22,каталог!$CF$1:$CF$22,0),0)*BW22</f>
        <v>25</v>
      </c>
      <c r="CA22" s="87" t="str">
        <f t="shared" ref="CA22:CA31" si="103">CONCATENATE("н",C22,"")</f>
        <v>нГ1</v>
      </c>
      <c r="CB22" s="87" t="str">
        <f>CONCATENATE(BV22," ",BX22,"x",BY22)</f>
        <v>ВВГнг(А)-LS 5x2,5</v>
      </c>
      <c r="CC22" s="87"/>
    </row>
    <row r="23" spans="1:84" ht="25">
      <c r="A23" s="102">
        <v>12</v>
      </c>
      <c r="B23" s="94">
        <v>100</v>
      </c>
      <c r="C23" s="103" t="s">
        <v>997</v>
      </c>
      <c r="D23" s="100" t="s">
        <v>998</v>
      </c>
      <c r="E23" s="95">
        <v>380</v>
      </c>
      <c r="F23" s="19" t="s">
        <v>580</v>
      </c>
      <c r="G23" s="96">
        <v>16.3</v>
      </c>
      <c r="H23" s="96">
        <f t="shared" si="0"/>
        <v>26.91958080762706</v>
      </c>
      <c r="I23" s="95">
        <v>1</v>
      </c>
      <c r="J23" s="96">
        <v>0.92</v>
      </c>
      <c r="K23" s="96">
        <f t="shared" si="94"/>
        <v>0.43</v>
      </c>
      <c r="L23" s="97">
        <f t="shared" si="28"/>
        <v>16.3</v>
      </c>
      <c r="M23" s="97">
        <f t="shared" si="29"/>
        <v>7.0090000000000003</v>
      </c>
      <c r="N23" s="97">
        <f t="shared" si="30"/>
        <v>265.69</v>
      </c>
      <c r="O23" s="118"/>
      <c r="P23" s="118"/>
      <c r="Q23" s="118"/>
      <c r="R23" s="118"/>
      <c r="S23" s="118"/>
      <c r="T23" s="118"/>
      <c r="U23" s="86">
        <f t="shared" ref="U23" si="104">H23*1.2</f>
        <v>32.303496969152469</v>
      </c>
      <c r="V23" s="86">
        <f t="shared" si="95"/>
        <v>188.43706565338942</v>
      </c>
      <c r="W23" s="116" t="s">
        <v>872</v>
      </c>
      <c r="X23" s="87" t="s">
        <v>302</v>
      </c>
      <c r="Y23" s="87">
        <f t="shared" ref="Y23:Y34" si="105">IF(U23&lt;=6,6,IF(U23&lt;=10,10,IF(U23&lt;=16,16,IF(U23&lt;=20,20,IF(U23&lt;=25,25,IF(U23&lt;=32,32,IF(U23&lt;=40,40,IF(U23&lt;=50,50,IF(U23&lt;=63,63,"др.выкл")))))))))</f>
        <v>40</v>
      </c>
      <c r="Z23" s="87" t="str">
        <f>INDEX(автоматы!$B$3:$D$11,MATCH(Y23,автоматы!$A$3:$A$11,0),MATCH(X23,кол_пол,0))</f>
        <v>EZ9F34340</v>
      </c>
      <c r="AA23" s="87" t="str">
        <f t="shared" ref="AA23:AA34" si="106">IF(U23&lt;=0.16,0.16,IF(U23&lt;=0.25,0.25,IF(U23&lt;=0.4,0.4,IF(U23&lt;=0.63,0.63,IF(U23&lt;=1,1,IF(U23&lt;=1.6,1.6,IF(U23&lt;=2.5,2.5,IF(U23&lt;=4,4,IF(U23&lt;=6.3,6.3,IF(U23&lt;=10,10,IF(U23&lt;=14,14,IF(U23&lt;=18,18,IF(U23&lt;=23,23,IF(U23&lt;=25,25,IF(U23&lt;=32,32,"др.авт")))))))))))))))</f>
        <v>др.авт</v>
      </c>
      <c r="AB23" s="87" t="e">
        <f>VLOOKUP(AA23,автоматы!$H$3:$I$17,2,0)</f>
        <v>#N/A</v>
      </c>
      <c r="AC23" s="87">
        <f t="shared" ref="AC23:AC34" si="107">IF(U23&lt;=20,20,IF(U23&lt;=25,25,IF(U23&lt;=32,32,IF(U23&lt;=40,40,IF(U23&lt;=50,50,IF(U23&lt;=63,63,IF(U23&lt;=80,80,IF(U23&lt;=100,100,IF(U23&lt;=125,125,IF(U23&lt;=160,160,IF(U23&lt;=200,200,IF(U23&lt;=250,250,IF(U23&lt;=300,300,IF(U23&lt;=320,320,IF(U23&lt;=400,400,IF(U23&lt;=500,500,IF(U23&lt;=630,630,"др.авт")))))))))))))))))</f>
        <v>40</v>
      </c>
      <c r="AD23" s="87" t="str">
        <f>VLOOKUP(AC23,автоматы!$N$3:$O$19,2,0)</f>
        <v>LZMB1-A40-I</v>
      </c>
      <c r="AE23" s="88">
        <f t="shared" ref="AE23:AE34" si="108">IF(U23&lt;=6,6,IF(U23&lt;=10,10,IF(U23&lt;=16,16,IF(U23&lt;=20,20,IF(U23&lt;=25,25,IF(U23&lt;=32,32,IF(U23&lt;=40,40,IF(U23&lt;=50,50,IF(U23&lt;=63,63,"др.выкл")))))))))</f>
        <v>40</v>
      </c>
      <c r="AF23" s="87" t="str">
        <f>INDEX(автоматы!$T$2:$V$15,MATCH(AE23,автоматы!$S$2:$S$15,0),MATCH(X23,автоматы!$T$1:$V$1,0))</f>
        <v>iC60N C40 3P</v>
      </c>
      <c r="AG23" s="87">
        <f t="shared" ref="AG23:AG34" si="109">IF(U23&lt;=6,6,IF(U23&lt;=10,10,IF(U23&lt;=16,16,IF(U23&lt;=20,20,IF(U23&lt;=25,25,IF(U23&lt;=32,32,IF(U23&lt;=40,40,"др.выкл")))))))</f>
        <v>40</v>
      </c>
      <c r="AH23" s="87" t="str">
        <f>VLOOKUP(AG23,автоматы!$Z$3:$AA$9,2,0)</f>
        <v>A9D31640</v>
      </c>
      <c r="AI23" s="2">
        <f t="shared" ref="AI23:AI34" si="110">IF(U23&lt;=15,15,IF(U23&lt;=16,16,IF(U23&lt;=20,20,IF(U23&lt;=25,25,IF(U23&lt;=32,32,IF(U23&lt;=40,40,IF(U23&lt;=45,45,IF(U23&lt;=50,50,IF(U23&lt;=60,60,IF(U23&lt;=63,63,IF(U23&lt;=75,75,IF(U23&lt;=80,80,IF(U23&lt;=100,100,IF(U23&lt;=125,125,IF(U23&lt;=150,150,IF(U23&lt;=160,160,IF(U23&lt;=175,175,IF(U23&lt;=200,200,IF(U23&lt;=225,225,IF(U23&lt;=250,250,IF(U23&lt;=320,320,IF(U23&lt;=350,350,IF(U23&lt;=400,400,"др.выкл")))))))))))))))))))))))</f>
        <v>40</v>
      </c>
      <c r="AJ23" t="str">
        <f>VLOOKUP(AI23,автоматы!$AE$3:$AF$26,2,0)</f>
        <v>EZC100F3040</v>
      </c>
      <c r="AK23" s="3" t="str">
        <f t="shared" ref="AK23:AK34" si="111">IF(U23&lt;=0.16,0.16,IF(U23&lt;=0.25,0.25,IF(U23&lt;=0.4,0.4,IF(U23&lt;=0.63,0.63,IF(U23&lt;=1,1,IF(U23&lt;=1.6,1.6,IF(U23&lt;=2.5,2.5,IF(U23&lt;=4,4,IF(U23&lt;=6.3,6.3,IF(U23&lt;=10,10,IF(U23&lt;=14,14,IF(U23&lt;=18,18,IF(U23&lt;=23,23,IF(U23&lt;=25,25,IF(U23&lt;=32,32,"др.авт")))))))))))))))</f>
        <v>др.авт</v>
      </c>
      <c r="AL23" t="e">
        <f>VLOOKUP(AK23,DEKraft!$I$2:$J$16,2,0)</f>
        <v>#N/A</v>
      </c>
      <c r="AM23" t="str">
        <f t="shared" ref="AM23:AM34" si="112">IF(U23&lt;=0.16,0.16,IF(U23&lt;=0.25,0.25,IF(U23&lt;=0.4,0.4,IF(U23&lt;=0.63,0.63,IF(U23&lt;=1,1,IF(U23&lt;=1.6,1.6,IF(U23&lt;=2.5,2.5,IF(U23&lt;=4,4,IF(U23&lt;=6.3,6.3,IF(U23&lt;=10,10,IF(U23&lt;=14,14,IF(U23&lt;=18,18,IF(U23&lt;=23,23,IF(U23&lt;=25,25,IF(U23&lt;=32,32,"др.авт")))))))))))))))</f>
        <v>др.авт</v>
      </c>
      <c r="AN23" t="e">
        <f>VLOOKUP(AM23,systeme!$A$33:$B$47,2,0)</f>
        <v>#N/A</v>
      </c>
      <c r="AO23" t="str">
        <f t="shared" ref="AO23:AO34" si="113">IF(U23&lt;=0.16,0.16,IF(U23&lt;=0.25,0.25,IF(U23&lt;=0.4,0.4,IF(U23&lt;=0.63,0.63,IF(U23&lt;=1,1,IF(U23&lt;=1.6,1.6,IF(U23&lt;=2.5,2.5,IF(U23&lt;=4,4,IF(U23&lt;=6.3,6.3,IF(U23&lt;=10,10,IF(U23&lt;=14,14,IF(U23&lt;=18,18,IF(U23&lt;=23,23,IF(U23&lt;=25,25,IF(U23&lt;=32,32,"др.авт")))))))))))))))</f>
        <v>др.авт</v>
      </c>
      <c r="AP23" t="e">
        <f>VLOOKUP(AO23,chint!$A$34:$B$48,2,0)</f>
        <v>#N/A</v>
      </c>
      <c r="AQ23" s="3">
        <f t="shared" ref="AQ23:AQ34" si="114">IF(U23&lt;=6,6,IF(U23&lt;=10,10,IF(U23&lt;=16,16,IF(U23&lt;=20,20,IF(U23&lt;=25,25,IF(U23&lt;=32,32,IF(U23&lt;=40,40,IF(U23&lt;=50,50,IF(U23&lt;=63,63,"др.выкл")))))))))</f>
        <v>40</v>
      </c>
      <c r="AR23" t="str">
        <f>INDEX(DEKraft!$B$2:$D$13,MATCH(AQ23,DEKraft!$A$2:$A$13,0),MATCH(X23,DEKraft!$B$1:$D$1,0))</f>
        <v>13181DEK</v>
      </c>
      <c r="AS23" t="str">
        <f>INDEX(DEKraft!$B$21:$D$32,MATCH(AQ23,DEKraft!$A$21:$A$32,0),MATCH(X23,DEKraft!$B$20:$D$20,0))</f>
        <v>12309DEK</v>
      </c>
      <c r="AT23" t="str">
        <f>INDEX(systeme!$B$2:$D$10,MATCH(AQ23,systeme!$A$2:$A$10,0),MATCH(X23,systeme!$B$1:$D$1,0))</f>
        <v>C9F36340</v>
      </c>
      <c r="AU23">
        <f>INDEX(chint!$B$2:$D$10,MATCH(AQ23,chint!$A$2:$A$10,0),MATCH(X23,chint!$B$1:$D$1,0))</f>
        <v>179707</v>
      </c>
      <c r="AV23" s="3">
        <f t="shared" ref="AV23:AV34" si="115">IF(U23&lt;=6,6,IF(U23&lt;=10,10,IF(U23&lt;=16,16,IF(U23&lt;=20,20,IF(U23&lt;=25,25,IF(U23&lt;=32,32,IF(U23&lt;=40,40,"др.выкл")))))))</f>
        <v>40</v>
      </c>
      <c r="AW23" t="str">
        <f>VLOOKUP(AV23,DEKraft!$A$41:$B$47,2,0)</f>
        <v>16208DEK</v>
      </c>
      <c r="AX23">
        <f t="shared" ref="AX23:AX34" si="116">IF(U23&lt;=10,10,IF(U23&lt;=16,16,IF(U23&lt;=20,20,IF(U23&lt;=25,25,IF(U23&lt;=32,32,IF(U23&lt;=40,40,"др.выкл"))))))</f>
        <v>40</v>
      </c>
      <c r="AY23" t="str">
        <f>VLOOKUP(AX23,systeme!$G$2:$H$7,2,0)</f>
        <v>C9D36640</v>
      </c>
      <c r="AZ23">
        <f t="shared" ref="AZ23:AZ34" si="117">IF(U23&lt;=6,6,IF(U23&lt;=10,10,IF(U23&lt;=16,16,IF(U23&lt;=20,20,IF(U23&lt;=25,25,IF(U23&lt;=32,32,IF(U23&lt;=40,40,"др.выкл")))))))</f>
        <v>40</v>
      </c>
      <c r="BA23">
        <f>VLOOKUP(AV23,chint!$G$2:$H$8,2,0)</f>
        <v>252635</v>
      </c>
      <c r="BB23" s="3">
        <f t="shared" ref="BB23:BB34" si="118">IF(U23&lt;=25,25,IF(U23&lt;=32,32,IF(U23&lt;=40,40,IF(U23&lt;=50,50,IF(U23&lt;=63,63,IF(U23&lt;=80,80,IF(U23&lt;=100,100,IF(U23&lt;=125,125,IF(U23&lt;=140,140,IF(U23&lt;=160,160,IF(U23&lt;=200,200,IF(U23&lt;=250,250,IF(U23&lt;=320,320,IF(U23&lt;=400,400,IF(U23&lt;=500,500,IF(U23&lt;=630,630,"др.выкл"))))))))))))))))</f>
        <v>40</v>
      </c>
      <c r="BC23" t="str">
        <f>VLOOKUP(BB23,DEKraft!$I$21:$J$36,2,0)</f>
        <v>28102DEK</v>
      </c>
      <c r="BD23">
        <f t="shared" ref="BD23:BD34" si="119">IF(U23&lt;=16,16,IF(U23&lt;=25,25,IF(U23&lt;=32,32,IF(U23&lt;=40,40,IF(U23&lt;=50,50,IF(U23&lt;=63,63,IF(U23&lt;=80,80,IF(U23&lt;=100,100,IF(U23&lt;=125,125,IF(U23&lt;=160,160,IF(U23&lt;=200,200,IF(U23&lt;=250,250,IF(U23&lt;=400,400,IF(U23&lt;=500,500,IF(U23&lt;=600,600,"др.авт")))))))))))))))</f>
        <v>40</v>
      </c>
      <c r="BE23" t="str">
        <f>VLOOKUP(BD23,systeme!$A$16:$B$30,2,0)</f>
        <v>SPC100F040L3DF</v>
      </c>
      <c r="BF23">
        <f t="shared" ref="BF23:BF34" si="120">IF(U23&lt;=16,16,IF(U23&lt;=25,25,IF(U23&lt;=32,32,IF(U23&lt;=40,40,IF(U23&lt;=50,50,IF(U23&lt;=63,63,IF(U23&lt;=80,80,IF(U23&lt;=100,100,IF(U23&lt;=125,125,IF(U23&lt;=160,160,IF(U23&lt;=200,200,IF(U23&lt;=225,225,IF(U23&lt;=250,250,IF(U23&lt;=315,315,IF(U23&lt;=350,350,IF(U23&lt;=400,400,IF(U23&lt;=500,500,IF(U23&lt;=630,630,"др.выкл"))))))))))))))))))</f>
        <v>40</v>
      </c>
      <c r="BG23" s="4">
        <f>VLOOKUP(BF23,chint!$A$14:$B$31,2,0)</f>
        <v>271585</v>
      </c>
      <c r="BH23">
        <f t="shared" ref="BH23:BH34" si="121">IF(U23&lt;=6,6,IF(U23&lt;=10,10,IF(U23&lt;=16,16,IF(U23&lt;=20,20,IF(U23&lt;=25,25,IF(U23&lt;=32,32,IF(U23&lt;=40,40,IF(U23&lt;=50,50,IF(U23&lt;=63,63,"др.выкл")))))))))</f>
        <v>40</v>
      </c>
      <c r="BI23" t="e">
        <f>INDEX(КЭАЗ!$B$2:$E$14,MATCH(BH23,КЭАЗ!$A$2:$A$14,0),MATCH(X23,КЭАЗ!$B$1:$D$1,0))</f>
        <v>#N/A</v>
      </c>
      <c r="BJ23">
        <f t="shared" ref="BJ23:BJ48" si="122">IF(U23&lt;=6,6,IF(U23&lt;=10,10,IF(U23&lt;=16,16,IF(U23&lt;=20,20,IF(U23&lt;=25,25,IF(U23&lt;=32,32,IF(U23&lt;=40,40,IF(U23&lt;=50,50,IF(U23&lt;=63,63,IF(U23&lt;=80,80,IF(U23&lt;=100,100,IF(U23&lt;=125,125,"др.выкл"))))))))))))</f>
        <v>40</v>
      </c>
      <c r="BK23" t="str">
        <f>INDEX(hy!$B$2:$D$18,MATCH(BJ23,hy!$A$2:$A$18,0),MATCH(X23,hy!$B$1:$D$1,0))</f>
        <v>HGD63M 3PMCS0000C 00040</v>
      </c>
      <c r="BL23" t="str">
        <f>VLOOKUP(BJ23,hy!$G$2:$H$15,2,0)</f>
        <v>HRO63M 1NG4С0000C00040G</v>
      </c>
      <c r="BM23" t="str">
        <f t="shared" ref="BM23:BM48" si="123">IF(U23&lt;=0.16,0.16,IF(U23&lt;=0.25,0.25,IF(U23&lt;=0.4,0.4,IF(U23&lt;=0.63,0.63,IF(U23&lt;=1,1,IF(U23&lt;=1.6,1.6,IF(U23&lt;=2.5,2.5,IF(U23&lt;=4,4,IF(U23&lt;=6.3,6.3,IF(U23&lt;=10,10,IF(U23&lt;=14,14,IF(U23&lt;=18,18,IF(U23&lt;=23,23,IF(U23&lt;=25,25,IF(U23&lt;=32,32,"др.авт")))))))))))))))</f>
        <v>др.авт</v>
      </c>
      <c r="BN23" t="e">
        <f>VLOOKUP(BM23,hy!$A$41:$B$55,2,0)</f>
        <v>#N/A</v>
      </c>
      <c r="BO23">
        <f t="shared" ref="BO23:BO48" si="124">IF(U23&lt;=100,100,IF(U23&lt;=125,125,IF(U23&lt;=150,150,IF(U23&lt;=160,160,IF(U23&lt;=175,175,IF(U23&lt;=200,200,IF(U23&lt;=225,225,IF(U23&lt;=250,250,IF(U23&lt;=300,300,IF(U23&lt;=350,350,IF(U23&lt;=400,400,IF(U23&lt;=500,500,IF(U23&lt;=630,630,IF(U23&lt;=700,700,IF(U23&lt;=800,800,"др.выкл")))))))))))))))</f>
        <v>100</v>
      </c>
      <c r="BP23" t="str">
        <f>VLOOKUP(BO23,hy!$A$21:$B$35,2,0)</f>
        <v>HGP100S-G 3PT4S0000C 00100H</v>
      </c>
      <c r="BQ23" s="89">
        <f>IF($W23=автоматы!$D$45,Z23,IF($W23=автоматы!$D$46,AF23,IF($W23=автоматы!$D$47,AH23,IF($W23=автоматы!$D$48,AB23,IF($W23=автоматы!$D$49,AJ23,IF($W23=автоматы!$D$50,AD23,IF($W23=автоматы!$D$51,BI23,IF($W23=автоматы!$D$52,AR23,IF($W23=автоматы!$D$53,AS23,IF($W23=автоматы!$D$54,AW23,IF($W23=автоматы!$D$55,AL23,IF($W23=автоматы!$D$56,BC23,IF($W23=автоматы!$D$57,AT23,IF($W23=автоматы!$D$58,AY23,IF($W23=автоматы!$D$59,AN23,IF($W23=автоматы!$D$60,BE23,IF($W23=автоматы!$D$61,AU23,IF($W23=автоматы!$D$62,BA23,IF($W23=автоматы!$D$63,AP23,IF($W23=автоматы!$D$64,BG23,IF($W23=автоматы!$D$65,BK23,IF($W23=автоматы!$D$66,BL23,IF($W23=автоматы!$D$67,BN23,IF($W23=автоматы!$D$68,BP23,"др"))))))))))))))))))))))))</f>
        <v>179707</v>
      </c>
      <c r="BR23" s="89">
        <f>IF($W23=автоматы!$D$45,Y23,IF($W23=автоматы!$D$46,AE23,IF($W23=автоматы!$D$47,AG23,IF($W23=автоматы!$D$48,AA23,IF($W23=автоматы!$D$49,AI23,IF($W23=автоматы!$D$50,AC23,IF($W23=автоматы!$D$51,BH23,IF($W23=автоматы!$D$52,AQ23,IF($W23=автоматы!$D$53,AQ23,IF($W23=автоматы!$D$54,AV23,IF($W23=автоматы!$D$55,AK23,IF($W23=автоматы!$D$56,BB23,IF($W23=автоматы!$D$57,AQ23,IF($W23=автоматы!$D$58,AX23,IF($W23=автоматы!$D$59,AM23,IF($W23=автоматы!$D$60,BD23,IF($W23=автоматы!$D$61,AQ23,IF($W23=автоматы!$D$62,AZ23,IF($W23=автоматы!$D$63,AO23,IF($W23=автоматы!$D$64,BF23,IF($W23=автоматы!$D$65,BJ23,IF($W23=автоматы!$D$66,BJ23,IF($W23=автоматы!$D$67,BM23,IF($W23=автоматы!$D$68,BO23,"др"))))))))))))))))))))))))</f>
        <v>40</v>
      </c>
      <c r="BS23" s="89" t="str">
        <f>CONCATENATE(IF($W23=автоматы!$A$1,Y23,IF($W23=автоматы!$H$1,VLOOKUP(AA23,автоматы!$H$3:$K$17,3,0),IF($W23=автоматы!$N$1,VLOOKUP(AC23,автоматы!$N$3:$Q$19,3,0),IF($W23=автоматы!$S$17,AE23,IF($W23=автоматы!$Z$1,AG23,IF($W23=автоматы!$AE$1,AI23,"др"))))))," А")</f>
        <v>др А</v>
      </c>
      <c r="BT23" s="89" t="str">
        <f>IF($W23=автоматы!$A$1,Y23*10,IF($W23=автоматы!$H$1,VLOOKUP(AA23,автоматы!$H$3:$K$17,4,0),IF($W23=автоматы!$N$1,VLOOKUP(AC23,автоматы!$N$3:$Q$19,4,0),IF($W23=автоматы!$S$17,AE23*10,IF($W23=автоматы!$Z$1,AG23*10,IF($W23=автоматы!$AE$1,AI23*10,"др"))))))</f>
        <v>др</v>
      </c>
      <c r="BU23" s="85"/>
      <c r="BV23" s="90" t="s">
        <v>147</v>
      </c>
      <c r="BW23" s="90">
        <v>1</v>
      </c>
      <c r="BX23" s="91">
        <v>5</v>
      </c>
      <c r="BY23" s="92">
        <v>2.5</v>
      </c>
      <c r="BZ23" s="91">
        <f>HLOOKUP(BV23,каталог!$CG$1:$CO$22,MATCH(BY23,каталог!$CF$1:$CF$22,0),0)*BW23</f>
        <v>25</v>
      </c>
      <c r="CA23" s="87" t="str">
        <f t="shared" si="103"/>
        <v>нГ2</v>
      </c>
      <c r="CB23" s="87" t="str">
        <f t="shared" ref="CB23:CB31" si="125">CONCATENATE(BV23," ",BX23,"x",BY23)</f>
        <v>ВВГнг(А)-LS 5x2,5</v>
      </c>
      <c r="CC23" s="87"/>
      <c r="CF23" s="174"/>
    </row>
    <row r="24" spans="1:84" ht="25">
      <c r="A24" s="102">
        <v>12</v>
      </c>
      <c r="B24" s="94">
        <v>100</v>
      </c>
      <c r="C24" s="103" t="s">
        <v>1020</v>
      </c>
      <c r="D24" s="100" t="s">
        <v>1046</v>
      </c>
      <c r="E24" s="95">
        <v>380</v>
      </c>
      <c r="F24" s="19" t="s">
        <v>580</v>
      </c>
      <c r="G24" s="96">
        <v>16.3</v>
      </c>
      <c r="H24" s="96">
        <f t="shared" ref="H24:H25" si="126">IF(E24&lt;=230,(G24)/((E24/1000)*J24*(B24/100)),(G24)/(1.732*(E24/1000)*J24*(B24/100)))</f>
        <v>26.91958080762706</v>
      </c>
      <c r="I24" s="95">
        <v>1</v>
      </c>
      <c r="J24" s="96">
        <v>0.92</v>
      </c>
      <c r="K24" s="96">
        <f t="shared" ref="K24:K25" si="127">ROUND(SQRT(1-(J24)^2)/J24,2)</f>
        <v>0.43</v>
      </c>
      <c r="L24" s="97">
        <f t="shared" ref="L24:L25" si="128">I24*G24</f>
        <v>16.3</v>
      </c>
      <c r="M24" s="97">
        <f t="shared" ref="M24:M25" si="129">I24*G24*K24</f>
        <v>7.0090000000000003</v>
      </c>
      <c r="N24" s="97">
        <f t="shared" ref="N24:N25" si="130">1*G24^2</f>
        <v>265.69</v>
      </c>
      <c r="O24" s="118"/>
      <c r="P24" s="118"/>
      <c r="Q24" s="118"/>
      <c r="R24" s="118"/>
      <c r="S24" s="118"/>
      <c r="T24" s="118"/>
      <c r="U24" s="86">
        <f>H24*1.2</f>
        <v>32.303496969152469</v>
      </c>
      <c r="V24" s="86">
        <f t="shared" ref="V24:V25" si="131">7*H24</f>
        <v>188.43706565338942</v>
      </c>
      <c r="W24" s="116" t="s">
        <v>872</v>
      </c>
      <c r="X24" s="87" t="s">
        <v>302</v>
      </c>
      <c r="Y24" s="87">
        <f t="shared" si="105"/>
        <v>40</v>
      </c>
      <c r="Z24" s="87" t="str">
        <f>INDEX(автоматы!$B$3:$D$11,MATCH(Y24,автоматы!$A$3:$A$11,0),MATCH(X24,кол_пол,0))</f>
        <v>EZ9F34340</v>
      </c>
      <c r="AA24" s="87" t="str">
        <f t="shared" si="106"/>
        <v>др.авт</v>
      </c>
      <c r="AB24" s="87" t="e">
        <f>VLOOKUP(AA24,автоматы!$H$3:$I$17,2,0)</f>
        <v>#N/A</v>
      </c>
      <c r="AC24" s="87">
        <f t="shared" si="107"/>
        <v>40</v>
      </c>
      <c r="AD24" s="87" t="str">
        <f>VLOOKUP(AC24,автоматы!$N$3:$O$19,2,0)</f>
        <v>LZMB1-A40-I</v>
      </c>
      <c r="AE24" s="88">
        <f t="shared" si="108"/>
        <v>40</v>
      </c>
      <c r="AF24" s="87" t="str">
        <f>INDEX(автоматы!$T$2:$V$15,MATCH(AE24,автоматы!$S$2:$S$15,0),MATCH(X24,автоматы!$T$1:$V$1,0))</f>
        <v>iC60N C40 3P</v>
      </c>
      <c r="AG24" s="87">
        <f t="shared" si="109"/>
        <v>40</v>
      </c>
      <c r="AH24" s="87" t="str">
        <f>VLOOKUP(AG24,автоматы!$Z$3:$AA$9,2,0)</f>
        <v>A9D31640</v>
      </c>
      <c r="AI24" s="2">
        <f t="shared" si="110"/>
        <v>40</v>
      </c>
      <c r="AJ24" t="str">
        <f>VLOOKUP(AI24,автоматы!$AE$3:$AF$26,2,0)</f>
        <v>EZC100F3040</v>
      </c>
      <c r="AK24" s="3" t="str">
        <f>IF(U24&lt;=0.16,0.16,IF(U24&lt;=0.25,0.25,IF(U24&lt;=0.4,0.4,IF(U24&lt;=0.63,0.63,IF(U24&lt;=1,1,IF(U24&lt;=1.6,1.6,IF(U24&lt;=2.5,2.5,IF(U24&lt;=4,4,IF(U24&lt;=6.3,6.3,IF(U24&lt;=10,10,IF(U24&lt;=14,14,IF(U24&lt;=18,18,IF(U24&lt;=23,23,IF(U24&lt;=25,25,IF(U24&lt;=32,32,"др.авт")))))))))))))))</f>
        <v>др.авт</v>
      </c>
      <c r="AL24" t="e">
        <f>VLOOKUP(AK24,DEKraft!$I$2:$J$16,2,0)</f>
        <v>#N/A</v>
      </c>
      <c r="AM24" t="str">
        <f>IF(U24&lt;=0.16,0.16,IF(U24&lt;=0.25,0.25,IF(U24&lt;=0.4,0.4,IF(U24&lt;=0.63,0.63,IF(U24&lt;=1,1,IF(U24&lt;=1.6,1.6,IF(U24&lt;=2.5,2.5,IF(U24&lt;=4,4,IF(U24&lt;=6.3,6.3,IF(U24&lt;=10,10,IF(U24&lt;=14,14,IF(U24&lt;=18,18,IF(U24&lt;=23,23,IF(U24&lt;=25,25,IF(U24&lt;=32,32,"др.авт")))))))))))))))</f>
        <v>др.авт</v>
      </c>
      <c r="AN24" t="e">
        <f>VLOOKUP(AM24,systeme!$A$33:$B$47,2,0)</f>
        <v>#N/A</v>
      </c>
      <c r="AO24" t="str">
        <f>IF(U24&lt;=0.16,0.16,IF(U24&lt;=0.25,0.25,IF(U24&lt;=0.4,0.4,IF(U24&lt;=0.63,0.63,IF(U24&lt;=1,1,IF(U24&lt;=1.6,1.6,IF(U24&lt;=2.5,2.5,IF(U24&lt;=4,4,IF(U24&lt;=6.3,6.3,IF(U24&lt;=10,10,IF(U24&lt;=14,14,IF(U24&lt;=18,18,IF(U24&lt;=23,23,IF(U24&lt;=25,25,IF(U24&lt;=32,32,"др.авт")))))))))))))))</f>
        <v>др.авт</v>
      </c>
      <c r="AP24" t="e">
        <f>VLOOKUP(AO24,chint!$A$34:$B$48,2,0)</f>
        <v>#N/A</v>
      </c>
      <c r="AQ24" s="3">
        <f>IF(U24&lt;=6,6,IF(U24&lt;=10,10,IF(U24&lt;=16,16,IF(U24&lt;=20,20,IF(U24&lt;=25,25,IF(U24&lt;=32,32,IF(U24&lt;=40,40,IF(U24&lt;=50,50,IF(U24&lt;=63,63,"др.выкл")))))))))</f>
        <v>40</v>
      </c>
      <c r="AR24" t="str">
        <f>INDEX(DEKraft!$B$2:$D$13,MATCH(AQ24,DEKraft!$A$2:$A$13,0),MATCH(X24,DEKraft!$B$1:$D$1,0))</f>
        <v>13181DEK</v>
      </c>
      <c r="AS24" t="str">
        <f>INDEX(DEKraft!$B$21:$D$32,MATCH(AQ24,DEKraft!$A$21:$A$32,0),MATCH(X24,DEKraft!$B$20:$D$20,0))</f>
        <v>12309DEK</v>
      </c>
      <c r="AT24" t="str">
        <f>INDEX(systeme!$B$2:$D$10,MATCH(AQ24,systeme!$A$2:$A$10,0),MATCH(X24,systeme!$B$1:$D$1,0))</f>
        <v>C9F36340</v>
      </c>
      <c r="AU24">
        <f>INDEX(chint!$B$2:$D$10,MATCH(AQ24,chint!$A$2:$A$10,0),MATCH(X24,chint!$B$1:$D$1,0))</f>
        <v>179707</v>
      </c>
      <c r="AV24" s="3">
        <f>IF(U24&lt;=6,6,IF(U24&lt;=10,10,IF(U24&lt;=16,16,IF(U24&lt;=20,20,IF(U24&lt;=25,25,IF(U24&lt;=32,32,IF(U24&lt;=40,40,"др.выкл")))))))</f>
        <v>40</v>
      </c>
      <c r="AW24" t="str">
        <f>VLOOKUP(AV24,DEKraft!$A$41:$B$47,2,0)</f>
        <v>16208DEK</v>
      </c>
      <c r="AX24">
        <f>IF(U24&lt;=10,10,IF(U24&lt;=16,16,IF(U24&lt;=20,20,IF(U24&lt;=25,25,IF(U24&lt;=32,32,IF(U24&lt;=40,40,"др.выкл"))))))</f>
        <v>40</v>
      </c>
      <c r="AY24" t="str">
        <f>VLOOKUP(AX24,systeme!$G$2:$H$7,2,0)</f>
        <v>C9D36640</v>
      </c>
      <c r="AZ24">
        <f>IF(U24&lt;=6,6,IF(U24&lt;=10,10,IF(U24&lt;=16,16,IF(U24&lt;=20,20,IF(U24&lt;=25,25,IF(U24&lt;=32,32,IF(U24&lt;=40,40,"др.выкл")))))))</f>
        <v>40</v>
      </c>
      <c r="BA24">
        <f>VLOOKUP(AV24,chint!$G$2:$H$8,2,0)</f>
        <v>252635</v>
      </c>
      <c r="BB24" s="3">
        <f>IF(U24&lt;=25,25,IF(U24&lt;=32,32,IF(U24&lt;=40,40,IF(U24&lt;=50,50,IF(U24&lt;=63,63,IF(U24&lt;=80,80,IF(U24&lt;=100,100,IF(U24&lt;=125,125,IF(U24&lt;=140,140,IF(U24&lt;=160,160,IF(U24&lt;=200,200,IF(U24&lt;=250,250,IF(U24&lt;=320,320,IF(U24&lt;=400,400,IF(U24&lt;=500,500,IF(U24&lt;=630,630,"др.выкл"))))))))))))))))</f>
        <v>40</v>
      </c>
      <c r="BC24" t="str">
        <f>VLOOKUP(BB24,DEKraft!$I$21:$J$36,2,0)</f>
        <v>28102DEK</v>
      </c>
      <c r="BD24">
        <f t="shared" si="119"/>
        <v>40</v>
      </c>
      <c r="BE24" t="str">
        <f>VLOOKUP(BD24,systeme!$A$16:$B$30,2,0)</f>
        <v>SPC100F040L3DF</v>
      </c>
      <c r="BF24">
        <f>IF(U24&lt;=16,16,IF(U24&lt;=25,25,IF(U24&lt;=32,32,IF(U24&lt;=40,40,IF(U24&lt;=50,50,IF(U24&lt;=63,63,IF(U24&lt;=80,80,IF(U24&lt;=100,100,IF(U24&lt;=125,125,IF(U24&lt;=160,160,IF(U24&lt;=200,200,IF(U24&lt;=225,225,IF(U24&lt;=250,250,IF(U24&lt;=315,315,IF(U24&lt;=350,350,IF(U24&lt;=400,400,IF(U24&lt;=500,500,IF(U24&lt;=630,630,"др.выкл"))))))))))))))))))</f>
        <v>40</v>
      </c>
      <c r="BG24" s="4">
        <f>VLOOKUP(BF24,chint!$A$14:$B$31,2,0)</f>
        <v>271585</v>
      </c>
      <c r="BH24">
        <f>IF(U24&lt;=6,6,IF(U24&lt;=10,10,IF(U24&lt;=16,16,IF(U24&lt;=20,20,IF(U24&lt;=25,25,IF(U24&lt;=32,32,IF(U24&lt;=40,40,IF(U24&lt;=50,50,IF(U24&lt;=63,63,"др.выкл")))))))))</f>
        <v>40</v>
      </c>
      <c r="BI24" t="e">
        <f>INDEX(КЭАЗ!$B$2:$E$14,MATCH(BH24,КЭАЗ!$A$2:$A$14,0),MATCH(X24,КЭАЗ!$B$1:$D$1,0))</f>
        <v>#N/A</v>
      </c>
      <c r="BJ24">
        <f>IF(U24&lt;=6,6,IF(U24&lt;=10,10,IF(U24&lt;=16,16,IF(U24&lt;=20,20,IF(U24&lt;=25,25,IF(U24&lt;=32,32,IF(U24&lt;=40,40,IF(U24&lt;=50,50,IF(U24&lt;=63,63,IF(U24&lt;=80,80,IF(U24&lt;=100,100,IF(U24&lt;=125,125,"др.выкл"))))))))))))</f>
        <v>40</v>
      </c>
      <c r="BK24" t="str">
        <f>INDEX(hy!$B$2:$D$18,MATCH(BJ24,hy!$A$2:$A$18,0),MATCH(X24,hy!$B$1:$D$1,0))</f>
        <v>HGD63M 3PMCS0000C 00040</v>
      </c>
      <c r="BL24" t="str">
        <f>VLOOKUP(BJ24,hy!$G$2:$H$15,2,0)</f>
        <v>HRO63M 1NG4С0000C00040G</v>
      </c>
      <c r="BM24" t="str">
        <f>IF(U24&lt;=0.16,0.16,IF(U24&lt;=0.25,0.25,IF(U24&lt;=0.4,0.4,IF(U24&lt;=0.63,0.63,IF(U24&lt;=1,1,IF(U24&lt;=1.6,1.6,IF(U24&lt;=2.5,2.5,IF(U24&lt;=4,4,IF(U24&lt;=6.3,6.3,IF(U24&lt;=10,10,IF(U24&lt;=14,14,IF(U24&lt;=18,18,IF(U24&lt;=23,23,IF(U24&lt;=25,25,IF(U24&lt;=32,32,"др.авт")))))))))))))))</f>
        <v>др.авт</v>
      </c>
      <c r="BN24" t="e">
        <f>VLOOKUP(BM24,hy!$A$41:$B$55,2,0)</f>
        <v>#N/A</v>
      </c>
      <c r="BO24">
        <f>IF(U24&lt;=100,100,IF(U24&lt;=125,125,IF(U24&lt;=150,150,IF(U24&lt;=160,160,IF(U24&lt;=175,175,IF(U24&lt;=200,200,IF(U24&lt;=225,225,IF(U24&lt;=250,250,IF(U24&lt;=300,300,IF(U24&lt;=350,350,IF(U24&lt;=400,400,IF(U24&lt;=500,500,IF(U24&lt;=630,630,IF(U24&lt;=700,700,IF(U24&lt;=800,800,"др.выкл")))))))))))))))</f>
        <v>100</v>
      </c>
      <c r="BP24" t="str">
        <f>VLOOKUP(BO24,hy!$A$21:$B$35,2,0)</f>
        <v>HGP100S-G 3PT4S0000C 00100H</v>
      </c>
      <c r="BQ24" s="89">
        <f>IF($W24=автоматы!$D$45,Z24,IF($W24=автоматы!$D$46,AF24,IF($W24=автоматы!$D$47,AH24,IF($W24=автоматы!$D$48,AB24,IF($W24=автоматы!$D$49,AJ24,IF($W24=автоматы!$D$50,AD24,IF($W24=автоматы!$D$51,BI24,IF($W24=автоматы!$D$52,AR24,IF($W24=автоматы!$D$53,AS24,IF($W24=автоматы!$D$54,AW24,IF($W24=автоматы!$D$55,AL24,IF($W24=автоматы!$D$56,BC24,IF($W24=автоматы!$D$57,AT24,IF($W24=автоматы!$D$58,AY24,IF($W24=автоматы!$D$59,AN24,IF($W24=автоматы!$D$60,BE24,IF($W24=автоматы!$D$61,AU24,IF($W24=автоматы!$D$62,BA24,IF($W24=автоматы!$D$63,AP24,IF($W24=автоматы!$D$64,BG24,IF($W24=автоматы!$D$65,BK24,IF($W24=автоматы!$D$66,BL24,IF($W24=автоматы!$D$67,BN24,IF($W24=автоматы!$D$68,BP24,"др"))))))))))))))))))))))))</f>
        <v>179707</v>
      </c>
      <c r="BR24" s="89">
        <f>IF($W24=автоматы!$D$45,Y24,IF($W24=автоматы!$D$46,AE24,IF($W24=автоматы!$D$47,AG24,IF($W24=автоматы!$D$48,AA24,IF($W24=автоматы!$D$49,AI24,IF($W24=автоматы!$D$50,AC24,IF($W24=автоматы!$D$51,BH24,IF($W24=автоматы!$D$52,AQ24,IF($W24=автоматы!$D$53,AQ24,IF($W24=автоматы!$D$54,AV24,IF($W24=автоматы!$D$55,AK24,IF($W24=автоматы!$D$56,BB24,IF($W24=автоматы!$D$57,AQ24,IF($W24=автоматы!$D$58,AX24,IF($W24=автоматы!$D$59,AM24,IF($W24=автоматы!$D$60,BD24,IF($W24=автоматы!$D$61,AQ24,IF($W24=автоматы!$D$62,AZ24,IF($W24=автоматы!$D$63,AO24,IF($W24=автоматы!$D$64,BF24,IF($W24=автоматы!$D$65,BJ24,IF($W24=автоматы!$D$66,BJ24,IF($W24=автоматы!$D$67,BM24,IF($W24=автоматы!$D$68,BO24,"др"))))))))))))))))))))))))</f>
        <v>40</v>
      </c>
      <c r="BS24" s="89" t="str">
        <f>CONCATENATE(IF($W24=автоматы!$A$1,Y24,IF($W24=автоматы!$H$1,VLOOKUP(AA24,автоматы!$H$3:$K$17,3,0),IF($W24=автоматы!$N$1,VLOOKUP(AC24,автоматы!$N$3:$Q$19,3,0),IF($W24=автоматы!$S$17,AE24,IF($W24=автоматы!$Z$1,AG24,IF($W24=автоматы!$AE$1,AI24,"др"))))))," А")</f>
        <v>др А</v>
      </c>
      <c r="BT24" s="89" t="str">
        <f>IF($W24=автоматы!$A$1,Y24*10,IF($W24=автоматы!$H$1,VLOOKUP(AA24,автоматы!$H$3:$K$17,4,0),IF($W24=автоматы!$N$1,VLOOKUP(AC24,автоматы!$N$3:$Q$19,4,0),IF($W24=автоматы!$S$17,AE24*10,IF($W24=автоматы!$Z$1,AG24*10,IF($W24=автоматы!$AE$1,AI24*10,"др"))))))</f>
        <v>др</v>
      </c>
      <c r="BU24" s="85"/>
      <c r="BV24" s="90" t="s">
        <v>147</v>
      </c>
      <c r="BW24" s="90">
        <v>1</v>
      </c>
      <c r="BX24" s="91">
        <v>5</v>
      </c>
      <c r="BY24" s="92">
        <v>2.5</v>
      </c>
      <c r="BZ24" s="91">
        <f>HLOOKUP(BV24,каталог!$CG$1:$CO$22,MATCH(BY24,каталог!$CF$1:$CF$22,0),0)*BW24</f>
        <v>25</v>
      </c>
      <c r="CA24" s="87" t="str">
        <f t="shared" ref="CA24:CA25" si="132">CONCATENATE("н",C24,"")</f>
        <v>нГ3</v>
      </c>
      <c r="CB24" s="87" t="str">
        <f>CONCATENATE(BV24," ",BX24,"x",BY24)</f>
        <v>ВВГнг(А)-LS 5x2,5</v>
      </c>
      <c r="CC24" s="87"/>
      <c r="CF24" s="174"/>
    </row>
    <row r="25" spans="1:84" ht="25">
      <c r="A25" s="102">
        <v>12</v>
      </c>
      <c r="B25" s="94">
        <v>100</v>
      </c>
      <c r="C25" s="103" t="s">
        <v>1045</v>
      </c>
      <c r="D25" s="100" t="s">
        <v>1047</v>
      </c>
      <c r="E25" s="95">
        <v>380</v>
      </c>
      <c r="F25" s="19" t="s">
        <v>580</v>
      </c>
      <c r="G25" s="96">
        <v>16.3</v>
      </c>
      <c r="H25" s="96">
        <f t="shared" si="126"/>
        <v>26.91958080762706</v>
      </c>
      <c r="I25" s="95">
        <v>1</v>
      </c>
      <c r="J25" s="96">
        <v>0.92</v>
      </c>
      <c r="K25" s="96">
        <f t="shared" si="127"/>
        <v>0.43</v>
      </c>
      <c r="L25" s="97">
        <f t="shared" si="128"/>
        <v>16.3</v>
      </c>
      <c r="M25" s="97">
        <f t="shared" si="129"/>
        <v>7.0090000000000003</v>
      </c>
      <c r="N25" s="97">
        <f t="shared" si="130"/>
        <v>265.69</v>
      </c>
      <c r="O25" s="118"/>
      <c r="P25" s="118"/>
      <c r="Q25" s="118"/>
      <c r="R25" s="118"/>
      <c r="S25" s="118"/>
      <c r="T25" s="118"/>
      <c r="U25" s="86">
        <f t="shared" ref="U25" si="133">H25*1.2</f>
        <v>32.303496969152469</v>
      </c>
      <c r="V25" s="86">
        <f t="shared" si="131"/>
        <v>188.43706565338942</v>
      </c>
      <c r="W25" s="116" t="s">
        <v>872</v>
      </c>
      <c r="X25" s="87" t="s">
        <v>302</v>
      </c>
      <c r="Y25" s="87">
        <f t="shared" ref="Y25" si="134">IF(U25&lt;=6,6,IF(U25&lt;=10,10,IF(U25&lt;=16,16,IF(U25&lt;=20,20,IF(U25&lt;=25,25,IF(U25&lt;=32,32,IF(U25&lt;=40,40,IF(U25&lt;=50,50,IF(U25&lt;=63,63,"др.выкл")))))))))</f>
        <v>40</v>
      </c>
      <c r="Z25" s="87" t="str">
        <f>INDEX(автоматы!$B$3:$D$11,MATCH(Y25,автоматы!$A$3:$A$11,0),MATCH(X25,кол_пол,0))</f>
        <v>EZ9F34340</v>
      </c>
      <c r="AA25" s="87" t="str">
        <f t="shared" ref="AA25" si="135">IF(U25&lt;=0.16,0.16,IF(U25&lt;=0.25,0.25,IF(U25&lt;=0.4,0.4,IF(U25&lt;=0.63,0.63,IF(U25&lt;=1,1,IF(U25&lt;=1.6,1.6,IF(U25&lt;=2.5,2.5,IF(U25&lt;=4,4,IF(U25&lt;=6.3,6.3,IF(U25&lt;=10,10,IF(U25&lt;=14,14,IF(U25&lt;=18,18,IF(U25&lt;=23,23,IF(U25&lt;=25,25,IF(U25&lt;=32,32,"др.авт")))))))))))))))</f>
        <v>др.авт</v>
      </c>
      <c r="AB25" s="87" t="e">
        <f>VLOOKUP(AA25,автоматы!$H$3:$I$17,2,0)</f>
        <v>#N/A</v>
      </c>
      <c r="AC25" s="87">
        <f t="shared" ref="AC25" si="136">IF(U25&lt;=20,20,IF(U25&lt;=25,25,IF(U25&lt;=32,32,IF(U25&lt;=40,40,IF(U25&lt;=50,50,IF(U25&lt;=63,63,IF(U25&lt;=80,80,IF(U25&lt;=100,100,IF(U25&lt;=125,125,IF(U25&lt;=160,160,IF(U25&lt;=200,200,IF(U25&lt;=250,250,IF(U25&lt;=300,300,IF(U25&lt;=320,320,IF(U25&lt;=400,400,IF(U25&lt;=500,500,IF(U25&lt;=630,630,"др.авт")))))))))))))))))</f>
        <v>40</v>
      </c>
      <c r="AD25" s="87" t="str">
        <f>VLOOKUP(AC25,автоматы!$N$3:$O$19,2,0)</f>
        <v>LZMB1-A40-I</v>
      </c>
      <c r="AE25" s="88">
        <f t="shared" ref="AE25" si="137">IF(U25&lt;=6,6,IF(U25&lt;=10,10,IF(U25&lt;=16,16,IF(U25&lt;=20,20,IF(U25&lt;=25,25,IF(U25&lt;=32,32,IF(U25&lt;=40,40,IF(U25&lt;=50,50,IF(U25&lt;=63,63,"др.выкл")))))))))</f>
        <v>40</v>
      </c>
      <c r="AF25" s="87" t="str">
        <f>INDEX(автоматы!$T$2:$V$15,MATCH(AE25,автоматы!$S$2:$S$15,0),MATCH(X25,автоматы!$T$1:$V$1,0))</f>
        <v>iC60N C40 3P</v>
      </c>
      <c r="AG25" s="87">
        <f t="shared" ref="AG25" si="138">IF(U25&lt;=6,6,IF(U25&lt;=10,10,IF(U25&lt;=16,16,IF(U25&lt;=20,20,IF(U25&lt;=25,25,IF(U25&lt;=32,32,IF(U25&lt;=40,40,"др.выкл")))))))</f>
        <v>40</v>
      </c>
      <c r="AH25" s="87" t="str">
        <f>VLOOKUP(AG25,автоматы!$Z$3:$AA$9,2,0)</f>
        <v>A9D31640</v>
      </c>
      <c r="AI25" s="2">
        <f t="shared" ref="AI25" si="139">IF(U25&lt;=15,15,IF(U25&lt;=16,16,IF(U25&lt;=20,20,IF(U25&lt;=25,25,IF(U25&lt;=32,32,IF(U25&lt;=40,40,IF(U25&lt;=45,45,IF(U25&lt;=50,50,IF(U25&lt;=60,60,IF(U25&lt;=63,63,IF(U25&lt;=75,75,IF(U25&lt;=80,80,IF(U25&lt;=100,100,IF(U25&lt;=125,125,IF(U25&lt;=150,150,IF(U25&lt;=160,160,IF(U25&lt;=175,175,IF(U25&lt;=200,200,IF(U25&lt;=225,225,IF(U25&lt;=250,250,IF(U25&lt;=320,320,IF(U25&lt;=350,350,IF(U25&lt;=400,400,"др.выкл")))))))))))))))))))))))</f>
        <v>40</v>
      </c>
      <c r="AJ25" t="str">
        <f>VLOOKUP(AI25,автоматы!$AE$3:$AF$26,2,0)</f>
        <v>EZC100F3040</v>
      </c>
      <c r="AK25" s="3" t="str">
        <f t="shared" ref="AK25" si="140">IF(U25&lt;=0.16,0.16,IF(U25&lt;=0.25,0.25,IF(U25&lt;=0.4,0.4,IF(U25&lt;=0.63,0.63,IF(U25&lt;=1,1,IF(U25&lt;=1.6,1.6,IF(U25&lt;=2.5,2.5,IF(U25&lt;=4,4,IF(U25&lt;=6.3,6.3,IF(U25&lt;=10,10,IF(U25&lt;=14,14,IF(U25&lt;=18,18,IF(U25&lt;=23,23,IF(U25&lt;=25,25,IF(U25&lt;=32,32,"др.авт")))))))))))))))</f>
        <v>др.авт</v>
      </c>
      <c r="AL25" t="e">
        <f>VLOOKUP(AK25,DEKraft!$I$2:$J$16,2,0)</f>
        <v>#N/A</v>
      </c>
      <c r="AM25" t="str">
        <f t="shared" ref="AM25" si="141">IF(U25&lt;=0.16,0.16,IF(U25&lt;=0.25,0.25,IF(U25&lt;=0.4,0.4,IF(U25&lt;=0.63,0.63,IF(U25&lt;=1,1,IF(U25&lt;=1.6,1.6,IF(U25&lt;=2.5,2.5,IF(U25&lt;=4,4,IF(U25&lt;=6.3,6.3,IF(U25&lt;=10,10,IF(U25&lt;=14,14,IF(U25&lt;=18,18,IF(U25&lt;=23,23,IF(U25&lt;=25,25,IF(U25&lt;=32,32,"др.авт")))))))))))))))</f>
        <v>др.авт</v>
      </c>
      <c r="AN25" t="e">
        <f>VLOOKUP(AM25,systeme!$A$33:$B$47,2,0)</f>
        <v>#N/A</v>
      </c>
      <c r="AO25" t="str">
        <f t="shared" ref="AO25" si="142">IF(U25&lt;=0.16,0.16,IF(U25&lt;=0.25,0.25,IF(U25&lt;=0.4,0.4,IF(U25&lt;=0.63,0.63,IF(U25&lt;=1,1,IF(U25&lt;=1.6,1.6,IF(U25&lt;=2.5,2.5,IF(U25&lt;=4,4,IF(U25&lt;=6.3,6.3,IF(U25&lt;=10,10,IF(U25&lt;=14,14,IF(U25&lt;=18,18,IF(U25&lt;=23,23,IF(U25&lt;=25,25,IF(U25&lt;=32,32,"др.авт")))))))))))))))</f>
        <v>др.авт</v>
      </c>
      <c r="AP25" t="e">
        <f>VLOOKUP(AO25,chint!$A$34:$B$48,2,0)</f>
        <v>#N/A</v>
      </c>
      <c r="AQ25" s="3">
        <f t="shared" ref="AQ25" si="143">IF(U25&lt;=6,6,IF(U25&lt;=10,10,IF(U25&lt;=16,16,IF(U25&lt;=20,20,IF(U25&lt;=25,25,IF(U25&lt;=32,32,IF(U25&lt;=40,40,IF(U25&lt;=50,50,IF(U25&lt;=63,63,"др.выкл")))))))))</f>
        <v>40</v>
      </c>
      <c r="AR25" t="str">
        <f>INDEX(DEKraft!$B$2:$D$13,MATCH(AQ25,DEKraft!$A$2:$A$13,0),MATCH(X25,DEKraft!$B$1:$D$1,0))</f>
        <v>13181DEK</v>
      </c>
      <c r="AS25" t="str">
        <f>INDEX(DEKraft!$B$21:$D$32,MATCH(AQ25,DEKraft!$A$21:$A$32,0),MATCH(X25,DEKraft!$B$20:$D$20,0))</f>
        <v>12309DEK</v>
      </c>
      <c r="AT25" t="str">
        <f>INDEX(systeme!$B$2:$D$10,MATCH(AQ25,systeme!$A$2:$A$10,0),MATCH(X25,systeme!$B$1:$D$1,0))</f>
        <v>C9F36340</v>
      </c>
      <c r="AU25">
        <f>INDEX(chint!$B$2:$D$10,MATCH(AQ25,chint!$A$2:$A$10,0),MATCH(X25,chint!$B$1:$D$1,0))</f>
        <v>179707</v>
      </c>
      <c r="AV25" s="3">
        <f t="shared" ref="AV25" si="144">IF(U25&lt;=6,6,IF(U25&lt;=10,10,IF(U25&lt;=16,16,IF(U25&lt;=20,20,IF(U25&lt;=25,25,IF(U25&lt;=32,32,IF(U25&lt;=40,40,"др.выкл")))))))</f>
        <v>40</v>
      </c>
      <c r="AW25" t="str">
        <f>VLOOKUP(AV25,DEKraft!$A$41:$B$47,2,0)</f>
        <v>16208DEK</v>
      </c>
      <c r="AX25">
        <f t="shared" ref="AX25" si="145">IF(U25&lt;=10,10,IF(U25&lt;=16,16,IF(U25&lt;=20,20,IF(U25&lt;=25,25,IF(U25&lt;=32,32,IF(U25&lt;=40,40,"др.выкл"))))))</f>
        <v>40</v>
      </c>
      <c r="AY25" t="str">
        <f>VLOOKUP(AX25,systeme!$G$2:$H$7,2,0)</f>
        <v>C9D36640</v>
      </c>
      <c r="AZ25">
        <f t="shared" ref="AZ25" si="146">IF(U25&lt;=6,6,IF(U25&lt;=10,10,IF(U25&lt;=16,16,IF(U25&lt;=20,20,IF(U25&lt;=25,25,IF(U25&lt;=32,32,IF(U25&lt;=40,40,"др.выкл")))))))</f>
        <v>40</v>
      </c>
      <c r="BA25">
        <f>VLOOKUP(AV25,chint!$G$2:$H$8,2,0)</f>
        <v>252635</v>
      </c>
      <c r="BB25" s="3">
        <f t="shared" ref="BB25" si="147">IF(U25&lt;=25,25,IF(U25&lt;=32,32,IF(U25&lt;=40,40,IF(U25&lt;=50,50,IF(U25&lt;=63,63,IF(U25&lt;=80,80,IF(U25&lt;=100,100,IF(U25&lt;=125,125,IF(U25&lt;=140,140,IF(U25&lt;=160,160,IF(U25&lt;=200,200,IF(U25&lt;=250,250,IF(U25&lt;=320,320,IF(U25&lt;=400,400,IF(U25&lt;=500,500,IF(U25&lt;=630,630,"др.выкл"))))))))))))))))</f>
        <v>40</v>
      </c>
      <c r="BC25" t="str">
        <f>VLOOKUP(BB25,DEKraft!$I$21:$J$36,2,0)</f>
        <v>28102DEK</v>
      </c>
      <c r="BD25">
        <f t="shared" ref="BD25" si="148">IF(U25&lt;=16,16,IF(U25&lt;=25,25,IF(U25&lt;=32,32,IF(U25&lt;=40,40,IF(U25&lt;=50,50,IF(U25&lt;=63,63,IF(U25&lt;=80,80,IF(U25&lt;=100,100,IF(U25&lt;=125,125,IF(U25&lt;=160,160,IF(U25&lt;=200,200,IF(U25&lt;=250,250,IF(U25&lt;=400,400,IF(U25&lt;=500,500,IF(U25&lt;=600,600,"др.авт")))))))))))))))</f>
        <v>40</v>
      </c>
      <c r="BE25" t="str">
        <f>VLOOKUP(BD25,systeme!$A$16:$B$30,2,0)</f>
        <v>SPC100F040L3DF</v>
      </c>
      <c r="BF25">
        <f t="shared" ref="BF25" si="149">IF(U25&lt;=16,16,IF(U25&lt;=25,25,IF(U25&lt;=32,32,IF(U25&lt;=40,40,IF(U25&lt;=50,50,IF(U25&lt;=63,63,IF(U25&lt;=80,80,IF(U25&lt;=100,100,IF(U25&lt;=125,125,IF(U25&lt;=160,160,IF(U25&lt;=200,200,IF(U25&lt;=225,225,IF(U25&lt;=250,250,IF(U25&lt;=315,315,IF(U25&lt;=350,350,IF(U25&lt;=400,400,IF(U25&lt;=500,500,IF(U25&lt;=630,630,"др.выкл"))))))))))))))))))</f>
        <v>40</v>
      </c>
      <c r="BG25" s="4">
        <f>VLOOKUP(BF25,chint!$A$14:$B$31,2,0)</f>
        <v>271585</v>
      </c>
      <c r="BH25">
        <f t="shared" ref="BH25" si="150">IF(U25&lt;=6,6,IF(U25&lt;=10,10,IF(U25&lt;=16,16,IF(U25&lt;=20,20,IF(U25&lt;=25,25,IF(U25&lt;=32,32,IF(U25&lt;=40,40,IF(U25&lt;=50,50,IF(U25&lt;=63,63,"др.выкл")))))))))</f>
        <v>40</v>
      </c>
      <c r="BI25" t="e">
        <f>INDEX(КЭАЗ!$B$2:$E$14,MATCH(BH25,КЭАЗ!$A$2:$A$14,0),MATCH(X25,КЭАЗ!$B$1:$D$1,0))</f>
        <v>#N/A</v>
      </c>
      <c r="BJ25">
        <f t="shared" ref="BJ25" si="151">IF(U25&lt;=6,6,IF(U25&lt;=10,10,IF(U25&lt;=16,16,IF(U25&lt;=20,20,IF(U25&lt;=25,25,IF(U25&lt;=32,32,IF(U25&lt;=40,40,IF(U25&lt;=50,50,IF(U25&lt;=63,63,IF(U25&lt;=80,80,IF(U25&lt;=100,100,IF(U25&lt;=125,125,"др.выкл"))))))))))))</f>
        <v>40</v>
      </c>
      <c r="BK25" t="str">
        <f>INDEX(hy!$B$2:$D$18,MATCH(BJ25,hy!$A$2:$A$18,0),MATCH(X25,hy!$B$1:$D$1,0))</f>
        <v>HGD63M 3PMCS0000C 00040</v>
      </c>
      <c r="BL25" t="str">
        <f>VLOOKUP(BJ25,hy!$G$2:$H$15,2,0)</f>
        <v>HRO63M 1NG4С0000C00040G</v>
      </c>
      <c r="BM25" t="str">
        <f t="shared" ref="BM25" si="152">IF(U25&lt;=0.16,0.16,IF(U25&lt;=0.25,0.25,IF(U25&lt;=0.4,0.4,IF(U25&lt;=0.63,0.63,IF(U25&lt;=1,1,IF(U25&lt;=1.6,1.6,IF(U25&lt;=2.5,2.5,IF(U25&lt;=4,4,IF(U25&lt;=6.3,6.3,IF(U25&lt;=10,10,IF(U25&lt;=14,14,IF(U25&lt;=18,18,IF(U25&lt;=23,23,IF(U25&lt;=25,25,IF(U25&lt;=32,32,"др.авт")))))))))))))))</f>
        <v>др.авт</v>
      </c>
      <c r="BN25" t="e">
        <f>VLOOKUP(BM25,hy!$A$41:$B$55,2,0)</f>
        <v>#N/A</v>
      </c>
      <c r="BO25">
        <f t="shared" ref="BO25" si="153">IF(U25&lt;=100,100,IF(U25&lt;=125,125,IF(U25&lt;=150,150,IF(U25&lt;=160,160,IF(U25&lt;=175,175,IF(U25&lt;=200,200,IF(U25&lt;=225,225,IF(U25&lt;=250,250,IF(U25&lt;=300,300,IF(U25&lt;=350,350,IF(U25&lt;=400,400,IF(U25&lt;=500,500,IF(U25&lt;=630,630,IF(U25&lt;=700,700,IF(U25&lt;=800,800,"др.выкл")))))))))))))))</f>
        <v>100</v>
      </c>
      <c r="BP25" t="str">
        <f>VLOOKUP(BO25,hy!$A$21:$B$35,2,0)</f>
        <v>HGP100S-G 3PT4S0000C 00100H</v>
      </c>
      <c r="BQ25" s="89">
        <f>IF($W25=автоматы!$D$45,Z25,IF($W25=автоматы!$D$46,AF25,IF($W25=автоматы!$D$47,AH25,IF($W25=автоматы!$D$48,AB25,IF($W25=автоматы!$D$49,AJ25,IF($W25=автоматы!$D$50,AD25,IF($W25=автоматы!$D$51,BI25,IF($W25=автоматы!$D$52,AR25,IF($W25=автоматы!$D$53,AS25,IF($W25=автоматы!$D$54,AW25,IF($W25=автоматы!$D$55,AL25,IF($W25=автоматы!$D$56,BC25,IF($W25=автоматы!$D$57,AT25,IF($W25=автоматы!$D$58,AY25,IF($W25=автоматы!$D$59,AN25,IF($W25=автоматы!$D$60,BE25,IF($W25=автоматы!$D$61,AU25,IF($W25=автоматы!$D$62,BA25,IF($W25=автоматы!$D$63,AP25,IF($W25=автоматы!$D$64,BG25,IF($W25=автоматы!$D$65,BK25,IF($W25=автоматы!$D$66,BL25,IF($W25=автоматы!$D$67,BN25,IF($W25=автоматы!$D$68,BP25,"др"))))))))))))))))))))))))</f>
        <v>179707</v>
      </c>
      <c r="BR25" s="89">
        <f>IF($W25=автоматы!$D$45,Y25,IF($W25=автоматы!$D$46,AE25,IF($W25=автоматы!$D$47,AG25,IF($W25=автоматы!$D$48,AA25,IF($W25=автоматы!$D$49,AI25,IF($W25=автоматы!$D$50,AC25,IF($W25=автоматы!$D$51,BH25,IF($W25=автоматы!$D$52,AQ25,IF($W25=автоматы!$D$53,AQ25,IF($W25=автоматы!$D$54,AV25,IF($W25=автоматы!$D$55,AK25,IF($W25=автоматы!$D$56,BB25,IF($W25=автоматы!$D$57,AQ25,IF($W25=автоматы!$D$58,AX25,IF($W25=автоматы!$D$59,AM25,IF($W25=автоматы!$D$60,BD25,IF($W25=автоматы!$D$61,AQ25,IF($W25=автоматы!$D$62,AZ25,IF($W25=автоматы!$D$63,AO25,IF($W25=автоматы!$D$64,BF25,IF($W25=автоматы!$D$65,BJ25,IF($W25=автоматы!$D$66,BJ25,IF($W25=автоматы!$D$67,BM25,IF($W25=автоматы!$D$68,BO25,"др"))))))))))))))))))))))))</f>
        <v>40</v>
      </c>
      <c r="BS25" s="89" t="str">
        <f>CONCATENATE(IF($W25=автоматы!$A$1,Y25,IF($W25=автоматы!$H$1,VLOOKUP(AA25,автоматы!$H$3:$K$17,3,0),IF($W25=автоматы!$N$1,VLOOKUP(AC25,автоматы!$N$3:$Q$19,3,0),IF($W25=автоматы!$S$17,AE25,IF($W25=автоматы!$Z$1,AG25,IF($W25=автоматы!$AE$1,AI25,"др"))))))," А")</f>
        <v>др А</v>
      </c>
      <c r="BT25" s="89" t="str">
        <f>IF($W25=автоматы!$A$1,Y25*10,IF($W25=автоматы!$H$1,VLOOKUP(AA25,автоматы!$H$3:$K$17,4,0),IF($W25=автоматы!$N$1,VLOOKUP(AC25,автоматы!$N$3:$Q$19,4,0),IF($W25=автоматы!$S$17,AE25*10,IF($W25=автоматы!$Z$1,AG25*10,IF($W25=автоматы!$AE$1,AI25*10,"др"))))))</f>
        <v>др</v>
      </c>
      <c r="BU25" s="85"/>
      <c r="BV25" s="90" t="s">
        <v>147</v>
      </c>
      <c r="BW25" s="90">
        <v>1</v>
      </c>
      <c r="BX25" s="91">
        <v>5</v>
      </c>
      <c r="BY25" s="92">
        <v>2.5</v>
      </c>
      <c r="BZ25" s="91">
        <f>HLOOKUP(BV25,каталог!$CG$1:$CO$22,MATCH(BY25,каталог!$CF$1:$CF$22,0),0)*BW25</f>
        <v>25</v>
      </c>
      <c r="CA25" s="87" t="str">
        <f t="shared" si="132"/>
        <v>нГ4</v>
      </c>
      <c r="CB25" s="87" t="str">
        <f t="shared" ref="CB25" si="154">CONCATENATE(BV25," ",BX25,"x",BY25)</f>
        <v>ВВГнг(А)-LS 5x2,5</v>
      </c>
      <c r="CC25" s="87"/>
      <c r="CF25" s="174"/>
    </row>
    <row r="26" spans="1:84" ht="14.5">
      <c r="A26" s="102">
        <v>11</v>
      </c>
      <c r="B26" s="94">
        <v>100</v>
      </c>
      <c r="C26" s="103" t="s">
        <v>1001</v>
      </c>
      <c r="D26" s="100" t="s">
        <v>1002</v>
      </c>
      <c r="E26" s="95">
        <v>220</v>
      </c>
      <c r="F26" s="19" t="s">
        <v>890</v>
      </c>
      <c r="G26" s="96">
        <v>0.1</v>
      </c>
      <c r="H26" s="96">
        <f t="shared" si="0"/>
        <v>0.90909090909090917</v>
      </c>
      <c r="I26" s="95">
        <v>1</v>
      </c>
      <c r="J26" s="96">
        <v>0.5</v>
      </c>
      <c r="K26" s="96">
        <f t="shared" si="94"/>
        <v>1.73</v>
      </c>
      <c r="L26" s="97">
        <f t="shared" si="28"/>
        <v>0.1</v>
      </c>
      <c r="M26" s="97">
        <f t="shared" si="29"/>
        <v>0.17300000000000001</v>
      </c>
      <c r="N26" s="97">
        <f t="shared" si="30"/>
        <v>1.0000000000000002E-2</v>
      </c>
      <c r="O26" s="118"/>
      <c r="P26" s="118"/>
      <c r="Q26" s="118"/>
      <c r="R26" s="118"/>
      <c r="S26" s="118"/>
      <c r="T26" s="118"/>
      <c r="U26" s="86">
        <f>6*1.2</f>
        <v>7.1999999999999993</v>
      </c>
      <c r="V26" s="86">
        <f t="shared" ref="V26:V27" si="155">7*H26</f>
        <v>6.3636363636363642</v>
      </c>
      <c r="W26" s="116" t="s">
        <v>872</v>
      </c>
      <c r="X26" s="87" t="s">
        <v>300</v>
      </c>
      <c r="Y26" s="87">
        <f t="shared" ref="Y26:Y27" si="156">IF(U26&lt;=6,6,IF(U26&lt;=10,10,IF(U26&lt;=16,16,IF(U26&lt;=20,20,IF(U26&lt;=25,25,IF(U26&lt;=32,32,IF(U26&lt;=40,40,IF(U26&lt;=50,50,IF(U26&lt;=63,63,"др.выкл")))))))))</f>
        <v>10</v>
      </c>
      <c r="Z26" s="87" t="str">
        <f>INDEX(автоматы!$B$3:$D$11,MATCH(Y26,автоматы!$A$3:$A$11,0),MATCH(X26,кол_пол,0))</f>
        <v>EZ9F34110</v>
      </c>
      <c r="AA26" s="87">
        <f t="shared" ref="AA26:AA27" si="157">IF(U26&lt;=0.16,0.16,IF(U26&lt;=0.25,0.25,IF(U26&lt;=0.4,0.4,IF(U26&lt;=0.63,0.63,IF(U26&lt;=1,1,IF(U26&lt;=1.6,1.6,IF(U26&lt;=2.5,2.5,IF(U26&lt;=4,4,IF(U26&lt;=6.3,6.3,IF(U26&lt;=10,10,IF(U26&lt;=14,14,IF(U26&lt;=18,18,IF(U26&lt;=23,23,IF(U26&lt;=25,25,IF(U26&lt;=32,32,"др.авт")))))))))))))))</f>
        <v>10</v>
      </c>
      <c r="AB26" s="87" t="str">
        <f>VLOOKUP(AA26,автоматы!$H$3:$I$17,2,0)</f>
        <v>GZ1 E14</v>
      </c>
      <c r="AC26" s="87">
        <f t="shared" ref="AC26:AC27" si="158">IF(U26&lt;=20,20,IF(U26&lt;=25,25,IF(U26&lt;=32,32,IF(U26&lt;=40,40,IF(U26&lt;=50,50,IF(U26&lt;=63,63,IF(U26&lt;=80,80,IF(U26&lt;=100,100,IF(U26&lt;=125,125,IF(U26&lt;=160,160,IF(U26&lt;=200,200,IF(U26&lt;=250,250,IF(U26&lt;=300,300,IF(U26&lt;=320,320,IF(U26&lt;=400,400,IF(U26&lt;=500,500,IF(U26&lt;=630,630,"др.авт")))))))))))))))))</f>
        <v>20</v>
      </c>
      <c r="AD26" s="87" t="str">
        <f>VLOOKUP(AC26,автоматы!$N$3:$O$19,2,0)</f>
        <v>LZMB1-A20-I</v>
      </c>
      <c r="AE26" s="88">
        <f t="shared" ref="AE26:AE27" si="159">IF(U26&lt;=6,6,IF(U26&lt;=10,10,IF(U26&lt;=16,16,IF(U26&lt;=20,20,IF(U26&lt;=25,25,IF(U26&lt;=32,32,IF(U26&lt;=40,40,IF(U26&lt;=50,50,IF(U26&lt;=63,63,"др.выкл")))))))))</f>
        <v>10</v>
      </c>
      <c r="AF26" s="87" t="str">
        <f>INDEX(автоматы!$T$2:$V$15,MATCH(AE26,автоматы!$S$2:$S$15,0),MATCH(X26,автоматы!$T$1:$V$1,0))</f>
        <v>iC60N C10 1P</v>
      </c>
      <c r="AG26" s="87">
        <f t="shared" ref="AG26:AG27" si="160">IF(U26&lt;=6,6,IF(U26&lt;=10,10,IF(U26&lt;=16,16,IF(U26&lt;=20,20,IF(U26&lt;=25,25,IF(U26&lt;=32,32,IF(U26&lt;=40,40,"др.выкл")))))))</f>
        <v>10</v>
      </c>
      <c r="AH26" s="87" t="str">
        <f>VLOOKUP(AG26,автоматы!$Z$3:$AA$9,2,0)</f>
        <v>A9D31610</v>
      </c>
      <c r="AI26" s="2">
        <f t="shared" ref="AI26:AI27" si="161">IF(U26&lt;=15,15,IF(U26&lt;=16,16,IF(U26&lt;=20,20,IF(U26&lt;=25,25,IF(U26&lt;=32,32,IF(U26&lt;=40,40,IF(U26&lt;=45,45,IF(U26&lt;=50,50,IF(U26&lt;=60,60,IF(U26&lt;=63,63,IF(U26&lt;=75,75,IF(U26&lt;=80,80,IF(U26&lt;=100,100,IF(U26&lt;=125,125,IF(U26&lt;=150,150,IF(U26&lt;=160,160,IF(U26&lt;=175,175,IF(U26&lt;=200,200,IF(U26&lt;=225,225,IF(U26&lt;=250,250,IF(U26&lt;=320,320,IF(U26&lt;=350,350,IF(U26&lt;=400,400,"др.выкл")))))))))))))))))))))))</f>
        <v>15</v>
      </c>
      <c r="AJ26" t="str">
        <f>VLOOKUP(AI26,автоматы!$AE$3:$AF$26,2,0)</f>
        <v>EZC100F3015</v>
      </c>
      <c r="AK26" s="3">
        <f t="shared" ref="AK26:AK27" si="162">IF(U26&lt;=0.16,0.16,IF(U26&lt;=0.25,0.25,IF(U26&lt;=0.4,0.4,IF(U26&lt;=0.63,0.63,IF(U26&lt;=1,1,IF(U26&lt;=1.6,1.6,IF(U26&lt;=2.5,2.5,IF(U26&lt;=4,4,IF(U26&lt;=6.3,6.3,IF(U26&lt;=10,10,IF(U26&lt;=14,14,IF(U26&lt;=18,18,IF(U26&lt;=23,23,IF(U26&lt;=25,25,IF(U26&lt;=32,32,"др.авт")))))))))))))))</f>
        <v>10</v>
      </c>
      <c r="AL26" t="str">
        <f>VLOOKUP(AK26,DEKraft!$I$2:$J$16,2,0)</f>
        <v>21229DEK</v>
      </c>
      <c r="AM26">
        <f t="shared" ref="AM26:AM27" si="163">IF(U26&lt;=0.16,0.16,IF(U26&lt;=0.25,0.25,IF(U26&lt;=0.4,0.4,IF(U26&lt;=0.63,0.63,IF(U26&lt;=1,1,IF(U26&lt;=1.6,1.6,IF(U26&lt;=2.5,2.5,IF(U26&lt;=4,4,IF(U26&lt;=6.3,6.3,IF(U26&lt;=10,10,IF(U26&lt;=14,14,IF(U26&lt;=18,18,IF(U26&lt;=23,23,IF(U26&lt;=25,25,IF(U26&lt;=32,32,"др.авт")))))))))))))))</f>
        <v>10</v>
      </c>
      <c r="AN26" t="str">
        <f>VLOOKUP(AM26,systeme!$A$33:$B$47,2,0)</f>
        <v>GM2ME14</v>
      </c>
      <c r="AO26">
        <f t="shared" ref="AO26:AO27" si="164">IF(U26&lt;=0.16,0.16,IF(U26&lt;=0.25,0.25,IF(U26&lt;=0.4,0.4,IF(U26&lt;=0.63,0.63,IF(U26&lt;=1,1,IF(U26&lt;=1.6,1.6,IF(U26&lt;=2.5,2.5,IF(U26&lt;=4,4,IF(U26&lt;=6.3,6.3,IF(U26&lt;=10,10,IF(U26&lt;=14,14,IF(U26&lt;=18,18,IF(U26&lt;=23,23,IF(U26&lt;=25,25,IF(U26&lt;=32,32,"др.авт")))))))))))))))</f>
        <v>10</v>
      </c>
      <c r="AP26">
        <f>VLOOKUP(AO26,chint!$A$34:$B$48,2,0)</f>
        <v>495081</v>
      </c>
      <c r="AQ26" s="3">
        <f t="shared" ref="AQ26:AQ27" si="165">IF(U26&lt;=6,6,IF(U26&lt;=10,10,IF(U26&lt;=16,16,IF(U26&lt;=20,20,IF(U26&lt;=25,25,IF(U26&lt;=32,32,IF(U26&lt;=40,40,IF(U26&lt;=50,50,IF(U26&lt;=63,63,"др.выкл")))))))))</f>
        <v>10</v>
      </c>
      <c r="AR26" t="str">
        <f>INDEX(DEKraft!$B$2:$D$13,MATCH(AQ26,DEKraft!$A$2:$A$13,0),MATCH(X26,DEKraft!$B$1:$D$1,0))</f>
        <v>13152DEK</v>
      </c>
      <c r="AS26" t="str">
        <f>INDEX(DEKraft!$B$21:$D$32,MATCH(AQ26,DEKraft!$A$21:$A$32,0),MATCH(X26,DEKraft!$B$20:$D$20,0))</f>
        <v>12271DEK</v>
      </c>
      <c r="AT26" t="str">
        <f>INDEX(systeme!$B$2:$D$10,MATCH(AQ26,systeme!$A$2:$A$10,0),MATCH(X26,systeme!$B$1:$D$1,0))</f>
        <v>C9F36110</v>
      </c>
      <c r="AU26">
        <f>INDEX(chint!$B$2:$D$10,MATCH(AQ26,chint!$A$2:$A$10,0),MATCH(X26,chint!$B$1:$D$1,0))</f>
        <v>179614</v>
      </c>
      <c r="AV26" s="3">
        <f t="shared" ref="AV26:AV27" si="166">IF(U26&lt;=6,6,IF(U26&lt;=10,10,IF(U26&lt;=16,16,IF(U26&lt;=20,20,IF(U26&lt;=25,25,IF(U26&lt;=32,32,IF(U26&lt;=40,40,"др.выкл")))))))</f>
        <v>10</v>
      </c>
      <c r="AW26" t="str">
        <f>VLOOKUP(AV26,DEKraft!$A$41:$B$47,2,0)</f>
        <v>16203DEK</v>
      </c>
      <c r="AX26">
        <f t="shared" ref="AX26:AX27" si="167">IF(U26&lt;=10,10,IF(U26&lt;=16,16,IF(U26&lt;=20,20,IF(U26&lt;=25,25,IF(U26&lt;=32,32,IF(U26&lt;=40,40,"др.выкл"))))))</f>
        <v>10</v>
      </c>
      <c r="AY26" t="str">
        <f>VLOOKUP(AX26,systeme!$G$2:$H$7,2,0)</f>
        <v>C9D36610</v>
      </c>
      <c r="AZ26">
        <f t="shared" ref="AZ26:AZ27" si="168">IF(U26&lt;=6,6,IF(U26&lt;=10,10,IF(U26&lt;=16,16,IF(U26&lt;=20,20,IF(U26&lt;=25,25,IF(U26&lt;=32,32,IF(U26&lt;=40,40,"др.выкл")))))))</f>
        <v>10</v>
      </c>
      <c r="BA26">
        <f>VLOOKUP(AV26,chint!$G$2:$H$8,2,0)</f>
        <v>689001</v>
      </c>
      <c r="BB26" s="3">
        <f t="shared" ref="BB26:BB27" si="169">IF(U26&lt;=25,25,IF(U26&lt;=32,32,IF(U26&lt;=40,40,IF(U26&lt;=50,50,IF(U26&lt;=63,63,IF(U26&lt;=80,80,IF(U26&lt;=100,100,IF(U26&lt;=125,125,IF(U26&lt;=140,140,IF(U26&lt;=160,160,IF(U26&lt;=200,200,IF(U26&lt;=250,250,IF(U26&lt;=320,320,IF(U26&lt;=400,400,IF(U26&lt;=500,500,IF(U26&lt;=630,630,"др.выкл"))))))))))))))))</f>
        <v>25</v>
      </c>
      <c r="BC26" t="str">
        <f>VLOOKUP(BB26,DEKraft!$I$21:$J$36,2,0)</f>
        <v>28100DEK</v>
      </c>
      <c r="BD26">
        <f t="shared" ref="BD26:BD27" si="170">IF(U26&lt;=16,16,IF(U26&lt;=25,25,IF(U26&lt;=32,32,IF(U26&lt;=40,40,IF(U26&lt;=50,50,IF(U26&lt;=63,63,IF(U26&lt;=80,80,IF(U26&lt;=100,100,IF(U26&lt;=125,125,IF(U26&lt;=160,160,IF(U26&lt;=200,200,IF(U26&lt;=250,250,IF(U26&lt;=400,400,IF(U26&lt;=500,500,IF(U26&lt;=600,600,"др.авт")))))))))))))))</f>
        <v>16</v>
      </c>
      <c r="BE26" t="str">
        <f>VLOOKUP(BD26,systeme!$A$16:$B$30,2,0)</f>
        <v>SPC100F016L3DF</v>
      </c>
      <c r="BF26">
        <f t="shared" ref="BF26:BF27" si="171">IF(U26&lt;=16,16,IF(U26&lt;=25,25,IF(U26&lt;=32,32,IF(U26&lt;=40,40,IF(U26&lt;=50,50,IF(U26&lt;=63,63,IF(U26&lt;=80,80,IF(U26&lt;=100,100,IF(U26&lt;=125,125,IF(U26&lt;=160,160,IF(U26&lt;=200,200,IF(U26&lt;=225,225,IF(U26&lt;=250,250,IF(U26&lt;=315,315,IF(U26&lt;=350,350,IF(U26&lt;=400,400,IF(U26&lt;=500,500,IF(U26&lt;=630,630,"др.выкл"))))))))))))))))))</f>
        <v>16</v>
      </c>
      <c r="BG26" s="4">
        <f>VLOOKUP(BF26,chint!$A$14:$B$31,2,0)</f>
        <v>271581</v>
      </c>
      <c r="BH26">
        <f t="shared" ref="BH26:BH27" si="172">IF(U26&lt;=6,6,IF(U26&lt;=10,10,IF(U26&lt;=16,16,IF(U26&lt;=20,20,IF(U26&lt;=25,25,IF(U26&lt;=32,32,IF(U26&lt;=40,40,IF(U26&lt;=50,50,IF(U26&lt;=63,63,"др.выкл")))))))))</f>
        <v>10</v>
      </c>
      <c r="BI26" t="str">
        <f>INDEX(КЭАЗ!$B$2:$E$14,MATCH(BH26,КЭАЗ!$A$2:$A$14,0),MATCH(X26,КЭАЗ!$B$1:$D$1,0))</f>
        <v>kea.341879</v>
      </c>
      <c r="BJ26">
        <f t="shared" ref="BJ26:BJ27" si="173">IF(U26&lt;=6,6,IF(U26&lt;=10,10,IF(U26&lt;=16,16,IF(U26&lt;=20,20,IF(U26&lt;=25,25,IF(U26&lt;=32,32,IF(U26&lt;=40,40,IF(U26&lt;=50,50,IF(U26&lt;=63,63,IF(U26&lt;=80,80,IF(U26&lt;=100,100,IF(U26&lt;=125,125,"др.выкл"))))))))))))</f>
        <v>10</v>
      </c>
      <c r="BK26" t="str">
        <f>INDEX(hy!$B$2:$D$18,MATCH(BJ26,hy!$A$2:$A$18,0),MATCH(X26,hy!$B$1:$D$1,0))</f>
        <v>HGD63M 1PMCS0000C 00010</v>
      </c>
      <c r="BL26" t="str">
        <f>VLOOKUP(BJ26,hy!$G$2:$H$15,2,0)</f>
        <v>HRO63M 1NG4С0000C00010G</v>
      </c>
      <c r="BM26">
        <f t="shared" ref="BM26:BM27" si="174">IF(U26&lt;=0.16,0.16,IF(U26&lt;=0.25,0.25,IF(U26&lt;=0.4,0.4,IF(U26&lt;=0.63,0.63,IF(U26&lt;=1,1,IF(U26&lt;=1.6,1.6,IF(U26&lt;=2.5,2.5,IF(U26&lt;=4,4,IF(U26&lt;=6.3,6.3,IF(U26&lt;=10,10,IF(U26&lt;=14,14,IF(U26&lt;=18,18,IF(U26&lt;=23,23,IF(U26&lt;=25,25,IF(U26&lt;=32,32,"др.авт")))))))))))))))</f>
        <v>10</v>
      </c>
      <c r="BN26" t="str">
        <f>VLOOKUP(BM26,hy!$A$41:$B$55,2,0)</f>
        <v>MMS32K 0010</v>
      </c>
      <c r="BO26">
        <f t="shared" ref="BO26:BO27" si="175">IF(U26&lt;=100,100,IF(U26&lt;=125,125,IF(U26&lt;=150,150,IF(U26&lt;=160,160,IF(U26&lt;=175,175,IF(U26&lt;=200,200,IF(U26&lt;=225,225,IF(U26&lt;=250,250,IF(U26&lt;=300,300,IF(U26&lt;=350,350,IF(U26&lt;=400,400,IF(U26&lt;=500,500,IF(U26&lt;=630,630,IF(U26&lt;=700,700,IF(U26&lt;=800,800,"др.выкл")))))))))))))))</f>
        <v>100</v>
      </c>
      <c r="BP26" t="str">
        <f>VLOOKUP(BO26,hy!$A$21:$B$35,2,0)</f>
        <v>HGP100S-G 3PT4S0000C 00100H</v>
      </c>
      <c r="BQ26" s="89">
        <f>IF($W26=автоматы!$D$45,Z26,IF($W26=автоматы!$D$46,AF26,IF($W26=автоматы!$D$47,AH26,IF($W26=автоматы!$D$48,AB26,IF($W26=автоматы!$D$49,AJ26,IF($W26=автоматы!$D$50,AD26,IF($W26=автоматы!$D$51,BI26,IF($W26=автоматы!$D$52,AR26,IF($W26=автоматы!$D$53,AS26,IF($W26=автоматы!$D$54,AW26,IF($W26=автоматы!$D$55,AL26,IF($W26=автоматы!$D$56,BC26,IF($W26=автоматы!$D$57,AT26,IF($W26=автоматы!$D$58,AY26,IF($W26=автоматы!$D$59,AN26,IF($W26=автоматы!$D$60,BE26,IF($W26=автоматы!$D$61,AU26,IF($W26=автоматы!$D$62,BA26,IF($W26=автоматы!$D$63,AP26,IF($W26=автоматы!$D$64,BG26,IF($W26=автоматы!$D$65,BK26,IF($W26=автоматы!$D$66,BL26,IF($W26=автоматы!$D$67,BN26,IF($W26=автоматы!$D$68,BP26,"др"))))))))))))))))))))))))</f>
        <v>179614</v>
      </c>
      <c r="BR26" s="89">
        <f>IF($W26=автоматы!$D$45,Y26,IF($W26=автоматы!$D$46,AE26,IF($W26=автоматы!$D$47,AG26,IF($W26=автоматы!$D$48,AA26,IF($W26=автоматы!$D$49,AI26,IF($W26=автоматы!$D$50,AC26,IF($W26=автоматы!$D$51,BH26,IF($W26=автоматы!$D$52,AQ26,IF($W26=автоматы!$D$53,AQ26,IF($W26=автоматы!$D$54,AV26,IF($W26=автоматы!$D$55,AK26,IF($W26=автоматы!$D$56,BB26,IF($W26=автоматы!$D$57,AQ26,IF($W26=автоматы!$D$58,AX26,IF($W26=автоматы!$D$59,AM26,IF($W26=автоматы!$D$60,BD26,IF($W26=автоматы!$D$61,AQ26,IF($W26=автоматы!$D$62,AZ26,IF($W26=автоматы!$D$63,AO26,IF($W26=автоматы!$D$64,BF26,IF($W26=автоматы!$D$65,BJ26,IF($W26=автоматы!$D$66,BJ26,IF($W26=автоматы!$D$67,BM26,IF($W26=автоматы!$D$68,BO26,"др"))))))))))))))))))))))))</f>
        <v>10</v>
      </c>
      <c r="BS26" s="89" t="str">
        <f>CONCATENATE(IF($W26=автоматы!$A$1,Y26,IF($W26=автоматы!$H$1,VLOOKUP(AA26,автоматы!$H$3:$K$17,3,0),IF($W26=автоматы!$N$1,VLOOKUP(AC26,автоматы!$N$3:$Q$19,3,0),IF($W26=автоматы!$S$17,AE26,IF($W26=автоматы!$Z$1,AG26,IF($W26=автоматы!$AE$1,AI26,"др"))))))," А")</f>
        <v>др А</v>
      </c>
      <c r="BT26" s="89" t="str">
        <f>IF($W26=автоматы!$A$1,Y26*10,IF($W26=автоматы!$H$1,VLOOKUP(AA26,автоматы!$H$3:$K$17,4,0),IF($W26=автоматы!$N$1,VLOOKUP(AC26,автоматы!$N$3:$Q$19,4,0),IF($W26=автоматы!$S$17,AE26*10,IF($W26=автоматы!$Z$1,AG26*10,IF($W26=автоматы!$AE$1,AI26*10,"др"))))))</f>
        <v>др</v>
      </c>
      <c r="BU26" s="85"/>
      <c r="BV26" s="90" t="s">
        <v>147</v>
      </c>
      <c r="BW26" s="90">
        <v>1</v>
      </c>
      <c r="BX26" s="91">
        <v>3</v>
      </c>
      <c r="BY26" s="92">
        <v>1.5</v>
      </c>
      <c r="BZ26" s="91">
        <f>HLOOKUP(BV26,каталог!$CG$1:$CO$22,MATCH(BY26,каталог!$CF$1:$CF$22,0),0)*BW26</f>
        <v>19</v>
      </c>
      <c r="CA26" s="87" t="str">
        <f t="shared" ref="CA26:CA27" si="176">CONCATENATE("н",C26,"")</f>
        <v>нШК1</v>
      </c>
      <c r="CB26" s="87" t="str">
        <f t="shared" ref="CB26:CB27" si="177">CONCATENATE(BV26," ",BX26,"x",BY26)</f>
        <v>ВВГнг(А)-LS 3x1,5</v>
      </c>
      <c r="CC26" s="87"/>
      <c r="CF26" s="174"/>
    </row>
    <row r="27" spans="1:84" ht="14.5">
      <c r="A27" s="102">
        <v>12</v>
      </c>
      <c r="B27" s="94">
        <v>100</v>
      </c>
      <c r="C27" s="103" t="s">
        <v>1003</v>
      </c>
      <c r="D27" s="100" t="s">
        <v>1004</v>
      </c>
      <c r="E27" s="95">
        <v>220</v>
      </c>
      <c r="F27" s="19" t="s">
        <v>888</v>
      </c>
      <c r="G27" s="96">
        <v>0.1</v>
      </c>
      <c r="H27" s="96">
        <f t="shared" si="0"/>
        <v>0.90909090909090917</v>
      </c>
      <c r="I27" s="95">
        <v>1</v>
      </c>
      <c r="J27" s="96">
        <v>0.5</v>
      </c>
      <c r="K27" s="96">
        <f t="shared" si="94"/>
        <v>1.73</v>
      </c>
      <c r="L27" s="97">
        <f t="shared" si="28"/>
        <v>0.1</v>
      </c>
      <c r="M27" s="97">
        <f t="shared" si="29"/>
        <v>0.17300000000000001</v>
      </c>
      <c r="N27" s="97">
        <f t="shared" si="30"/>
        <v>1.0000000000000002E-2</v>
      </c>
      <c r="O27" s="118"/>
      <c r="P27" s="118"/>
      <c r="Q27" s="118"/>
      <c r="R27" s="118"/>
      <c r="S27" s="118"/>
      <c r="T27" s="118"/>
      <c r="U27" s="86">
        <f>6*1.2</f>
        <v>7.1999999999999993</v>
      </c>
      <c r="V27" s="86">
        <f t="shared" si="155"/>
        <v>6.3636363636363642</v>
      </c>
      <c r="W27" s="116" t="s">
        <v>872</v>
      </c>
      <c r="X27" s="87" t="s">
        <v>300</v>
      </c>
      <c r="Y27" s="87">
        <f t="shared" si="156"/>
        <v>10</v>
      </c>
      <c r="Z27" s="87" t="str">
        <f>INDEX(автоматы!$B$3:$D$11,MATCH(Y27,автоматы!$A$3:$A$11,0),MATCH(X27,кол_пол,0))</f>
        <v>EZ9F34110</v>
      </c>
      <c r="AA27" s="87">
        <f t="shared" si="157"/>
        <v>10</v>
      </c>
      <c r="AB27" s="87" t="str">
        <f>VLOOKUP(AA27,автоматы!$H$3:$I$17,2,0)</f>
        <v>GZ1 E14</v>
      </c>
      <c r="AC27" s="87">
        <f t="shared" si="158"/>
        <v>20</v>
      </c>
      <c r="AD27" s="87" t="str">
        <f>VLOOKUP(AC27,автоматы!$N$3:$O$19,2,0)</f>
        <v>LZMB1-A20-I</v>
      </c>
      <c r="AE27" s="88">
        <f t="shared" si="159"/>
        <v>10</v>
      </c>
      <c r="AF27" s="87" t="str">
        <f>INDEX(автоматы!$T$2:$V$15,MATCH(AE27,автоматы!$S$2:$S$15,0),MATCH(X27,автоматы!$T$1:$V$1,0))</f>
        <v>iC60N C10 1P</v>
      </c>
      <c r="AG27" s="87">
        <f t="shared" si="160"/>
        <v>10</v>
      </c>
      <c r="AH27" s="87" t="str">
        <f>VLOOKUP(AG27,автоматы!$Z$3:$AA$9,2,0)</f>
        <v>A9D31610</v>
      </c>
      <c r="AI27" s="2">
        <f t="shared" si="161"/>
        <v>15</v>
      </c>
      <c r="AJ27" t="str">
        <f>VLOOKUP(AI27,автоматы!$AE$3:$AF$26,2,0)</f>
        <v>EZC100F3015</v>
      </c>
      <c r="AK27" s="3">
        <f t="shared" si="162"/>
        <v>10</v>
      </c>
      <c r="AL27" t="str">
        <f>VLOOKUP(AK27,DEKraft!$I$2:$J$16,2,0)</f>
        <v>21229DEK</v>
      </c>
      <c r="AM27">
        <f t="shared" si="163"/>
        <v>10</v>
      </c>
      <c r="AN27" t="str">
        <f>VLOOKUP(AM27,systeme!$A$33:$B$47,2,0)</f>
        <v>GM2ME14</v>
      </c>
      <c r="AO27">
        <f t="shared" si="164"/>
        <v>10</v>
      </c>
      <c r="AP27">
        <f>VLOOKUP(AO27,chint!$A$34:$B$48,2,0)</f>
        <v>495081</v>
      </c>
      <c r="AQ27" s="3">
        <f t="shared" si="165"/>
        <v>10</v>
      </c>
      <c r="AR27" t="str">
        <f>INDEX(DEKraft!$B$2:$D$13,MATCH(AQ27,DEKraft!$A$2:$A$13,0),MATCH(X27,DEKraft!$B$1:$D$1,0))</f>
        <v>13152DEK</v>
      </c>
      <c r="AS27" t="str">
        <f>INDEX(DEKraft!$B$21:$D$32,MATCH(AQ27,DEKraft!$A$21:$A$32,0),MATCH(X27,DEKraft!$B$20:$D$20,0))</f>
        <v>12271DEK</v>
      </c>
      <c r="AT27" t="str">
        <f>INDEX(systeme!$B$2:$D$10,MATCH(AQ27,systeme!$A$2:$A$10,0),MATCH(X27,systeme!$B$1:$D$1,0))</f>
        <v>C9F36110</v>
      </c>
      <c r="AU27">
        <f>INDEX(chint!$B$2:$D$10,MATCH(AQ27,chint!$A$2:$A$10,0),MATCH(X27,chint!$B$1:$D$1,0))</f>
        <v>179614</v>
      </c>
      <c r="AV27" s="3">
        <f t="shared" si="166"/>
        <v>10</v>
      </c>
      <c r="AW27" t="str">
        <f>VLOOKUP(AV27,DEKraft!$A$41:$B$47,2,0)</f>
        <v>16203DEK</v>
      </c>
      <c r="AX27">
        <f t="shared" si="167"/>
        <v>10</v>
      </c>
      <c r="AY27" t="str">
        <f>VLOOKUP(AX27,systeme!$G$2:$H$7,2,0)</f>
        <v>C9D36610</v>
      </c>
      <c r="AZ27">
        <f t="shared" si="168"/>
        <v>10</v>
      </c>
      <c r="BA27">
        <f>VLOOKUP(AV27,chint!$G$2:$H$8,2,0)</f>
        <v>689001</v>
      </c>
      <c r="BB27" s="3">
        <f t="shared" si="169"/>
        <v>25</v>
      </c>
      <c r="BC27" t="str">
        <f>VLOOKUP(BB27,DEKraft!$I$21:$J$36,2,0)</f>
        <v>28100DEK</v>
      </c>
      <c r="BD27">
        <f t="shared" si="170"/>
        <v>16</v>
      </c>
      <c r="BE27" t="str">
        <f>VLOOKUP(BD27,systeme!$A$16:$B$30,2,0)</f>
        <v>SPC100F016L3DF</v>
      </c>
      <c r="BF27">
        <f t="shared" si="171"/>
        <v>16</v>
      </c>
      <c r="BG27" s="4">
        <f>VLOOKUP(BF27,chint!$A$14:$B$31,2,0)</f>
        <v>271581</v>
      </c>
      <c r="BH27">
        <f t="shared" si="172"/>
        <v>10</v>
      </c>
      <c r="BI27" t="str">
        <f>INDEX(КЭАЗ!$B$2:$E$14,MATCH(BH27,КЭАЗ!$A$2:$A$14,0),MATCH(X27,КЭАЗ!$B$1:$D$1,0))</f>
        <v>kea.341879</v>
      </c>
      <c r="BJ27">
        <f t="shared" si="173"/>
        <v>10</v>
      </c>
      <c r="BK27" t="str">
        <f>INDEX(hy!$B$2:$D$18,MATCH(BJ27,hy!$A$2:$A$18,0),MATCH(X27,hy!$B$1:$D$1,0))</f>
        <v>HGD63M 1PMCS0000C 00010</v>
      </c>
      <c r="BL27" t="str">
        <f>VLOOKUP(BJ27,hy!$G$2:$H$15,2,0)</f>
        <v>HRO63M 1NG4С0000C00010G</v>
      </c>
      <c r="BM27">
        <f t="shared" si="174"/>
        <v>10</v>
      </c>
      <c r="BN27" t="str">
        <f>VLOOKUP(BM27,hy!$A$41:$B$55,2,0)</f>
        <v>MMS32K 0010</v>
      </c>
      <c r="BO27">
        <f t="shared" si="175"/>
        <v>100</v>
      </c>
      <c r="BP27" t="str">
        <f>VLOOKUP(BO27,hy!$A$21:$B$35,2,0)</f>
        <v>HGP100S-G 3PT4S0000C 00100H</v>
      </c>
      <c r="BQ27" s="89">
        <f>IF($W27=автоматы!$D$45,Z27,IF($W27=автоматы!$D$46,AF27,IF($W27=автоматы!$D$47,AH27,IF($W27=автоматы!$D$48,AB27,IF($W27=автоматы!$D$49,AJ27,IF($W27=автоматы!$D$50,AD27,IF($W27=автоматы!$D$51,BI27,IF($W27=автоматы!$D$52,AR27,IF($W27=автоматы!$D$53,AS27,IF($W27=автоматы!$D$54,AW27,IF($W27=автоматы!$D$55,AL27,IF($W27=автоматы!$D$56,BC27,IF($W27=автоматы!$D$57,AT27,IF($W27=автоматы!$D$58,AY27,IF($W27=автоматы!$D$59,AN27,IF($W27=автоматы!$D$60,BE27,IF($W27=автоматы!$D$61,AU27,IF($W27=автоматы!$D$62,BA27,IF($W27=автоматы!$D$63,AP27,IF($W27=автоматы!$D$64,BG27,IF($W27=автоматы!$D$65,BK27,IF($W27=автоматы!$D$66,BL27,IF($W27=автоматы!$D$67,BN27,IF($W27=автоматы!$D$68,BP27,"др"))))))))))))))))))))))))</f>
        <v>179614</v>
      </c>
      <c r="BR27" s="89">
        <f>IF($W27=автоматы!$D$45,Y27,IF($W27=автоматы!$D$46,AE27,IF($W27=автоматы!$D$47,AG27,IF($W27=автоматы!$D$48,AA27,IF($W27=автоматы!$D$49,AI27,IF($W27=автоматы!$D$50,AC27,IF($W27=автоматы!$D$51,BH27,IF($W27=автоматы!$D$52,AQ27,IF($W27=автоматы!$D$53,AQ27,IF($W27=автоматы!$D$54,AV27,IF($W27=автоматы!$D$55,AK27,IF($W27=автоматы!$D$56,BB27,IF($W27=автоматы!$D$57,AQ27,IF($W27=автоматы!$D$58,AX27,IF($W27=автоматы!$D$59,AM27,IF($W27=автоматы!$D$60,BD27,IF($W27=автоматы!$D$61,AQ27,IF($W27=автоматы!$D$62,AZ27,IF($W27=автоматы!$D$63,AO27,IF($W27=автоматы!$D$64,BF27,IF($W27=автоматы!$D$65,BJ27,IF($W27=автоматы!$D$66,BJ27,IF($W27=автоматы!$D$67,BM27,IF($W27=автоматы!$D$68,BO27,"др"))))))))))))))))))))))))</f>
        <v>10</v>
      </c>
      <c r="BS27" s="89" t="str">
        <f>CONCATENATE(IF($W27=автоматы!$A$1,Y27,IF($W27=автоматы!$H$1,VLOOKUP(AA27,автоматы!$H$3:$K$17,3,0),IF($W27=автоматы!$N$1,VLOOKUP(AC27,автоматы!$N$3:$Q$19,3,0),IF($W27=автоматы!$S$17,AE27,IF($W27=автоматы!$Z$1,AG27,IF($W27=автоматы!$AE$1,AI27,"др"))))))," А")</f>
        <v>др А</v>
      </c>
      <c r="BT27" s="89" t="str">
        <f>IF($W27=автоматы!$A$1,Y27*10,IF($W27=автоматы!$H$1,VLOOKUP(AA27,автоматы!$H$3:$K$17,4,0),IF($W27=автоматы!$N$1,VLOOKUP(AC27,автоматы!$N$3:$Q$19,4,0),IF($W27=автоматы!$S$17,AE27*10,IF($W27=автоматы!$Z$1,AG27*10,IF($W27=автоматы!$AE$1,AI27*10,"др"))))))</f>
        <v>др</v>
      </c>
      <c r="BU27" s="85"/>
      <c r="BV27" s="90" t="s">
        <v>147</v>
      </c>
      <c r="BW27" s="90">
        <v>1</v>
      </c>
      <c r="BX27" s="91">
        <v>3</v>
      </c>
      <c r="BY27" s="92">
        <v>1.5</v>
      </c>
      <c r="BZ27" s="91">
        <f>HLOOKUP(BV27,каталог!$CG$1:$CO$22,MATCH(BY27,каталог!$CF$1:$CF$22,0),0)*BW27</f>
        <v>19</v>
      </c>
      <c r="CA27" s="87" t="str">
        <f t="shared" si="176"/>
        <v>нШК2</v>
      </c>
      <c r="CB27" s="87" t="str">
        <f t="shared" si="177"/>
        <v>ВВГнг(А)-LS 3x1,5</v>
      </c>
      <c r="CC27" s="87"/>
      <c r="CF27" s="174"/>
    </row>
    <row r="28" spans="1:84" ht="14.5">
      <c r="A28" s="102">
        <v>12</v>
      </c>
      <c r="B28" s="94">
        <v>100</v>
      </c>
      <c r="C28" s="103" t="s">
        <v>1018</v>
      </c>
      <c r="D28" s="100" t="s">
        <v>1048</v>
      </c>
      <c r="E28" s="95">
        <v>220</v>
      </c>
      <c r="F28" s="19" t="s">
        <v>888</v>
      </c>
      <c r="G28" s="96">
        <v>0.1</v>
      </c>
      <c r="H28" s="96">
        <f t="shared" ref="H28:H29" si="178">IF(E28&lt;=230,(G28)/((E28/1000)*J28*(B28/100)),(G28)/(1.732*(E28/1000)*J28*(B28/100)))</f>
        <v>0.90909090909090917</v>
      </c>
      <c r="I28" s="95">
        <v>1</v>
      </c>
      <c r="J28" s="96">
        <v>0.5</v>
      </c>
      <c r="K28" s="96">
        <f t="shared" ref="K28:K29" si="179">ROUND(SQRT(1-(J28)^2)/J28,2)</f>
        <v>1.73</v>
      </c>
      <c r="L28" s="97">
        <f t="shared" ref="L28:L29" si="180">I28*G28</f>
        <v>0.1</v>
      </c>
      <c r="M28" s="97">
        <f t="shared" ref="M28:M29" si="181">I28*G28*K28</f>
        <v>0.17300000000000001</v>
      </c>
      <c r="N28" s="97">
        <f t="shared" ref="N28:N29" si="182">1*G28^2</f>
        <v>1.0000000000000002E-2</v>
      </c>
      <c r="O28" s="118"/>
      <c r="P28" s="118"/>
      <c r="Q28" s="118"/>
      <c r="R28" s="118"/>
      <c r="S28" s="118"/>
      <c r="T28" s="118"/>
      <c r="U28" s="86">
        <f>6*1.2</f>
        <v>7.1999999999999993</v>
      </c>
      <c r="V28" s="86">
        <f t="shared" ref="V28:V29" si="183">7*H28</f>
        <v>6.3636363636363642</v>
      </c>
      <c r="W28" s="116" t="s">
        <v>872</v>
      </c>
      <c r="X28" s="87" t="s">
        <v>300</v>
      </c>
      <c r="Y28" s="87">
        <f t="shared" ref="Y28:Y29" si="184">IF(U28&lt;=6,6,IF(U28&lt;=10,10,IF(U28&lt;=16,16,IF(U28&lt;=20,20,IF(U28&lt;=25,25,IF(U28&lt;=32,32,IF(U28&lt;=40,40,IF(U28&lt;=50,50,IF(U28&lt;=63,63,"др.выкл")))))))))</f>
        <v>10</v>
      </c>
      <c r="Z28" s="87" t="str">
        <f>INDEX(автоматы!$B$3:$D$11,MATCH(Y28,автоматы!$A$3:$A$11,0),MATCH(X28,кол_пол,0))</f>
        <v>EZ9F34110</v>
      </c>
      <c r="AA28" s="87">
        <f t="shared" ref="AA28:AA29" si="185">IF(U28&lt;=0.16,0.16,IF(U28&lt;=0.25,0.25,IF(U28&lt;=0.4,0.4,IF(U28&lt;=0.63,0.63,IF(U28&lt;=1,1,IF(U28&lt;=1.6,1.6,IF(U28&lt;=2.5,2.5,IF(U28&lt;=4,4,IF(U28&lt;=6.3,6.3,IF(U28&lt;=10,10,IF(U28&lt;=14,14,IF(U28&lt;=18,18,IF(U28&lt;=23,23,IF(U28&lt;=25,25,IF(U28&lt;=32,32,"др.авт")))))))))))))))</f>
        <v>10</v>
      </c>
      <c r="AB28" s="87" t="str">
        <f>VLOOKUP(AA28,автоматы!$H$3:$I$17,2,0)</f>
        <v>GZ1 E14</v>
      </c>
      <c r="AC28" s="87">
        <f t="shared" ref="AC28:AC29" si="186">IF(U28&lt;=20,20,IF(U28&lt;=25,25,IF(U28&lt;=32,32,IF(U28&lt;=40,40,IF(U28&lt;=50,50,IF(U28&lt;=63,63,IF(U28&lt;=80,80,IF(U28&lt;=100,100,IF(U28&lt;=125,125,IF(U28&lt;=160,160,IF(U28&lt;=200,200,IF(U28&lt;=250,250,IF(U28&lt;=300,300,IF(U28&lt;=320,320,IF(U28&lt;=400,400,IF(U28&lt;=500,500,IF(U28&lt;=630,630,"др.авт")))))))))))))))))</f>
        <v>20</v>
      </c>
      <c r="AD28" s="87" t="str">
        <f>VLOOKUP(AC28,автоматы!$N$3:$O$19,2,0)</f>
        <v>LZMB1-A20-I</v>
      </c>
      <c r="AE28" s="88">
        <f t="shared" ref="AE28:AE29" si="187">IF(U28&lt;=6,6,IF(U28&lt;=10,10,IF(U28&lt;=16,16,IF(U28&lt;=20,20,IF(U28&lt;=25,25,IF(U28&lt;=32,32,IF(U28&lt;=40,40,IF(U28&lt;=50,50,IF(U28&lt;=63,63,"др.выкл")))))))))</f>
        <v>10</v>
      </c>
      <c r="AF28" s="87" t="str">
        <f>INDEX(автоматы!$T$2:$V$15,MATCH(AE28,автоматы!$S$2:$S$15,0),MATCH(X28,автоматы!$T$1:$V$1,0))</f>
        <v>iC60N C10 1P</v>
      </c>
      <c r="AG28" s="87">
        <f t="shared" ref="AG28:AG29" si="188">IF(U28&lt;=6,6,IF(U28&lt;=10,10,IF(U28&lt;=16,16,IF(U28&lt;=20,20,IF(U28&lt;=25,25,IF(U28&lt;=32,32,IF(U28&lt;=40,40,"др.выкл")))))))</f>
        <v>10</v>
      </c>
      <c r="AH28" s="87" t="str">
        <f>VLOOKUP(AG28,автоматы!$Z$3:$AA$9,2,0)</f>
        <v>A9D31610</v>
      </c>
      <c r="AI28" s="2">
        <f t="shared" ref="AI28:AI29" si="189">IF(U28&lt;=15,15,IF(U28&lt;=16,16,IF(U28&lt;=20,20,IF(U28&lt;=25,25,IF(U28&lt;=32,32,IF(U28&lt;=40,40,IF(U28&lt;=45,45,IF(U28&lt;=50,50,IF(U28&lt;=60,60,IF(U28&lt;=63,63,IF(U28&lt;=75,75,IF(U28&lt;=80,80,IF(U28&lt;=100,100,IF(U28&lt;=125,125,IF(U28&lt;=150,150,IF(U28&lt;=160,160,IF(U28&lt;=175,175,IF(U28&lt;=200,200,IF(U28&lt;=225,225,IF(U28&lt;=250,250,IF(U28&lt;=320,320,IF(U28&lt;=350,350,IF(U28&lt;=400,400,"др.выкл")))))))))))))))))))))))</f>
        <v>15</v>
      </c>
      <c r="AJ28" t="str">
        <f>VLOOKUP(AI28,автоматы!$AE$3:$AF$26,2,0)</f>
        <v>EZC100F3015</v>
      </c>
      <c r="AK28" s="3">
        <f t="shared" ref="AK28:AK29" si="190">IF(U28&lt;=0.16,0.16,IF(U28&lt;=0.25,0.25,IF(U28&lt;=0.4,0.4,IF(U28&lt;=0.63,0.63,IF(U28&lt;=1,1,IF(U28&lt;=1.6,1.6,IF(U28&lt;=2.5,2.5,IF(U28&lt;=4,4,IF(U28&lt;=6.3,6.3,IF(U28&lt;=10,10,IF(U28&lt;=14,14,IF(U28&lt;=18,18,IF(U28&lt;=23,23,IF(U28&lt;=25,25,IF(U28&lt;=32,32,"др.авт")))))))))))))))</f>
        <v>10</v>
      </c>
      <c r="AL28" t="str">
        <f>VLOOKUP(AK28,DEKraft!$I$2:$J$16,2,0)</f>
        <v>21229DEK</v>
      </c>
      <c r="AM28">
        <f t="shared" ref="AM28:AM29" si="191">IF(U28&lt;=0.16,0.16,IF(U28&lt;=0.25,0.25,IF(U28&lt;=0.4,0.4,IF(U28&lt;=0.63,0.63,IF(U28&lt;=1,1,IF(U28&lt;=1.6,1.6,IF(U28&lt;=2.5,2.5,IF(U28&lt;=4,4,IF(U28&lt;=6.3,6.3,IF(U28&lt;=10,10,IF(U28&lt;=14,14,IF(U28&lt;=18,18,IF(U28&lt;=23,23,IF(U28&lt;=25,25,IF(U28&lt;=32,32,"др.авт")))))))))))))))</f>
        <v>10</v>
      </c>
      <c r="AN28" t="str">
        <f>VLOOKUP(AM28,systeme!$A$33:$B$47,2,0)</f>
        <v>GM2ME14</v>
      </c>
      <c r="AO28">
        <f t="shared" ref="AO28:AO29" si="192">IF(U28&lt;=0.16,0.16,IF(U28&lt;=0.25,0.25,IF(U28&lt;=0.4,0.4,IF(U28&lt;=0.63,0.63,IF(U28&lt;=1,1,IF(U28&lt;=1.6,1.6,IF(U28&lt;=2.5,2.5,IF(U28&lt;=4,4,IF(U28&lt;=6.3,6.3,IF(U28&lt;=10,10,IF(U28&lt;=14,14,IF(U28&lt;=18,18,IF(U28&lt;=23,23,IF(U28&lt;=25,25,IF(U28&lt;=32,32,"др.авт")))))))))))))))</f>
        <v>10</v>
      </c>
      <c r="AP28">
        <f>VLOOKUP(AO28,chint!$A$34:$B$48,2,0)</f>
        <v>495081</v>
      </c>
      <c r="AQ28" s="3">
        <f t="shared" ref="AQ28:AQ29" si="193">IF(U28&lt;=6,6,IF(U28&lt;=10,10,IF(U28&lt;=16,16,IF(U28&lt;=20,20,IF(U28&lt;=25,25,IF(U28&lt;=32,32,IF(U28&lt;=40,40,IF(U28&lt;=50,50,IF(U28&lt;=63,63,"др.выкл")))))))))</f>
        <v>10</v>
      </c>
      <c r="AR28" t="str">
        <f>INDEX(DEKraft!$B$2:$D$13,MATCH(AQ28,DEKraft!$A$2:$A$13,0),MATCH(X28,DEKraft!$B$1:$D$1,0))</f>
        <v>13152DEK</v>
      </c>
      <c r="AS28" t="str">
        <f>INDEX(DEKraft!$B$21:$D$32,MATCH(AQ28,DEKraft!$A$21:$A$32,0),MATCH(X28,DEKraft!$B$20:$D$20,0))</f>
        <v>12271DEK</v>
      </c>
      <c r="AT28" t="str">
        <f>INDEX(systeme!$B$2:$D$10,MATCH(AQ28,systeme!$A$2:$A$10,0),MATCH(X28,systeme!$B$1:$D$1,0))</f>
        <v>C9F36110</v>
      </c>
      <c r="AU28">
        <f>INDEX(chint!$B$2:$D$10,MATCH(AQ28,chint!$A$2:$A$10,0),MATCH(X28,chint!$B$1:$D$1,0))</f>
        <v>179614</v>
      </c>
      <c r="AV28" s="3">
        <f t="shared" ref="AV28:AV29" si="194">IF(U28&lt;=6,6,IF(U28&lt;=10,10,IF(U28&lt;=16,16,IF(U28&lt;=20,20,IF(U28&lt;=25,25,IF(U28&lt;=32,32,IF(U28&lt;=40,40,"др.выкл")))))))</f>
        <v>10</v>
      </c>
      <c r="AW28" t="str">
        <f>VLOOKUP(AV28,DEKraft!$A$41:$B$47,2,0)</f>
        <v>16203DEK</v>
      </c>
      <c r="AX28">
        <f t="shared" ref="AX28:AX29" si="195">IF(U28&lt;=10,10,IF(U28&lt;=16,16,IF(U28&lt;=20,20,IF(U28&lt;=25,25,IF(U28&lt;=32,32,IF(U28&lt;=40,40,"др.выкл"))))))</f>
        <v>10</v>
      </c>
      <c r="AY28" t="str">
        <f>VLOOKUP(AX28,systeme!$G$2:$H$7,2,0)</f>
        <v>C9D36610</v>
      </c>
      <c r="AZ28">
        <f t="shared" ref="AZ28:AZ29" si="196">IF(U28&lt;=6,6,IF(U28&lt;=10,10,IF(U28&lt;=16,16,IF(U28&lt;=20,20,IF(U28&lt;=25,25,IF(U28&lt;=32,32,IF(U28&lt;=40,40,"др.выкл")))))))</f>
        <v>10</v>
      </c>
      <c r="BA28">
        <f>VLOOKUP(AV28,chint!$G$2:$H$8,2,0)</f>
        <v>689001</v>
      </c>
      <c r="BB28" s="3">
        <f t="shared" ref="BB28:BB29" si="197">IF(U28&lt;=25,25,IF(U28&lt;=32,32,IF(U28&lt;=40,40,IF(U28&lt;=50,50,IF(U28&lt;=63,63,IF(U28&lt;=80,80,IF(U28&lt;=100,100,IF(U28&lt;=125,125,IF(U28&lt;=140,140,IF(U28&lt;=160,160,IF(U28&lt;=200,200,IF(U28&lt;=250,250,IF(U28&lt;=320,320,IF(U28&lt;=400,400,IF(U28&lt;=500,500,IF(U28&lt;=630,630,"др.выкл"))))))))))))))))</f>
        <v>25</v>
      </c>
      <c r="BC28" t="str">
        <f>VLOOKUP(BB28,DEKraft!$I$21:$J$36,2,0)</f>
        <v>28100DEK</v>
      </c>
      <c r="BD28">
        <f t="shared" ref="BD28:BD29" si="198">IF(U28&lt;=16,16,IF(U28&lt;=25,25,IF(U28&lt;=32,32,IF(U28&lt;=40,40,IF(U28&lt;=50,50,IF(U28&lt;=63,63,IF(U28&lt;=80,80,IF(U28&lt;=100,100,IF(U28&lt;=125,125,IF(U28&lt;=160,160,IF(U28&lt;=200,200,IF(U28&lt;=250,250,IF(U28&lt;=400,400,IF(U28&lt;=500,500,IF(U28&lt;=600,600,"др.авт")))))))))))))))</f>
        <v>16</v>
      </c>
      <c r="BE28" t="str">
        <f>VLOOKUP(BD28,systeme!$A$16:$B$30,2,0)</f>
        <v>SPC100F016L3DF</v>
      </c>
      <c r="BF28">
        <f t="shared" ref="BF28:BF29" si="199">IF(U28&lt;=16,16,IF(U28&lt;=25,25,IF(U28&lt;=32,32,IF(U28&lt;=40,40,IF(U28&lt;=50,50,IF(U28&lt;=63,63,IF(U28&lt;=80,80,IF(U28&lt;=100,100,IF(U28&lt;=125,125,IF(U28&lt;=160,160,IF(U28&lt;=200,200,IF(U28&lt;=225,225,IF(U28&lt;=250,250,IF(U28&lt;=315,315,IF(U28&lt;=350,350,IF(U28&lt;=400,400,IF(U28&lt;=500,500,IF(U28&lt;=630,630,"др.выкл"))))))))))))))))))</f>
        <v>16</v>
      </c>
      <c r="BG28" s="4">
        <f>VLOOKUP(BF28,chint!$A$14:$B$31,2,0)</f>
        <v>271581</v>
      </c>
      <c r="BH28">
        <f t="shared" ref="BH28:BH29" si="200">IF(U28&lt;=6,6,IF(U28&lt;=10,10,IF(U28&lt;=16,16,IF(U28&lt;=20,20,IF(U28&lt;=25,25,IF(U28&lt;=32,32,IF(U28&lt;=40,40,IF(U28&lt;=50,50,IF(U28&lt;=63,63,"др.выкл")))))))))</f>
        <v>10</v>
      </c>
      <c r="BI28" t="str">
        <f>INDEX(КЭАЗ!$B$2:$E$14,MATCH(BH28,КЭАЗ!$A$2:$A$14,0),MATCH(X28,КЭАЗ!$B$1:$D$1,0))</f>
        <v>kea.341879</v>
      </c>
      <c r="BJ28">
        <f t="shared" ref="BJ28:BJ29" si="201">IF(U28&lt;=6,6,IF(U28&lt;=10,10,IF(U28&lt;=16,16,IF(U28&lt;=20,20,IF(U28&lt;=25,25,IF(U28&lt;=32,32,IF(U28&lt;=40,40,IF(U28&lt;=50,50,IF(U28&lt;=63,63,IF(U28&lt;=80,80,IF(U28&lt;=100,100,IF(U28&lt;=125,125,"др.выкл"))))))))))))</f>
        <v>10</v>
      </c>
      <c r="BK28" t="str">
        <f>INDEX(hy!$B$2:$D$18,MATCH(BJ28,hy!$A$2:$A$18,0),MATCH(X28,hy!$B$1:$D$1,0))</f>
        <v>HGD63M 1PMCS0000C 00010</v>
      </c>
      <c r="BL28" t="str">
        <f>VLOOKUP(BJ28,hy!$G$2:$H$15,2,0)</f>
        <v>HRO63M 1NG4С0000C00010G</v>
      </c>
      <c r="BM28">
        <f t="shared" ref="BM28:BM29" si="202">IF(U28&lt;=0.16,0.16,IF(U28&lt;=0.25,0.25,IF(U28&lt;=0.4,0.4,IF(U28&lt;=0.63,0.63,IF(U28&lt;=1,1,IF(U28&lt;=1.6,1.6,IF(U28&lt;=2.5,2.5,IF(U28&lt;=4,4,IF(U28&lt;=6.3,6.3,IF(U28&lt;=10,10,IF(U28&lt;=14,14,IF(U28&lt;=18,18,IF(U28&lt;=23,23,IF(U28&lt;=25,25,IF(U28&lt;=32,32,"др.авт")))))))))))))))</f>
        <v>10</v>
      </c>
      <c r="BN28" t="str">
        <f>VLOOKUP(BM28,hy!$A$41:$B$55,2,0)</f>
        <v>MMS32K 0010</v>
      </c>
      <c r="BO28">
        <f t="shared" ref="BO28:BO29" si="203">IF(U28&lt;=100,100,IF(U28&lt;=125,125,IF(U28&lt;=150,150,IF(U28&lt;=160,160,IF(U28&lt;=175,175,IF(U28&lt;=200,200,IF(U28&lt;=225,225,IF(U28&lt;=250,250,IF(U28&lt;=300,300,IF(U28&lt;=350,350,IF(U28&lt;=400,400,IF(U28&lt;=500,500,IF(U28&lt;=630,630,IF(U28&lt;=700,700,IF(U28&lt;=800,800,"др.выкл")))))))))))))))</f>
        <v>100</v>
      </c>
      <c r="BP28" t="str">
        <f>VLOOKUP(BO28,hy!$A$21:$B$35,2,0)</f>
        <v>HGP100S-G 3PT4S0000C 00100H</v>
      </c>
      <c r="BQ28" s="89">
        <f>IF($W28=автоматы!$D$45,Z28,IF($W28=автоматы!$D$46,AF28,IF($W28=автоматы!$D$47,AH28,IF($W28=автоматы!$D$48,AB28,IF($W28=автоматы!$D$49,AJ28,IF($W28=автоматы!$D$50,AD28,IF($W28=автоматы!$D$51,BI28,IF($W28=автоматы!$D$52,AR28,IF($W28=автоматы!$D$53,AS28,IF($W28=автоматы!$D$54,AW28,IF($W28=автоматы!$D$55,AL28,IF($W28=автоматы!$D$56,BC28,IF($W28=автоматы!$D$57,AT28,IF($W28=автоматы!$D$58,AY28,IF($W28=автоматы!$D$59,AN28,IF($W28=автоматы!$D$60,BE28,IF($W28=автоматы!$D$61,AU28,IF($W28=автоматы!$D$62,BA28,IF($W28=автоматы!$D$63,AP28,IF($W28=автоматы!$D$64,BG28,IF($W28=автоматы!$D$65,BK28,IF($W28=автоматы!$D$66,BL28,IF($W28=автоматы!$D$67,BN28,IF($W28=автоматы!$D$68,BP28,"др"))))))))))))))))))))))))</f>
        <v>179614</v>
      </c>
      <c r="BR28" s="89">
        <f>IF($W28=автоматы!$D$45,Y28,IF($W28=автоматы!$D$46,AE28,IF($W28=автоматы!$D$47,AG28,IF($W28=автоматы!$D$48,AA28,IF($W28=автоматы!$D$49,AI28,IF($W28=автоматы!$D$50,AC28,IF($W28=автоматы!$D$51,BH28,IF($W28=автоматы!$D$52,AQ28,IF($W28=автоматы!$D$53,AQ28,IF($W28=автоматы!$D$54,AV28,IF($W28=автоматы!$D$55,AK28,IF($W28=автоматы!$D$56,BB28,IF($W28=автоматы!$D$57,AQ28,IF($W28=автоматы!$D$58,AX28,IF($W28=автоматы!$D$59,AM28,IF($W28=автоматы!$D$60,BD28,IF($W28=автоматы!$D$61,AQ28,IF($W28=автоматы!$D$62,AZ28,IF($W28=автоматы!$D$63,AO28,IF($W28=автоматы!$D$64,BF28,IF($W28=автоматы!$D$65,BJ28,IF($W28=автоматы!$D$66,BJ28,IF($W28=автоматы!$D$67,BM28,IF($W28=автоматы!$D$68,BO28,"др"))))))))))))))))))))))))</f>
        <v>10</v>
      </c>
      <c r="BS28" s="89" t="str">
        <f>CONCATENATE(IF($W28=автоматы!$A$1,Y28,IF($W28=автоматы!$H$1,VLOOKUP(AA28,автоматы!$H$3:$K$17,3,0),IF($W28=автоматы!$N$1,VLOOKUP(AC28,автоматы!$N$3:$Q$19,3,0),IF($W28=автоматы!$S$17,AE28,IF($W28=автоматы!$Z$1,AG28,IF($W28=автоматы!$AE$1,AI28,"др"))))))," А")</f>
        <v>др А</v>
      </c>
      <c r="BT28" s="89" t="str">
        <f>IF($W28=автоматы!$A$1,Y28*10,IF($W28=автоматы!$H$1,VLOOKUP(AA28,автоматы!$H$3:$K$17,4,0),IF($W28=автоматы!$N$1,VLOOKUP(AC28,автоматы!$N$3:$Q$19,4,0),IF($W28=автоматы!$S$17,AE28*10,IF($W28=автоматы!$Z$1,AG28*10,IF($W28=автоматы!$AE$1,AI28*10,"др"))))))</f>
        <v>др</v>
      </c>
      <c r="BU28" s="85"/>
      <c r="BV28" s="90" t="s">
        <v>147</v>
      </c>
      <c r="BW28" s="90">
        <v>1</v>
      </c>
      <c r="BX28" s="91">
        <v>3</v>
      </c>
      <c r="BY28" s="92">
        <v>1.5</v>
      </c>
      <c r="BZ28" s="91">
        <f>HLOOKUP(BV28,каталог!$CG$1:$CO$22,MATCH(BY28,каталог!$CF$1:$CF$22,0),0)*BW28</f>
        <v>19</v>
      </c>
      <c r="CA28" s="87" t="str">
        <f t="shared" ref="CA28:CA29" si="204">CONCATENATE("н",C28,"")</f>
        <v>нШК3</v>
      </c>
      <c r="CB28" s="87" t="str">
        <f t="shared" ref="CB28:CB29" si="205">CONCATENATE(BV28," ",BX28,"x",BY28)</f>
        <v>ВВГнг(А)-LS 3x1,5</v>
      </c>
      <c r="CC28" s="87"/>
      <c r="CF28" s="174"/>
    </row>
    <row r="29" spans="1:84" ht="14.5">
      <c r="A29" s="102">
        <v>12</v>
      </c>
      <c r="B29" s="94">
        <v>100</v>
      </c>
      <c r="C29" s="103" t="s">
        <v>1050</v>
      </c>
      <c r="D29" s="100" t="s">
        <v>1049</v>
      </c>
      <c r="E29" s="95">
        <v>220</v>
      </c>
      <c r="F29" s="19" t="s">
        <v>889</v>
      </c>
      <c r="G29" s="96">
        <v>0.1</v>
      </c>
      <c r="H29" s="96">
        <f t="shared" si="178"/>
        <v>0.90909090909090917</v>
      </c>
      <c r="I29" s="95">
        <v>1</v>
      </c>
      <c r="J29" s="96">
        <v>0.5</v>
      </c>
      <c r="K29" s="96">
        <f t="shared" si="179"/>
        <v>1.73</v>
      </c>
      <c r="L29" s="97">
        <f t="shared" si="180"/>
        <v>0.1</v>
      </c>
      <c r="M29" s="97">
        <f t="shared" si="181"/>
        <v>0.17300000000000001</v>
      </c>
      <c r="N29" s="97">
        <f t="shared" si="182"/>
        <v>1.0000000000000002E-2</v>
      </c>
      <c r="O29" s="118"/>
      <c r="P29" s="118"/>
      <c r="Q29" s="118"/>
      <c r="R29" s="118"/>
      <c r="S29" s="118"/>
      <c r="T29" s="118"/>
      <c r="U29" s="86">
        <f>6*1.2</f>
        <v>7.1999999999999993</v>
      </c>
      <c r="V29" s="86">
        <f t="shared" si="183"/>
        <v>6.3636363636363642</v>
      </c>
      <c r="W29" s="116" t="s">
        <v>872</v>
      </c>
      <c r="X29" s="87" t="s">
        <v>300</v>
      </c>
      <c r="Y29" s="87">
        <f t="shared" si="184"/>
        <v>10</v>
      </c>
      <c r="Z29" s="87" t="str">
        <f>INDEX(автоматы!$B$3:$D$11,MATCH(Y29,автоматы!$A$3:$A$11,0),MATCH(X29,кол_пол,0))</f>
        <v>EZ9F34110</v>
      </c>
      <c r="AA29" s="87">
        <f t="shared" si="185"/>
        <v>10</v>
      </c>
      <c r="AB29" s="87" t="str">
        <f>VLOOKUP(AA29,автоматы!$H$3:$I$17,2,0)</f>
        <v>GZ1 E14</v>
      </c>
      <c r="AC29" s="87">
        <f t="shared" si="186"/>
        <v>20</v>
      </c>
      <c r="AD29" s="87" t="str">
        <f>VLOOKUP(AC29,автоматы!$N$3:$O$19,2,0)</f>
        <v>LZMB1-A20-I</v>
      </c>
      <c r="AE29" s="88">
        <f t="shared" si="187"/>
        <v>10</v>
      </c>
      <c r="AF29" s="87" t="str">
        <f>INDEX(автоматы!$T$2:$V$15,MATCH(AE29,автоматы!$S$2:$S$15,0),MATCH(X29,автоматы!$T$1:$V$1,0))</f>
        <v>iC60N C10 1P</v>
      </c>
      <c r="AG29" s="87">
        <f t="shared" si="188"/>
        <v>10</v>
      </c>
      <c r="AH29" s="87" t="str">
        <f>VLOOKUP(AG29,автоматы!$Z$3:$AA$9,2,0)</f>
        <v>A9D31610</v>
      </c>
      <c r="AI29" s="2">
        <f t="shared" si="189"/>
        <v>15</v>
      </c>
      <c r="AJ29" t="str">
        <f>VLOOKUP(AI29,автоматы!$AE$3:$AF$26,2,0)</f>
        <v>EZC100F3015</v>
      </c>
      <c r="AK29" s="3">
        <f t="shared" si="190"/>
        <v>10</v>
      </c>
      <c r="AL29" t="str">
        <f>VLOOKUP(AK29,DEKraft!$I$2:$J$16,2,0)</f>
        <v>21229DEK</v>
      </c>
      <c r="AM29">
        <f t="shared" si="191"/>
        <v>10</v>
      </c>
      <c r="AN29" t="str">
        <f>VLOOKUP(AM29,systeme!$A$33:$B$47,2,0)</f>
        <v>GM2ME14</v>
      </c>
      <c r="AO29">
        <f t="shared" si="192"/>
        <v>10</v>
      </c>
      <c r="AP29">
        <f>VLOOKUP(AO29,chint!$A$34:$B$48,2,0)</f>
        <v>495081</v>
      </c>
      <c r="AQ29" s="3">
        <f t="shared" si="193"/>
        <v>10</v>
      </c>
      <c r="AR29" t="str">
        <f>INDEX(DEKraft!$B$2:$D$13,MATCH(AQ29,DEKraft!$A$2:$A$13,0),MATCH(X29,DEKraft!$B$1:$D$1,0))</f>
        <v>13152DEK</v>
      </c>
      <c r="AS29" t="str">
        <f>INDEX(DEKraft!$B$21:$D$32,MATCH(AQ29,DEKraft!$A$21:$A$32,0),MATCH(X29,DEKraft!$B$20:$D$20,0))</f>
        <v>12271DEK</v>
      </c>
      <c r="AT29" t="str">
        <f>INDEX(systeme!$B$2:$D$10,MATCH(AQ29,systeme!$A$2:$A$10,0),MATCH(X29,systeme!$B$1:$D$1,0))</f>
        <v>C9F36110</v>
      </c>
      <c r="AU29">
        <f>INDEX(chint!$B$2:$D$10,MATCH(AQ29,chint!$A$2:$A$10,0),MATCH(X29,chint!$B$1:$D$1,0))</f>
        <v>179614</v>
      </c>
      <c r="AV29" s="3">
        <f t="shared" si="194"/>
        <v>10</v>
      </c>
      <c r="AW29" t="str">
        <f>VLOOKUP(AV29,DEKraft!$A$41:$B$47,2,0)</f>
        <v>16203DEK</v>
      </c>
      <c r="AX29">
        <f t="shared" si="195"/>
        <v>10</v>
      </c>
      <c r="AY29" t="str">
        <f>VLOOKUP(AX29,systeme!$G$2:$H$7,2,0)</f>
        <v>C9D36610</v>
      </c>
      <c r="AZ29">
        <f t="shared" si="196"/>
        <v>10</v>
      </c>
      <c r="BA29">
        <f>VLOOKUP(AV29,chint!$G$2:$H$8,2,0)</f>
        <v>689001</v>
      </c>
      <c r="BB29" s="3">
        <f t="shared" si="197"/>
        <v>25</v>
      </c>
      <c r="BC29" t="str">
        <f>VLOOKUP(BB29,DEKraft!$I$21:$J$36,2,0)</f>
        <v>28100DEK</v>
      </c>
      <c r="BD29">
        <f t="shared" si="198"/>
        <v>16</v>
      </c>
      <c r="BE29" t="str">
        <f>VLOOKUP(BD29,systeme!$A$16:$B$30,2,0)</f>
        <v>SPC100F016L3DF</v>
      </c>
      <c r="BF29">
        <f t="shared" si="199"/>
        <v>16</v>
      </c>
      <c r="BG29" s="4">
        <f>VLOOKUP(BF29,chint!$A$14:$B$31,2,0)</f>
        <v>271581</v>
      </c>
      <c r="BH29">
        <f t="shared" si="200"/>
        <v>10</v>
      </c>
      <c r="BI29" t="str">
        <f>INDEX(КЭАЗ!$B$2:$E$14,MATCH(BH29,КЭАЗ!$A$2:$A$14,0),MATCH(X29,КЭАЗ!$B$1:$D$1,0))</f>
        <v>kea.341879</v>
      </c>
      <c r="BJ29">
        <f t="shared" si="201"/>
        <v>10</v>
      </c>
      <c r="BK29" t="str">
        <f>INDEX(hy!$B$2:$D$18,MATCH(BJ29,hy!$A$2:$A$18,0),MATCH(X29,hy!$B$1:$D$1,0))</f>
        <v>HGD63M 1PMCS0000C 00010</v>
      </c>
      <c r="BL29" t="str">
        <f>VLOOKUP(BJ29,hy!$G$2:$H$15,2,0)</f>
        <v>HRO63M 1NG4С0000C00010G</v>
      </c>
      <c r="BM29">
        <f t="shared" si="202"/>
        <v>10</v>
      </c>
      <c r="BN29" t="str">
        <f>VLOOKUP(BM29,hy!$A$41:$B$55,2,0)</f>
        <v>MMS32K 0010</v>
      </c>
      <c r="BO29">
        <f t="shared" si="203"/>
        <v>100</v>
      </c>
      <c r="BP29" t="str">
        <f>VLOOKUP(BO29,hy!$A$21:$B$35,2,0)</f>
        <v>HGP100S-G 3PT4S0000C 00100H</v>
      </c>
      <c r="BQ29" s="89">
        <f>IF($W29=автоматы!$D$45,Z29,IF($W29=автоматы!$D$46,AF29,IF($W29=автоматы!$D$47,AH29,IF($W29=автоматы!$D$48,AB29,IF($W29=автоматы!$D$49,AJ29,IF($W29=автоматы!$D$50,AD29,IF($W29=автоматы!$D$51,BI29,IF($W29=автоматы!$D$52,AR29,IF($W29=автоматы!$D$53,AS29,IF($W29=автоматы!$D$54,AW29,IF($W29=автоматы!$D$55,AL29,IF($W29=автоматы!$D$56,BC29,IF($W29=автоматы!$D$57,AT29,IF($W29=автоматы!$D$58,AY29,IF($W29=автоматы!$D$59,AN29,IF($W29=автоматы!$D$60,BE29,IF($W29=автоматы!$D$61,AU29,IF($W29=автоматы!$D$62,BA29,IF($W29=автоматы!$D$63,AP29,IF($W29=автоматы!$D$64,BG29,IF($W29=автоматы!$D$65,BK29,IF($W29=автоматы!$D$66,BL29,IF($W29=автоматы!$D$67,BN29,IF($W29=автоматы!$D$68,BP29,"др"))))))))))))))))))))))))</f>
        <v>179614</v>
      </c>
      <c r="BR29" s="89">
        <f>IF($W29=автоматы!$D$45,Y29,IF($W29=автоматы!$D$46,AE29,IF($W29=автоматы!$D$47,AG29,IF($W29=автоматы!$D$48,AA29,IF($W29=автоматы!$D$49,AI29,IF($W29=автоматы!$D$50,AC29,IF($W29=автоматы!$D$51,BH29,IF($W29=автоматы!$D$52,AQ29,IF($W29=автоматы!$D$53,AQ29,IF($W29=автоматы!$D$54,AV29,IF($W29=автоматы!$D$55,AK29,IF($W29=автоматы!$D$56,BB29,IF($W29=автоматы!$D$57,AQ29,IF($W29=автоматы!$D$58,AX29,IF($W29=автоматы!$D$59,AM29,IF($W29=автоматы!$D$60,BD29,IF($W29=автоматы!$D$61,AQ29,IF($W29=автоматы!$D$62,AZ29,IF($W29=автоматы!$D$63,AO29,IF($W29=автоматы!$D$64,BF29,IF($W29=автоматы!$D$65,BJ29,IF($W29=автоматы!$D$66,BJ29,IF($W29=автоматы!$D$67,BM29,IF($W29=автоматы!$D$68,BO29,"др"))))))))))))))))))))))))</f>
        <v>10</v>
      </c>
      <c r="BS29" s="89" t="str">
        <f>CONCATENATE(IF($W29=автоматы!$A$1,Y29,IF($W29=автоматы!$H$1,VLOOKUP(AA29,автоматы!$H$3:$K$17,3,0),IF($W29=автоматы!$N$1,VLOOKUP(AC29,автоматы!$N$3:$Q$19,3,0),IF($W29=автоматы!$S$17,AE29,IF($W29=автоматы!$Z$1,AG29,IF($W29=автоматы!$AE$1,AI29,"др"))))))," А")</f>
        <v>др А</v>
      </c>
      <c r="BT29" s="89" t="str">
        <f>IF($W29=автоматы!$A$1,Y29*10,IF($W29=автоматы!$H$1,VLOOKUP(AA29,автоматы!$H$3:$K$17,4,0),IF($W29=автоматы!$N$1,VLOOKUP(AC29,автоматы!$N$3:$Q$19,4,0),IF($W29=автоматы!$S$17,AE29*10,IF($W29=автоматы!$Z$1,AG29*10,IF($W29=автоматы!$AE$1,AI29*10,"др"))))))</f>
        <v>др</v>
      </c>
      <c r="BU29" s="85"/>
      <c r="BV29" s="90" t="s">
        <v>147</v>
      </c>
      <c r="BW29" s="90">
        <v>1</v>
      </c>
      <c r="BX29" s="91">
        <v>3</v>
      </c>
      <c r="BY29" s="92">
        <v>1.5</v>
      </c>
      <c r="BZ29" s="91">
        <f>HLOOKUP(BV29,каталог!$CG$1:$CO$22,MATCH(BY29,каталог!$CF$1:$CF$22,0),0)*BW29</f>
        <v>19</v>
      </c>
      <c r="CA29" s="87" t="str">
        <f t="shared" si="204"/>
        <v>нШК4</v>
      </c>
      <c r="CB29" s="87" t="str">
        <f t="shared" si="205"/>
        <v>ВВГнг(А)-LS 3x1,5</v>
      </c>
      <c r="CC29" s="87"/>
      <c r="CF29" s="174"/>
    </row>
    <row r="30" spans="1:84" ht="25">
      <c r="A30" s="102">
        <v>11</v>
      </c>
      <c r="B30" s="94">
        <v>85</v>
      </c>
      <c r="C30" s="103" t="s">
        <v>701</v>
      </c>
      <c r="D30" s="100" t="s">
        <v>1051</v>
      </c>
      <c r="E30" s="95">
        <v>380</v>
      </c>
      <c r="F30" s="19" t="s">
        <v>580</v>
      </c>
      <c r="G30" s="96">
        <v>5.5</v>
      </c>
      <c r="H30" s="96">
        <f t="shared" si="0"/>
        <v>11.171966051523322</v>
      </c>
      <c r="I30" s="95">
        <v>1</v>
      </c>
      <c r="J30" s="96">
        <v>0.88</v>
      </c>
      <c r="K30" s="96">
        <f t="shared" si="94"/>
        <v>0.54</v>
      </c>
      <c r="L30" s="97">
        <f t="shared" si="28"/>
        <v>5.5</v>
      </c>
      <c r="M30" s="97">
        <f t="shared" si="29"/>
        <v>2.97</v>
      </c>
      <c r="N30" s="97">
        <f t="shared" si="30"/>
        <v>30.25</v>
      </c>
      <c r="O30" s="118"/>
      <c r="P30" s="118"/>
      <c r="Q30" s="118"/>
      <c r="R30" s="118"/>
      <c r="S30" s="118"/>
      <c r="T30" s="118"/>
      <c r="U30" s="86">
        <f>H30*1.2</f>
        <v>13.406359261827985</v>
      </c>
      <c r="V30" s="86">
        <f t="shared" si="95"/>
        <v>78.203762360663248</v>
      </c>
      <c r="W30" s="116" t="s">
        <v>872</v>
      </c>
      <c r="X30" s="87" t="s">
        <v>302</v>
      </c>
      <c r="Y30" s="87">
        <f t="shared" si="105"/>
        <v>16</v>
      </c>
      <c r="Z30" s="87" t="str">
        <f>INDEX(автоматы!$B$3:$D$11,MATCH(Y30,автоматы!$A$3:$A$11,0),MATCH(X30,кол_пол,0))</f>
        <v>EZ9F34316</v>
      </c>
      <c r="AA30" s="87">
        <f t="shared" si="106"/>
        <v>14</v>
      </c>
      <c r="AB30" s="87" t="str">
        <f>VLOOKUP(AA30,автоматы!$H$3:$I$17,2,0)</f>
        <v>GZ1 E16</v>
      </c>
      <c r="AC30" s="87">
        <f t="shared" si="107"/>
        <v>20</v>
      </c>
      <c r="AD30" s="87" t="str">
        <f>VLOOKUP(AC30,автоматы!$N$3:$O$19,2,0)</f>
        <v>LZMB1-A20-I</v>
      </c>
      <c r="AE30" s="88">
        <f t="shared" si="108"/>
        <v>16</v>
      </c>
      <c r="AF30" s="87" t="str">
        <f>INDEX(автоматы!$T$2:$V$15,MATCH(AE30,автоматы!$S$2:$S$15,0),MATCH(X30,автоматы!$T$1:$V$1,0))</f>
        <v>iC60N C16 3P</v>
      </c>
      <c r="AG30" s="87">
        <f t="shared" si="109"/>
        <v>16</v>
      </c>
      <c r="AH30" s="87" t="str">
        <f>VLOOKUP(AG30,автоматы!$Z$3:$AA$9,2,0)</f>
        <v>A9D31616</v>
      </c>
      <c r="AI30" s="2">
        <f t="shared" si="110"/>
        <v>15</v>
      </c>
      <c r="AJ30" t="str">
        <f>VLOOKUP(AI30,автоматы!$AE$3:$AF$26,2,0)</f>
        <v>EZC100F3015</v>
      </c>
      <c r="AK30" s="3">
        <f t="shared" si="111"/>
        <v>14</v>
      </c>
      <c r="AL30" t="str">
        <f>VLOOKUP(AK30,DEKraft!$I$2:$J$16,2,0)</f>
        <v>21230DEK</v>
      </c>
      <c r="AM30">
        <f t="shared" si="112"/>
        <v>14</v>
      </c>
      <c r="AN30" t="str">
        <f>VLOOKUP(AM30,systeme!$A$33:$B$47,2,0)</f>
        <v>GM2ME16</v>
      </c>
      <c r="AO30">
        <f t="shared" si="113"/>
        <v>14</v>
      </c>
      <c r="AP30">
        <f>VLOOKUP(AO30,chint!$A$34:$B$48,2,0)</f>
        <v>495082</v>
      </c>
      <c r="AQ30" s="3">
        <f t="shared" si="114"/>
        <v>16</v>
      </c>
      <c r="AR30" t="str">
        <f>INDEX(DEKraft!$B$2:$D$13,MATCH(AQ30,DEKraft!$A$2:$A$13,0),MATCH(X30,DEKraft!$B$1:$D$1,0))</f>
        <v>13177DEK</v>
      </c>
      <c r="AS30" t="str">
        <f>INDEX(DEKraft!$B$21:$D$32,MATCH(AQ30,DEKraft!$A$21:$A$32,0),MATCH(X30,DEKraft!$B$20:$D$20,0))</f>
        <v>12305DEK</v>
      </c>
      <c r="AT30" t="str">
        <f>INDEX(systeme!$B$2:$D$10,MATCH(AQ30,systeme!$A$2:$A$10,0),MATCH(X30,systeme!$B$1:$D$1,0))</f>
        <v>C9F36316</v>
      </c>
      <c r="AU30">
        <f>INDEX(chint!$B$2:$D$10,MATCH(AQ30,chint!$A$2:$A$10,0),MATCH(X30,chint!$B$1:$D$1,0))</f>
        <v>179700</v>
      </c>
      <c r="AV30" s="3">
        <f t="shared" si="115"/>
        <v>16</v>
      </c>
      <c r="AW30" t="str">
        <f>VLOOKUP(AV30,DEKraft!$A$41:$B$47,2,0)</f>
        <v>16204DEK</v>
      </c>
      <c r="AX30">
        <f t="shared" si="116"/>
        <v>16</v>
      </c>
      <c r="AY30" t="str">
        <f>VLOOKUP(AX30,systeme!$G$2:$H$7,2,0)</f>
        <v>C9D36616</v>
      </c>
      <c r="AZ30">
        <f t="shared" si="117"/>
        <v>16</v>
      </c>
      <c r="BA30">
        <f>VLOOKUP(AV30,chint!$G$2:$H$8,2,0)</f>
        <v>689002</v>
      </c>
      <c r="BB30" s="3">
        <f t="shared" si="118"/>
        <v>25</v>
      </c>
      <c r="BC30" t="str">
        <f>VLOOKUP(BB30,DEKraft!$I$21:$J$36,2,0)</f>
        <v>28100DEK</v>
      </c>
      <c r="BD30">
        <f t="shared" si="119"/>
        <v>16</v>
      </c>
      <c r="BE30" t="str">
        <f>VLOOKUP(BD30,systeme!$A$16:$B$30,2,0)</f>
        <v>SPC100F016L3DF</v>
      </c>
      <c r="BF30">
        <f t="shared" si="120"/>
        <v>16</v>
      </c>
      <c r="BG30" s="4">
        <f>VLOOKUP(BF30,chint!$A$14:$B$31,2,0)</f>
        <v>271581</v>
      </c>
      <c r="BH30">
        <f t="shared" si="121"/>
        <v>16</v>
      </c>
      <c r="BI30" t="str">
        <f>INDEX(КЭАЗ!$B$2:$E$14,MATCH(BH30,КЭАЗ!$A$2:$A$14,0),MATCH(X30,КЭАЗ!$B$1:$D$1,0))</f>
        <v>kea.341959</v>
      </c>
      <c r="BJ30">
        <f t="shared" si="122"/>
        <v>16</v>
      </c>
      <c r="BK30" t="str">
        <f>INDEX(hy!$B$2:$D$18,MATCH(BJ30,hy!$A$2:$A$18,0),MATCH(X30,hy!$B$1:$D$1,0))</f>
        <v>HGD63M 3PMCS0000C 00016</v>
      </c>
      <c r="BL30" t="str">
        <f>VLOOKUP(BJ30,hy!$G$2:$H$15,2,0)</f>
        <v>HRO63M 1NG4С0000C00016G</v>
      </c>
      <c r="BM30">
        <f t="shared" si="123"/>
        <v>14</v>
      </c>
      <c r="BN30" t="str">
        <f>VLOOKUP(BM30,hy!$A$41:$B$55,2,0)</f>
        <v>MMS32K 0014</v>
      </c>
      <c r="BO30">
        <f t="shared" si="124"/>
        <v>100</v>
      </c>
      <c r="BP30" t="str">
        <f>VLOOKUP(BO30,hy!$A$21:$B$35,2,0)</f>
        <v>HGP100S-G 3PT4S0000C 00100H</v>
      </c>
      <c r="BQ30" s="89">
        <f>IF($W30=автоматы!$D$45,Z30,IF($W30=автоматы!$D$46,AF30,IF($W30=автоматы!$D$47,AH30,IF($W30=автоматы!$D$48,AB30,IF($W30=автоматы!$D$49,AJ30,IF($W30=автоматы!$D$50,AD30,IF($W30=автоматы!$D$51,BI30,IF($W30=автоматы!$D$52,AR30,IF($W30=автоматы!$D$53,AS30,IF($W30=автоматы!$D$54,AW30,IF($W30=автоматы!$D$55,AL30,IF($W30=автоматы!$D$56,BC30,IF($W30=автоматы!$D$57,AT30,IF($W30=автоматы!$D$58,AY30,IF($W30=автоматы!$D$59,AN30,IF($W30=автоматы!$D$60,BE30,IF($W30=автоматы!$D$61,AU30,IF($W30=автоматы!$D$62,BA30,IF($W30=автоматы!$D$63,AP30,IF($W30=автоматы!$D$64,BG30,IF($W30=автоматы!$D$65,BK30,IF($W30=автоматы!$D$66,BL30,IF($W30=автоматы!$D$67,BN30,IF($W30=автоматы!$D$68,BP30,"др"))))))))))))))))))))))))</f>
        <v>179700</v>
      </c>
      <c r="BR30" s="89">
        <f>IF($W30=автоматы!$D$45,Y30,IF($W30=автоматы!$D$46,AE30,IF($W30=автоматы!$D$47,AG30,IF($W30=автоматы!$D$48,AA30,IF($W30=автоматы!$D$49,AI30,IF($W30=автоматы!$D$50,AC30,IF($W30=автоматы!$D$51,BH30,IF($W30=автоматы!$D$52,AQ30,IF($W30=автоматы!$D$53,AQ30,IF($W30=автоматы!$D$54,AV30,IF($W30=автоматы!$D$55,AK30,IF($W30=автоматы!$D$56,BB30,IF($W30=автоматы!$D$57,AQ30,IF($W30=автоматы!$D$58,AX30,IF($W30=автоматы!$D$59,AM30,IF($W30=автоматы!$D$60,BD30,IF($W30=автоматы!$D$61,AQ30,IF($W30=автоматы!$D$62,AZ30,IF($W30=автоматы!$D$63,AO30,IF($W30=автоматы!$D$64,BF30,IF($W30=автоматы!$D$65,BJ30,IF($W30=автоматы!$D$66,BJ30,IF($W30=автоматы!$D$67,BM30,IF($W30=автоматы!$D$68,BO30,"др"))))))))))))))))))))))))</f>
        <v>16</v>
      </c>
      <c r="BS30" s="89" t="str">
        <f>CONCATENATE(IF($W30=автоматы!$A$1,Y30,IF($W30=автоматы!$H$1,VLOOKUP(AA30,автоматы!$H$3:$K$17,3,0),IF($W30=автоматы!$N$1,VLOOKUP(AC30,автоматы!$N$3:$Q$19,3,0),IF($W30=автоматы!$S$17,AE30,IF($W30=автоматы!$Z$1,AG30,IF($W30=автоматы!$AE$1,AI30,"др"))))))," А")</f>
        <v>др А</v>
      </c>
      <c r="BT30" s="89" t="str">
        <f>IF($W30=автоматы!$A$1,Y30*10,IF($W30=автоматы!$H$1,VLOOKUP(AA30,автоматы!$H$3:$K$17,4,0),IF($W30=автоматы!$N$1,VLOOKUP(AC30,автоматы!$N$3:$Q$19,4,0),IF($W30=автоматы!$S$17,AE30*10,IF($W30=автоматы!$Z$1,AG30*10,IF($W30=автоматы!$AE$1,AI30*10,"др"))))))</f>
        <v>др</v>
      </c>
      <c r="BU30" s="85"/>
      <c r="BV30" s="90" t="s">
        <v>147</v>
      </c>
      <c r="BW30" s="90">
        <v>1</v>
      </c>
      <c r="BX30" s="91">
        <v>4</v>
      </c>
      <c r="BY30" s="92">
        <v>6</v>
      </c>
      <c r="BZ30" s="91">
        <f>HLOOKUP(BV30,каталог!$CG$1:$CO$22,MATCH(BY30,каталог!$CF$1:$CF$22,0),0)*BW30</f>
        <v>42</v>
      </c>
      <c r="CA30" s="87" t="str">
        <f t="shared" si="103"/>
        <v>нМ1</v>
      </c>
      <c r="CB30" s="87" t="str">
        <f t="shared" si="125"/>
        <v>ВВГнг(А)-LS 4x6</v>
      </c>
      <c r="CC30" s="87"/>
      <c r="CF30" s="174"/>
    </row>
    <row r="31" spans="1:84" ht="25">
      <c r="A31" s="102">
        <v>12</v>
      </c>
      <c r="B31" s="94">
        <v>85</v>
      </c>
      <c r="C31" s="103" t="s">
        <v>702</v>
      </c>
      <c r="D31" s="100" t="s">
        <v>1052</v>
      </c>
      <c r="E31" s="95">
        <v>380</v>
      </c>
      <c r="F31" s="19" t="s">
        <v>580</v>
      </c>
      <c r="G31" s="96">
        <v>5.5</v>
      </c>
      <c r="H31" s="96">
        <f t="shared" si="0"/>
        <v>11.171966051523322</v>
      </c>
      <c r="I31" s="95">
        <v>1</v>
      </c>
      <c r="J31" s="96">
        <v>0.88</v>
      </c>
      <c r="K31" s="96">
        <f t="shared" si="94"/>
        <v>0.54</v>
      </c>
      <c r="L31" s="97">
        <f t="shared" si="28"/>
        <v>5.5</v>
      </c>
      <c r="M31" s="97">
        <f t="shared" si="29"/>
        <v>2.97</v>
      </c>
      <c r="N31" s="97">
        <f t="shared" si="30"/>
        <v>30.25</v>
      </c>
      <c r="O31" s="118"/>
      <c r="P31" s="118"/>
      <c r="Q31" s="118"/>
      <c r="R31" s="118"/>
      <c r="S31" s="118"/>
      <c r="T31" s="118"/>
      <c r="U31" s="86">
        <f>H31*1.2</f>
        <v>13.406359261827985</v>
      </c>
      <c r="V31" s="86">
        <f t="shared" si="95"/>
        <v>78.203762360663248</v>
      </c>
      <c r="W31" s="116" t="s">
        <v>872</v>
      </c>
      <c r="X31" s="87" t="s">
        <v>302</v>
      </c>
      <c r="Y31" s="87">
        <f t="shared" si="105"/>
        <v>16</v>
      </c>
      <c r="Z31" s="87" t="str">
        <f>INDEX(автоматы!$B$3:$D$11,MATCH(Y31,автоматы!$A$3:$A$11,0),MATCH(X31,кол_пол,0))</f>
        <v>EZ9F34316</v>
      </c>
      <c r="AA31" s="87">
        <f t="shared" si="106"/>
        <v>14</v>
      </c>
      <c r="AB31" s="87" t="str">
        <f>VLOOKUP(AA31,автоматы!$H$3:$I$17,2,0)</f>
        <v>GZ1 E16</v>
      </c>
      <c r="AC31" s="87">
        <f t="shared" si="107"/>
        <v>20</v>
      </c>
      <c r="AD31" s="87" t="str">
        <f>VLOOKUP(AC31,автоматы!$N$3:$O$19,2,0)</f>
        <v>LZMB1-A20-I</v>
      </c>
      <c r="AE31" s="88">
        <f t="shared" si="108"/>
        <v>16</v>
      </c>
      <c r="AF31" s="87" t="str">
        <f>INDEX(автоматы!$T$2:$V$15,MATCH(AE31,автоматы!$S$2:$S$15,0),MATCH(X31,автоматы!$T$1:$V$1,0))</f>
        <v>iC60N C16 3P</v>
      </c>
      <c r="AG31" s="87">
        <f t="shared" si="109"/>
        <v>16</v>
      </c>
      <c r="AH31" s="87" t="str">
        <f>VLOOKUP(AG31,автоматы!$Z$3:$AA$9,2,0)</f>
        <v>A9D31616</v>
      </c>
      <c r="AI31" s="2">
        <f t="shared" si="110"/>
        <v>15</v>
      </c>
      <c r="AJ31" t="str">
        <f>VLOOKUP(AI31,автоматы!$AE$3:$AF$26,2,0)</f>
        <v>EZC100F3015</v>
      </c>
      <c r="AK31" s="3">
        <f t="shared" si="111"/>
        <v>14</v>
      </c>
      <c r="AL31" t="str">
        <f>VLOOKUP(AK31,DEKraft!$I$2:$J$16,2,0)</f>
        <v>21230DEK</v>
      </c>
      <c r="AM31">
        <f t="shared" si="112"/>
        <v>14</v>
      </c>
      <c r="AN31" t="str">
        <f>VLOOKUP(AM31,systeme!$A$33:$B$47,2,0)</f>
        <v>GM2ME16</v>
      </c>
      <c r="AO31">
        <f t="shared" si="113"/>
        <v>14</v>
      </c>
      <c r="AP31">
        <f>VLOOKUP(AO31,chint!$A$34:$B$48,2,0)</f>
        <v>495082</v>
      </c>
      <c r="AQ31" s="3">
        <f t="shared" si="114"/>
        <v>16</v>
      </c>
      <c r="AR31" t="str">
        <f>INDEX(DEKraft!$B$2:$D$13,MATCH(AQ31,DEKraft!$A$2:$A$13,0),MATCH(X31,DEKraft!$B$1:$D$1,0))</f>
        <v>13177DEK</v>
      </c>
      <c r="AS31" t="str">
        <f>INDEX(DEKraft!$B$21:$D$32,MATCH(AQ31,DEKraft!$A$21:$A$32,0),MATCH(X31,DEKraft!$B$20:$D$20,0))</f>
        <v>12305DEK</v>
      </c>
      <c r="AT31" t="str">
        <f>INDEX(systeme!$B$2:$D$10,MATCH(AQ31,systeme!$A$2:$A$10,0),MATCH(X31,systeme!$B$1:$D$1,0))</f>
        <v>C9F36316</v>
      </c>
      <c r="AU31">
        <f>INDEX(chint!$B$2:$D$10,MATCH(AQ31,chint!$A$2:$A$10,0),MATCH(X31,chint!$B$1:$D$1,0))</f>
        <v>179700</v>
      </c>
      <c r="AV31" s="3">
        <f t="shared" si="115"/>
        <v>16</v>
      </c>
      <c r="AW31" t="str">
        <f>VLOOKUP(AV31,DEKraft!$A$41:$B$47,2,0)</f>
        <v>16204DEK</v>
      </c>
      <c r="AX31">
        <f t="shared" si="116"/>
        <v>16</v>
      </c>
      <c r="AY31" t="str">
        <f>VLOOKUP(AX31,systeme!$G$2:$H$7,2,0)</f>
        <v>C9D36616</v>
      </c>
      <c r="AZ31">
        <f t="shared" si="117"/>
        <v>16</v>
      </c>
      <c r="BA31">
        <f>VLOOKUP(AV31,chint!$G$2:$H$8,2,0)</f>
        <v>689002</v>
      </c>
      <c r="BB31" s="3">
        <f t="shared" si="118"/>
        <v>25</v>
      </c>
      <c r="BC31" t="str">
        <f>VLOOKUP(BB31,DEKraft!$I$21:$J$36,2,0)</f>
        <v>28100DEK</v>
      </c>
      <c r="BD31">
        <f t="shared" si="119"/>
        <v>16</v>
      </c>
      <c r="BE31" t="str">
        <f>VLOOKUP(BD31,systeme!$A$16:$B$30,2,0)</f>
        <v>SPC100F016L3DF</v>
      </c>
      <c r="BF31">
        <f t="shared" si="120"/>
        <v>16</v>
      </c>
      <c r="BG31" s="4">
        <f>VLOOKUP(BF31,chint!$A$14:$B$31,2,0)</f>
        <v>271581</v>
      </c>
      <c r="BH31">
        <f t="shared" si="121"/>
        <v>16</v>
      </c>
      <c r="BI31" t="str">
        <f>INDEX(КЭАЗ!$B$2:$E$14,MATCH(BH31,КЭАЗ!$A$2:$A$14,0),MATCH(X31,КЭАЗ!$B$1:$D$1,0))</f>
        <v>kea.341959</v>
      </c>
      <c r="BJ31">
        <f t="shared" si="122"/>
        <v>16</v>
      </c>
      <c r="BK31" t="str">
        <f>INDEX(hy!$B$2:$D$18,MATCH(BJ31,hy!$A$2:$A$18,0),MATCH(X31,hy!$B$1:$D$1,0))</f>
        <v>HGD63M 3PMCS0000C 00016</v>
      </c>
      <c r="BL31" t="str">
        <f>VLOOKUP(BJ31,hy!$G$2:$H$15,2,0)</f>
        <v>HRO63M 1NG4С0000C00016G</v>
      </c>
      <c r="BM31">
        <f t="shared" si="123"/>
        <v>14</v>
      </c>
      <c r="BN31" t="str">
        <f>VLOOKUP(BM31,hy!$A$41:$B$55,2,0)</f>
        <v>MMS32K 0014</v>
      </c>
      <c r="BO31">
        <f t="shared" si="124"/>
        <v>100</v>
      </c>
      <c r="BP31" t="str">
        <f>VLOOKUP(BO31,hy!$A$21:$B$35,2,0)</f>
        <v>HGP100S-G 3PT4S0000C 00100H</v>
      </c>
      <c r="BQ31" s="89">
        <f>IF($W31=автоматы!$D$45,Z31,IF($W31=автоматы!$D$46,AF31,IF($W31=автоматы!$D$47,AH31,IF($W31=автоматы!$D$48,AB31,IF($W31=автоматы!$D$49,AJ31,IF($W31=автоматы!$D$50,AD31,IF($W31=автоматы!$D$51,BI31,IF($W31=автоматы!$D$52,AR31,IF($W31=автоматы!$D$53,AS31,IF($W31=автоматы!$D$54,AW31,IF($W31=автоматы!$D$55,AL31,IF($W31=автоматы!$D$56,BC31,IF($W31=автоматы!$D$57,AT31,IF($W31=автоматы!$D$58,AY31,IF($W31=автоматы!$D$59,AN31,IF($W31=автоматы!$D$60,BE31,IF($W31=автоматы!$D$61,AU31,IF($W31=автоматы!$D$62,BA31,IF($W31=автоматы!$D$63,AP31,IF($W31=автоматы!$D$64,BG31,IF($W31=автоматы!$D$65,BK31,IF($W31=автоматы!$D$66,BL31,IF($W31=автоматы!$D$67,BN31,IF($W31=автоматы!$D$68,BP31,"др"))))))))))))))))))))))))</f>
        <v>179700</v>
      </c>
      <c r="BR31" s="89">
        <f>IF($W31=автоматы!$D$45,Y31,IF($W31=автоматы!$D$46,AE31,IF($W31=автоматы!$D$47,AG31,IF($W31=автоматы!$D$48,AA31,IF($W31=автоматы!$D$49,AI31,IF($W31=автоматы!$D$50,AC31,IF($W31=автоматы!$D$51,BH31,IF($W31=автоматы!$D$52,AQ31,IF($W31=автоматы!$D$53,AQ31,IF($W31=автоматы!$D$54,AV31,IF($W31=автоматы!$D$55,AK31,IF($W31=автоматы!$D$56,BB31,IF($W31=автоматы!$D$57,AQ31,IF($W31=автоматы!$D$58,AX31,IF($W31=автоматы!$D$59,AM31,IF($W31=автоматы!$D$60,BD31,IF($W31=автоматы!$D$61,AQ31,IF($W31=автоматы!$D$62,AZ31,IF($W31=автоматы!$D$63,AO31,IF($W31=автоматы!$D$64,BF31,IF($W31=автоматы!$D$65,BJ31,IF($W31=автоматы!$D$66,BJ31,IF($W31=автоматы!$D$67,BM31,IF($W31=автоматы!$D$68,BO31,"др"))))))))))))))))))))))))</f>
        <v>16</v>
      </c>
      <c r="BS31" s="89" t="str">
        <f>CONCATENATE(IF($W31=автоматы!$A$1,Y31,IF($W31=автоматы!$H$1,VLOOKUP(AA31,автоматы!$H$3:$K$17,3,0),IF($W31=автоматы!$N$1,VLOOKUP(AC31,автоматы!$N$3:$Q$19,3,0),IF($W31=автоматы!$S$17,AE31,IF($W31=автоматы!$Z$1,AG31,IF($W31=автоматы!$AE$1,AI31,"др"))))))," А")</f>
        <v>др А</v>
      </c>
      <c r="BT31" s="89" t="str">
        <f>IF($W31=автоматы!$A$1,Y31*10,IF($W31=автоматы!$H$1,VLOOKUP(AA31,автоматы!$H$3:$K$17,4,0),IF($W31=автоматы!$N$1,VLOOKUP(AC31,автоматы!$N$3:$Q$19,4,0),IF($W31=автоматы!$S$17,AE31*10,IF($W31=автоматы!$Z$1,AG31*10,IF($W31=автоматы!$AE$1,AI31*10,"др"))))))</f>
        <v>др</v>
      </c>
      <c r="BU31" s="85"/>
      <c r="BV31" s="90" t="s">
        <v>147</v>
      </c>
      <c r="BW31" s="90">
        <v>1</v>
      </c>
      <c r="BX31" s="91">
        <v>4</v>
      </c>
      <c r="BY31" s="92">
        <v>6</v>
      </c>
      <c r="BZ31" s="91">
        <f>HLOOKUP(BV31,каталог!$CG$1:$CO$22,MATCH(BY31,каталог!$CF$1:$CF$22,0),0)*BW31</f>
        <v>42</v>
      </c>
      <c r="CA31" s="87" t="str">
        <f t="shared" si="103"/>
        <v>нМ2</v>
      </c>
      <c r="CB31" s="87" t="str">
        <f t="shared" si="125"/>
        <v>ВВГнг(А)-LS 4x6</v>
      </c>
      <c r="CC31" s="87"/>
      <c r="CF31" s="174"/>
    </row>
    <row r="32" spans="1:84" ht="25">
      <c r="A32" s="102">
        <v>12</v>
      </c>
      <c r="B32" s="94">
        <v>85</v>
      </c>
      <c r="C32" s="103" t="s">
        <v>703</v>
      </c>
      <c r="D32" s="100" t="s">
        <v>1053</v>
      </c>
      <c r="E32" s="95">
        <v>380</v>
      </c>
      <c r="F32" s="19" t="s">
        <v>580</v>
      </c>
      <c r="G32" s="96">
        <v>5.5</v>
      </c>
      <c r="H32" s="96">
        <f t="shared" ref="H32:H33" si="206">IF(E32&lt;=230,(G32)/((E32/1000)*J32*(B32/100)),(G32)/(1.732*(E32/1000)*J32*(B32/100)))</f>
        <v>11.171966051523322</v>
      </c>
      <c r="I32" s="95">
        <v>1</v>
      </c>
      <c r="J32" s="96">
        <v>0.88</v>
      </c>
      <c r="K32" s="96">
        <f t="shared" ref="K32:K33" si="207">ROUND(SQRT(1-(J32)^2)/J32,2)</f>
        <v>0.54</v>
      </c>
      <c r="L32" s="97">
        <f t="shared" ref="L32:L33" si="208">I32*G32</f>
        <v>5.5</v>
      </c>
      <c r="M32" s="97">
        <f t="shared" ref="M32:M33" si="209">I32*G32*K32</f>
        <v>2.97</v>
      </c>
      <c r="N32" s="97">
        <f t="shared" ref="N32:N33" si="210">1*G32^2</f>
        <v>30.25</v>
      </c>
      <c r="O32" s="118"/>
      <c r="P32" s="118"/>
      <c r="Q32" s="118"/>
      <c r="R32" s="118"/>
      <c r="S32" s="118"/>
      <c r="T32" s="118"/>
      <c r="U32" s="86">
        <f>H32*1.2</f>
        <v>13.406359261827985</v>
      </c>
      <c r="V32" s="86">
        <f t="shared" ref="V32:V33" si="211">7*H32</f>
        <v>78.203762360663248</v>
      </c>
      <c r="W32" s="116" t="s">
        <v>872</v>
      </c>
      <c r="X32" s="87" t="s">
        <v>302</v>
      </c>
      <c r="Y32" s="87">
        <f t="shared" ref="Y32:Y33" si="212">IF(U32&lt;=6,6,IF(U32&lt;=10,10,IF(U32&lt;=16,16,IF(U32&lt;=20,20,IF(U32&lt;=25,25,IF(U32&lt;=32,32,IF(U32&lt;=40,40,IF(U32&lt;=50,50,IF(U32&lt;=63,63,"др.выкл")))))))))</f>
        <v>16</v>
      </c>
      <c r="Z32" s="87" t="str">
        <f>INDEX(автоматы!$B$3:$D$11,MATCH(Y32,автоматы!$A$3:$A$11,0),MATCH(X32,кол_пол,0))</f>
        <v>EZ9F34316</v>
      </c>
      <c r="AA32" s="87">
        <f t="shared" ref="AA32:AA33" si="213">IF(U32&lt;=0.16,0.16,IF(U32&lt;=0.25,0.25,IF(U32&lt;=0.4,0.4,IF(U32&lt;=0.63,0.63,IF(U32&lt;=1,1,IF(U32&lt;=1.6,1.6,IF(U32&lt;=2.5,2.5,IF(U32&lt;=4,4,IF(U32&lt;=6.3,6.3,IF(U32&lt;=10,10,IF(U32&lt;=14,14,IF(U32&lt;=18,18,IF(U32&lt;=23,23,IF(U32&lt;=25,25,IF(U32&lt;=32,32,"др.авт")))))))))))))))</f>
        <v>14</v>
      </c>
      <c r="AB32" s="87" t="str">
        <f>VLOOKUP(AA32,автоматы!$H$3:$I$17,2,0)</f>
        <v>GZ1 E16</v>
      </c>
      <c r="AC32" s="87">
        <f t="shared" ref="AC32:AC33" si="214">IF(U32&lt;=20,20,IF(U32&lt;=25,25,IF(U32&lt;=32,32,IF(U32&lt;=40,40,IF(U32&lt;=50,50,IF(U32&lt;=63,63,IF(U32&lt;=80,80,IF(U32&lt;=100,100,IF(U32&lt;=125,125,IF(U32&lt;=160,160,IF(U32&lt;=200,200,IF(U32&lt;=250,250,IF(U32&lt;=300,300,IF(U32&lt;=320,320,IF(U32&lt;=400,400,IF(U32&lt;=500,500,IF(U32&lt;=630,630,"др.авт")))))))))))))))))</f>
        <v>20</v>
      </c>
      <c r="AD32" s="87" t="str">
        <f>VLOOKUP(AC32,автоматы!$N$3:$O$19,2,0)</f>
        <v>LZMB1-A20-I</v>
      </c>
      <c r="AE32" s="88">
        <f t="shared" ref="AE32:AE33" si="215">IF(U32&lt;=6,6,IF(U32&lt;=10,10,IF(U32&lt;=16,16,IF(U32&lt;=20,20,IF(U32&lt;=25,25,IF(U32&lt;=32,32,IF(U32&lt;=40,40,IF(U32&lt;=50,50,IF(U32&lt;=63,63,"др.выкл")))))))))</f>
        <v>16</v>
      </c>
      <c r="AF32" s="87" t="str">
        <f>INDEX(автоматы!$T$2:$V$15,MATCH(AE32,автоматы!$S$2:$S$15,0),MATCH(X32,автоматы!$T$1:$V$1,0))</f>
        <v>iC60N C16 3P</v>
      </c>
      <c r="AG32" s="87">
        <f t="shared" ref="AG32:AG33" si="216">IF(U32&lt;=6,6,IF(U32&lt;=10,10,IF(U32&lt;=16,16,IF(U32&lt;=20,20,IF(U32&lt;=25,25,IF(U32&lt;=32,32,IF(U32&lt;=40,40,"др.выкл")))))))</f>
        <v>16</v>
      </c>
      <c r="AH32" s="87" t="str">
        <f>VLOOKUP(AG32,автоматы!$Z$3:$AA$9,2,0)</f>
        <v>A9D31616</v>
      </c>
      <c r="AI32" s="2">
        <f t="shared" ref="AI32:AI33" si="217">IF(U32&lt;=15,15,IF(U32&lt;=16,16,IF(U32&lt;=20,20,IF(U32&lt;=25,25,IF(U32&lt;=32,32,IF(U32&lt;=40,40,IF(U32&lt;=45,45,IF(U32&lt;=50,50,IF(U32&lt;=60,60,IF(U32&lt;=63,63,IF(U32&lt;=75,75,IF(U32&lt;=80,80,IF(U32&lt;=100,100,IF(U32&lt;=125,125,IF(U32&lt;=150,150,IF(U32&lt;=160,160,IF(U32&lt;=175,175,IF(U32&lt;=200,200,IF(U32&lt;=225,225,IF(U32&lt;=250,250,IF(U32&lt;=320,320,IF(U32&lt;=350,350,IF(U32&lt;=400,400,"др.выкл")))))))))))))))))))))))</f>
        <v>15</v>
      </c>
      <c r="AJ32" t="str">
        <f>VLOOKUP(AI32,автоматы!$AE$3:$AF$26,2,0)</f>
        <v>EZC100F3015</v>
      </c>
      <c r="AK32" s="3">
        <f t="shared" ref="AK32:AK33" si="218">IF(U32&lt;=0.16,0.16,IF(U32&lt;=0.25,0.25,IF(U32&lt;=0.4,0.4,IF(U32&lt;=0.63,0.63,IF(U32&lt;=1,1,IF(U32&lt;=1.6,1.6,IF(U32&lt;=2.5,2.5,IF(U32&lt;=4,4,IF(U32&lt;=6.3,6.3,IF(U32&lt;=10,10,IF(U32&lt;=14,14,IF(U32&lt;=18,18,IF(U32&lt;=23,23,IF(U32&lt;=25,25,IF(U32&lt;=32,32,"др.авт")))))))))))))))</f>
        <v>14</v>
      </c>
      <c r="AL32" t="str">
        <f>VLOOKUP(AK32,DEKraft!$I$2:$J$16,2,0)</f>
        <v>21230DEK</v>
      </c>
      <c r="AM32">
        <f t="shared" ref="AM32:AM33" si="219">IF(U32&lt;=0.16,0.16,IF(U32&lt;=0.25,0.25,IF(U32&lt;=0.4,0.4,IF(U32&lt;=0.63,0.63,IF(U32&lt;=1,1,IF(U32&lt;=1.6,1.6,IF(U32&lt;=2.5,2.5,IF(U32&lt;=4,4,IF(U32&lt;=6.3,6.3,IF(U32&lt;=10,10,IF(U32&lt;=14,14,IF(U32&lt;=18,18,IF(U32&lt;=23,23,IF(U32&lt;=25,25,IF(U32&lt;=32,32,"др.авт")))))))))))))))</f>
        <v>14</v>
      </c>
      <c r="AN32" t="str">
        <f>VLOOKUP(AM32,systeme!$A$33:$B$47,2,0)</f>
        <v>GM2ME16</v>
      </c>
      <c r="AO32">
        <f t="shared" ref="AO32:AO33" si="220">IF(U32&lt;=0.16,0.16,IF(U32&lt;=0.25,0.25,IF(U32&lt;=0.4,0.4,IF(U32&lt;=0.63,0.63,IF(U32&lt;=1,1,IF(U32&lt;=1.6,1.6,IF(U32&lt;=2.5,2.5,IF(U32&lt;=4,4,IF(U32&lt;=6.3,6.3,IF(U32&lt;=10,10,IF(U32&lt;=14,14,IF(U32&lt;=18,18,IF(U32&lt;=23,23,IF(U32&lt;=25,25,IF(U32&lt;=32,32,"др.авт")))))))))))))))</f>
        <v>14</v>
      </c>
      <c r="AP32">
        <f>VLOOKUP(AO32,chint!$A$34:$B$48,2,0)</f>
        <v>495082</v>
      </c>
      <c r="AQ32" s="3">
        <f t="shared" ref="AQ32:AQ33" si="221">IF(U32&lt;=6,6,IF(U32&lt;=10,10,IF(U32&lt;=16,16,IF(U32&lt;=20,20,IF(U32&lt;=25,25,IF(U32&lt;=32,32,IF(U32&lt;=40,40,IF(U32&lt;=50,50,IF(U32&lt;=63,63,"др.выкл")))))))))</f>
        <v>16</v>
      </c>
      <c r="AR32" t="str">
        <f>INDEX(DEKraft!$B$2:$D$13,MATCH(AQ32,DEKraft!$A$2:$A$13,0),MATCH(X32,DEKraft!$B$1:$D$1,0))</f>
        <v>13177DEK</v>
      </c>
      <c r="AS32" t="str">
        <f>INDEX(DEKraft!$B$21:$D$32,MATCH(AQ32,DEKraft!$A$21:$A$32,0),MATCH(X32,DEKraft!$B$20:$D$20,0))</f>
        <v>12305DEK</v>
      </c>
      <c r="AT32" t="str">
        <f>INDEX(systeme!$B$2:$D$10,MATCH(AQ32,systeme!$A$2:$A$10,0),MATCH(X32,systeme!$B$1:$D$1,0))</f>
        <v>C9F36316</v>
      </c>
      <c r="AU32">
        <f>INDEX(chint!$B$2:$D$10,MATCH(AQ32,chint!$A$2:$A$10,0),MATCH(X32,chint!$B$1:$D$1,0))</f>
        <v>179700</v>
      </c>
      <c r="AV32" s="3">
        <f t="shared" ref="AV32:AV33" si="222">IF(U32&lt;=6,6,IF(U32&lt;=10,10,IF(U32&lt;=16,16,IF(U32&lt;=20,20,IF(U32&lt;=25,25,IF(U32&lt;=32,32,IF(U32&lt;=40,40,"др.выкл")))))))</f>
        <v>16</v>
      </c>
      <c r="AW32" t="str">
        <f>VLOOKUP(AV32,DEKraft!$A$41:$B$47,2,0)</f>
        <v>16204DEK</v>
      </c>
      <c r="AX32">
        <f t="shared" ref="AX32:AX33" si="223">IF(U32&lt;=10,10,IF(U32&lt;=16,16,IF(U32&lt;=20,20,IF(U32&lt;=25,25,IF(U32&lt;=32,32,IF(U32&lt;=40,40,"др.выкл"))))))</f>
        <v>16</v>
      </c>
      <c r="AY32" t="str">
        <f>VLOOKUP(AX32,systeme!$G$2:$H$7,2,0)</f>
        <v>C9D36616</v>
      </c>
      <c r="AZ32">
        <f t="shared" ref="AZ32:AZ33" si="224">IF(U32&lt;=6,6,IF(U32&lt;=10,10,IF(U32&lt;=16,16,IF(U32&lt;=20,20,IF(U32&lt;=25,25,IF(U32&lt;=32,32,IF(U32&lt;=40,40,"др.выкл")))))))</f>
        <v>16</v>
      </c>
      <c r="BA32">
        <f>VLOOKUP(AV32,chint!$G$2:$H$8,2,0)</f>
        <v>689002</v>
      </c>
      <c r="BB32" s="3">
        <f t="shared" ref="BB32:BB33" si="225">IF(U32&lt;=25,25,IF(U32&lt;=32,32,IF(U32&lt;=40,40,IF(U32&lt;=50,50,IF(U32&lt;=63,63,IF(U32&lt;=80,80,IF(U32&lt;=100,100,IF(U32&lt;=125,125,IF(U32&lt;=140,140,IF(U32&lt;=160,160,IF(U32&lt;=200,200,IF(U32&lt;=250,250,IF(U32&lt;=320,320,IF(U32&lt;=400,400,IF(U32&lt;=500,500,IF(U32&lt;=630,630,"др.выкл"))))))))))))))))</f>
        <v>25</v>
      </c>
      <c r="BC32" t="str">
        <f>VLOOKUP(BB32,DEKraft!$I$21:$J$36,2,0)</f>
        <v>28100DEK</v>
      </c>
      <c r="BD32">
        <f t="shared" ref="BD32:BD33" si="226">IF(U32&lt;=16,16,IF(U32&lt;=25,25,IF(U32&lt;=32,32,IF(U32&lt;=40,40,IF(U32&lt;=50,50,IF(U32&lt;=63,63,IF(U32&lt;=80,80,IF(U32&lt;=100,100,IF(U32&lt;=125,125,IF(U32&lt;=160,160,IF(U32&lt;=200,200,IF(U32&lt;=250,250,IF(U32&lt;=400,400,IF(U32&lt;=500,500,IF(U32&lt;=600,600,"др.авт")))))))))))))))</f>
        <v>16</v>
      </c>
      <c r="BE32" t="str">
        <f>VLOOKUP(BD32,systeme!$A$16:$B$30,2,0)</f>
        <v>SPC100F016L3DF</v>
      </c>
      <c r="BF32">
        <f t="shared" ref="BF32:BF33" si="227">IF(U32&lt;=16,16,IF(U32&lt;=25,25,IF(U32&lt;=32,32,IF(U32&lt;=40,40,IF(U32&lt;=50,50,IF(U32&lt;=63,63,IF(U32&lt;=80,80,IF(U32&lt;=100,100,IF(U32&lt;=125,125,IF(U32&lt;=160,160,IF(U32&lt;=200,200,IF(U32&lt;=225,225,IF(U32&lt;=250,250,IF(U32&lt;=315,315,IF(U32&lt;=350,350,IF(U32&lt;=400,400,IF(U32&lt;=500,500,IF(U32&lt;=630,630,"др.выкл"))))))))))))))))))</f>
        <v>16</v>
      </c>
      <c r="BG32" s="4">
        <f>VLOOKUP(BF32,chint!$A$14:$B$31,2,0)</f>
        <v>271581</v>
      </c>
      <c r="BH32">
        <f t="shared" ref="BH32:BH33" si="228">IF(U32&lt;=6,6,IF(U32&lt;=10,10,IF(U32&lt;=16,16,IF(U32&lt;=20,20,IF(U32&lt;=25,25,IF(U32&lt;=32,32,IF(U32&lt;=40,40,IF(U32&lt;=50,50,IF(U32&lt;=63,63,"др.выкл")))))))))</f>
        <v>16</v>
      </c>
      <c r="BI32" t="str">
        <f>INDEX(КЭАЗ!$B$2:$E$14,MATCH(BH32,КЭАЗ!$A$2:$A$14,0),MATCH(X32,КЭАЗ!$B$1:$D$1,0))</f>
        <v>kea.341959</v>
      </c>
      <c r="BJ32">
        <f t="shared" ref="BJ32:BJ33" si="229">IF(U32&lt;=6,6,IF(U32&lt;=10,10,IF(U32&lt;=16,16,IF(U32&lt;=20,20,IF(U32&lt;=25,25,IF(U32&lt;=32,32,IF(U32&lt;=40,40,IF(U32&lt;=50,50,IF(U32&lt;=63,63,IF(U32&lt;=80,80,IF(U32&lt;=100,100,IF(U32&lt;=125,125,"др.выкл"))))))))))))</f>
        <v>16</v>
      </c>
      <c r="BK32" t="str">
        <f>INDEX(hy!$B$2:$D$18,MATCH(BJ32,hy!$A$2:$A$18,0),MATCH(X32,hy!$B$1:$D$1,0))</f>
        <v>HGD63M 3PMCS0000C 00016</v>
      </c>
      <c r="BL32" t="str">
        <f>VLOOKUP(BJ32,hy!$G$2:$H$15,2,0)</f>
        <v>HRO63M 1NG4С0000C00016G</v>
      </c>
      <c r="BM32">
        <f t="shared" ref="BM32:BM33" si="230">IF(U32&lt;=0.16,0.16,IF(U32&lt;=0.25,0.25,IF(U32&lt;=0.4,0.4,IF(U32&lt;=0.63,0.63,IF(U32&lt;=1,1,IF(U32&lt;=1.6,1.6,IF(U32&lt;=2.5,2.5,IF(U32&lt;=4,4,IF(U32&lt;=6.3,6.3,IF(U32&lt;=10,10,IF(U32&lt;=14,14,IF(U32&lt;=18,18,IF(U32&lt;=23,23,IF(U32&lt;=25,25,IF(U32&lt;=32,32,"др.авт")))))))))))))))</f>
        <v>14</v>
      </c>
      <c r="BN32" t="str">
        <f>VLOOKUP(BM32,hy!$A$41:$B$55,2,0)</f>
        <v>MMS32K 0014</v>
      </c>
      <c r="BO32">
        <f t="shared" ref="BO32:BO33" si="231">IF(U32&lt;=100,100,IF(U32&lt;=125,125,IF(U32&lt;=150,150,IF(U32&lt;=160,160,IF(U32&lt;=175,175,IF(U32&lt;=200,200,IF(U32&lt;=225,225,IF(U32&lt;=250,250,IF(U32&lt;=300,300,IF(U32&lt;=350,350,IF(U32&lt;=400,400,IF(U32&lt;=500,500,IF(U32&lt;=630,630,IF(U32&lt;=700,700,IF(U32&lt;=800,800,"др.выкл")))))))))))))))</f>
        <v>100</v>
      </c>
      <c r="BP32" t="str">
        <f>VLOOKUP(BO32,hy!$A$21:$B$35,2,0)</f>
        <v>HGP100S-G 3PT4S0000C 00100H</v>
      </c>
      <c r="BQ32" s="89">
        <f>IF($W32=автоматы!$D$45,Z32,IF($W32=автоматы!$D$46,AF32,IF($W32=автоматы!$D$47,AH32,IF($W32=автоматы!$D$48,AB32,IF($W32=автоматы!$D$49,AJ32,IF($W32=автоматы!$D$50,AD32,IF($W32=автоматы!$D$51,BI32,IF($W32=автоматы!$D$52,AR32,IF($W32=автоматы!$D$53,AS32,IF($W32=автоматы!$D$54,AW32,IF($W32=автоматы!$D$55,AL32,IF($W32=автоматы!$D$56,BC32,IF($W32=автоматы!$D$57,AT32,IF($W32=автоматы!$D$58,AY32,IF($W32=автоматы!$D$59,AN32,IF($W32=автоматы!$D$60,BE32,IF($W32=автоматы!$D$61,AU32,IF($W32=автоматы!$D$62,BA32,IF($W32=автоматы!$D$63,AP32,IF($W32=автоматы!$D$64,BG32,IF($W32=автоматы!$D$65,BK32,IF($W32=автоматы!$D$66,BL32,IF($W32=автоматы!$D$67,BN32,IF($W32=автоматы!$D$68,BP32,"др"))))))))))))))))))))))))</f>
        <v>179700</v>
      </c>
      <c r="BR32" s="89">
        <f>IF($W32=автоматы!$D$45,Y32,IF($W32=автоматы!$D$46,AE32,IF($W32=автоматы!$D$47,AG32,IF($W32=автоматы!$D$48,AA32,IF($W32=автоматы!$D$49,AI32,IF($W32=автоматы!$D$50,AC32,IF($W32=автоматы!$D$51,BH32,IF($W32=автоматы!$D$52,AQ32,IF($W32=автоматы!$D$53,AQ32,IF($W32=автоматы!$D$54,AV32,IF($W32=автоматы!$D$55,AK32,IF($W32=автоматы!$D$56,BB32,IF($W32=автоматы!$D$57,AQ32,IF($W32=автоматы!$D$58,AX32,IF($W32=автоматы!$D$59,AM32,IF($W32=автоматы!$D$60,BD32,IF($W32=автоматы!$D$61,AQ32,IF($W32=автоматы!$D$62,AZ32,IF($W32=автоматы!$D$63,AO32,IF($W32=автоматы!$D$64,BF32,IF($W32=автоматы!$D$65,BJ32,IF($W32=автоматы!$D$66,BJ32,IF($W32=автоматы!$D$67,BM32,IF($W32=автоматы!$D$68,BO32,"др"))))))))))))))))))))))))</f>
        <v>16</v>
      </c>
      <c r="BS32" s="89" t="str">
        <f>CONCATENATE(IF($W32=автоматы!$A$1,Y32,IF($W32=автоматы!$H$1,VLOOKUP(AA32,автоматы!$H$3:$K$17,3,0),IF($W32=автоматы!$N$1,VLOOKUP(AC32,автоматы!$N$3:$Q$19,3,0),IF($W32=автоматы!$S$17,AE32,IF($W32=автоматы!$Z$1,AG32,IF($W32=автоматы!$AE$1,AI32,"др"))))))," А")</f>
        <v>др А</v>
      </c>
      <c r="BT32" s="89" t="str">
        <f>IF($W32=автоматы!$A$1,Y32*10,IF($W32=автоматы!$H$1,VLOOKUP(AA32,автоматы!$H$3:$K$17,4,0),IF($W32=автоматы!$N$1,VLOOKUP(AC32,автоматы!$N$3:$Q$19,4,0),IF($W32=автоматы!$S$17,AE32*10,IF($W32=автоматы!$Z$1,AG32*10,IF($W32=автоматы!$AE$1,AI32*10,"др"))))))</f>
        <v>др</v>
      </c>
      <c r="BU32" s="85"/>
      <c r="BV32" s="90" t="s">
        <v>147</v>
      </c>
      <c r="BW32" s="90">
        <v>1</v>
      </c>
      <c r="BX32" s="91">
        <v>4</v>
      </c>
      <c r="BY32" s="92">
        <v>6</v>
      </c>
      <c r="BZ32" s="91">
        <f>HLOOKUP(BV32,каталог!$CG$1:$CO$22,MATCH(BY32,каталог!$CF$1:$CF$22,0),0)*BW32</f>
        <v>42</v>
      </c>
      <c r="CA32" s="87" t="str">
        <f t="shared" ref="CA32:CA33" si="232">CONCATENATE("н",C32,"")</f>
        <v>нМ3</v>
      </c>
      <c r="CB32" s="87" t="str">
        <f t="shared" ref="CB32:CB33" si="233">CONCATENATE(BV32," ",BX32,"x",BY32)</f>
        <v>ВВГнг(А)-LS 4x6</v>
      </c>
      <c r="CC32" s="87"/>
      <c r="CF32" s="174"/>
    </row>
    <row r="33" spans="1:16324" ht="25">
      <c r="A33" s="102">
        <v>12</v>
      </c>
      <c r="B33" s="94">
        <v>85</v>
      </c>
      <c r="C33" s="103" t="s">
        <v>704</v>
      </c>
      <c r="D33" s="100" t="s">
        <v>1054</v>
      </c>
      <c r="E33" s="95">
        <v>380</v>
      </c>
      <c r="F33" s="19" t="s">
        <v>580</v>
      </c>
      <c r="G33" s="96">
        <v>5.5</v>
      </c>
      <c r="H33" s="96">
        <f t="shared" si="206"/>
        <v>11.171966051523322</v>
      </c>
      <c r="I33" s="95">
        <v>1</v>
      </c>
      <c r="J33" s="96">
        <v>0.88</v>
      </c>
      <c r="K33" s="96">
        <f t="shared" si="207"/>
        <v>0.54</v>
      </c>
      <c r="L33" s="97">
        <f t="shared" si="208"/>
        <v>5.5</v>
      </c>
      <c r="M33" s="97">
        <f t="shared" si="209"/>
        <v>2.97</v>
      </c>
      <c r="N33" s="97">
        <f t="shared" si="210"/>
        <v>30.25</v>
      </c>
      <c r="O33" s="118"/>
      <c r="P33" s="118"/>
      <c r="Q33" s="118"/>
      <c r="R33" s="118"/>
      <c r="S33" s="118"/>
      <c r="T33" s="118"/>
      <c r="U33" s="86">
        <f>H33*1.2</f>
        <v>13.406359261827985</v>
      </c>
      <c r="V33" s="86">
        <f t="shared" si="211"/>
        <v>78.203762360663248</v>
      </c>
      <c r="W33" s="116" t="s">
        <v>872</v>
      </c>
      <c r="X33" s="87" t="s">
        <v>302</v>
      </c>
      <c r="Y33" s="87">
        <f t="shared" si="212"/>
        <v>16</v>
      </c>
      <c r="Z33" s="87" t="str">
        <f>INDEX(автоматы!$B$3:$D$11,MATCH(Y33,автоматы!$A$3:$A$11,0),MATCH(X33,кол_пол,0))</f>
        <v>EZ9F34316</v>
      </c>
      <c r="AA33" s="87">
        <f t="shared" si="213"/>
        <v>14</v>
      </c>
      <c r="AB33" s="87" t="str">
        <f>VLOOKUP(AA33,автоматы!$H$3:$I$17,2,0)</f>
        <v>GZ1 E16</v>
      </c>
      <c r="AC33" s="87">
        <f t="shared" si="214"/>
        <v>20</v>
      </c>
      <c r="AD33" s="87" t="str">
        <f>VLOOKUP(AC33,автоматы!$N$3:$O$19,2,0)</f>
        <v>LZMB1-A20-I</v>
      </c>
      <c r="AE33" s="88">
        <f t="shared" si="215"/>
        <v>16</v>
      </c>
      <c r="AF33" s="87" t="str">
        <f>INDEX(автоматы!$T$2:$V$15,MATCH(AE33,автоматы!$S$2:$S$15,0),MATCH(X33,автоматы!$T$1:$V$1,0))</f>
        <v>iC60N C16 3P</v>
      </c>
      <c r="AG33" s="87">
        <f t="shared" si="216"/>
        <v>16</v>
      </c>
      <c r="AH33" s="87" t="str">
        <f>VLOOKUP(AG33,автоматы!$Z$3:$AA$9,2,0)</f>
        <v>A9D31616</v>
      </c>
      <c r="AI33" s="2">
        <f t="shared" si="217"/>
        <v>15</v>
      </c>
      <c r="AJ33" t="str">
        <f>VLOOKUP(AI33,автоматы!$AE$3:$AF$26,2,0)</f>
        <v>EZC100F3015</v>
      </c>
      <c r="AK33" s="3">
        <f t="shared" si="218"/>
        <v>14</v>
      </c>
      <c r="AL33" t="str">
        <f>VLOOKUP(AK33,DEKraft!$I$2:$J$16,2,0)</f>
        <v>21230DEK</v>
      </c>
      <c r="AM33">
        <f t="shared" si="219"/>
        <v>14</v>
      </c>
      <c r="AN33" t="str">
        <f>VLOOKUP(AM33,systeme!$A$33:$B$47,2,0)</f>
        <v>GM2ME16</v>
      </c>
      <c r="AO33">
        <f t="shared" si="220"/>
        <v>14</v>
      </c>
      <c r="AP33">
        <f>VLOOKUP(AO33,chint!$A$34:$B$48,2,0)</f>
        <v>495082</v>
      </c>
      <c r="AQ33" s="3">
        <f t="shared" si="221"/>
        <v>16</v>
      </c>
      <c r="AR33" t="str">
        <f>INDEX(DEKraft!$B$2:$D$13,MATCH(AQ33,DEKraft!$A$2:$A$13,0),MATCH(X33,DEKraft!$B$1:$D$1,0))</f>
        <v>13177DEK</v>
      </c>
      <c r="AS33" t="str">
        <f>INDEX(DEKraft!$B$21:$D$32,MATCH(AQ33,DEKraft!$A$21:$A$32,0),MATCH(X33,DEKraft!$B$20:$D$20,0))</f>
        <v>12305DEK</v>
      </c>
      <c r="AT33" t="str">
        <f>INDEX(systeme!$B$2:$D$10,MATCH(AQ33,systeme!$A$2:$A$10,0),MATCH(X33,systeme!$B$1:$D$1,0))</f>
        <v>C9F36316</v>
      </c>
      <c r="AU33">
        <f>INDEX(chint!$B$2:$D$10,MATCH(AQ33,chint!$A$2:$A$10,0),MATCH(X33,chint!$B$1:$D$1,0))</f>
        <v>179700</v>
      </c>
      <c r="AV33" s="3">
        <f t="shared" si="222"/>
        <v>16</v>
      </c>
      <c r="AW33" t="str">
        <f>VLOOKUP(AV33,DEKraft!$A$41:$B$47,2,0)</f>
        <v>16204DEK</v>
      </c>
      <c r="AX33">
        <f t="shared" si="223"/>
        <v>16</v>
      </c>
      <c r="AY33" t="str">
        <f>VLOOKUP(AX33,systeme!$G$2:$H$7,2,0)</f>
        <v>C9D36616</v>
      </c>
      <c r="AZ33">
        <f t="shared" si="224"/>
        <v>16</v>
      </c>
      <c r="BA33">
        <f>VLOOKUP(AV33,chint!$G$2:$H$8,2,0)</f>
        <v>689002</v>
      </c>
      <c r="BB33" s="3">
        <f t="shared" si="225"/>
        <v>25</v>
      </c>
      <c r="BC33" t="str">
        <f>VLOOKUP(BB33,DEKraft!$I$21:$J$36,2,0)</f>
        <v>28100DEK</v>
      </c>
      <c r="BD33">
        <f t="shared" si="226"/>
        <v>16</v>
      </c>
      <c r="BE33" t="str">
        <f>VLOOKUP(BD33,systeme!$A$16:$B$30,2,0)</f>
        <v>SPC100F016L3DF</v>
      </c>
      <c r="BF33">
        <f t="shared" si="227"/>
        <v>16</v>
      </c>
      <c r="BG33" s="4">
        <f>VLOOKUP(BF33,chint!$A$14:$B$31,2,0)</f>
        <v>271581</v>
      </c>
      <c r="BH33">
        <f t="shared" si="228"/>
        <v>16</v>
      </c>
      <c r="BI33" t="str">
        <f>INDEX(КЭАЗ!$B$2:$E$14,MATCH(BH33,КЭАЗ!$A$2:$A$14,0),MATCH(X33,КЭАЗ!$B$1:$D$1,0))</f>
        <v>kea.341959</v>
      </c>
      <c r="BJ33">
        <f t="shared" si="229"/>
        <v>16</v>
      </c>
      <c r="BK33" t="str">
        <f>INDEX(hy!$B$2:$D$18,MATCH(BJ33,hy!$A$2:$A$18,0),MATCH(X33,hy!$B$1:$D$1,0))</f>
        <v>HGD63M 3PMCS0000C 00016</v>
      </c>
      <c r="BL33" t="str">
        <f>VLOOKUP(BJ33,hy!$G$2:$H$15,2,0)</f>
        <v>HRO63M 1NG4С0000C00016G</v>
      </c>
      <c r="BM33">
        <f t="shared" si="230"/>
        <v>14</v>
      </c>
      <c r="BN33" t="str">
        <f>VLOOKUP(BM33,hy!$A$41:$B$55,2,0)</f>
        <v>MMS32K 0014</v>
      </c>
      <c r="BO33">
        <f t="shared" si="231"/>
        <v>100</v>
      </c>
      <c r="BP33" t="str">
        <f>VLOOKUP(BO33,hy!$A$21:$B$35,2,0)</f>
        <v>HGP100S-G 3PT4S0000C 00100H</v>
      </c>
      <c r="BQ33" s="89">
        <f>IF($W33=автоматы!$D$45,Z33,IF($W33=автоматы!$D$46,AF33,IF($W33=автоматы!$D$47,AH33,IF($W33=автоматы!$D$48,AB33,IF($W33=автоматы!$D$49,AJ33,IF($W33=автоматы!$D$50,AD33,IF($W33=автоматы!$D$51,BI33,IF($W33=автоматы!$D$52,AR33,IF($W33=автоматы!$D$53,AS33,IF($W33=автоматы!$D$54,AW33,IF($W33=автоматы!$D$55,AL33,IF($W33=автоматы!$D$56,BC33,IF($W33=автоматы!$D$57,AT33,IF($W33=автоматы!$D$58,AY33,IF($W33=автоматы!$D$59,AN33,IF($W33=автоматы!$D$60,BE33,IF($W33=автоматы!$D$61,AU33,IF($W33=автоматы!$D$62,BA33,IF($W33=автоматы!$D$63,AP33,IF($W33=автоматы!$D$64,BG33,IF($W33=автоматы!$D$65,BK33,IF($W33=автоматы!$D$66,BL33,IF($W33=автоматы!$D$67,BN33,IF($W33=автоматы!$D$68,BP33,"др"))))))))))))))))))))))))</f>
        <v>179700</v>
      </c>
      <c r="BR33" s="89">
        <f>IF($W33=автоматы!$D$45,Y33,IF($W33=автоматы!$D$46,AE33,IF($W33=автоматы!$D$47,AG33,IF($W33=автоматы!$D$48,AA33,IF($W33=автоматы!$D$49,AI33,IF($W33=автоматы!$D$50,AC33,IF($W33=автоматы!$D$51,BH33,IF($W33=автоматы!$D$52,AQ33,IF($W33=автоматы!$D$53,AQ33,IF($W33=автоматы!$D$54,AV33,IF($W33=автоматы!$D$55,AK33,IF($W33=автоматы!$D$56,BB33,IF($W33=автоматы!$D$57,AQ33,IF($W33=автоматы!$D$58,AX33,IF($W33=автоматы!$D$59,AM33,IF($W33=автоматы!$D$60,BD33,IF($W33=автоматы!$D$61,AQ33,IF($W33=автоматы!$D$62,AZ33,IF($W33=автоматы!$D$63,AO33,IF($W33=автоматы!$D$64,BF33,IF($W33=автоматы!$D$65,BJ33,IF($W33=автоматы!$D$66,BJ33,IF($W33=автоматы!$D$67,BM33,IF($W33=автоматы!$D$68,BO33,"др"))))))))))))))))))))))))</f>
        <v>16</v>
      </c>
      <c r="BS33" s="89" t="str">
        <f>CONCATENATE(IF($W33=автоматы!$A$1,Y33,IF($W33=автоматы!$H$1,VLOOKUP(AA33,автоматы!$H$3:$K$17,3,0),IF($W33=автоматы!$N$1,VLOOKUP(AC33,автоматы!$N$3:$Q$19,3,0),IF($W33=автоматы!$S$17,AE33,IF($W33=автоматы!$Z$1,AG33,IF($W33=автоматы!$AE$1,AI33,"др"))))))," А")</f>
        <v>др А</v>
      </c>
      <c r="BT33" s="89" t="str">
        <f>IF($W33=автоматы!$A$1,Y33*10,IF($W33=автоматы!$H$1,VLOOKUP(AA33,автоматы!$H$3:$K$17,4,0),IF($W33=автоматы!$N$1,VLOOKUP(AC33,автоматы!$N$3:$Q$19,4,0),IF($W33=автоматы!$S$17,AE33*10,IF($W33=автоматы!$Z$1,AG33*10,IF($W33=автоматы!$AE$1,AI33*10,"др"))))))</f>
        <v>др</v>
      </c>
      <c r="BU33" s="85"/>
      <c r="BV33" s="90" t="s">
        <v>147</v>
      </c>
      <c r="BW33" s="90">
        <v>1</v>
      </c>
      <c r="BX33" s="91">
        <v>4</v>
      </c>
      <c r="BY33" s="92">
        <v>6</v>
      </c>
      <c r="BZ33" s="91">
        <f>HLOOKUP(BV33,каталог!$CG$1:$CO$22,MATCH(BY33,каталог!$CF$1:$CF$22,0),0)*BW33</f>
        <v>42</v>
      </c>
      <c r="CA33" s="87" t="str">
        <f t="shared" si="232"/>
        <v>нМ4</v>
      </c>
      <c r="CB33" s="87" t="str">
        <f t="shared" si="233"/>
        <v>ВВГнг(А)-LS 4x6</v>
      </c>
      <c r="CC33" s="87"/>
      <c r="CF33" s="174"/>
    </row>
    <row r="34" spans="1:16324" ht="25">
      <c r="A34" s="102">
        <v>11</v>
      </c>
      <c r="B34" s="94">
        <v>95</v>
      </c>
      <c r="C34" s="103" t="s">
        <v>880</v>
      </c>
      <c r="D34" s="100" t="s">
        <v>1055</v>
      </c>
      <c r="E34" s="95">
        <v>380</v>
      </c>
      <c r="F34" s="19" t="s">
        <v>580</v>
      </c>
      <c r="G34" s="96">
        <v>75</v>
      </c>
      <c r="H34" s="96">
        <f t="shared" si="0"/>
        <v>134.777118539962</v>
      </c>
      <c r="I34" s="95">
        <v>1</v>
      </c>
      <c r="J34" s="96">
        <v>0.89</v>
      </c>
      <c r="K34" s="96">
        <f t="shared" si="94"/>
        <v>0.51</v>
      </c>
      <c r="L34" s="97">
        <f t="shared" si="28"/>
        <v>75</v>
      </c>
      <c r="M34" s="97">
        <f t="shared" si="29"/>
        <v>38.25</v>
      </c>
      <c r="N34" s="112">
        <f t="shared" si="30"/>
        <v>5625</v>
      </c>
      <c r="O34" s="97"/>
      <c r="P34" s="97"/>
      <c r="Q34" s="97"/>
      <c r="R34" s="97"/>
      <c r="S34" s="97"/>
      <c r="T34" s="97"/>
      <c r="U34" s="86">
        <f t="shared" ref="U34:U35" si="234">H34*1.2</f>
        <v>161.7325422479544</v>
      </c>
      <c r="V34" s="86">
        <f t="shared" ref="V34:V44" si="235">7*H34</f>
        <v>943.43982977973405</v>
      </c>
      <c r="W34" s="116" t="s">
        <v>873</v>
      </c>
      <c r="X34" s="87" t="s">
        <v>302</v>
      </c>
      <c r="Y34" s="87" t="str">
        <f t="shared" si="105"/>
        <v>др.выкл</v>
      </c>
      <c r="Z34" s="87" t="e">
        <f>INDEX(автоматы!$B$3:$D$11,MATCH(Y34,автоматы!$A$3:$A$11,0),MATCH(X34,кол_пол,0))</f>
        <v>#N/A</v>
      </c>
      <c r="AA34" s="87" t="str">
        <f t="shared" si="106"/>
        <v>др.авт</v>
      </c>
      <c r="AB34" s="87" t="e">
        <f>VLOOKUP(AA34,автоматы!$H$3:$I$17,2,0)</f>
        <v>#N/A</v>
      </c>
      <c r="AC34" s="87">
        <f t="shared" si="107"/>
        <v>200</v>
      </c>
      <c r="AD34" s="87" t="str">
        <f>VLOOKUP(AC34,автоматы!$N$3:$O$19,2,0)</f>
        <v>LZMB2-A200-I</v>
      </c>
      <c r="AE34" s="88" t="str">
        <f t="shared" si="108"/>
        <v>др.выкл</v>
      </c>
      <c r="AF34" s="87" t="e">
        <f>INDEX(автоматы!$T$2:$V$15,MATCH(AE34,автоматы!$S$2:$S$15,0),MATCH(X34,автоматы!$T$1:$V$1,0))</f>
        <v>#N/A</v>
      </c>
      <c r="AG34" s="87" t="str">
        <f t="shared" si="109"/>
        <v>др.выкл</v>
      </c>
      <c r="AH34" s="87" t="e">
        <f>VLOOKUP(AG34,автоматы!$Z$3:$AA$9,2,0)</f>
        <v>#N/A</v>
      </c>
      <c r="AI34" s="2">
        <f t="shared" si="110"/>
        <v>175</v>
      </c>
      <c r="AJ34" t="str">
        <f>VLOOKUP(AI34,автоматы!$AE$3:$AF$26,2,0)</f>
        <v>EZC250F3175</v>
      </c>
      <c r="AK34" s="3" t="str">
        <f t="shared" si="111"/>
        <v>др.авт</v>
      </c>
      <c r="AL34" t="e">
        <f>VLOOKUP(AK34,DEKraft!$I$2:$J$16,2,0)</f>
        <v>#N/A</v>
      </c>
      <c r="AM34" t="str">
        <f t="shared" si="112"/>
        <v>др.авт</v>
      </c>
      <c r="AN34" t="e">
        <f>VLOOKUP(AM34,systeme!$A$33:$B$47,2,0)</f>
        <v>#N/A</v>
      </c>
      <c r="AO34" t="str">
        <f t="shared" si="113"/>
        <v>др.авт</v>
      </c>
      <c r="AP34" t="e">
        <f>VLOOKUP(AO34,chint!$A$34:$B$48,2,0)</f>
        <v>#N/A</v>
      </c>
      <c r="AQ34" s="3" t="str">
        <f t="shared" si="114"/>
        <v>др.выкл</v>
      </c>
      <c r="AR34" t="e">
        <f>INDEX(DEKraft!$B$2:$D$13,MATCH(AQ34,DEKraft!$A$2:$A$13,0),MATCH(X34,DEKraft!$B$1:$D$1,0))</f>
        <v>#N/A</v>
      </c>
      <c r="AS34" t="e">
        <f>INDEX(DEKraft!$B$21:$D$32,MATCH(AQ34,DEKraft!$A$21:$A$32,0),MATCH(X34,DEKraft!$B$20:$D$20,0))</f>
        <v>#N/A</v>
      </c>
      <c r="AT34" t="e">
        <f>INDEX(systeme!$B$2:$D$10,MATCH(AQ34,systeme!$A$2:$A$10,0),MATCH(X34,systeme!$B$1:$D$1,0))</f>
        <v>#N/A</v>
      </c>
      <c r="AU34" t="e">
        <f>INDEX(chint!$B$2:$D$10,MATCH(AQ34,chint!$A$2:$A$10,0),MATCH(X34,chint!$B$1:$D$1,0))</f>
        <v>#N/A</v>
      </c>
      <c r="AV34" s="3" t="str">
        <f t="shared" si="115"/>
        <v>др.выкл</v>
      </c>
      <c r="AW34" t="e">
        <f>VLOOKUP(AV34,DEKraft!$A$41:$B$47,2,0)</f>
        <v>#N/A</v>
      </c>
      <c r="AX34" t="str">
        <f t="shared" si="116"/>
        <v>др.выкл</v>
      </c>
      <c r="AY34" t="e">
        <f>VLOOKUP(AX34,systeme!$G$2:$H$7,2,0)</f>
        <v>#N/A</v>
      </c>
      <c r="AZ34" t="str">
        <f t="shared" si="117"/>
        <v>др.выкл</v>
      </c>
      <c r="BA34" t="e">
        <f>VLOOKUP(AV34,chint!$G$2:$H$8,2,0)</f>
        <v>#N/A</v>
      </c>
      <c r="BB34" s="3">
        <f t="shared" si="118"/>
        <v>200</v>
      </c>
      <c r="BC34" t="str">
        <f>VLOOKUP(BB34,DEKraft!$I$21:$J$36,2,0)</f>
        <v>28122DEK</v>
      </c>
      <c r="BD34">
        <f t="shared" si="119"/>
        <v>200</v>
      </c>
      <c r="BE34" t="str">
        <f>VLOOKUP(BD34,systeme!$A$16:$B$30,2,0)</f>
        <v>SPC250F200L3DF</v>
      </c>
      <c r="BF34">
        <f t="shared" si="120"/>
        <v>200</v>
      </c>
      <c r="BG34" s="4">
        <f>VLOOKUP(BF34,chint!$A$14:$B$31,2,0)</f>
        <v>271174</v>
      </c>
      <c r="BH34" t="str">
        <f t="shared" si="121"/>
        <v>др.выкл</v>
      </c>
      <c r="BI34" t="e">
        <f>INDEX(КЭАЗ!$B$2:$E$14,MATCH(BH34,КЭАЗ!$A$2:$A$14,0),MATCH(X34,КЭАЗ!$B$1:$D$1,0))</f>
        <v>#N/A</v>
      </c>
      <c r="BJ34" t="str">
        <f t="shared" si="122"/>
        <v>др.выкл</v>
      </c>
      <c r="BK34" t="e">
        <f>INDEX(hy!$B$2:$D$18,MATCH(BJ34,hy!$A$2:$A$18,0),MATCH(X34,hy!$B$1:$D$1,0))</f>
        <v>#N/A</v>
      </c>
      <c r="BL34" t="e">
        <f>VLOOKUP(BJ34,hy!$G$2:$H$15,2,0)</f>
        <v>#N/A</v>
      </c>
      <c r="BM34" t="str">
        <f t="shared" si="123"/>
        <v>др.авт</v>
      </c>
      <c r="BN34" t="e">
        <f>VLOOKUP(BM34,hy!$A$41:$B$55,2,0)</f>
        <v>#N/A</v>
      </c>
      <c r="BO34">
        <f t="shared" si="124"/>
        <v>175</v>
      </c>
      <c r="BP34" t="str">
        <f>VLOOKUP(BO34,hy!$A$21:$B$35,2,0)</f>
        <v>HGP250S-G 3PT4S0000C 00175H</v>
      </c>
      <c r="BQ34" s="89">
        <f>IF($W34=автоматы!$D$45,Z34,IF($W34=автоматы!$D$46,AF34,IF($W34=автоматы!$D$47,AH34,IF($W34=автоматы!$D$48,AB34,IF($W34=автоматы!$D$49,AJ34,IF($W34=автоматы!$D$50,AD34,IF($W34=автоматы!$D$51,BI34,IF($W34=автоматы!$D$52,AR34,IF($W34=автоматы!$D$53,AS34,IF($W34=автоматы!$D$54,AW34,IF($W34=автоматы!$D$55,AL34,IF($W34=автоматы!$D$56,BC34,IF($W34=автоматы!$D$57,AT34,IF($W34=автоматы!$D$58,AY34,IF($W34=автоматы!$D$59,AN34,IF($W34=автоматы!$D$60,BE34,IF($W34=автоматы!$D$61,AU34,IF($W34=автоматы!$D$62,BA34,IF($W34=автоматы!$D$63,AP34,IF($W34=автоматы!$D$64,BG34,IF($W34=автоматы!$D$65,BK34,IF($W34=автоматы!$D$66,BL34,IF($W34=автоматы!$D$67,BN34,IF($W34=автоматы!$D$68,BP34,"др"))))))))))))))))))))))))</f>
        <v>271174</v>
      </c>
      <c r="BR34" s="89">
        <f>IF($W34=автоматы!$D$45,Y34,IF($W34=автоматы!$D$46,AE34,IF($W34=автоматы!$D$47,AG34,IF($W34=автоматы!$D$48,AA34,IF($W34=автоматы!$D$49,AI34,IF($W34=автоматы!$D$50,AC34,IF($W34=автоматы!$D$51,BH34,IF($W34=автоматы!$D$52,AQ34,IF($W34=автоматы!$D$53,AQ34,IF($W34=автоматы!$D$54,AV34,IF($W34=автоматы!$D$55,AK34,IF($W34=автоматы!$D$56,BB34,IF($W34=автоматы!$D$57,AQ34,IF($W34=автоматы!$D$58,AX34,IF($W34=автоматы!$D$59,AM34,IF($W34=автоматы!$D$60,BD34,IF($W34=автоматы!$D$61,AQ34,IF($W34=автоматы!$D$62,AZ34,IF($W34=автоматы!$D$63,AO34,IF($W34=автоматы!$D$64,BF34,IF($W34=автоматы!$D$65,BJ34,IF($W34=автоматы!$D$66,BJ34,IF($W34=автоматы!$D$67,BM34,IF($W34=автоматы!$D$68,BO34,"др"))))))))))))))))))))))))</f>
        <v>200</v>
      </c>
      <c r="BS34" s="89" t="str">
        <f>CONCATENATE(IF($W34=автоматы!$A$1,Y34,IF($W34=автоматы!$H$1,VLOOKUP(AA34,автоматы!$H$3:$K$17,3,0),IF($W34=автоматы!$N$1,VLOOKUP(AC34,автоматы!$N$3:$Q$19,3,0),IF($W34=автоматы!$S$17,AE34,IF($W34=автоматы!$Z$1,AG34,IF($W34=автоматы!$AE$1,AI34,"др"))))))," А")</f>
        <v>др А</v>
      </c>
      <c r="BT34" s="89" t="str">
        <f>IF($W34=автоматы!$A$1,Y34*10,IF($W34=автоматы!$H$1,VLOOKUP(AA34,автоматы!$H$3:$K$17,4,0),IF($W34=автоматы!$N$1,VLOOKUP(AC34,автоматы!$N$3:$Q$19,4,0),IF($W34=автоматы!$S$17,AE34*10,IF($W34=автоматы!$Z$1,AG34*10,IF($W34=автоматы!$AE$1,AI34*10,"др"))))))</f>
        <v>др</v>
      </c>
      <c r="BU34" s="85"/>
      <c r="BV34" s="90" t="s">
        <v>147</v>
      </c>
      <c r="BW34" s="90">
        <v>1</v>
      </c>
      <c r="BX34" s="91">
        <v>4</v>
      </c>
      <c r="BY34" s="92">
        <v>25</v>
      </c>
      <c r="BZ34" s="91">
        <f>HLOOKUP(BV34,каталог!$CG$1:$CO$22,MATCH(BY34,каталог!$CF$1:$CF$22,0),0)*BW34</f>
        <v>95</v>
      </c>
      <c r="CA34" s="87" t="str">
        <f t="shared" ref="CA34:CA44" si="236">CONCATENATE("н",C34,"")</f>
        <v>нМ5</v>
      </c>
      <c r="CB34" s="87" t="str">
        <f t="shared" ref="CB34:CB44" si="237">CONCATENATE(BV34," ",BX34,"x",BY34)</f>
        <v>ВВГнг(А)-LS 4x25</v>
      </c>
      <c r="CC34" s="87"/>
      <c r="CF34" s="174"/>
    </row>
    <row r="35" spans="1:16324" ht="25">
      <c r="A35" s="102">
        <v>12</v>
      </c>
      <c r="B35" s="94">
        <v>95</v>
      </c>
      <c r="C35" s="103" t="s">
        <v>881</v>
      </c>
      <c r="D35" s="100" t="s">
        <v>1059</v>
      </c>
      <c r="E35" s="95">
        <v>380</v>
      </c>
      <c r="F35" s="19" t="s">
        <v>580</v>
      </c>
      <c r="G35" s="96">
        <v>75</v>
      </c>
      <c r="H35" s="96">
        <f t="shared" ref="H35:H36" si="238">IF(E35&lt;=230,(G35)/((E35/1000)*J35*(B35/100)),(G35)/(1.732*(E35/1000)*J35*(B35/100)))</f>
        <v>134.777118539962</v>
      </c>
      <c r="I35" s="95">
        <v>1</v>
      </c>
      <c r="J35" s="96">
        <v>0.89</v>
      </c>
      <c r="K35" s="96">
        <f t="shared" ref="K35:K36" si="239">ROUND(SQRT(1-(J35)^2)/J35,2)</f>
        <v>0.51</v>
      </c>
      <c r="L35" s="97">
        <f t="shared" ref="L35:L36" si="240">I35*G35</f>
        <v>75</v>
      </c>
      <c r="M35" s="97">
        <f t="shared" ref="M35:M36" si="241">I35*G35*K35</f>
        <v>38.25</v>
      </c>
      <c r="N35" s="112">
        <f t="shared" ref="N35:N36" si="242">1*G35^2</f>
        <v>5625</v>
      </c>
      <c r="O35" s="97"/>
      <c r="P35" s="97"/>
      <c r="Q35" s="97"/>
      <c r="R35" s="97"/>
      <c r="S35" s="97"/>
      <c r="T35" s="97"/>
      <c r="U35" s="86">
        <f t="shared" si="234"/>
        <v>161.7325422479544</v>
      </c>
      <c r="V35" s="86">
        <f t="shared" si="235"/>
        <v>943.43982977973405</v>
      </c>
      <c r="W35" s="116" t="s">
        <v>873</v>
      </c>
      <c r="X35" s="87" t="s">
        <v>302</v>
      </c>
      <c r="Y35" s="87" t="str">
        <f t="shared" ref="Y35:Y44" si="243">IF(U35&lt;=6,6,IF(U35&lt;=10,10,IF(U35&lt;=16,16,IF(U35&lt;=20,20,IF(U35&lt;=25,25,IF(U35&lt;=32,32,IF(U35&lt;=40,40,IF(U35&lt;=50,50,IF(U35&lt;=63,63,"др.выкл")))))))))</f>
        <v>др.выкл</v>
      </c>
      <c r="Z35" s="87" t="e">
        <f>INDEX(автоматы!$B$3:$D$11,MATCH(Y35,автоматы!$A$3:$A$11,0),MATCH(X35,кол_пол,0))</f>
        <v>#N/A</v>
      </c>
      <c r="AA35" s="87" t="str">
        <f t="shared" ref="AA35:AA44" si="244">IF(U35&lt;=0.16,0.16,IF(U35&lt;=0.25,0.25,IF(U35&lt;=0.4,0.4,IF(U35&lt;=0.63,0.63,IF(U35&lt;=1,1,IF(U35&lt;=1.6,1.6,IF(U35&lt;=2.5,2.5,IF(U35&lt;=4,4,IF(U35&lt;=6.3,6.3,IF(U35&lt;=10,10,IF(U35&lt;=14,14,IF(U35&lt;=18,18,IF(U35&lt;=23,23,IF(U35&lt;=25,25,IF(U35&lt;=32,32,"др.авт")))))))))))))))</f>
        <v>др.авт</v>
      </c>
      <c r="AB35" s="87" t="e">
        <f>VLOOKUP(AA35,автоматы!$H$3:$I$17,2,0)</f>
        <v>#N/A</v>
      </c>
      <c r="AC35" s="87">
        <f t="shared" ref="AC35:AC44" si="245">IF(U35&lt;=20,20,IF(U35&lt;=25,25,IF(U35&lt;=32,32,IF(U35&lt;=40,40,IF(U35&lt;=50,50,IF(U35&lt;=63,63,IF(U35&lt;=80,80,IF(U35&lt;=100,100,IF(U35&lt;=125,125,IF(U35&lt;=160,160,IF(U35&lt;=200,200,IF(U35&lt;=250,250,IF(U35&lt;=300,300,IF(U35&lt;=320,320,IF(U35&lt;=400,400,IF(U35&lt;=500,500,IF(U35&lt;=630,630,"др.авт")))))))))))))))))</f>
        <v>200</v>
      </c>
      <c r="AD35" s="87" t="str">
        <f>VLOOKUP(AC35,автоматы!$N$3:$O$19,2,0)</f>
        <v>LZMB2-A200-I</v>
      </c>
      <c r="AE35" s="88" t="str">
        <f t="shared" ref="AE35:AE44" si="246">IF(U35&lt;=6,6,IF(U35&lt;=10,10,IF(U35&lt;=16,16,IF(U35&lt;=20,20,IF(U35&lt;=25,25,IF(U35&lt;=32,32,IF(U35&lt;=40,40,IF(U35&lt;=50,50,IF(U35&lt;=63,63,"др.выкл")))))))))</f>
        <v>др.выкл</v>
      </c>
      <c r="AF35" s="87" t="e">
        <f>INDEX(автоматы!$T$2:$V$15,MATCH(AE35,автоматы!$S$2:$S$15,0),MATCH(X35,автоматы!$T$1:$V$1,0))</f>
        <v>#N/A</v>
      </c>
      <c r="AG35" s="87" t="str">
        <f t="shared" ref="AG35:AG44" si="247">IF(U35&lt;=6,6,IF(U35&lt;=10,10,IF(U35&lt;=16,16,IF(U35&lt;=20,20,IF(U35&lt;=25,25,IF(U35&lt;=32,32,IF(U35&lt;=40,40,"др.выкл")))))))</f>
        <v>др.выкл</v>
      </c>
      <c r="AH35" s="87" t="e">
        <f>VLOOKUP(AG35,автоматы!$Z$3:$AA$9,2,0)</f>
        <v>#N/A</v>
      </c>
      <c r="AI35" s="2">
        <f t="shared" ref="AI35:AI44" si="248">IF(U35&lt;=15,15,IF(U35&lt;=16,16,IF(U35&lt;=20,20,IF(U35&lt;=25,25,IF(U35&lt;=32,32,IF(U35&lt;=40,40,IF(U35&lt;=45,45,IF(U35&lt;=50,50,IF(U35&lt;=60,60,IF(U35&lt;=63,63,IF(U35&lt;=75,75,IF(U35&lt;=80,80,IF(U35&lt;=100,100,IF(U35&lt;=125,125,IF(U35&lt;=150,150,IF(U35&lt;=160,160,IF(U35&lt;=175,175,IF(U35&lt;=200,200,IF(U35&lt;=225,225,IF(U35&lt;=250,250,IF(U35&lt;=320,320,IF(U35&lt;=350,350,IF(U35&lt;=400,400,"др.выкл")))))))))))))))))))))))</f>
        <v>175</v>
      </c>
      <c r="AJ35" t="str">
        <f>VLOOKUP(AI35,автоматы!$AE$3:$AF$26,2,0)</f>
        <v>EZC250F3175</v>
      </c>
      <c r="AK35" s="3" t="str">
        <f t="shared" ref="AK35:AK44" si="249">IF(U35&lt;=0.16,0.16,IF(U35&lt;=0.25,0.25,IF(U35&lt;=0.4,0.4,IF(U35&lt;=0.63,0.63,IF(U35&lt;=1,1,IF(U35&lt;=1.6,1.6,IF(U35&lt;=2.5,2.5,IF(U35&lt;=4,4,IF(U35&lt;=6.3,6.3,IF(U35&lt;=10,10,IF(U35&lt;=14,14,IF(U35&lt;=18,18,IF(U35&lt;=23,23,IF(U35&lt;=25,25,IF(U35&lt;=32,32,"др.авт")))))))))))))))</f>
        <v>др.авт</v>
      </c>
      <c r="AL35" t="e">
        <f>VLOOKUP(AK35,DEKraft!$I$2:$J$16,2,0)</f>
        <v>#N/A</v>
      </c>
      <c r="AM35" t="str">
        <f t="shared" ref="AM35:AM44" si="250">IF(U35&lt;=0.16,0.16,IF(U35&lt;=0.25,0.25,IF(U35&lt;=0.4,0.4,IF(U35&lt;=0.63,0.63,IF(U35&lt;=1,1,IF(U35&lt;=1.6,1.6,IF(U35&lt;=2.5,2.5,IF(U35&lt;=4,4,IF(U35&lt;=6.3,6.3,IF(U35&lt;=10,10,IF(U35&lt;=14,14,IF(U35&lt;=18,18,IF(U35&lt;=23,23,IF(U35&lt;=25,25,IF(U35&lt;=32,32,"др.авт")))))))))))))))</f>
        <v>др.авт</v>
      </c>
      <c r="AN35" t="e">
        <f>VLOOKUP(AM35,systeme!$A$33:$B$47,2,0)</f>
        <v>#N/A</v>
      </c>
      <c r="AO35" t="str">
        <f t="shared" ref="AO35:AO44" si="251">IF(U35&lt;=0.16,0.16,IF(U35&lt;=0.25,0.25,IF(U35&lt;=0.4,0.4,IF(U35&lt;=0.63,0.63,IF(U35&lt;=1,1,IF(U35&lt;=1.6,1.6,IF(U35&lt;=2.5,2.5,IF(U35&lt;=4,4,IF(U35&lt;=6.3,6.3,IF(U35&lt;=10,10,IF(U35&lt;=14,14,IF(U35&lt;=18,18,IF(U35&lt;=23,23,IF(U35&lt;=25,25,IF(U35&lt;=32,32,"др.авт")))))))))))))))</f>
        <v>др.авт</v>
      </c>
      <c r="AP35" t="e">
        <f>VLOOKUP(AO35,chint!$A$34:$B$48,2,0)</f>
        <v>#N/A</v>
      </c>
      <c r="AQ35" s="3" t="str">
        <f t="shared" ref="AQ35:AQ44" si="252">IF(U35&lt;=6,6,IF(U35&lt;=10,10,IF(U35&lt;=16,16,IF(U35&lt;=20,20,IF(U35&lt;=25,25,IF(U35&lt;=32,32,IF(U35&lt;=40,40,IF(U35&lt;=50,50,IF(U35&lt;=63,63,"др.выкл")))))))))</f>
        <v>др.выкл</v>
      </c>
      <c r="AR35" t="e">
        <f>INDEX(DEKraft!$B$2:$D$13,MATCH(AQ35,DEKraft!$A$2:$A$13,0),MATCH(X35,DEKraft!$B$1:$D$1,0))</f>
        <v>#N/A</v>
      </c>
      <c r="AS35" t="e">
        <f>INDEX(DEKraft!$B$21:$D$32,MATCH(AQ35,DEKraft!$A$21:$A$32,0),MATCH(X35,DEKraft!$B$20:$D$20,0))</f>
        <v>#N/A</v>
      </c>
      <c r="AT35" t="e">
        <f>INDEX(systeme!$B$2:$D$10,MATCH(AQ35,systeme!$A$2:$A$10,0),MATCH(X35,systeme!$B$1:$D$1,0))</f>
        <v>#N/A</v>
      </c>
      <c r="AU35" t="e">
        <f>INDEX(chint!$B$2:$D$10,MATCH(AQ35,chint!$A$2:$A$10,0),MATCH(X35,chint!$B$1:$D$1,0))</f>
        <v>#N/A</v>
      </c>
      <c r="AV35" s="3" t="str">
        <f t="shared" ref="AV35:AV44" si="253">IF(U35&lt;=6,6,IF(U35&lt;=10,10,IF(U35&lt;=16,16,IF(U35&lt;=20,20,IF(U35&lt;=25,25,IF(U35&lt;=32,32,IF(U35&lt;=40,40,"др.выкл")))))))</f>
        <v>др.выкл</v>
      </c>
      <c r="AW35" t="e">
        <f>VLOOKUP(AV35,DEKraft!$A$41:$B$47,2,0)</f>
        <v>#N/A</v>
      </c>
      <c r="AX35" t="str">
        <f t="shared" ref="AX35:AX44" si="254">IF(U35&lt;=10,10,IF(U35&lt;=16,16,IF(U35&lt;=20,20,IF(U35&lt;=25,25,IF(U35&lt;=32,32,IF(U35&lt;=40,40,"др.выкл"))))))</f>
        <v>др.выкл</v>
      </c>
      <c r="AY35" t="e">
        <f>VLOOKUP(AX35,systeme!$G$2:$H$7,2,0)</f>
        <v>#N/A</v>
      </c>
      <c r="AZ35" t="str">
        <f t="shared" ref="AZ35:AZ44" si="255">IF(U35&lt;=6,6,IF(U35&lt;=10,10,IF(U35&lt;=16,16,IF(U35&lt;=20,20,IF(U35&lt;=25,25,IF(U35&lt;=32,32,IF(U35&lt;=40,40,"др.выкл")))))))</f>
        <v>др.выкл</v>
      </c>
      <c r="BA35" t="e">
        <f>VLOOKUP(AV35,chint!$G$2:$H$8,2,0)</f>
        <v>#N/A</v>
      </c>
      <c r="BB35" s="3">
        <f t="shared" ref="BB35:BB44" si="256">IF(U35&lt;=25,25,IF(U35&lt;=32,32,IF(U35&lt;=40,40,IF(U35&lt;=50,50,IF(U35&lt;=63,63,IF(U35&lt;=80,80,IF(U35&lt;=100,100,IF(U35&lt;=125,125,IF(U35&lt;=140,140,IF(U35&lt;=160,160,IF(U35&lt;=200,200,IF(U35&lt;=250,250,IF(U35&lt;=320,320,IF(U35&lt;=400,400,IF(U35&lt;=500,500,IF(U35&lt;=630,630,"др.выкл"))))))))))))))))</f>
        <v>200</v>
      </c>
      <c r="BC35" t="str">
        <f>VLOOKUP(BB35,DEKraft!$I$21:$J$36,2,0)</f>
        <v>28122DEK</v>
      </c>
      <c r="BD35">
        <f t="shared" ref="BD35:BD44" si="257">IF(U35&lt;=16,16,IF(U35&lt;=25,25,IF(U35&lt;=32,32,IF(U35&lt;=40,40,IF(U35&lt;=50,50,IF(U35&lt;=63,63,IF(U35&lt;=80,80,IF(U35&lt;=100,100,IF(U35&lt;=125,125,IF(U35&lt;=160,160,IF(U35&lt;=200,200,IF(U35&lt;=250,250,IF(U35&lt;=400,400,IF(U35&lt;=500,500,IF(U35&lt;=600,600,"др.авт")))))))))))))))</f>
        <v>200</v>
      </c>
      <c r="BE35" t="str">
        <f>VLOOKUP(BD35,systeme!$A$16:$B$30,2,0)</f>
        <v>SPC250F200L3DF</v>
      </c>
      <c r="BF35">
        <f t="shared" ref="BF35:BF44" si="258">IF(U35&lt;=16,16,IF(U35&lt;=25,25,IF(U35&lt;=32,32,IF(U35&lt;=40,40,IF(U35&lt;=50,50,IF(U35&lt;=63,63,IF(U35&lt;=80,80,IF(U35&lt;=100,100,IF(U35&lt;=125,125,IF(U35&lt;=160,160,IF(U35&lt;=200,200,IF(U35&lt;=225,225,IF(U35&lt;=250,250,IF(U35&lt;=315,315,IF(U35&lt;=350,350,IF(U35&lt;=400,400,IF(U35&lt;=500,500,IF(U35&lt;=630,630,"др.выкл"))))))))))))))))))</f>
        <v>200</v>
      </c>
      <c r="BG35" s="4">
        <f>VLOOKUP(BF35,chint!$A$14:$B$31,2,0)</f>
        <v>271174</v>
      </c>
      <c r="BH35" t="str">
        <f t="shared" ref="BH35:BH44" si="259">IF(U35&lt;=6,6,IF(U35&lt;=10,10,IF(U35&lt;=16,16,IF(U35&lt;=20,20,IF(U35&lt;=25,25,IF(U35&lt;=32,32,IF(U35&lt;=40,40,IF(U35&lt;=50,50,IF(U35&lt;=63,63,"др.выкл")))))))))</f>
        <v>др.выкл</v>
      </c>
      <c r="BI35" t="e">
        <f>INDEX(КЭАЗ!$B$2:$E$14,MATCH(BH35,КЭАЗ!$A$2:$A$14,0),MATCH(X35,КЭАЗ!$B$1:$D$1,0))</f>
        <v>#N/A</v>
      </c>
      <c r="BJ35" t="str">
        <f t="shared" ref="BJ35:BJ44" si="260">IF(U35&lt;=6,6,IF(U35&lt;=10,10,IF(U35&lt;=16,16,IF(U35&lt;=20,20,IF(U35&lt;=25,25,IF(U35&lt;=32,32,IF(U35&lt;=40,40,IF(U35&lt;=50,50,IF(U35&lt;=63,63,IF(U35&lt;=80,80,IF(U35&lt;=100,100,IF(U35&lt;=125,125,"др.выкл"))))))))))))</f>
        <v>др.выкл</v>
      </c>
      <c r="BK35" t="e">
        <f>INDEX(hy!$B$2:$D$18,MATCH(BJ35,hy!$A$2:$A$18,0),MATCH(X35,hy!$B$1:$D$1,0))</f>
        <v>#N/A</v>
      </c>
      <c r="BL35" t="e">
        <f>VLOOKUP(BJ35,hy!$G$2:$H$15,2,0)</f>
        <v>#N/A</v>
      </c>
      <c r="BM35" t="str">
        <f t="shared" ref="BM35:BM44" si="261">IF(U35&lt;=0.16,0.16,IF(U35&lt;=0.25,0.25,IF(U35&lt;=0.4,0.4,IF(U35&lt;=0.63,0.63,IF(U35&lt;=1,1,IF(U35&lt;=1.6,1.6,IF(U35&lt;=2.5,2.5,IF(U35&lt;=4,4,IF(U35&lt;=6.3,6.3,IF(U35&lt;=10,10,IF(U35&lt;=14,14,IF(U35&lt;=18,18,IF(U35&lt;=23,23,IF(U35&lt;=25,25,IF(U35&lt;=32,32,"др.авт")))))))))))))))</f>
        <v>др.авт</v>
      </c>
      <c r="BN35" t="e">
        <f>VLOOKUP(BM35,hy!$A$41:$B$55,2,0)</f>
        <v>#N/A</v>
      </c>
      <c r="BO35">
        <f t="shared" ref="BO35:BO44" si="262">IF(U35&lt;=100,100,IF(U35&lt;=125,125,IF(U35&lt;=150,150,IF(U35&lt;=160,160,IF(U35&lt;=175,175,IF(U35&lt;=200,200,IF(U35&lt;=225,225,IF(U35&lt;=250,250,IF(U35&lt;=300,300,IF(U35&lt;=350,350,IF(U35&lt;=400,400,IF(U35&lt;=500,500,IF(U35&lt;=630,630,IF(U35&lt;=700,700,IF(U35&lt;=800,800,"др.выкл")))))))))))))))</f>
        <v>175</v>
      </c>
      <c r="BP35" t="str">
        <f>VLOOKUP(BO35,hy!$A$21:$B$35,2,0)</f>
        <v>HGP250S-G 3PT4S0000C 00175H</v>
      </c>
      <c r="BQ35" s="89">
        <f>IF($W35=автоматы!$D$45,Z35,IF($W35=автоматы!$D$46,AF35,IF($W35=автоматы!$D$47,AH35,IF($W35=автоматы!$D$48,AB35,IF($W35=автоматы!$D$49,AJ35,IF($W35=автоматы!$D$50,AD35,IF($W35=автоматы!$D$51,BI35,IF($W35=автоматы!$D$52,AR35,IF($W35=автоматы!$D$53,AS35,IF($W35=автоматы!$D$54,AW35,IF($W35=автоматы!$D$55,AL35,IF($W35=автоматы!$D$56,BC35,IF($W35=автоматы!$D$57,AT35,IF($W35=автоматы!$D$58,AY35,IF($W35=автоматы!$D$59,AN35,IF($W35=автоматы!$D$60,BE35,IF($W35=автоматы!$D$61,AU35,IF($W35=автоматы!$D$62,BA35,IF($W35=автоматы!$D$63,AP35,IF($W35=автоматы!$D$64,BG35,IF($W35=автоматы!$D$65,BK35,IF($W35=автоматы!$D$66,BL35,IF($W35=автоматы!$D$67,BN35,IF($W35=автоматы!$D$68,BP35,"др"))))))))))))))))))))))))</f>
        <v>271174</v>
      </c>
      <c r="BR35" s="89">
        <f>IF($W35=автоматы!$D$45,Y35,IF($W35=автоматы!$D$46,AE35,IF($W35=автоматы!$D$47,AG35,IF($W35=автоматы!$D$48,AA35,IF($W35=автоматы!$D$49,AI35,IF($W35=автоматы!$D$50,AC35,IF($W35=автоматы!$D$51,BH35,IF($W35=автоматы!$D$52,AQ35,IF($W35=автоматы!$D$53,AQ35,IF($W35=автоматы!$D$54,AV35,IF($W35=автоматы!$D$55,AK35,IF($W35=автоматы!$D$56,BB35,IF($W35=автоматы!$D$57,AQ35,IF($W35=автоматы!$D$58,AX35,IF($W35=автоматы!$D$59,AM35,IF($W35=автоматы!$D$60,BD35,IF($W35=автоматы!$D$61,AQ35,IF($W35=автоматы!$D$62,AZ35,IF($W35=автоматы!$D$63,AO35,IF($W35=автоматы!$D$64,BF35,IF($W35=автоматы!$D$65,BJ35,IF($W35=автоматы!$D$66,BJ35,IF($W35=автоматы!$D$67,BM35,IF($W35=автоматы!$D$68,BO35,"др"))))))))))))))))))))))))</f>
        <v>200</v>
      </c>
      <c r="BS35" s="89" t="str">
        <f>CONCATENATE(IF($W35=автоматы!$A$1,Y35,IF($W35=автоматы!$H$1,VLOOKUP(AA35,автоматы!$H$3:$K$17,3,0),IF($W35=автоматы!$N$1,VLOOKUP(AC35,автоматы!$N$3:$Q$19,3,0),IF($W35=автоматы!$S$17,AE35,IF($W35=автоматы!$Z$1,AG35,IF($W35=автоматы!$AE$1,AI35,"др"))))))," А")</f>
        <v>др А</v>
      </c>
      <c r="BT35" s="89" t="str">
        <f>IF($W35=автоматы!$A$1,Y35*10,IF($W35=автоматы!$H$1,VLOOKUP(AA35,автоматы!$H$3:$K$17,4,0),IF($W35=автоматы!$N$1,VLOOKUP(AC35,автоматы!$N$3:$Q$19,4,0),IF($W35=автоматы!$S$17,AE35*10,IF($W35=автоматы!$Z$1,AG35*10,IF($W35=автоматы!$AE$1,AI35*10,"др"))))))</f>
        <v>др</v>
      </c>
      <c r="BU35" s="85"/>
      <c r="BV35" s="90" t="s">
        <v>147</v>
      </c>
      <c r="BW35" s="90">
        <v>1</v>
      </c>
      <c r="BX35" s="91">
        <v>4</v>
      </c>
      <c r="BY35" s="92">
        <v>25</v>
      </c>
      <c r="BZ35" s="91">
        <f>HLOOKUP(BV35,каталог!$CG$1:$CO$22,MATCH(BY35,каталог!$CF$1:$CF$22,0),0)*BW35</f>
        <v>95</v>
      </c>
      <c r="CA35" s="87" t="str">
        <f t="shared" si="236"/>
        <v>нМ6</v>
      </c>
      <c r="CB35" s="87" t="str">
        <f t="shared" si="237"/>
        <v>ВВГнг(А)-LS 4x25</v>
      </c>
      <c r="CC35" s="87"/>
      <c r="CF35" s="174"/>
    </row>
    <row r="36" spans="1:16324" ht="25">
      <c r="A36" s="102">
        <v>11</v>
      </c>
      <c r="B36" s="94">
        <v>95</v>
      </c>
      <c r="C36" s="103" t="s">
        <v>882</v>
      </c>
      <c r="D36" s="119" t="s">
        <v>1060</v>
      </c>
      <c r="E36" s="132">
        <v>380</v>
      </c>
      <c r="F36" s="133" t="s">
        <v>580</v>
      </c>
      <c r="G36" s="168">
        <v>75</v>
      </c>
      <c r="H36" s="96">
        <f t="shared" si="238"/>
        <v>134.777118539962</v>
      </c>
      <c r="I36" s="95">
        <v>1</v>
      </c>
      <c r="J36" s="96">
        <v>0.89</v>
      </c>
      <c r="K36" s="96">
        <f t="shared" si="239"/>
        <v>0.51</v>
      </c>
      <c r="L36" s="97">
        <f t="shared" si="240"/>
        <v>75</v>
      </c>
      <c r="M36" s="97">
        <f t="shared" si="241"/>
        <v>38.25</v>
      </c>
      <c r="N36" s="112">
        <f t="shared" si="242"/>
        <v>5625</v>
      </c>
      <c r="O36" s="97"/>
      <c r="P36" s="97"/>
      <c r="Q36" s="97"/>
      <c r="R36" s="97"/>
      <c r="S36" s="97"/>
      <c r="T36" s="97"/>
      <c r="U36" s="86"/>
      <c r="V36" s="86"/>
      <c r="W36" s="116"/>
      <c r="X36" s="87"/>
      <c r="Y36" s="87"/>
      <c r="Z36" s="87"/>
      <c r="AA36" s="87"/>
      <c r="AB36" s="87"/>
      <c r="AC36" s="87"/>
      <c r="AD36" s="87"/>
      <c r="AE36" s="88"/>
      <c r="AF36" s="87"/>
      <c r="AG36" s="87"/>
      <c r="AH36" s="87"/>
      <c r="AI36" s="2"/>
      <c r="BQ36" s="89"/>
      <c r="BR36" s="89"/>
      <c r="BS36" s="89"/>
      <c r="BT36" s="89"/>
      <c r="BU36" s="85"/>
      <c r="BV36" s="90"/>
      <c r="BW36" s="90"/>
      <c r="BX36" s="91"/>
      <c r="BY36" s="92"/>
      <c r="BZ36" s="91"/>
      <c r="CA36" s="87"/>
      <c r="CB36" s="87"/>
      <c r="CC36" s="87"/>
      <c r="CF36" s="174"/>
    </row>
    <row r="37" spans="1:16324" ht="25">
      <c r="A37" s="102">
        <v>11</v>
      </c>
      <c r="B37" s="94">
        <v>80</v>
      </c>
      <c r="C37" s="103" t="s">
        <v>883</v>
      </c>
      <c r="D37" s="100" t="s">
        <v>1056</v>
      </c>
      <c r="E37" s="95">
        <v>380</v>
      </c>
      <c r="F37" s="19" t="s">
        <v>580</v>
      </c>
      <c r="G37" s="96">
        <v>2.4</v>
      </c>
      <c r="H37" s="96">
        <f t="shared" ref="H37:H39" si="263">IF(E37&lt;=230,(G37)/((E37/1000)*J37*(B37/100)),(G37)/(1.732*(E37/1000)*J37*(B37/100)))</f>
        <v>5.1797297147971753</v>
      </c>
      <c r="I37" s="95">
        <v>1</v>
      </c>
      <c r="J37" s="96">
        <v>0.88</v>
      </c>
      <c r="K37" s="96">
        <f t="shared" ref="K37:K42" si="264">ROUND(SQRT(1-(J37)^2)/J37,2)</f>
        <v>0.54</v>
      </c>
      <c r="L37" s="97">
        <f t="shared" si="28"/>
        <v>2.4</v>
      </c>
      <c r="M37" s="97">
        <f t="shared" si="29"/>
        <v>1.296</v>
      </c>
      <c r="N37" s="97">
        <f t="shared" si="30"/>
        <v>5.76</v>
      </c>
      <c r="O37" s="97"/>
      <c r="P37" s="97"/>
      <c r="Q37" s="97"/>
      <c r="R37" s="97"/>
      <c r="S37" s="97"/>
      <c r="T37" s="97"/>
      <c r="U37" s="86">
        <f>H37*1.1</f>
        <v>5.6977026862768936</v>
      </c>
      <c r="V37" s="86">
        <f t="shared" si="235"/>
        <v>36.258108003580226</v>
      </c>
      <c r="W37" s="116" t="s">
        <v>874</v>
      </c>
      <c r="X37" s="87" t="s">
        <v>302</v>
      </c>
      <c r="Y37" s="87">
        <f t="shared" si="243"/>
        <v>6</v>
      </c>
      <c r="Z37" s="87" t="str">
        <f>INDEX(автоматы!$B$3:$D$11,MATCH(Y37,автоматы!$A$3:$A$11,0),MATCH(X37,кол_пол,0))</f>
        <v>EZ9F34306</v>
      </c>
      <c r="AA37" s="87">
        <f t="shared" si="244"/>
        <v>6.3</v>
      </c>
      <c r="AB37" s="87" t="str">
        <f>VLOOKUP(AA37,автоматы!$H$3:$I$17,2,0)</f>
        <v>GZ1 E10</v>
      </c>
      <c r="AC37" s="87">
        <f t="shared" si="245"/>
        <v>20</v>
      </c>
      <c r="AD37" s="87" t="str">
        <f>VLOOKUP(AC37,автоматы!$N$3:$O$19,2,0)</f>
        <v>LZMB1-A20-I</v>
      </c>
      <c r="AE37" s="88">
        <f t="shared" si="246"/>
        <v>6</v>
      </c>
      <c r="AF37" s="87" t="str">
        <f>INDEX(автоматы!$T$2:$V$15,MATCH(AE37,автоматы!$S$2:$S$15,0),MATCH(X37,автоматы!$T$1:$V$1,0))</f>
        <v>iC60N C6 3P</v>
      </c>
      <c r="AG37" s="87">
        <f t="shared" si="247"/>
        <v>6</v>
      </c>
      <c r="AH37" s="87" t="str">
        <f>VLOOKUP(AG37,автоматы!$Z$3:$AA$9,2,0)</f>
        <v>A9D31606</v>
      </c>
      <c r="AI37" s="2">
        <f t="shared" si="248"/>
        <v>15</v>
      </c>
      <c r="AJ37" t="str">
        <f>VLOOKUP(AI37,автоматы!$AE$3:$AF$26,2,0)</f>
        <v>EZC100F3015</v>
      </c>
      <c r="AK37" s="3">
        <f t="shared" si="249"/>
        <v>6.3</v>
      </c>
      <c r="AL37" t="str">
        <f>VLOOKUP(AK37,DEKraft!$I$2:$J$16,2,0)</f>
        <v>21228DEK</v>
      </c>
      <c r="AM37">
        <f t="shared" si="250"/>
        <v>6.3</v>
      </c>
      <c r="AN37" t="str">
        <f>VLOOKUP(AM37,systeme!$A$33:$B$47,2,0)</f>
        <v>GM2ME10</v>
      </c>
      <c r="AO37">
        <f t="shared" si="251"/>
        <v>6.3</v>
      </c>
      <c r="AP37">
        <f>VLOOKUP(AO37,chint!$A$34:$B$48,2,0)</f>
        <v>495080</v>
      </c>
      <c r="AQ37" s="3">
        <f t="shared" si="252"/>
        <v>6</v>
      </c>
      <c r="AR37" t="str">
        <f>INDEX(DEKraft!$B$2:$D$13,MATCH(AQ37,DEKraft!$A$2:$A$13,0),MATCH(X37,DEKraft!$B$1:$D$1,0))</f>
        <v>13175DEK</v>
      </c>
      <c r="AS37" t="str">
        <f>INDEX(DEKraft!$B$21:$D$32,MATCH(AQ37,DEKraft!$A$21:$A$32,0),MATCH(X37,DEKraft!$B$20:$D$20,0))</f>
        <v>12301DEK</v>
      </c>
      <c r="AT37" t="str">
        <f>INDEX(systeme!$B$2:$D$10,MATCH(AQ37,systeme!$A$2:$A$10,0),MATCH(X37,systeme!$B$1:$D$1,0))</f>
        <v>C9F36306</v>
      </c>
      <c r="AU37">
        <f>INDEX(chint!$B$2:$D$10,MATCH(AQ37,chint!$A$2:$A$10,0),MATCH(X37,chint!$B$1:$D$1,0))</f>
        <v>179709</v>
      </c>
      <c r="AV37" s="3">
        <f t="shared" si="253"/>
        <v>6</v>
      </c>
      <c r="AW37" t="str">
        <f>VLOOKUP(AV37,DEKraft!$A$41:$B$47,2,0)</f>
        <v>16202DEK</v>
      </c>
      <c r="AX37">
        <f t="shared" si="254"/>
        <v>10</v>
      </c>
      <c r="AY37" t="str">
        <f>VLOOKUP(AX37,systeme!$G$2:$H$7,2,0)</f>
        <v>C9D36610</v>
      </c>
      <c r="AZ37">
        <f t="shared" si="255"/>
        <v>6</v>
      </c>
      <c r="BA37">
        <f>VLOOKUP(AV37,chint!$G$2:$H$8,2,0)</f>
        <v>689000</v>
      </c>
      <c r="BB37" s="3">
        <f t="shared" si="256"/>
        <v>25</v>
      </c>
      <c r="BC37" t="str">
        <f>VLOOKUP(BB37,DEKraft!$I$21:$J$36,2,0)</f>
        <v>28100DEK</v>
      </c>
      <c r="BD37">
        <f t="shared" si="257"/>
        <v>16</v>
      </c>
      <c r="BE37" t="str">
        <f>VLOOKUP(BD37,systeme!$A$16:$B$30,2,0)</f>
        <v>SPC100F016L3DF</v>
      </c>
      <c r="BF37">
        <f t="shared" si="258"/>
        <v>16</v>
      </c>
      <c r="BG37" s="4">
        <f>VLOOKUP(BF37,chint!$A$14:$B$31,2,0)</f>
        <v>271581</v>
      </c>
      <c r="BH37">
        <f t="shared" si="259"/>
        <v>6</v>
      </c>
      <c r="BI37" t="str">
        <f>INDEX(КЭАЗ!$B$2:$E$14,MATCH(BH37,КЭАЗ!$A$2:$A$14,0),MATCH(X37,КЭАЗ!$B$1:$D$1,0))</f>
        <v>kea.341955</v>
      </c>
      <c r="BJ37">
        <f t="shared" si="260"/>
        <v>6</v>
      </c>
      <c r="BK37" t="str">
        <f>INDEX(hy!$B$2:$D$18,MATCH(BJ37,hy!$A$2:$A$18,0),MATCH(X37,hy!$B$1:$D$1,0))</f>
        <v>HGD63M 3PMCS0000C 00006</v>
      </c>
      <c r="BL37" t="str">
        <f>VLOOKUP(BJ37,hy!$G$2:$H$15,2,0)</f>
        <v>HRO63M 1NG4С0000C00006G</v>
      </c>
      <c r="BM37">
        <f t="shared" si="261"/>
        <v>6.3</v>
      </c>
      <c r="BN37" t="str">
        <f>VLOOKUP(BM37,hy!$A$41:$B$55,2,0)</f>
        <v>MMS32K 06P3</v>
      </c>
      <c r="BO37">
        <f t="shared" si="262"/>
        <v>100</v>
      </c>
      <c r="BP37" t="str">
        <f>VLOOKUP(BO37,hy!$A$21:$B$35,2,0)</f>
        <v>HGP100S-G 3PT4S0000C 00100H</v>
      </c>
      <c r="BQ37" s="89">
        <f>IF($W37=автоматы!$D$45,Z37,IF($W37=автоматы!$D$46,AF37,IF($W37=автоматы!$D$47,AH37,IF($W37=автоматы!$D$48,AB37,IF($W37=автоматы!$D$49,AJ37,IF($W37=автоматы!$D$50,AD37,IF($W37=автоматы!$D$51,BI37,IF($W37=автоматы!$D$52,AR37,IF($W37=автоматы!$D$53,AS37,IF($W37=автоматы!$D$54,AW37,IF($W37=автоматы!$D$55,AL37,IF($W37=автоматы!$D$56,BC37,IF($W37=автоматы!$D$57,AT37,IF($W37=автоматы!$D$58,AY37,IF($W37=автоматы!$D$59,AN37,IF($W37=автоматы!$D$60,BE37,IF($W37=автоматы!$D$61,AU37,IF($W37=автоматы!$D$62,BA37,IF($W37=автоматы!$D$63,AP37,IF($W37=автоматы!$D$64,BG37,IF($W37=автоматы!$D$65,BK37,IF($W37=автоматы!$D$66,BL37,IF($W37=автоматы!$D$67,BN37,IF($W37=автоматы!$D$68,BP37,"др"))))))))))))))))))))))))</f>
        <v>495080</v>
      </c>
      <c r="BR37" s="89">
        <f>IF($W37=автоматы!$D$45,Y37,IF($W37=автоматы!$D$46,AE37,IF($W37=автоматы!$D$47,AG37,IF($W37=автоматы!$D$48,AA37,IF($W37=автоматы!$D$49,AI37,IF($W37=автоматы!$D$50,AC37,IF($W37=автоматы!$D$51,BH37,IF($W37=автоматы!$D$52,AQ37,IF($W37=автоматы!$D$53,AQ37,IF($W37=автоматы!$D$54,AV37,IF($W37=автоматы!$D$55,AK37,IF($W37=автоматы!$D$56,BB37,IF($W37=автоматы!$D$57,AQ37,IF($W37=автоматы!$D$58,AX37,IF($W37=автоматы!$D$59,AM37,IF($W37=автоматы!$D$60,BD37,IF($W37=автоматы!$D$61,AQ37,IF($W37=автоматы!$D$62,AZ37,IF($W37=автоматы!$D$63,AO37,IF($W37=автоматы!$D$64,BF37,IF($W37=автоматы!$D$65,BJ37,IF($W37=автоматы!$D$66,BJ37,IF($W37=автоматы!$D$67,BM37,IF($W37=автоматы!$D$68,BO37,"др"))))))))))))))))))))))))</f>
        <v>6.3</v>
      </c>
      <c r="BS37" s="89" t="str">
        <f>CONCATENATE(IF($W37=автоматы!$A$1,Y37,IF($W37=автоматы!$H$1,VLOOKUP(AA37,автоматы!$H$3:$K$17,3,0),IF($W37=автоматы!$N$1,VLOOKUP(AC37,автоматы!$N$3:$Q$19,3,0),IF($W37=автоматы!$S$17,AE37,IF($W37=автоматы!$Z$1,AG37,IF($W37=автоматы!$AE$1,AI37,"др"))))))," А")</f>
        <v>др А</v>
      </c>
      <c r="BT37" s="89" t="str">
        <f>IF($W37=автоматы!$A$1,Y37*10,IF($W37=автоматы!$H$1,VLOOKUP(AA37,автоматы!$H$3:$K$17,4,0),IF($W37=автоматы!$N$1,VLOOKUP(AC37,автоматы!$N$3:$Q$19,4,0),IF($W37=автоматы!$S$17,AE37*10,IF($W37=автоматы!$Z$1,AG37*10,IF($W37=автоматы!$AE$1,AI37*10,"др"))))))</f>
        <v>др</v>
      </c>
      <c r="BU37" s="85"/>
      <c r="BV37" s="90" t="s">
        <v>147</v>
      </c>
      <c r="BW37" s="90">
        <v>1</v>
      </c>
      <c r="BX37" s="91">
        <v>4</v>
      </c>
      <c r="BY37" s="92">
        <v>2.5</v>
      </c>
      <c r="BZ37" s="91">
        <f>HLOOKUP(BV37,каталог!$CG$1:$CO$22,MATCH(BY37,каталог!$CF$1:$CF$22,0),0)*BW37</f>
        <v>25</v>
      </c>
      <c r="CA37" s="87" t="str">
        <f t="shared" si="236"/>
        <v>нМ8</v>
      </c>
      <c r="CB37" s="87" t="str">
        <f t="shared" si="237"/>
        <v>ВВГнг(А)-LS 4x2,5</v>
      </c>
      <c r="CC37" s="87"/>
      <c r="CF37" s="174"/>
    </row>
    <row r="38" spans="1:16324" ht="25">
      <c r="A38" s="102">
        <v>12</v>
      </c>
      <c r="B38" s="94">
        <v>80</v>
      </c>
      <c r="C38" s="103" t="s">
        <v>886</v>
      </c>
      <c r="D38" s="119" t="s">
        <v>1057</v>
      </c>
      <c r="E38" s="132">
        <v>380</v>
      </c>
      <c r="F38" s="133" t="s">
        <v>580</v>
      </c>
      <c r="G38" s="168">
        <v>2.4</v>
      </c>
      <c r="H38" s="96">
        <f t="shared" ref="H38" si="265">IF(E38&lt;=230,(G38)/((E38/1000)*J38*(B38/100)),(G38)/(1.732*(E38/1000)*J38*(B38/100)))</f>
        <v>5.1797297147971753</v>
      </c>
      <c r="I38" s="95">
        <v>1</v>
      </c>
      <c r="J38" s="96">
        <v>0.88</v>
      </c>
      <c r="K38" s="96">
        <f t="shared" si="264"/>
        <v>0.54</v>
      </c>
      <c r="L38" s="97">
        <f t="shared" si="28"/>
        <v>2.4</v>
      </c>
      <c r="M38" s="97">
        <f t="shared" si="29"/>
        <v>1.296</v>
      </c>
      <c r="N38" s="97">
        <f t="shared" si="30"/>
        <v>5.76</v>
      </c>
      <c r="O38" s="97"/>
      <c r="P38" s="97"/>
      <c r="Q38" s="97"/>
      <c r="R38" s="97"/>
      <c r="S38" s="97"/>
      <c r="T38" s="97"/>
      <c r="U38" s="86">
        <f>H38*1.1</f>
        <v>5.6977026862768936</v>
      </c>
      <c r="V38" s="86">
        <f t="shared" si="235"/>
        <v>36.258108003580226</v>
      </c>
      <c r="W38" s="116" t="s">
        <v>874</v>
      </c>
      <c r="X38" s="87" t="s">
        <v>302</v>
      </c>
      <c r="Y38" s="87">
        <f t="shared" si="243"/>
        <v>6</v>
      </c>
      <c r="Z38" s="87" t="str">
        <f>INDEX(автоматы!$B$3:$D$11,MATCH(Y38,автоматы!$A$3:$A$11,0),MATCH(X38,кол_пол,0))</f>
        <v>EZ9F34306</v>
      </c>
      <c r="AA38" s="87">
        <f t="shared" si="244"/>
        <v>6.3</v>
      </c>
      <c r="AB38" s="87" t="str">
        <f>VLOOKUP(AA38,автоматы!$H$3:$I$17,2,0)</f>
        <v>GZ1 E10</v>
      </c>
      <c r="AC38" s="87">
        <f t="shared" si="245"/>
        <v>20</v>
      </c>
      <c r="AD38" s="87" t="str">
        <f>VLOOKUP(AC38,автоматы!$N$3:$O$19,2,0)</f>
        <v>LZMB1-A20-I</v>
      </c>
      <c r="AE38" s="88">
        <f t="shared" si="246"/>
        <v>6</v>
      </c>
      <c r="AF38" s="87" t="str">
        <f>INDEX(автоматы!$T$2:$V$15,MATCH(AE38,автоматы!$S$2:$S$15,0),MATCH(X38,автоматы!$T$1:$V$1,0))</f>
        <v>iC60N C6 3P</v>
      </c>
      <c r="AG38" s="87">
        <f t="shared" si="247"/>
        <v>6</v>
      </c>
      <c r="AH38" s="87" t="str">
        <f>VLOOKUP(AG38,автоматы!$Z$3:$AA$9,2,0)</f>
        <v>A9D31606</v>
      </c>
      <c r="AI38" s="2">
        <f t="shared" si="248"/>
        <v>15</v>
      </c>
      <c r="AJ38" t="str">
        <f>VLOOKUP(AI38,автоматы!$AE$3:$AF$26,2,0)</f>
        <v>EZC100F3015</v>
      </c>
      <c r="AK38" s="3">
        <f t="shared" si="249"/>
        <v>6.3</v>
      </c>
      <c r="AL38" t="str">
        <f>VLOOKUP(AK38,DEKraft!$I$2:$J$16,2,0)</f>
        <v>21228DEK</v>
      </c>
      <c r="AM38">
        <f t="shared" si="250"/>
        <v>6.3</v>
      </c>
      <c r="AN38" t="str">
        <f>VLOOKUP(AM38,systeme!$A$33:$B$47,2,0)</f>
        <v>GM2ME10</v>
      </c>
      <c r="AO38">
        <f t="shared" si="251"/>
        <v>6.3</v>
      </c>
      <c r="AP38">
        <f>VLOOKUP(AO38,chint!$A$34:$B$48,2,0)</f>
        <v>495080</v>
      </c>
      <c r="AQ38" s="3">
        <f t="shared" si="252"/>
        <v>6</v>
      </c>
      <c r="AR38" t="str">
        <f>INDEX(DEKraft!$B$2:$D$13,MATCH(AQ38,DEKraft!$A$2:$A$13,0),MATCH(X38,DEKraft!$B$1:$D$1,0))</f>
        <v>13175DEK</v>
      </c>
      <c r="AS38" t="str">
        <f>INDEX(DEKraft!$B$21:$D$32,MATCH(AQ38,DEKraft!$A$21:$A$32,0),MATCH(X38,DEKraft!$B$20:$D$20,0))</f>
        <v>12301DEK</v>
      </c>
      <c r="AT38" t="str">
        <f>INDEX(systeme!$B$2:$D$10,MATCH(AQ38,systeme!$A$2:$A$10,0),MATCH(X38,systeme!$B$1:$D$1,0))</f>
        <v>C9F36306</v>
      </c>
      <c r="AU38">
        <f>INDEX(chint!$B$2:$D$10,MATCH(AQ38,chint!$A$2:$A$10,0),MATCH(X38,chint!$B$1:$D$1,0))</f>
        <v>179709</v>
      </c>
      <c r="AV38" s="3">
        <f t="shared" si="253"/>
        <v>6</v>
      </c>
      <c r="AW38" t="str">
        <f>VLOOKUP(AV38,DEKraft!$A$41:$B$47,2,0)</f>
        <v>16202DEK</v>
      </c>
      <c r="AX38">
        <f t="shared" si="254"/>
        <v>10</v>
      </c>
      <c r="AY38" t="str">
        <f>VLOOKUP(AX38,systeme!$G$2:$H$7,2,0)</f>
        <v>C9D36610</v>
      </c>
      <c r="AZ38">
        <f t="shared" si="255"/>
        <v>6</v>
      </c>
      <c r="BA38">
        <f>VLOOKUP(AV38,chint!$G$2:$H$8,2,0)</f>
        <v>689000</v>
      </c>
      <c r="BB38" s="3">
        <f t="shared" si="256"/>
        <v>25</v>
      </c>
      <c r="BC38" t="str">
        <f>VLOOKUP(BB38,DEKraft!$I$21:$J$36,2,0)</f>
        <v>28100DEK</v>
      </c>
      <c r="BD38">
        <f t="shared" si="257"/>
        <v>16</v>
      </c>
      <c r="BE38" t="str">
        <f>VLOOKUP(BD38,systeme!$A$16:$B$30,2,0)</f>
        <v>SPC100F016L3DF</v>
      </c>
      <c r="BF38">
        <f t="shared" si="258"/>
        <v>16</v>
      </c>
      <c r="BG38" s="4">
        <f>VLOOKUP(BF38,chint!$A$14:$B$31,2,0)</f>
        <v>271581</v>
      </c>
      <c r="BH38">
        <f t="shared" si="259"/>
        <v>6</v>
      </c>
      <c r="BI38" t="str">
        <f>INDEX(КЭАЗ!$B$2:$E$14,MATCH(BH38,КЭАЗ!$A$2:$A$14,0),MATCH(X38,КЭАЗ!$B$1:$D$1,0))</f>
        <v>kea.341955</v>
      </c>
      <c r="BJ38">
        <f t="shared" si="260"/>
        <v>6</v>
      </c>
      <c r="BK38" t="str">
        <f>INDEX(hy!$B$2:$D$18,MATCH(BJ38,hy!$A$2:$A$18,0),MATCH(X38,hy!$B$1:$D$1,0))</f>
        <v>HGD63M 3PMCS0000C 00006</v>
      </c>
      <c r="BL38" t="str">
        <f>VLOOKUP(BJ38,hy!$G$2:$H$15,2,0)</f>
        <v>HRO63M 1NG4С0000C00006G</v>
      </c>
      <c r="BM38">
        <f t="shared" si="261"/>
        <v>6.3</v>
      </c>
      <c r="BN38" t="str">
        <f>VLOOKUP(BM38,hy!$A$41:$B$55,2,0)</f>
        <v>MMS32K 06P3</v>
      </c>
      <c r="BO38">
        <f t="shared" si="262"/>
        <v>100</v>
      </c>
      <c r="BP38" t="str">
        <f>VLOOKUP(BO38,hy!$A$21:$B$35,2,0)</f>
        <v>HGP100S-G 3PT4S0000C 00100H</v>
      </c>
      <c r="BQ38" s="89">
        <f>IF($W38=автоматы!$D$45,Z38,IF($W38=автоматы!$D$46,AF38,IF($W38=автоматы!$D$47,AH38,IF($W38=автоматы!$D$48,AB38,IF($W38=автоматы!$D$49,AJ38,IF($W38=автоматы!$D$50,AD38,IF($W38=автоматы!$D$51,BI38,IF($W38=автоматы!$D$52,AR38,IF($W38=автоматы!$D$53,AS38,IF($W38=автоматы!$D$54,AW38,IF($W38=автоматы!$D$55,AL38,IF($W38=автоматы!$D$56,BC38,IF($W38=автоматы!$D$57,AT38,IF($W38=автоматы!$D$58,AY38,IF($W38=автоматы!$D$59,AN38,IF($W38=автоматы!$D$60,BE38,IF($W38=автоматы!$D$61,AU38,IF($W38=автоматы!$D$62,BA38,IF($W38=автоматы!$D$63,AP38,IF($W38=автоматы!$D$64,BG38,IF($W38=автоматы!$D$65,BK38,IF($W38=автоматы!$D$66,BL38,IF($W38=автоматы!$D$67,BN38,IF($W38=автоматы!$D$68,BP38,"др"))))))))))))))))))))))))</f>
        <v>495080</v>
      </c>
      <c r="BR38" s="89">
        <f>IF($W38=автоматы!$D$45,Y38,IF($W38=автоматы!$D$46,AE38,IF($W38=автоматы!$D$47,AG38,IF($W38=автоматы!$D$48,AA38,IF($W38=автоматы!$D$49,AI38,IF($W38=автоматы!$D$50,AC38,IF($W38=автоматы!$D$51,BH38,IF($W38=автоматы!$D$52,AQ38,IF($W38=автоматы!$D$53,AQ38,IF($W38=автоматы!$D$54,AV38,IF($W38=автоматы!$D$55,AK38,IF($W38=автоматы!$D$56,BB38,IF($W38=автоматы!$D$57,AQ38,IF($W38=автоматы!$D$58,AX38,IF($W38=автоматы!$D$59,AM38,IF($W38=автоматы!$D$60,BD38,IF($W38=автоматы!$D$61,AQ38,IF($W38=автоматы!$D$62,AZ38,IF($W38=автоматы!$D$63,AO38,IF($W38=автоматы!$D$64,BF38,IF($W38=автоматы!$D$65,BJ38,IF($W38=автоматы!$D$66,BJ38,IF($W38=автоматы!$D$67,BM38,IF($W38=автоматы!$D$68,BO38,"др"))))))))))))))))))))))))</f>
        <v>6.3</v>
      </c>
      <c r="BS38" s="89" t="str">
        <f>CONCATENATE(IF($W38=автоматы!$A$1,Y38,IF($W38=автоматы!$H$1,VLOOKUP(AA38,автоматы!$H$3:$K$17,3,0),IF($W38=автоматы!$N$1,VLOOKUP(AC38,автоматы!$N$3:$Q$19,3,0),IF($W38=автоматы!$S$17,AE38,IF($W38=автоматы!$Z$1,AG38,IF($W38=автоматы!$AE$1,AI38,"др"))))))," А")</f>
        <v>др А</v>
      </c>
      <c r="BT38" s="89" t="str">
        <f>IF($W38=автоматы!$A$1,Y38*10,IF($W38=автоматы!$H$1,VLOOKUP(AA38,автоматы!$H$3:$K$17,4,0),IF($W38=автоматы!$N$1,VLOOKUP(AC38,автоматы!$N$3:$Q$19,4,0),IF($W38=автоматы!$S$17,AE38*10,IF($W38=автоматы!$Z$1,AG38*10,IF($W38=автоматы!$AE$1,AI38*10,"др"))))))</f>
        <v>др</v>
      </c>
      <c r="BU38" s="85"/>
      <c r="BV38" s="90" t="s">
        <v>147</v>
      </c>
      <c r="BW38" s="90">
        <v>1</v>
      </c>
      <c r="BX38" s="91">
        <v>4</v>
      </c>
      <c r="BY38" s="92">
        <v>2.5</v>
      </c>
      <c r="BZ38" s="91">
        <f>HLOOKUP(BV38,каталог!$CG$1:$CO$22,MATCH(BY38,каталог!$CF$1:$CF$22,0),0)*BW38</f>
        <v>25</v>
      </c>
      <c r="CA38" s="87" t="str">
        <f t="shared" si="236"/>
        <v>нМ9</v>
      </c>
      <c r="CB38" s="87" t="str">
        <f t="shared" si="237"/>
        <v>ВВГнг(А)-LS 4x2,5</v>
      </c>
      <c r="CC38" s="87"/>
      <c r="CF38" s="174"/>
    </row>
    <row r="39" spans="1:16324" ht="25">
      <c r="A39" s="102">
        <v>12</v>
      </c>
      <c r="B39" s="94">
        <v>80</v>
      </c>
      <c r="C39" s="103" t="s">
        <v>887</v>
      </c>
      <c r="D39" s="100" t="s">
        <v>1075</v>
      </c>
      <c r="E39" s="95">
        <v>380</v>
      </c>
      <c r="F39" s="19" t="s">
        <v>580</v>
      </c>
      <c r="G39" s="96">
        <v>1.5</v>
      </c>
      <c r="H39" s="96">
        <f t="shared" si="263"/>
        <v>3.1653903812649409</v>
      </c>
      <c r="I39" s="95">
        <v>1</v>
      </c>
      <c r="J39" s="96">
        <v>0.9</v>
      </c>
      <c r="K39" s="96">
        <f t="shared" si="264"/>
        <v>0.48</v>
      </c>
      <c r="L39" s="97">
        <f t="shared" si="28"/>
        <v>1.5</v>
      </c>
      <c r="M39" s="97">
        <f t="shared" si="29"/>
        <v>0.72</v>
      </c>
      <c r="N39" s="97">
        <f t="shared" si="30"/>
        <v>2.25</v>
      </c>
      <c r="O39" s="97"/>
      <c r="P39" s="97"/>
      <c r="Q39" s="97"/>
      <c r="R39" s="97"/>
      <c r="S39" s="97"/>
      <c r="T39" s="97"/>
      <c r="U39" s="86">
        <f>H39*1.2</f>
        <v>3.7984684575179291</v>
      </c>
      <c r="V39" s="86">
        <f t="shared" si="235"/>
        <v>22.157732668854585</v>
      </c>
      <c r="W39" s="116" t="s">
        <v>872</v>
      </c>
      <c r="X39" s="87" t="s">
        <v>302</v>
      </c>
      <c r="Y39" s="87">
        <f t="shared" si="243"/>
        <v>6</v>
      </c>
      <c r="Z39" s="87" t="str">
        <f>INDEX(автоматы!$B$3:$D$11,MATCH(Y39,автоматы!$A$3:$A$11,0),MATCH(X39,кол_пол,0))</f>
        <v>EZ9F34306</v>
      </c>
      <c r="AA39" s="87">
        <f t="shared" si="244"/>
        <v>4</v>
      </c>
      <c r="AB39" s="87" t="str">
        <f>VLOOKUP(AA39,автоматы!$H$3:$I$17,2,0)</f>
        <v>GZ1 E08</v>
      </c>
      <c r="AC39" s="87">
        <f t="shared" si="245"/>
        <v>20</v>
      </c>
      <c r="AD39" s="87" t="str">
        <f>VLOOKUP(AC39,автоматы!$N$3:$O$19,2,0)</f>
        <v>LZMB1-A20-I</v>
      </c>
      <c r="AE39" s="88">
        <f t="shared" si="246"/>
        <v>6</v>
      </c>
      <c r="AF39" s="87" t="str">
        <f>INDEX(автоматы!$T$2:$V$15,MATCH(AE39,автоматы!$S$2:$S$15,0),MATCH(X39,автоматы!$T$1:$V$1,0))</f>
        <v>iC60N C6 3P</v>
      </c>
      <c r="AG39" s="87">
        <f t="shared" si="247"/>
        <v>6</v>
      </c>
      <c r="AH39" s="87" t="str">
        <f>VLOOKUP(AG39,автоматы!$Z$3:$AA$9,2,0)</f>
        <v>A9D31606</v>
      </c>
      <c r="AI39" s="2">
        <f t="shared" si="248"/>
        <v>15</v>
      </c>
      <c r="AJ39" t="str">
        <f>VLOOKUP(AI39,автоматы!$AE$3:$AF$26,2,0)</f>
        <v>EZC100F3015</v>
      </c>
      <c r="AK39" s="3">
        <f t="shared" si="249"/>
        <v>4</v>
      </c>
      <c r="AL39" t="str">
        <f>VLOOKUP(AK39,DEKraft!$I$2:$J$16,2,0)</f>
        <v>21227DEK</v>
      </c>
      <c r="AM39">
        <f t="shared" si="250"/>
        <v>4</v>
      </c>
      <c r="AN39" t="str">
        <f>VLOOKUP(AM39,systeme!$A$33:$B$47,2,0)</f>
        <v>GM2ME08</v>
      </c>
      <c r="AO39">
        <f t="shared" si="251"/>
        <v>4</v>
      </c>
      <c r="AP39">
        <f>VLOOKUP(AO39,chint!$A$34:$B$48,2,0)</f>
        <v>495079</v>
      </c>
      <c r="AQ39" s="3">
        <f t="shared" si="252"/>
        <v>6</v>
      </c>
      <c r="AR39" t="str">
        <f>INDEX(DEKraft!$B$2:$D$13,MATCH(AQ39,DEKraft!$A$2:$A$13,0),MATCH(X39,DEKraft!$B$1:$D$1,0))</f>
        <v>13175DEK</v>
      </c>
      <c r="AS39" t="str">
        <f>INDEX(DEKraft!$B$21:$D$32,MATCH(AQ39,DEKraft!$A$21:$A$32,0),MATCH(X39,DEKraft!$B$20:$D$20,0))</f>
        <v>12301DEK</v>
      </c>
      <c r="AT39" t="str">
        <f>INDEX(systeme!$B$2:$D$10,MATCH(AQ39,systeme!$A$2:$A$10,0),MATCH(X39,systeme!$B$1:$D$1,0))</f>
        <v>C9F36306</v>
      </c>
      <c r="AU39">
        <f>INDEX(chint!$B$2:$D$10,MATCH(AQ39,chint!$A$2:$A$10,0),MATCH(X39,chint!$B$1:$D$1,0))</f>
        <v>179709</v>
      </c>
      <c r="AV39" s="3">
        <f t="shared" si="253"/>
        <v>6</v>
      </c>
      <c r="AW39" t="str">
        <f>VLOOKUP(AV39,DEKraft!$A$41:$B$47,2,0)</f>
        <v>16202DEK</v>
      </c>
      <c r="AX39">
        <f t="shared" si="254"/>
        <v>10</v>
      </c>
      <c r="AY39" t="str">
        <f>VLOOKUP(AX39,systeme!$G$2:$H$7,2,0)</f>
        <v>C9D36610</v>
      </c>
      <c r="AZ39">
        <f t="shared" si="255"/>
        <v>6</v>
      </c>
      <c r="BA39">
        <f>VLOOKUP(AV39,chint!$G$2:$H$8,2,0)</f>
        <v>689000</v>
      </c>
      <c r="BB39" s="3">
        <f t="shared" si="256"/>
        <v>25</v>
      </c>
      <c r="BC39" t="str">
        <f>VLOOKUP(BB39,DEKraft!$I$21:$J$36,2,0)</f>
        <v>28100DEK</v>
      </c>
      <c r="BD39">
        <f t="shared" si="257"/>
        <v>16</v>
      </c>
      <c r="BE39" t="str">
        <f>VLOOKUP(BD39,systeme!$A$16:$B$30,2,0)</f>
        <v>SPC100F016L3DF</v>
      </c>
      <c r="BF39">
        <f t="shared" si="258"/>
        <v>16</v>
      </c>
      <c r="BG39" s="4">
        <f>VLOOKUP(BF39,chint!$A$14:$B$31,2,0)</f>
        <v>271581</v>
      </c>
      <c r="BH39">
        <f t="shared" si="259"/>
        <v>6</v>
      </c>
      <c r="BI39" t="str">
        <f>INDEX(КЭАЗ!$B$2:$E$14,MATCH(BH39,КЭАЗ!$A$2:$A$14,0),MATCH(X39,КЭАЗ!$B$1:$D$1,0))</f>
        <v>kea.341955</v>
      </c>
      <c r="BJ39">
        <f t="shared" si="260"/>
        <v>6</v>
      </c>
      <c r="BK39" t="str">
        <f>INDEX(hy!$B$2:$D$18,MATCH(BJ39,hy!$A$2:$A$18,0),MATCH(X39,hy!$B$1:$D$1,0))</f>
        <v>HGD63M 3PMCS0000C 00006</v>
      </c>
      <c r="BL39" t="str">
        <f>VLOOKUP(BJ39,hy!$G$2:$H$15,2,0)</f>
        <v>HRO63M 1NG4С0000C00006G</v>
      </c>
      <c r="BM39">
        <f t="shared" si="261"/>
        <v>4</v>
      </c>
      <c r="BN39" t="str">
        <f>VLOOKUP(BM39,hy!$A$41:$B$55,2,0)</f>
        <v>MMS32K 0004</v>
      </c>
      <c r="BO39">
        <f t="shared" si="262"/>
        <v>100</v>
      </c>
      <c r="BP39" t="str">
        <f>VLOOKUP(BO39,hy!$A$21:$B$35,2,0)</f>
        <v>HGP100S-G 3PT4S0000C 00100H</v>
      </c>
      <c r="BQ39" s="89">
        <f>IF($W39=автоматы!$D$45,Z39,IF($W39=автоматы!$D$46,AF39,IF($W39=автоматы!$D$47,AH39,IF($W39=автоматы!$D$48,AB39,IF($W39=автоматы!$D$49,AJ39,IF($W39=автоматы!$D$50,AD39,IF($W39=автоматы!$D$51,BI39,IF($W39=автоматы!$D$52,AR39,IF($W39=автоматы!$D$53,AS39,IF($W39=автоматы!$D$54,AW39,IF($W39=автоматы!$D$55,AL39,IF($W39=автоматы!$D$56,BC39,IF($W39=автоматы!$D$57,AT39,IF($W39=автоматы!$D$58,AY39,IF($W39=автоматы!$D$59,AN39,IF($W39=автоматы!$D$60,BE39,IF($W39=автоматы!$D$61,AU39,IF($W39=автоматы!$D$62,BA39,IF($W39=автоматы!$D$63,AP39,IF($W39=автоматы!$D$64,BG39,IF($W39=автоматы!$D$65,BK39,IF($W39=автоматы!$D$66,BL39,IF($W39=автоматы!$D$67,BN39,IF($W39=автоматы!$D$68,BP39,"др"))))))))))))))))))))))))</f>
        <v>179709</v>
      </c>
      <c r="BR39" s="89">
        <f>IF($W39=автоматы!$D$45,Y39,IF($W39=автоматы!$D$46,AE39,IF($W39=автоматы!$D$47,AG39,IF($W39=автоматы!$D$48,AA39,IF($W39=автоматы!$D$49,AI39,IF($W39=автоматы!$D$50,AC39,IF($W39=автоматы!$D$51,BH39,IF($W39=автоматы!$D$52,AQ39,IF($W39=автоматы!$D$53,AQ39,IF($W39=автоматы!$D$54,AV39,IF($W39=автоматы!$D$55,AK39,IF($W39=автоматы!$D$56,BB39,IF($W39=автоматы!$D$57,AQ39,IF($W39=автоматы!$D$58,AX39,IF($W39=автоматы!$D$59,AM39,IF($W39=автоматы!$D$60,BD39,IF($W39=автоматы!$D$61,AQ39,IF($W39=автоматы!$D$62,AZ39,IF($W39=автоматы!$D$63,AO39,IF($W39=автоматы!$D$64,BF39,IF($W39=автоматы!$D$65,BJ39,IF($W39=автоматы!$D$66,BJ39,IF($W39=автоматы!$D$67,BM39,IF($W39=автоматы!$D$68,BO39,"др"))))))))))))))))))))))))</f>
        <v>6</v>
      </c>
      <c r="BS39" s="89" t="str">
        <f>CONCATENATE(IF($W39=автоматы!$A$1,Y39,IF($W39=автоматы!$H$1,VLOOKUP(AA39,автоматы!$H$3:$K$17,3,0),IF($W39=автоматы!$N$1,VLOOKUP(AC39,автоматы!$N$3:$Q$19,3,0),IF($W39=автоматы!$S$17,AE39,IF($W39=автоматы!$Z$1,AG39,IF($W39=автоматы!$AE$1,AI39,"др"))))))," А")</f>
        <v>др А</v>
      </c>
      <c r="BT39" s="89" t="str">
        <f>IF($W39=автоматы!$A$1,Y39*10,IF($W39=автоматы!$H$1,VLOOKUP(AA39,автоматы!$H$3:$K$17,4,0),IF($W39=автоматы!$N$1,VLOOKUP(AC39,автоматы!$N$3:$Q$19,4,0),IF($W39=автоматы!$S$17,AE39*10,IF($W39=автоматы!$Z$1,AG39*10,IF($W39=автоматы!$AE$1,AI39*10,"др"))))))</f>
        <v>др</v>
      </c>
      <c r="BU39" s="85"/>
      <c r="BV39" s="90" t="s">
        <v>147</v>
      </c>
      <c r="BW39" s="90">
        <v>1</v>
      </c>
      <c r="BX39" s="91">
        <v>4</v>
      </c>
      <c r="BY39" s="92">
        <v>2.5</v>
      </c>
      <c r="BZ39" s="91">
        <f>HLOOKUP(BV39,каталог!$CG$1:$CO$22,MATCH(BY39,каталог!$CF$1:$CF$22,0),0)*BW39</f>
        <v>25</v>
      </c>
      <c r="CA39" s="87" t="str">
        <f t="shared" si="236"/>
        <v>нМ10</v>
      </c>
      <c r="CB39" s="87" t="str">
        <f t="shared" si="237"/>
        <v>ВВГнг(А)-LS 4x2,5</v>
      </c>
      <c r="CC39" s="87"/>
      <c r="CF39" s="174"/>
    </row>
    <row r="40" spans="1:16324" ht="25">
      <c r="A40" s="102">
        <v>11</v>
      </c>
      <c r="B40" s="94">
        <v>95</v>
      </c>
      <c r="C40" s="103" t="s">
        <v>1019</v>
      </c>
      <c r="D40" s="100" t="s">
        <v>1058</v>
      </c>
      <c r="E40" s="95">
        <v>380</v>
      </c>
      <c r="F40" s="19" t="s">
        <v>580</v>
      </c>
      <c r="G40" s="96">
        <v>15</v>
      </c>
      <c r="H40" s="96">
        <f t="shared" ref="H40" si="266">IF(E40&lt;=230,(G40)/((E40/1000)*J40*(B40/100)),(G40)/(1.732*(E40/1000)*J40*(B40/100)))</f>
        <v>28.223914235427337</v>
      </c>
      <c r="I40" s="95">
        <v>1</v>
      </c>
      <c r="J40" s="96">
        <v>0.85</v>
      </c>
      <c r="K40" s="96">
        <f t="shared" ref="K40" si="267">ROUND(SQRT(1-(J40)^2)/J40,2)</f>
        <v>0.62</v>
      </c>
      <c r="L40" s="97">
        <f t="shared" ref="L40" si="268">I40*G40</f>
        <v>15</v>
      </c>
      <c r="M40" s="97">
        <f t="shared" ref="M40" si="269">I40*G40*K40</f>
        <v>9.3000000000000007</v>
      </c>
      <c r="N40" s="97">
        <f t="shared" ref="N40" si="270">1*G40^2</f>
        <v>225</v>
      </c>
      <c r="O40" s="97"/>
      <c r="P40" s="97"/>
      <c r="Q40" s="97"/>
      <c r="R40" s="97"/>
      <c r="S40" s="97"/>
      <c r="T40" s="97"/>
      <c r="U40" s="86">
        <f t="shared" ref="U40:U43" si="271">H40*1.2</f>
        <v>33.868697082512803</v>
      </c>
      <c r="V40" s="86">
        <f t="shared" ref="V40" si="272">7*H40</f>
        <v>197.56739964799135</v>
      </c>
      <c r="W40" s="116" t="s">
        <v>872</v>
      </c>
      <c r="X40" s="87" t="s">
        <v>302</v>
      </c>
      <c r="Y40" s="87">
        <f t="shared" ref="Y40" si="273">IF(U40&lt;=6,6,IF(U40&lt;=10,10,IF(U40&lt;=16,16,IF(U40&lt;=20,20,IF(U40&lt;=25,25,IF(U40&lt;=32,32,IF(U40&lt;=40,40,IF(U40&lt;=50,50,IF(U40&lt;=63,63,"др.выкл")))))))))</f>
        <v>40</v>
      </c>
      <c r="Z40" s="87" t="str">
        <f>INDEX(автоматы!$B$3:$D$11,MATCH(Y40,автоматы!$A$3:$A$11,0),MATCH(X40,кол_пол,0))</f>
        <v>EZ9F34340</v>
      </c>
      <c r="AA40" s="87" t="str">
        <f t="shared" ref="AA40" si="274">IF(U40&lt;=0.16,0.16,IF(U40&lt;=0.25,0.25,IF(U40&lt;=0.4,0.4,IF(U40&lt;=0.63,0.63,IF(U40&lt;=1,1,IF(U40&lt;=1.6,1.6,IF(U40&lt;=2.5,2.5,IF(U40&lt;=4,4,IF(U40&lt;=6.3,6.3,IF(U40&lt;=10,10,IF(U40&lt;=14,14,IF(U40&lt;=18,18,IF(U40&lt;=23,23,IF(U40&lt;=25,25,IF(U40&lt;=32,32,"др.авт")))))))))))))))</f>
        <v>др.авт</v>
      </c>
      <c r="AB40" s="87" t="e">
        <f>VLOOKUP(AA40,автоматы!$H$3:$I$17,2,0)</f>
        <v>#N/A</v>
      </c>
      <c r="AC40" s="87">
        <f t="shared" ref="AC40" si="275">IF(U40&lt;=20,20,IF(U40&lt;=25,25,IF(U40&lt;=32,32,IF(U40&lt;=40,40,IF(U40&lt;=50,50,IF(U40&lt;=63,63,IF(U40&lt;=80,80,IF(U40&lt;=100,100,IF(U40&lt;=125,125,IF(U40&lt;=160,160,IF(U40&lt;=200,200,IF(U40&lt;=250,250,IF(U40&lt;=300,300,IF(U40&lt;=320,320,IF(U40&lt;=400,400,IF(U40&lt;=500,500,IF(U40&lt;=630,630,"др.авт")))))))))))))))))</f>
        <v>40</v>
      </c>
      <c r="AD40" s="87" t="str">
        <f>VLOOKUP(AC40,автоматы!$N$3:$O$19,2,0)</f>
        <v>LZMB1-A40-I</v>
      </c>
      <c r="AE40" s="88">
        <f t="shared" ref="AE40" si="276">IF(U40&lt;=6,6,IF(U40&lt;=10,10,IF(U40&lt;=16,16,IF(U40&lt;=20,20,IF(U40&lt;=25,25,IF(U40&lt;=32,32,IF(U40&lt;=40,40,IF(U40&lt;=50,50,IF(U40&lt;=63,63,"др.выкл")))))))))</f>
        <v>40</v>
      </c>
      <c r="AF40" s="87" t="str">
        <f>INDEX(автоматы!$T$2:$V$15,MATCH(AE40,автоматы!$S$2:$S$15,0),MATCH(X40,автоматы!$T$1:$V$1,0))</f>
        <v>iC60N C40 3P</v>
      </c>
      <c r="AG40" s="87">
        <f t="shared" ref="AG40" si="277">IF(U40&lt;=6,6,IF(U40&lt;=10,10,IF(U40&lt;=16,16,IF(U40&lt;=20,20,IF(U40&lt;=25,25,IF(U40&lt;=32,32,IF(U40&lt;=40,40,"др.выкл")))))))</f>
        <v>40</v>
      </c>
      <c r="AH40" s="87" t="str">
        <f>VLOOKUP(AG40,автоматы!$Z$3:$AA$9,2,0)</f>
        <v>A9D31640</v>
      </c>
      <c r="AI40" s="2">
        <f t="shared" ref="AI40" si="278">IF(U40&lt;=15,15,IF(U40&lt;=16,16,IF(U40&lt;=20,20,IF(U40&lt;=25,25,IF(U40&lt;=32,32,IF(U40&lt;=40,40,IF(U40&lt;=45,45,IF(U40&lt;=50,50,IF(U40&lt;=60,60,IF(U40&lt;=63,63,IF(U40&lt;=75,75,IF(U40&lt;=80,80,IF(U40&lt;=100,100,IF(U40&lt;=125,125,IF(U40&lt;=150,150,IF(U40&lt;=160,160,IF(U40&lt;=175,175,IF(U40&lt;=200,200,IF(U40&lt;=225,225,IF(U40&lt;=250,250,IF(U40&lt;=320,320,IF(U40&lt;=350,350,IF(U40&lt;=400,400,"др.выкл")))))))))))))))))))))))</f>
        <v>40</v>
      </c>
      <c r="AJ40" t="str">
        <f>VLOOKUP(AI40,автоматы!$AE$3:$AF$26,2,0)</f>
        <v>EZC100F3040</v>
      </c>
      <c r="AK40" s="3" t="str">
        <f t="shared" ref="AK40" si="279">IF(U40&lt;=0.16,0.16,IF(U40&lt;=0.25,0.25,IF(U40&lt;=0.4,0.4,IF(U40&lt;=0.63,0.63,IF(U40&lt;=1,1,IF(U40&lt;=1.6,1.6,IF(U40&lt;=2.5,2.5,IF(U40&lt;=4,4,IF(U40&lt;=6.3,6.3,IF(U40&lt;=10,10,IF(U40&lt;=14,14,IF(U40&lt;=18,18,IF(U40&lt;=23,23,IF(U40&lt;=25,25,IF(U40&lt;=32,32,"др.авт")))))))))))))))</f>
        <v>др.авт</v>
      </c>
      <c r="AL40" t="e">
        <f>VLOOKUP(AK40,DEKraft!$I$2:$J$16,2,0)</f>
        <v>#N/A</v>
      </c>
      <c r="AM40" t="str">
        <f t="shared" ref="AM40" si="280">IF(U40&lt;=0.16,0.16,IF(U40&lt;=0.25,0.25,IF(U40&lt;=0.4,0.4,IF(U40&lt;=0.63,0.63,IF(U40&lt;=1,1,IF(U40&lt;=1.6,1.6,IF(U40&lt;=2.5,2.5,IF(U40&lt;=4,4,IF(U40&lt;=6.3,6.3,IF(U40&lt;=10,10,IF(U40&lt;=14,14,IF(U40&lt;=18,18,IF(U40&lt;=23,23,IF(U40&lt;=25,25,IF(U40&lt;=32,32,"др.авт")))))))))))))))</f>
        <v>др.авт</v>
      </c>
      <c r="AN40" t="e">
        <f>VLOOKUP(AM40,systeme!$A$33:$B$47,2,0)</f>
        <v>#N/A</v>
      </c>
      <c r="AO40" t="str">
        <f t="shared" ref="AO40" si="281">IF(U40&lt;=0.16,0.16,IF(U40&lt;=0.25,0.25,IF(U40&lt;=0.4,0.4,IF(U40&lt;=0.63,0.63,IF(U40&lt;=1,1,IF(U40&lt;=1.6,1.6,IF(U40&lt;=2.5,2.5,IF(U40&lt;=4,4,IF(U40&lt;=6.3,6.3,IF(U40&lt;=10,10,IF(U40&lt;=14,14,IF(U40&lt;=18,18,IF(U40&lt;=23,23,IF(U40&lt;=25,25,IF(U40&lt;=32,32,"др.авт")))))))))))))))</f>
        <v>др.авт</v>
      </c>
      <c r="AP40" t="e">
        <f>VLOOKUP(AO40,chint!$A$34:$B$48,2,0)</f>
        <v>#N/A</v>
      </c>
      <c r="AQ40" s="3">
        <f t="shared" ref="AQ40" si="282">IF(U40&lt;=6,6,IF(U40&lt;=10,10,IF(U40&lt;=16,16,IF(U40&lt;=20,20,IF(U40&lt;=25,25,IF(U40&lt;=32,32,IF(U40&lt;=40,40,IF(U40&lt;=50,50,IF(U40&lt;=63,63,"др.выкл")))))))))</f>
        <v>40</v>
      </c>
      <c r="AR40" t="str">
        <f>INDEX(DEKraft!$B$2:$D$13,MATCH(AQ40,DEKraft!$A$2:$A$13,0),MATCH(X40,DEKraft!$B$1:$D$1,0))</f>
        <v>13181DEK</v>
      </c>
      <c r="AS40" t="str">
        <f>INDEX(DEKraft!$B$21:$D$32,MATCH(AQ40,DEKraft!$A$21:$A$32,0),MATCH(X40,DEKraft!$B$20:$D$20,0))</f>
        <v>12309DEK</v>
      </c>
      <c r="AT40" t="str">
        <f>INDEX(systeme!$B$2:$D$10,MATCH(AQ40,systeme!$A$2:$A$10,0),MATCH(X40,systeme!$B$1:$D$1,0))</f>
        <v>C9F36340</v>
      </c>
      <c r="AU40">
        <f>INDEX(chint!$B$2:$D$10,MATCH(AQ40,chint!$A$2:$A$10,0),MATCH(X40,chint!$B$1:$D$1,0))</f>
        <v>179707</v>
      </c>
      <c r="AV40" s="3">
        <f t="shared" ref="AV40" si="283">IF(U40&lt;=6,6,IF(U40&lt;=10,10,IF(U40&lt;=16,16,IF(U40&lt;=20,20,IF(U40&lt;=25,25,IF(U40&lt;=32,32,IF(U40&lt;=40,40,"др.выкл")))))))</f>
        <v>40</v>
      </c>
      <c r="AW40" t="str">
        <f>VLOOKUP(AV40,DEKraft!$A$41:$B$47,2,0)</f>
        <v>16208DEK</v>
      </c>
      <c r="AX40">
        <f t="shared" ref="AX40" si="284">IF(U40&lt;=10,10,IF(U40&lt;=16,16,IF(U40&lt;=20,20,IF(U40&lt;=25,25,IF(U40&lt;=32,32,IF(U40&lt;=40,40,"др.выкл"))))))</f>
        <v>40</v>
      </c>
      <c r="AY40" t="str">
        <f>VLOOKUP(AX40,systeme!$G$2:$H$7,2,0)</f>
        <v>C9D36640</v>
      </c>
      <c r="AZ40">
        <f t="shared" ref="AZ40" si="285">IF(U40&lt;=6,6,IF(U40&lt;=10,10,IF(U40&lt;=16,16,IF(U40&lt;=20,20,IF(U40&lt;=25,25,IF(U40&lt;=32,32,IF(U40&lt;=40,40,"др.выкл")))))))</f>
        <v>40</v>
      </c>
      <c r="BA40">
        <f>VLOOKUP(AV40,chint!$G$2:$H$8,2,0)</f>
        <v>252635</v>
      </c>
      <c r="BB40" s="3">
        <f t="shared" ref="BB40" si="286">IF(U40&lt;=25,25,IF(U40&lt;=32,32,IF(U40&lt;=40,40,IF(U40&lt;=50,50,IF(U40&lt;=63,63,IF(U40&lt;=80,80,IF(U40&lt;=100,100,IF(U40&lt;=125,125,IF(U40&lt;=140,140,IF(U40&lt;=160,160,IF(U40&lt;=200,200,IF(U40&lt;=250,250,IF(U40&lt;=320,320,IF(U40&lt;=400,400,IF(U40&lt;=500,500,IF(U40&lt;=630,630,"др.выкл"))))))))))))))))</f>
        <v>40</v>
      </c>
      <c r="BC40" t="str">
        <f>VLOOKUP(BB40,DEKraft!$I$21:$J$36,2,0)</f>
        <v>28102DEK</v>
      </c>
      <c r="BD40">
        <f t="shared" ref="BD40" si="287">IF(U40&lt;=16,16,IF(U40&lt;=25,25,IF(U40&lt;=32,32,IF(U40&lt;=40,40,IF(U40&lt;=50,50,IF(U40&lt;=63,63,IF(U40&lt;=80,80,IF(U40&lt;=100,100,IF(U40&lt;=125,125,IF(U40&lt;=160,160,IF(U40&lt;=200,200,IF(U40&lt;=250,250,IF(U40&lt;=400,400,IF(U40&lt;=500,500,IF(U40&lt;=600,600,"др.авт")))))))))))))))</f>
        <v>40</v>
      </c>
      <c r="BE40" t="str">
        <f>VLOOKUP(BD40,systeme!$A$16:$B$30,2,0)</f>
        <v>SPC100F040L3DF</v>
      </c>
      <c r="BF40">
        <f t="shared" ref="BF40" si="288">IF(U40&lt;=16,16,IF(U40&lt;=25,25,IF(U40&lt;=32,32,IF(U40&lt;=40,40,IF(U40&lt;=50,50,IF(U40&lt;=63,63,IF(U40&lt;=80,80,IF(U40&lt;=100,100,IF(U40&lt;=125,125,IF(U40&lt;=160,160,IF(U40&lt;=200,200,IF(U40&lt;=225,225,IF(U40&lt;=250,250,IF(U40&lt;=315,315,IF(U40&lt;=350,350,IF(U40&lt;=400,400,IF(U40&lt;=500,500,IF(U40&lt;=630,630,"др.выкл"))))))))))))))))))</f>
        <v>40</v>
      </c>
      <c r="BG40" s="4">
        <f>VLOOKUP(BF40,chint!$A$14:$B$31,2,0)</f>
        <v>271585</v>
      </c>
      <c r="BH40">
        <f t="shared" ref="BH40" si="289">IF(U40&lt;=6,6,IF(U40&lt;=10,10,IF(U40&lt;=16,16,IF(U40&lt;=20,20,IF(U40&lt;=25,25,IF(U40&lt;=32,32,IF(U40&lt;=40,40,IF(U40&lt;=50,50,IF(U40&lt;=63,63,"др.выкл")))))))))</f>
        <v>40</v>
      </c>
      <c r="BI40" t="e">
        <f>INDEX(КЭАЗ!$B$2:$E$14,MATCH(BH40,КЭАЗ!$A$2:$A$14,0),MATCH(X40,КЭАЗ!$B$1:$D$1,0))</f>
        <v>#N/A</v>
      </c>
      <c r="BJ40">
        <f t="shared" ref="BJ40" si="290">IF(U40&lt;=6,6,IF(U40&lt;=10,10,IF(U40&lt;=16,16,IF(U40&lt;=20,20,IF(U40&lt;=25,25,IF(U40&lt;=32,32,IF(U40&lt;=40,40,IF(U40&lt;=50,50,IF(U40&lt;=63,63,IF(U40&lt;=80,80,IF(U40&lt;=100,100,IF(U40&lt;=125,125,"др.выкл"))))))))))))</f>
        <v>40</v>
      </c>
      <c r="BK40" t="str">
        <f>INDEX(hy!$B$2:$D$18,MATCH(BJ40,hy!$A$2:$A$18,0),MATCH(X40,hy!$B$1:$D$1,0))</f>
        <v>HGD63M 3PMCS0000C 00040</v>
      </c>
      <c r="BL40" t="str">
        <f>VLOOKUP(BJ40,hy!$G$2:$H$15,2,0)</f>
        <v>HRO63M 1NG4С0000C00040G</v>
      </c>
      <c r="BM40" t="str">
        <f t="shared" ref="BM40" si="291">IF(U40&lt;=0.16,0.16,IF(U40&lt;=0.25,0.25,IF(U40&lt;=0.4,0.4,IF(U40&lt;=0.63,0.63,IF(U40&lt;=1,1,IF(U40&lt;=1.6,1.6,IF(U40&lt;=2.5,2.5,IF(U40&lt;=4,4,IF(U40&lt;=6.3,6.3,IF(U40&lt;=10,10,IF(U40&lt;=14,14,IF(U40&lt;=18,18,IF(U40&lt;=23,23,IF(U40&lt;=25,25,IF(U40&lt;=32,32,"др.авт")))))))))))))))</f>
        <v>др.авт</v>
      </c>
      <c r="BN40" t="e">
        <f>VLOOKUP(BM40,hy!$A$41:$B$55,2,0)</f>
        <v>#N/A</v>
      </c>
      <c r="BO40">
        <f t="shared" ref="BO40" si="292">IF(U40&lt;=100,100,IF(U40&lt;=125,125,IF(U40&lt;=150,150,IF(U40&lt;=160,160,IF(U40&lt;=175,175,IF(U40&lt;=200,200,IF(U40&lt;=225,225,IF(U40&lt;=250,250,IF(U40&lt;=300,300,IF(U40&lt;=350,350,IF(U40&lt;=400,400,IF(U40&lt;=500,500,IF(U40&lt;=630,630,IF(U40&lt;=700,700,IF(U40&lt;=800,800,"др.выкл")))))))))))))))</f>
        <v>100</v>
      </c>
      <c r="BP40" t="str">
        <f>VLOOKUP(BO40,hy!$A$21:$B$35,2,0)</f>
        <v>HGP100S-G 3PT4S0000C 00100H</v>
      </c>
      <c r="BQ40" s="89">
        <f>IF($W40=автоматы!$D$45,Z40,IF($W40=автоматы!$D$46,AF40,IF($W40=автоматы!$D$47,AH40,IF($W40=автоматы!$D$48,AB40,IF($W40=автоматы!$D$49,AJ40,IF($W40=автоматы!$D$50,AD40,IF($W40=автоматы!$D$51,BI40,IF($W40=автоматы!$D$52,AR40,IF($W40=автоматы!$D$53,AS40,IF($W40=автоматы!$D$54,AW40,IF($W40=автоматы!$D$55,AL40,IF($W40=автоматы!$D$56,BC40,IF($W40=автоматы!$D$57,AT40,IF($W40=автоматы!$D$58,AY40,IF($W40=автоматы!$D$59,AN40,IF($W40=автоматы!$D$60,BE40,IF($W40=автоматы!$D$61,AU40,IF($W40=автоматы!$D$62,BA40,IF($W40=автоматы!$D$63,AP40,IF($W40=автоматы!$D$64,BG40,IF($W40=автоматы!$D$65,BK40,IF($W40=автоматы!$D$66,BL40,IF($W40=автоматы!$D$67,BN40,IF($W40=автоматы!$D$68,BP40,"др"))))))))))))))))))))))))</f>
        <v>179707</v>
      </c>
      <c r="BR40" s="89">
        <f>IF($W40=автоматы!$D$45,Y40,IF($W40=автоматы!$D$46,AE40,IF($W40=автоматы!$D$47,AG40,IF($W40=автоматы!$D$48,AA40,IF($W40=автоматы!$D$49,AI40,IF($W40=автоматы!$D$50,AC40,IF($W40=автоматы!$D$51,BH40,IF($W40=автоматы!$D$52,AQ40,IF($W40=автоматы!$D$53,AQ40,IF($W40=автоматы!$D$54,AV40,IF($W40=автоматы!$D$55,AK40,IF($W40=автоматы!$D$56,BB40,IF($W40=автоматы!$D$57,AQ40,IF($W40=автоматы!$D$58,AX40,IF($W40=автоматы!$D$59,AM40,IF($W40=автоматы!$D$60,BD40,IF($W40=автоматы!$D$61,AQ40,IF($W40=автоматы!$D$62,AZ40,IF($W40=автоматы!$D$63,AO40,IF($W40=автоматы!$D$64,BF40,IF($W40=автоматы!$D$65,BJ40,IF($W40=автоматы!$D$66,BJ40,IF($W40=автоматы!$D$67,BM40,IF($W40=автоматы!$D$68,BO40,"др"))))))))))))))))))))))))</f>
        <v>40</v>
      </c>
      <c r="BS40" s="89" t="str">
        <f>CONCATENATE(IF($W40=автоматы!$A$1,Y40,IF($W40=автоматы!$H$1,VLOOKUP(AA40,автоматы!$H$3:$K$17,3,0),IF($W40=автоматы!$N$1,VLOOKUP(AC40,автоматы!$N$3:$Q$19,3,0),IF($W40=автоматы!$S$17,AE40,IF($W40=автоматы!$Z$1,AG40,IF($W40=автоматы!$AE$1,AI40,"др"))))))," А")</f>
        <v>др А</v>
      </c>
      <c r="BT40" s="89" t="str">
        <f>IF($W40=автоматы!$A$1,Y40*10,IF($W40=автоматы!$H$1,VLOOKUP(AA40,автоматы!$H$3:$K$17,4,0),IF($W40=автоматы!$N$1,VLOOKUP(AC40,автоматы!$N$3:$Q$19,4,0),IF($W40=автоматы!$S$17,AE40*10,IF($W40=автоматы!$Z$1,AG40*10,IF($W40=автоматы!$AE$1,AI40*10,"др"))))))</f>
        <v>др</v>
      </c>
      <c r="BU40" s="85"/>
      <c r="BV40" s="90" t="s">
        <v>147</v>
      </c>
      <c r="BW40" s="90">
        <v>1</v>
      </c>
      <c r="BX40" s="91">
        <v>4</v>
      </c>
      <c r="BY40" s="92">
        <v>2.5</v>
      </c>
      <c r="BZ40" s="91">
        <f>HLOOKUP(BV40,каталог!$CG$1:$CO$22,MATCH(BY40,каталог!$CF$1:$CF$22,0),0)*BW40</f>
        <v>25</v>
      </c>
      <c r="CA40" s="87" t="str">
        <f t="shared" ref="CA40" si="293">CONCATENATE("н",C40,"")</f>
        <v>нМ11</v>
      </c>
      <c r="CB40" s="87" t="str">
        <f t="shared" ref="CB40" si="294">CONCATENATE(BV40," ",BX40,"x",BY40)</f>
        <v>ВВГнг(А)-LS 4x2,5</v>
      </c>
      <c r="CC40" s="87"/>
      <c r="CF40" s="174"/>
    </row>
    <row r="41" spans="1:16324" ht="25">
      <c r="A41" s="102">
        <v>12</v>
      </c>
      <c r="B41" s="94">
        <v>95</v>
      </c>
      <c r="C41" s="103" t="s">
        <v>1062</v>
      </c>
      <c r="D41" s="119" t="s">
        <v>1061</v>
      </c>
      <c r="E41" s="132">
        <v>380</v>
      </c>
      <c r="F41" s="133" t="s">
        <v>580</v>
      </c>
      <c r="G41" s="168">
        <v>15</v>
      </c>
      <c r="H41" s="96">
        <f t="shared" si="0"/>
        <v>28.223914235427337</v>
      </c>
      <c r="I41" s="95">
        <v>1</v>
      </c>
      <c r="J41" s="96">
        <v>0.85</v>
      </c>
      <c r="K41" s="96">
        <f t="shared" si="264"/>
        <v>0.62</v>
      </c>
      <c r="L41" s="97">
        <f t="shared" si="28"/>
        <v>15</v>
      </c>
      <c r="M41" s="97">
        <f t="shared" si="29"/>
        <v>9.3000000000000007</v>
      </c>
      <c r="N41" s="112">
        <f t="shared" si="30"/>
        <v>225</v>
      </c>
      <c r="O41" s="97"/>
      <c r="P41" s="97"/>
      <c r="Q41" s="97"/>
      <c r="R41" s="97"/>
      <c r="S41" s="97"/>
      <c r="T41" s="97"/>
      <c r="U41" s="86">
        <f t="shared" si="271"/>
        <v>33.868697082512803</v>
      </c>
      <c r="V41" s="86">
        <f t="shared" si="235"/>
        <v>197.56739964799135</v>
      </c>
      <c r="W41" s="116" t="s">
        <v>872</v>
      </c>
      <c r="X41" s="87" t="s">
        <v>302</v>
      </c>
      <c r="Y41" s="87">
        <f t="shared" si="243"/>
        <v>40</v>
      </c>
      <c r="Z41" s="87" t="str">
        <f>INDEX(автоматы!$B$3:$D$11,MATCH(Y41,автоматы!$A$3:$A$11,0),MATCH(X41,кол_пол,0))</f>
        <v>EZ9F34340</v>
      </c>
      <c r="AA41" s="87" t="str">
        <f t="shared" si="244"/>
        <v>др.авт</v>
      </c>
      <c r="AB41" s="87" t="e">
        <f>VLOOKUP(AA41,автоматы!$H$3:$I$17,2,0)</f>
        <v>#N/A</v>
      </c>
      <c r="AC41" s="87">
        <f t="shared" si="245"/>
        <v>40</v>
      </c>
      <c r="AD41" s="87" t="str">
        <f>VLOOKUP(AC41,автоматы!$N$3:$O$19,2,0)</f>
        <v>LZMB1-A40-I</v>
      </c>
      <c r="AE41" s="88">
        <f t="shared" si="246"/>
        <v>40</v>
      </c>
      <c r="AF41" s="87" t="str">
        <f>INDEX(автоматы!$T$2:$V$15,MATCH(AE41,автоматы!$S$2:$S$15,0),MATCH(X41,автоматы!$T$1:$V$1,0))</f>
        <v>iC60N C40 3P</v>
      </c>
      <c r="AG41" s="87">
        <f t="shared" si="247"/>
        <v>40</v>
      </c>
      <c r="AH41" s="87" t="str">
        <f>VLOOKUP(AG41,автоматы!$Z$3:$AA$9,2,0)</f>
        <v>A9D31640</v>
      </c>
      <c r="AI41" s="2">
        <f t="shared" si="248"/>
        <v>40</v>
      </c>
      <c r="AJ41" t="str">
        <f>VLOOKUP(AI41,автоматы!$AE$3:$AF$26,2,0)</f>
        <v>EZC100F3040</v>
      </c>
      <c r="AK41" s="3" t="str">
        <f t="shared" si="249"/>
        <v>др.авт</v>
      </c>
      <c r="AL41" t="e">
        <f>VLOOKUP(AK41,DEKraft!$I$2:$J$16,2,0)</f>
        <v>#N/A</v>
      </c>
      <c r="AM41" t="str">
        <f t="shared" si="250"/>
        <v>др.авт</v>
      </c>
      <c r="AN41" t="e">
        <f>VLOOKUP(AM41,systeme!$A$33:$B$47,2,0)</f>
        <v>#N/A</v>
      </c>
      <c r="AO41" t="str">
        <f t="shared" si="251"/>
        <v>др.авт</v>
      </c>
      <c r="AP41" t="e">
        <f>VLOOKUP(AO41,chint!$A$34:$B$48,2,0)</f>
        <v>#N/A</v>
      </c>
      <c r="AQ41" s="3">
        <f t="shared" si="252"/>
        <v>40</v>
      </c>
      <c r="AR41" t="str">
        <f>INDEX(DEKraft!$B$2:$D$13,MATCH(AQ41,DEKraft!$A$2:$A$13,0),MATCH(X41,DEKraft!$B$1:$D$1,0))</f>
        <v>13181DEK</v>
      </c>
      <c r="AS41" t="str">
        <f>INDEX(DEKraft!$B$21:$D$32,MATCH(AQ41,DEKraft!$A$21:$A$32,0),MATCH(X41,DEKraft!$B$20:$D$20,0))</f>
        <v>12309DEK</v>
      </c>
      <c r="AT41" t="str">
        <f>INDEX(systeme!$B$2:$D$10,MATCH(AQ41,systeme!$A$2:$A$10,0),MATCH(X41,systeme!$B$1:$D$1,0))</f>
        <v>C9F36340</v>
      </c>
      <c r="AU41">
        <f>INDEX(chint!$B$2:$D$10,MATCH(AQ41,chint!$A$2:$A$10,0),MATCH(X41,chint!$B$1:$D$1,0))</f>
        <v>179707</v>
      </c>
      <c r="AV41" s="3">
        <f t="shared" si="253"/>
        <v>40</v>
      </c>
      <c r="AW41" t="str">
        <f>VLOOKUP(AV41,DEKraft!$A$41:$B$47,2,0)</f>
        <v>16208DEK</v>
      </c>
      <c r="AX41">
        <f t="shared" si="254"/>
        <v>40</v>
      </c>
      <c r="AY41" t="str">
        <f>VLOOKUP(AX41,systeme!$G$2:$H$7,2,0)</f>
        <v>C9D36640</v>
      </c>
      <c r="AZ41">
        <f t="shared" si="255"/>
        <v>40</v>
      </c>
      <c r="BA41">
        <f>VLOOKUP(AV41,chint!$G$2:$H$8,2,0)</f>
        <v>252635</v>
      </c>
      <c r="BB41" s="3">
        <f t="shared" si="256"/>
        <v>40</v>
      </c>
      <c r="BC41" t="str">
        <f>VLOOKUP(BB41,DEKraft!$I$21:$J$36,2,0)</f>
        <v>28102DEK</v>
      </c>
      <c r="BD41">
        <f t="shared" si="257"/>
        <v>40</v>
      </c>
      <c r="BE41" t="str">
        <f>VLOOKUP(BD41,systeme!$A$16:$B$30,2,0)</f>
        <v>SPC100F040L3DF</v>
      </c>
      <c r="BF41">
        <f t="shared" si="258"/>
        <v>40</v>
      </c>
      <c r="BG41" s="4">
        <f>VLOOKUP(BF41,chint!$A$14:$B$31,2,0)</f>
        <v>271585</v>
      </c>
      <c r="BH41">
        <f t="shared" si="259"/>
        <v>40</v>
      </c>
      <c r="BI41" t="e">
        <f>INDEX(КЭАЗ!$B$2:$E$14,MATCH(BH41,КЭАЗ!$A$2:$A$14,0),MATCH(X41,КЭАЗ!$B$1:$D$1,0))</f>
        <v>#N/A</v>
      </c>
      <c r="BJ41">
        <f t="shared" si="260"/>
        <v>40</v>
      </c>
      <c r="BK41" t="str">
        <f>INDEX(hy!$B$2:$D$18,MATCH(BJ41,hy!$A$2:$A$18,0),MATCH(X41,hy!$B$1:$D$1,0))</f>
        <v>HGD63M 3PMCS0000C 00040</v>
      </c>
      <c r="BL41" t="str">
        <f>VLOOKUP(BJ41,hy!$G$2:$H$15,2,0)</f>
        <v>HRO63M 1NG4С0000C00040G</v>
      </c>
      <c r="BM41" t="str">
        <f t="shared" si="261"/>
        <v>др.авт</v>
      </c>
      <c r="BN41" t="e">
        <f>VLOOKUP(BM41,hy!$A$41:$B$55,2,0)</f>
        <v>#N/A</v>
      </c>
      <c r="BO41">
        <f t="shared" si="262"/>
        <v>100</v>
      </c>
      <c r="BP41" t="str">
        <f>VLOOKUP(BO41,hy!$A$21:$B$35,2,0)</f>
        <v>HGP100S-G 3PT4S0000C 00100H</v>
      </c>
      <c r="BQ41" s="89">
        <f>IF($W41=автоматы!$D$45,Z41,IF($W41=автоматы!$D$46,AF41,IF($W41=автоматы!$D$47,AH41,IF($W41=автоматы!$D$48,AB41,IF($W41=автоматы!$D$49,AJ41,IF($W41=автоматы!$D$50,AD41,IF($W41=автоматы!$D$51,BI41,IF($W41=автоматы!$D$52,AR41,IF($W41=автоматы!$D$53,AS41,IF($W41=автоматы!$D$54,AW41,IF($W41=автоматы!$D$55,AL41,IF($W41=автоматы!$D$56,BC41,IF($W41=автоматы!$D$57,AT41,IF($W41=автоматы!$D$58,AY41,IF($W41=автоматы!$D$59,AN41,IF($W41=автоматы!$D$60,BE41,IF($W41=автоматы!$D$61,AU41,IF($W41=автоматы!$D$62,BA41,IF($W41=автоматы!$D$63,AP41,IF($W41=автоматы!$D$64,BG41,IF($W41=автоматы!$D$65,BK41,IF($W41=автоматы!$D$66,BL41,IF($W41=автоматы!$D$67,BN41,IF($W41=автоматы!$D$68,BP41,"др"))))))))))))))))))))))))</f>
        <v>179707</v>
      </c>
      <c r="BR41" s="89">
        <f>IF($W41=автоматы!$D$45,Y41,IF($W41=автоматы!$D$46,AE41,IF($W41=автоматы!$D$47,AG41,IF($W41=автоматы!$D$48,AA41,IF($W41=автоматы!$D$49,AI41,IF($W41=автоматы!$D$50,AC41,IF($W41=автоматы!$D$51,BH41,IF($W41=автоматы!$D$52,AQ41,IF($W41=автоматы!$D$53,AQ41,IF($W41=автоматы!$D$54,AV41,IF($W41=автоматы!$D$55,AK41,IF($W41=автоматы!$D$56,BB41,IF($W41=автоматы!$D$57,AQ41,IF($W41=автоматы!$D$58,AX41,IF($W41=автоматы!$D$59,AM41,IF($W41=автоматы!$D$60,BD41,IF($W41=автоматы!$D$61,AQ41,IF($W41=автоматы!$D$62,AZ41,IF($W41=автоматы!$D$63,AO41,IF($W41=автоматы!$D$64,BF41,IF($W41=автоматы!$D$65,BJ41,IF($W41=автоматы!$D$66,BJ41,IF($W41=автоматы!$D$67,BM41,IF($W41=автоматы!$D$68,BO41,"др"))))))))))))))))))))))))</f>
        <v>40</v>
      </c>
      <c r="BS41" s="89" t="str">
        <f>CONCATENATE(IF($W41=автоматы!$A$1,Y41,IF($W41=автоматы!$H$1,VLOOKUP(AA41,автоматы!$H$3:$K$17,3,0),IF($W41=автоматы!$N$1,VLOOKUP(AC41,автоматы!$N$3:$Q$19,3,0),IF($W41=автоматы!$S$17,AE41,IF($W41=автоматы!$Z$1,AG41,IF($W41=автоматы!$AE$1,AI41,"др"))))))," А")</f>
        <v>др А</v>
      </c>
      <c r="BT41" s="89" t="str">
        <f>IF($W41=автоматы!$A$1,Y41*10,IF($W41=автоматы!$H$1,VLOOKUP(AA41,автоматы!$H$3:$K$17,4,0),IF($W41=автоматы!$N$1,VLOOKUP(AC41,автоматы!$N$3:$Q$19,4,0),IF($W41=автоматы!$S$17,AE41*10,IF($W41=автоматы!$Z$1,AG41*10,IF($W41=автоматы!$AE$1,AI41*10,"др"))))))</f>
        <v>др</v>
      </c>
      <c r="BU41" s="85"/>
      <c r="BV41" s="90" t="s">
        <v>147</v>
      </c>
      <c r="BW41" s="90">
        <v>1</v>
      </c>
      <c r="BX41" s="91">
        <v>4</v>
      </c>
      <c r="BY41" s="92">
        <v>2.5</v>
      </c>
      <c r="BZ41" s="91">
        <f>HLOOKUP(BV41,каталог!$CG$1:$CO$22,MATCH(BY41,каталог!$CF$1:$CF$22,0),0)*BW41</f>
        <v>25</v>
      </c>
      <c r="CA41" s="87" t="str">
        <f t="shared" si="236"/>
        <v>нМ12</v>
      </c>
      <c r="CB41" s="87" t="str">
        <f t="shared" si="237"/>
        <v>ВВГнг(А)-LS 4x2,5</v>
      </c>
      <c r="CC41" s="87"/>
      <c r="CF41" s="174"/>
    </row>
    <row r="42" spans="1:16324" ht="25">
      <c r="A42" s="102">
        <v>12</v>
      </c>
      <c r="B42" s="94">
        <v>80</v>
      </c>
      <c r="C42" s="103" t="s">
        <v>1063</v>
      </c>
      <c r="D42" s="100" t="s">
        <v>1066</v>
      </c>
      <c r="E42" s="95">
        <v>380</v>
      </c>
      <c r="F42" s="19" t="s">
        <v>580</v>
      </c>
      <c r="G42" s="96">
        <v>0.75</v>
      </c>
      <c r="H42" s="96">
        <f t="shared" si="0"/>
        <v>1.8992342287589645</v>
      </c>
      <c r="I42" s="95">
        <v>1</v>
      </c>
      <c r="J42" s="96">
        <v>0.75</v>
      </c>
      <c r="K42" s="96">
        <f t="shared" si="264"/>
        <v>0.88</v>
      </c>
      <c r="L42" s="97">
        <f t="shared" si="28"/>
        <v>0.75</v>
      </c>
      <c r="M42" s="97">
        <f t="shared" si="29"/>
        <v>0.66</v>
      </c>
      <c r="N42" s="97">
        <f t="shared" si="30"/>
        <v>0.5625</v>
      </c>
      <c r="O42" s="97"/>
      <c r="P42" s="97"/>
      <c r="Q42" s="97"/>
      <c r="R42" s="97"/>
      <c r="S42" s="97"/>
      <c r="T42" s="97"/>
      <c r="U42" s="86"/>
      <c r="V42" s="86"/>
      <c r="W42" s="116"/>
      <c r="X42" s="87"/>
      <c r="Y42" s="87"/>
      <c r="Z42" s="87"/>
      <c r="AA42" s="87"/>
      <c r="AB42" s="87"/>
      <c r="AC42" s="87"/>
      <c r="AD42" s="87"/>
      <c r="AE42" s="88"/>
      <c r="AF42" s="87"/>
      <c r="AG42" s="87"/>
      <c r="AH42" s="87"/>
      <c r="AI42" s="2"/>
      <c r="BQ42" s="89"/>
      <c r="BR42" s="89"/>
      <c r="BS42" s="89"/>
      <c r="BT42" s="89"/>
      <c r="BU42" s="85"/>
      <c r="BV42" s="90"/>
      <c r="BW42" s="90"/>
      <c r="BX42" s="91"/>
      <c r="BY42" s="92"/>
      <c r="BZ42" s="91"/>
      <c r="CA42" s="87" t="str">
        <f t="shared" si="236"/>
        <v>нМ13</v>
      </c>
      <c r="CB42" s="87"/>
      <c r="CC42" s="87"/>
      <c r="CF42" s="174"/>
    </row>
    <row r="43" spans="1:16324" ht="14.5">
      <c r="A43" s="102">
        <v>12</v>
      </c>
      <c r="B43" s="94">
        <v>100</v>
      </c>
      <c r="C43" s="103" t="s">
        <v>1064</v>
      </c>
      <c r="D43" s="100" t="s">
        <v>1065</v>
      </c>
      <c r="E43" s="95">
        <v>220</v>
      </c>
      <c r="F43" s="19" t="s">
        <v>889</v>
      </c>
      <c r="G43" s="96">
        <v>1</v>
      </c>
      <c r="H43" s="96">
        <f t="shared" ref="H43:H44" si="295">IF(E43&lt;=230,(G43)/((E43/1000)*J43*(B43/100)),(G43)/(1.732*(E43/1000)*J43*(B43/100)))</f>
        <v>4.5454545454545459</v>
      </c>
      <c r="I43" s="95">
        <v>1</v>
      </c>
      <c r="J43" s="96">
        <v>1</v>
      </c>
      <c r="K43" s="96">
        <v>0</v>
      </c>
      <c r="L43" s="97">
        <f t="shared" si="28"/>
        <v>1</v>
      </c>
      <c r="M43" s="97">
        <f t="shared" si="29"/>
        <v>0</v>
      </c>
      <c r="N43" s="97">
        <f t="shared" si="30"/>
        <v>1</v>
      </c>
      <c r="O43" s="97"/>
      <c r="P43" s="97"/>
      <c r="Q43" s="97"/>
      <c r="R43" s="97"/>
      <c r="S43" s="97"/>
      <c r="T43" s="97"/>
      <c r="U43" s="86">
        <f t="shared" si="271"/>
        <v>5.454545454545455</v>
      </c>
      <c r="V43" s="86">
        <f t="shared" si="235"/>
        <v>31.81818181818182</v>
      </c>
      <c r="W43" s="116" t="s">
        <v>872</v>
      </c>
      <c r="X43" s="87" t="s">
        <v>302</v>
      </c>
      <c r="Y43" s="87">
        <f t="shared" si="243"/>
        <v>6</v>
      </c>
      <c r="Z43" s="87" t="str">
        <f>INDEX(автоматы!$B$3:$D$11,MATCH(Y43,автоматы!$A$3:$A$11,0),MATCH(X43,кол_пол,0))</f>
        <v>EZ9F34306</v>
      </c>
      <c r="AA43" s="87">
        <f t="shared" si="244"/>
        <v>6.3</v>
      </c>
      <c r="AB43" s="87" t="str">
        <f>VLOOKUP(AA43,автоматы!$H$3:$I$17,2,0)</f>
        <v>GZ1 E10</v>
      </c>
      <c r="AC43" s="87">
        <f t="shared" si="245"/>
        <v>20</v>
      </c>
      <c r="AD43" s="87" t="str">
        <f>VLOOKUP(AC43,автоматы!$N$3:$O$19,2,0)</f>
        <v>LZMB1-A20-I</v>
      </c>
      <c r="AE43" s="88">
        <f t="shared" si="246"/>
        <v>6</v>
      </c>
      <c r="AF43" s="87" t="str">
        <f>INDEX(автоматы!$T$2:$V$15,MATCH(AE43,автоматы!$S$2:$S$15,0),MATCH(X43,автоматы!$T$1:$V$1,0))</f>
        <v>iC60N C6 3P</v>
      </c>
      <c r="AG43" s="87">
        <f t="shared" si="247"/>
        <v>6</v>
      </c>
      <c r="AH43" s="87" t="str">
        <f>VLOOKUP(AG43,автоматы!$Z$3:$AA$9,2,0)</f>
        <v>A9D31606</v>
      </c>
      <c r="AI43" s="2">
        <f t="shared" si="248"/>
        <v>15</v>
      </c>
      <c r="AJ43" t="str">
        <f>VLOOKUP(AI43,автоматы!$AE$3:$AF$26,2,0)</f>
        <v>EZC100F3015</v>
      </c>
      <c r="AK43" s="3">
        <f t="shared" si="249"/>
        <v>6.3</v>
      </c>
      <c r="AL43" t="str">
        <f>VLOOKUP(AK43,DEKraft!$I$2:$J$16,2,0)</f>
        <v>21228DEK</v>
      </c>
      <c r="AM43">
        <f t="shared" si="250"/>
        <v>6.3</v>
      </c>
      <c r="AN43" t="str">
        <f>VLOOKUP(AM43,systeme!$A$33:$B$47,2,0)</f>
        <v>GM2ME10</v>
      </c>
      <c r="AO43">
        <f t="shared" si="251"/>
        <v>6.3</v>
      </c>
      <c r="AP43">
        <f>VLOOKUP(AO43,chint!$A$34:$B$48,2,0)</f>
        <v>495080</v>
      </c>
      <c r="AQ43" s="3">
        <f t="shared" si="252"/>
        <v>6</v>
      </c>
      <c r="AR43" t="str">
        <f>INDEX(DEKraft!$B$2:$D$13,MATCH(AQ43,DEKraft!$A$2:$A$13,0),MATCH(X43,DEKraft!$B$1:$D$1,0))</f>
        <v>13175DEK</v>
      </c>
      <c r="AS43" t="str">
        <f>INDEX(DEKraft!$B$21:$D$32,MATCH(AQ43,DEKraft!$A$21:$A$32,0),MATCH(X43,DEKraft!$B$20:$D$20,0))</f>
        <v>12301DEK</v>
      </c>
      <c r="AT43" t="str">
        <f>INDEX(systeme!$B$2:$D$10,MATCH(AQ43,systeme!$A$2:$A$10,0),MATCH(X43,systeme!$B$1:$D$1,0))</f>
        <v>C9F36306</v>
      </c>
      <c r="AU43">
        <f>INDEX(chint!$B$2:$D$10,MATCH(AQ43,chint!$A$2:$A$10,0),MATCH(X43,chint!$B$1:$D$1,0))</f>
        <v>179709</v>
      </c>
      <c r="AV43" s="3">
        <f t="shared" si="253"/>
        <v>6</v>
      </c>
      <c r="AW43" t="str">
        <f>VLOOKUP(AV43,DEKraft!$A$41:$B$47,2,0)</f>
        <v>16202DEK</v>
      </c>
      <c r="AX43">
        <f t="shared" si="254"/>
        <v>10</v>
      </c>
      <c r="AY43" t="str">
        <f>VLOOKUP(AX43,systeme!$G$2:$H$7,2,0)</f>
        <v>C9D36610</v>
      </c>
      <c r="AZ43">
        <f t="shared" si="255"/>
        <v>6</v>
      </c>
      <c r="BA43">
        <f>VLOOKUP(AV43,chint!$G$2:$H$8,2,0)</f>
        <v>689000</v>
      </c>
      <c r="BB43" s="3">
        <f t="shared" si="256"/>
        <v>25</v>
      </c>
      <c r="BC43" t="str">
        <f>VLOOKUP(BB43,DEKraft!$I$21:$J$36,2,0)</f>
        <v>28100DEK</v>
      </c>
      <c r="BD43">
        <f t="shared" si="257"/>
        <v>16</v>
      </c>
      <c r="BE43" t="str">
        <f>VLOOKUP(BD43,systeme!$A$16:$B$30,2,0)</f>
        <v>SPC100F016L3DF</v>
      </c>
      <c r="BF43">
        <f t="shared" si="258"/>
        <v>16</v>
      </c>
      <c r="BG43" s="4">
        <f>VLOOKUP(BF43,chint!$A$14:$B$31,2,0)</f>
        <v>271581</v>
      </c>
      <c r="BH43">
        <f t="shared" si="259"/>
        <v>6</v>
      </c>
      <c r="BI43" t="str">
        <f>INDEX(КЭАЗ!$B$2:$E$14,MATCH(BH43,КЭАЗ!$A$2:$A$14,0),MATCH(X43,КЭАЗ!$B$1:$D$1,0))</f>
        <v>kea.341955</v>
      </c>
      <c r="BJ43">
        <f t="shared" si="260"/>
        <v>6</v>
      </c>
      <c r="BK43" t="str">
        <f>INDEX(hy!$B$2:$D$18,MATCH(BJ43,hy!$A$2:$A$18,0),MATCH(X43,hy!$B$1:$D$1,0))</f>
        <v>HGD63M 3PMCS0000C 00006</v>
      </c>
      <c r="BL43" t="str">
        <f>VLOOKUP(BJ43,hy!$G$2:$H$15,2,0)</f>
        <v>HRO63M 1NG4С0000C00006G</v>
      </c>
      <c r="BM43">
        <f t="shared" si="261"/>
        <v>6.3</v>
      </c>
      <c r="BN43" t="str">
        <f>VLOOKUP(BM43,hy!$A$41:$B$55,2,0)</f>
        <v>MMS32K 06P3</v>
      </c>
      <c r="BO43">
        <f t="shared" si="262"/>
        <v>100</v>
      </c>
      <c r="BP43" t="str">
        <f>VLOOKUP(BO43,hy!$A$21:$B$35,2,0)</f>
        <v>HGP100S-G 3PT4S0000C 00100H</v>
      </c>
      <c r="BQ43" s="89">
        <f>IF($W43=автоматы!$D$45,Z43,IF($W43=автоматы!$D$46,AF43,IF($W43=автоматы!$D$47,AH43,IF($W43=автоматы!$D$48,AB43,IF($W43=автоматы!$D$49,AJ43,IF($W43=автоматы!$D$50,AD43,IF($W43=автоматы!$D$51,BI43,IF($W43=автоматы!$D$52,AR43,IF($W43=автоматы!$D$53,AS43,IF($W43=автоматы!$D$54,AW43,IF($W43=автоматы!$D$55,AL43,IF($W43=автоматы!$D$56,BC43,IF($W43=автоматы!$D$57,AT43,IF($W43=автоматы!$D$58,AY43,IF($W43=автоматы!$D$59,AN43,IF($W43=автоматы!$D$60,BE43,IF($W43=автоматы!$D$61,AU43,IF($W43=автоматы!$D$62,BA43,IF($W43=автоматы!$D$63,AP43,IF($W43=автоматы!$D$64,BG43,IF($W43=автоматы!$D$65,BK43,IF($W43=автоматы!$D$66,BL43,IF($W43=автоматы!$D$67,BN43,IF($W43=автоматы!$D$68,BP43,"др"))))))))))))))))))))))))</f>
        <v>179709</v>
      </c>
      <c r="BR43" s="89">
        <f>IF($W43=автоматы!$D$45,Y43,IF($W43=автоматы!$D$46,AE43,IF($W43=автоматы!$D$47,AG43,IF($W43=автоматы!$D$48,AA43,IF($W43=автоматы!$D$49,AI43,IF($W43=автоматы!$D$50,AC43,IF($W43=автоматы!$D$51,BH43,IF($W43=автоматы!$D$52,AQ43,IF($W43=автоматы!$D$53,AQ43,IF($W43=автоматы!$D$54,AV43,IF($W43=автоматы!$D$55,AK43,IF($W43=автоматы!$D$56,BB43,IF($W43=автоматы!$D$57,AQ43,IF($W43=автоматы!$D$58,AX43,IF($W43=автоматы!$D$59,AM43,IF($W43=автоматы!$D$60,BD43,IF($W43=автоматы!$D$61,AQ43,IF($W43=автоматы!$D$62,AZ43,IF($W43=автоматы!$D$63,AO43,IF($W43=автоматы!$D$64,BF43,IF($W43=автоматы!$D$65,BJ43,IF($W43=автоматы!$D$66,BJ43,IF($W43=автоматы!$D$67,BM43,IF($W43=автоматы!$D$68,BO43,"др"))))))))))))))))))))))))</f>
        <v>6</v>
      </c>
      <c r="BS43" s="89" t="str">
        <f>CONCATENATE(IF($W43=автоматы!$A$1,Y43,IF($W43=автоматы!$H$1,VLOOKUP(AA43,автоматы!$H$3:$K$17,3,0),IF($W43=автоматы!$N$1,VLOOKUP(AC43,автоматы!$N$3:$Q$19,3,0),IF($W43=автоматы!$S$17,AE43,IF($W43=автоматы!$Z$1,AG43,IF($W43=автоматы!$AE$1,AI43,"др"))))))," А")</f>
        <v>др А</v>
      </c>
      <c r="BT43" s="89" t="str">
        <f>IF($W43=автоматы!$A$1,Y43*10,IF($W43=автоматы!$H$1,VLOOKUP(AA43,автоматы!$H$3:$K$17,4,0),IF($W43=автоматы!$N$1,VLOOKUP(AC43,автоматы!$N$3:$Q$19,4,0),IF($W43=автоматы!$S$17,AE43*10,IF($W43=автоматы!$Z$1,AG43*10,IF($W43=автоматы!$AE$1,AI43*10,"др"))))))</f>
        <v>др</v>
      </c>
      <c r="BU43" s="85"/>
      <c r="BV43" s="90" t="s">
        <v>147</v>
      </c>
      <c r="BW43" s="90">
        <v>1</v>
      </c>
      <c r="BX43" s="91">
        <v>4</v>
      </c>
      <c r="BY43" s="92">
        <v>2.5</v>
      </c>
      <c r="BZ43" s="91">
        <f>HLOOKUP(BV43,каталог!$CG$1:$CO$22,MATCH(BY43,каталог!$CF$1:$CF$22,0),0)*BW43</f>
        <v>25</v>
      </c>
      <c r="CA43" s="87" t="str">
        <f t="shared" si="236"/>
        <v>нШСС</v>
      </c>
      <c r="CB43" s="87" t="str">
        <f t="shared" si="237"/>
        <v>ВВГнг(А)-LS 4x2,5</v>
      </c>
      <c r="CC43" s="87"/>
      <c r="CF43" s="174"/>
    </row>
    <row r="44" spans="1:16324" ht="14.5">
      <c r="A44" s="102">
        <v>12</v>
      </c>
      <c r="B44" s="94">
        <v>100</v>
      </c>
      <c r="C44" s="103" t="s">
        <v>1068</v>
      </c>
      <c r="D44" s="100" t="s">
        <v>1067</v>
      </c>
      <c r="E44" s="95">
        <v>220</v>
      </c>
      <c r="F44" s="19" t="s">
        <v>888</v>
      </c>
      <c r="G44" s="96">
        <v>1</v>
      </c>
      <c r="H44" s="96">
        <f t="shared" si="295"/>
        <v>4.5454545454545459</v>
      </c>
      <c r="I44" s="95">
        <v>1</v>
      </c>
      <c r="J44" s="96">
        <v>1</v>
      </c>
      <c r="K44" s="96">
        <f t="shared" ref="K44" si="296">ROUND(SQRT(1-(J44)^2)/J44,2)</f>
        <v>0</v>
      </c>
      <c r="L44" s="97">
        <f t="shared" ref="L44" si="297">I44*G44</f>
        <v>1</v>
      </c>
      <c r="M44" s="97">
        <f t="shared" ref="M44" si="298">I44*G44*K44</f>
        <v>0</v>
      </c>
      <c r="N44" s="97">
        <f t="shared" ref="N44" si="299">1*G44^2</f>
        <v>1</v>
      </c>
      <c r="O44" s="97"/>
      <c r="P44" s="97"/>
      <c r="Q44" s="97"/>
      <c r="R44" s="97"/>
      <c r="S44" s="97"/>
      <c r="T44" s="97"/>
      <c r="U44" s="86">
        <f>16</f>
        <v>16</v>
      </c>
      <c r="V44" s="86">
        <f t="shared" si="235"/>
        <v>31.81818181818182</v>
      </c>
      <c r="W44" s="116" t="s">
        <v>875</v>
      </c>
      <c r="X44" s="87" t="s">
        <v>301</v>
      </c>
      <c r="Y44" s="87">
        <f t="shared" si="243"/>
        <v>16</v>
      </c>
      <c r="Z44" s="87" t="str">
        <f>INDEX(автоматы!$B$3:$D$11,MATCH(Y44,автоматы!$A$3:$A$11,0),MATCH(X44,кол_пол,0))</f>
        <v>EZ9F34216</v>
      </c>
      <c r="AA44" s="87">
        <f t="shared" si="244"/>
        <v>18</v>
      </c>
      <c r="AB44" s="87" t="str">
        <f>VLOOKUP(AA44,автоматы!$H$3:$I$17,2,0)</f>
        <v>GZ1 E20</v>
      </c>
      <c r="AC44" s="87">
        <f t="shared" si="245"/>
        <v>20</v>
      </c>
      <c r="AD44" s="87" t="str">
        <f>VLOOKUP(AC44,автоматы!$N$3:$O$19,2,0)</f>
        <v>LZMB1-A20-I</v>
      </c>
      <c r="AE44" s="88">
        <f t="shared" si="246"/>
        <v>16</v>
      </c>
      <c r="AF44" s="87" t="str">
        <f>INDEX(автоматы!$T$2:$V$15,MATCH(AE44,автоматы!$S$2:$S$15,0),MATCH(X44,автоматы!$T$1:$V$1,0))</f>
        <v>iC60N C16 2P</v>
      </c>
      <c r="AG44" s="87">
        <f t="shared" si="247"/>
        <v>16</v>
      </c>
      <c r="AH44" s="87" t="str">
        <f>VLOOKUP(AG44,автоматы!$Z$3:$AA$9,2,0)</f>
        <v>A9D31616</v>
      </c>
      <c r="AI44" s="2">
        <f t="shared" si="248"/>
        <v>16</v>
      </c>
      <c r="AJ44" t="str">
        <f>VLOOKUP(AI44,автоматы!$AE$3:$AF$26,2,0)</f>
        <v>EZC100F3016</v>
      </c>
      <c r="AK44" s="3">
        <f t="shared" si="249"/>
        <v>18</v>
      </c>
      <c r="AL44" t="str">
        <f>VLOOKUP(AK44,DEKraft!$I$2:$J$16,2,0)</f>
        <v>21231DEK</v>
      </c>
      <c r="AM44">
        <f t="shared" si="250"/>
        <v>18</v>
      </c>
      <c r="AN44" t="str">
        <f>VLOOKUP(AM44,systeme!$A$33:$B$47,2,0)</f>
        <v>GM2ME20</v>
      </c>
      <c r="AO44">
        <f t="shared" si="251"/>
        <v>18</v>
      </c>
      <c r="AP44">
        <f>VLOOKUP(AO44,chint!$A$34:$B$48,2,0)</f>
        <v>495083</v>
      </c>
      <c r="AQ44" s="3">
        <f t="shared" si="252"/>
        <v>16</v>
      </c>
      <c r="AR44" t="str">
        <f>INDEX(DEKraft!$B$2:$D$13,MATCH(AQ44,DEKraft!$A$2:$A$13,0),MATCH(X44,DEKraft!$B$1:$D$1,0))</f>
        <v>13165DEK</v>
      </c>
      <c r="AS44" t="str">
        <f>INDEX(DEKraft!$B$21:$D$32,MATCH(AQ44,DEKraft!$A$21:$A$32,0),MATCH(X44,DEKraft!$B$20:$D$20,0))</f>
        <v>12289DEK</v>
      </c>
      <c r="AT44" t="str">
        <f>INDEX(systeme!$B$2:$D$10,MATCH(AQ44,systeme!$A$2:$A$10,0),MATCH(X44,systeme!$B$1:$D$1,0))</f>
        <v>C9F36216</v>
      </c>
      <c r="AU44">
        <f>INDEX(chint!$B$2:$D$10,MATCH(AQ44,chint!$A$2:$A$10,0),MATCH(X44,chint!$B$1:$D$1,0))</f>
        <v>179658</v>
      </c>
      <c r="AV44" s="3">
        <f t="shared" si="253"/>
        <v>16</v>
      </c>
      <c r="AW44" t="str">
        <f>VLOOKUP(AV44,DEKraft!$A$41:$B$47,2,0)</f>
        <v>16204DEK</v>
      </c>
      <c r="AX44">
        <f t="shared" si="254"/>
        <v>16</v>
      </c>
      <c r="AY44" t="str">
        <f>VLOOKUP(AX44,systeme!$G$2:$H$7,2,0)</f>
        <v>C9D36616</v>
      </c>
      <c r="AZ44">
        <f t="shared" si="255"/>
        <v>16</v>
      </c>
      <c r="BA44">
        <f>VLOOKUP(AV44,chint!$G$2:$H$8,2,0)</f>
        <v>689002</v>
      </c>
      <c r="BB44" s="3">
        <f t="shared" si="256"/>
        <v>25</v>
      </c>
      <c r="BC44" t="str">
        <f>VLOOKUP(BB44,DEKraft!$I$21:$J$36,2,0)</f>
        <v>28100DEK</v>
      </c>
      <c r="BD44">
        <f t="shared" si="257"/>
        <v>16</v>
      </c>
      <c r="BE44" t="str">
        <f>VLOOKUP(BD44,systeme!$A$16:$B$30,2,0)</f>
        <v>SPC100F016L3DF</v>
      </c>
      <c r="BF44">
        <f t="shared" si="258"/>
        <v>16</v>
      </c>
      <c r="BG44" s="4">
        <f>VLOOKUP(BF44,chint!$A$14:$B$31,2,0)</f>
        <v>271581</v>
      </c>
      <c r="BH44">
        <f t="shared" si="259"/>
        <v>16</v>
      </c>
      <c r="BI44" t="str">
        <f>INDEX(КЭАЗ!$B$2:$E$14,MATCH(BH44,КЭАЗ!$A$2:$A$14,0),MATCH(X44,КЭАЗ!$B$1:$D$1,0))</f>
        <v>kea.341920</v>
      </c>
      <c r="BJ44">
        <f t="shared" si="260"/>
        <v>16</v>
      </c>
      <c r="BK44" t="str">
        <f>INDEX(hy!$B$2:$D$18,MATCH(BJ44,hy!$A$2:$A$18,0),MATCH(X44,hy!$B$1:$D$1,0))</f>
        <v>HGD63M 2PMCS0000C 00016</v>
      </c>
      <c r="BL44" t="str">
        <f>VLOOKUP(BJ44,hy!$G$2:$H$15,2,0)</f>
        <v>HRO63M 1NG4С0000C00016G</v>
      </c>
      <c r="BM44">
        <f t="shared" si="261"/>
        <v>18</v>
      </c>
      <c r="BN44" t="str">
        <f>VLOOKUP(BM44,hy!$A$41:$B$55,2,0)</f>
        <v>MMS32K 0018</v>
      </c>
      <c r="BO44">
        <f t="shared" si="262"/>
        <v>100</v>
      </c>
      <c r="BP44" t="str">
        <f>VLOOKUP(BO44,hy!$A$21:$B$35,2,0)</f>
        <v>HGP100S-G 3PT4S0000C 00100H</v>
      </c>
      <c r="BQ44" s="89">
        <f>IF($W44=автоматы!$D$45,Z44,IF($W44=автоматы!$D$46,AF44,IF($W44=автоматы!$D$47,AH44,IF($W44=автоматы!$D$48,AB44,IF($W44=автоматы!$D$49,AJ44,IF($W44=автоматы!$D$50,AD44,IF($W44=автоматы!$D$51,BI44,IF($W44=автоматы!$D$52,AR44,IF($W44=автоматы!$D$53,AS44,IF($W44=автоматы!$D$54,AW44,IF($W44=автоматы!$D$55,AL44,IF($W44=автоматы!$D$56,BC44,IF($W44=автоматы!$D$57,AT44,IF($W44=автоматы!$D$58,AY44,IF($W44=автоматы!$D$59,AN44,IF($W44=автоматы!$D$60,BE44,IF($W44=автоматы!$D$61,AU44,IF($W44=автоматы!$D$62,BA44,IF($W44=автоматы!$D$63,AP44,IF($W44=автоматы!$D$64,BG44,IF($W44=автоматы!$D$65,BK44,IF($W44=автоматы!$D$66,BL44,IF($W44=автоматы!$D$67,BN44,IF($W44=автоматы!$D$68,BP44,"др"))))))))))))))))))))))))</f>
        <v>689002</v>
      </c>
      <c r="BR44" s="89">
        <f>IF($W44=автоматы!$D$45,Y44,IF($W44=автоматы!$D$46,AE44,IF($W44=автоматы!$D$47,AG44,IF($W44=автоматы!$D$48,AA44,IF($W44=автоматы!$D$49,AI44,IF($W44=автоматы!$D$50,AC44,IF($W44=автоматы!$D$51,BH44,IF($W44=автоматы!$D$52,AQ44,IF($W44=автоматы!$D$53,AQ44,IF($W44=автоматы!$D$54,AV44,IF($W44=автоматы!$D$55,AK44,IF($W44=автоматы!$D$56,BB44,IF($W44=автоматы!$D$57,AQ44,IF($W44=автоматы!$D$58,AX44,IF($W44=автоматы!$D$59,AM44,IF($W44=автоматы!$D$60,BD44,IF($W44=автоматы!$D$61,AQ44,IF($W44=автоматы!$D$62,AZ44,IF($W44=автоматы!$D$63,AO44,IF($W44=автоматы!$D$64,BF44,IF($W44=автоматы!$D$65,BJ44,IF($W44=автоматы!$D$66,BJ44,IF($W44=автоматы!$D$67,BM44,IF($W44=автоматы!$D$68,BO44,"др"))))))))))))))))))))))))</f>
        <v>16</v>
      </c>
      <c r="BS44" s="89" t="str">
        <f>CONCATENATE(IF($W44=автоматы!$A$1,Y44,IF($W44=автоматы!$H$1,VLOOKUP(AA44,автоматы!$H$3:$K$17,3,0),IF($W44=автоматы!$N$1,VLOOKUP(AC44,автоматы!$N$3:$Q$19,3,0),IF($W44=автоматы!$S$17,AE44,IF($W44=автоматы!$Z$1,AG44,IF($W44=автоматы!$AE$1,AI44,"др"))))))," А")</f>
        <v>др А</v>
      </c>
      <c r="BT44" s="89" t="str">
        <f>IF($W44=автоматы!$A$1,Y44*10,IF($W44=автоматы!$H$1,VLOOKUP(AA44,автоматы!$H$3:$K$17,4,0),IF($W44=автоматы!$N$1,VLOOKUP(AC44,автоматы!$N$3:$Q$19,4,0),IF($W44=автоматы!$S$17,AE44*10,IF($W44=автоматы!$Z$1,AG44*10,IF($W44=автоматы!$AE$1,AI44*10,"др"))))))</f>
        <v>др</v>
      </c>
      <c r="BU44" s="85"/>
      <c r="BV44" s="90" t="s">
        <v>147</v>
      </c>
      <c r="BW44" s="90">
        <v>1</v>
      </c>
      <c r="BX44" s="91">
        <v>3</v>
      </c>
      <c r="BY44" s="92">
        <v>1.5</v>
      </c>
      <c r="BZ44" s="91">
        <f>HLOOKUP(BV44,каталог!$CG$1:$CO$22,MATCH(BY44,каталог!$CF$1:$CF$22,0),0)*BW44</f>
        <v>19</v>
      </c>
      <c r="CA44" s="87" t="str">
        <f t="shared" si="236"/>
        <v>нЕК3</v>
      </c>
      <c r="CB44" s="87" t="str">
        <f t="shared" si="237"/>
        <v>ВВГнг(А)-LS 3x1,5</v>
      </c>
      <c r="CC44" s="87"/>
      <c r="CD44" s="87"/>
      <c r="CE44" s="87"/>
      <c r="CF44" s="87"/>
      <c r="CG44" s="87"/>
      <c r="CH44" s="87"/>
      <c r="CI44" s="87"/>
      <c r="CJ44" s="87"/>
      <c r="CK44" s="87"/>
      <c r="CL44" s="87"/>
      <c r="CM44" s="87"/>
      <c r="CN44" s="87"/>
      <c r="CO44" s="87"/>
      <c r="CP44" s="87"/>
      <c r="CQ44" s="87"/>
      <c r="CR44" s="87"/>
      <c r="CS44" s="87"/>
      <c r="CT44" s="87"/>
      <c r="CU44" s="87"/>
      <c r="CV44" s="87"/>
      <c r="CW44" s="87"/>
      <c r="CX44" s="87"/>
      <c r="CY44" s="87"/>
      <c r="CZ44" s="87"/>
      <c r="DA44" s="87"/>
      <c r="DB44" s="87"/>
      <c r="DC44" s="87"/>
      <c r="DD44" s="87"/>
      <c r="DE44" s="87"/>
      <c r="DF44" s="87"/>
      <c r="DG44" s="87"/>
      <c r="DH44" s="87"/>
      <c r="DI44" s="87"/>
      <c r="DJ44" s="87"/>
      <c r="DK44" s="87"/>
      <c r="DL44" s="87"/>
      <c r="DM44" s="87"/>
      <c r="DN44" s="87"/>
      <c r="DO44" s="87"/>
      <c r="DP44" s="87"/>
      <c r="DQ44" s="87"/>
      <c r="DR44" s="87"/>
      <c r="DS44" s="87"/>
      <c r="DT44" s="87"/>
      <c r="DU44" s="87"/>
      <c r="DV44" s="87"/>
      <c r="DW44" s="87"/>
      <c r="DX44" s="87"/>
      <c r="DY44" s="87"/>
      <c r="DZ44" s="87"/>
      <c r="EA44" s="87"/>
      <c r="EB44" s="87"/>
      <c r="EC44" s="87"/>
      <c r="ED44" s="87"/>
      <c r="EE44" s="87"/>
      <c r="EF44" s="87"/>
      <c r="EG44" s="87"/>
      <c r="EH44" s="87"/>
      <c r="EI44" s="87"/>
      <c r="EJ44" s="87"/>
      <c r="EK44" s="87"/>
      <c r="EL44" s="87"/>
      <c r="EM44" s="87"/>
      <c r="EN44" s="87"/>
      <c r="EO44" s="87"/>
      <c r="EP44" s="87"/>
      <c r="EQ44" s="87"/>
      <c r="ER44" s="87"/>
      <c r="ES44" s="87"/>
      <c r="ET44" s="87"/>
      <c r="EU44" s="87"/>
      <c r="EV44" s="87"/>
      <c r="EW44" s="87"/>
      <c r="EX44" s="87"/>
      <c r="EY44" s="87"/>
      <c r="EZ44" s="87"/>
      <c r="FA44" s="87"/>
      <c r="FB44" s="87"/>
      <c r="FC44" s="87"/>
      <c r="FD44" s="87"/>
      <c r="FE44" s="87"/>
      <c r="FF44" s="87"/>
      <c r="FG44" s="87"/>
      <c r="FH44" s="87"/>
      <c r="FI44" s="87"/>
      <c r="FJ44" s="87"/>
      <c r="FK44" s="87"/>
      <c r="FL44" s="87"/>
      <c r="FM44" s="87"/>
      <c r="FN44" s="87"/>
      <c r="FO44" s="87"/>
      <c r="FP44" s="87"/>
      <c r="FQ44" s="87"/>
      <c r="FR44" s="87"/>
      <c r="FS44" s="87"/>
      <c r="FT44" s="87"/>
      <c r="FU44" s="87"/>
      <c r="FV44" s="87"/>
      <c r="FW44" s="87"/>
      <c r="FX44" s="87"/>
      <c r="FY44" s="87"/>
      <c r="FZ44" s="87"/>
      <c r="GA44" s="87"/>
      <c r="GB44" s="87"/>
      <c r="GC44" s="87"/>
      <c r="GD44" s="87"/>
      <c r="GE44" s="87"/>
      <c r="GF44" s="87"/>
      <c r="GG44" s="87"/>
      <c r="GH44" s="87"/>
      <c r="GI44" s="87"/>
      <c r="GJ44" s="87"/>
      <c r="GK44" s="87"/>
      <c r="GL44" s="87"/>
      <c r="GM44" s="87"/>
      <c r="GN44" s="87"/>
      <c r="GO44" s="87"/>
      <c r="GP44" s="87"/>
      <c r="GQ44" s="87"/>
      <c r="GR44" s="87"/>
      <c r="GS44" s="87"/>
      <c r="GT44" s="87"/>
      <c r="GU44" s="87"/>
      <c r="GV44" s="87"/>
      <c r="GW44" s="87"/>
      <c r="GX44" s="87"/>
      <c r="GY44" s="87"/>
      <c r="GZ44" s="87"/>
      <c r="HA44" s="87"/>
      <c r="HB44" s="87"/>
      <c r="HC44" s="87"/>
      <c r="HD44" s="87"/>
      <c r="HE44" s="87"/>
      <c r="HF44" s="87"/>
      <c r="HG44" s="87"/>
      <c r="HH44" s="87"/>
      <c r="HI44" s="87"/>
      <c r="HJ44" s="87"/>
      <c r="HK44" s="87"/>
      <c r="HL44" s="87"/>
      <c r="HM44" s="87"/>
      <c r="HN44" s="87"/>
      <c r="HO44" s="87"/>
      <c r="HP44" s="87"/>
      <c r="HQ44" s="87"/>
      <c r="HR44" s="87"/>
      <c r="HS44" s="87"/>
      <c r="HT44" s="87"/>
      <c r="HU44" s="87"/>
      <c r="HV44" s="87"/>
      <c r="HW44" s="87"/>
      <c r="HX44" s="87"/>
      <c r="HY44" s="87"/>
      <c r="HZ44" s="87"/>
      <c r="IA44" s="87"/>
      <c r="IB44" s="87"/>
      <c r="IC44" s="87"/>
      <c r="ID44" s="87"/>
      <c r="IE44" s="87"/>
      <c r="IF44" s="87"/>
      <c r="IG44" s="87"/>
      <c r="IH44" s="87"/>
      <c r="II44" s="87"/>
      <c r="IJ44" s="87"/>
      <c r="IK44" s="87"/>
      <c r="IL44" s="87"/>
      <c r="IM44" s="87"/>
      <c r="IN44" s="87"/>
      <c r="IO44" s="87"/>
      <c r="IP44" s="87"/>
      <c r="IQ44" s="87"/>
      <c r="IR44" s="87"/>
      <c r="IS44" s="87"/>
      <c r="IT44" s="87"/>
      <c r="IU44" s="87"/>
      <c r="IV44" s="87"/>
      <c r="IW44" s="87"/>
      <c r="IX44" s="87"/>
      <c r="IY44" s="87"/>
      <c r="IZ44" s="87"/>
      <c r="JA44" s="87"/>
      <c r="JB44" s="87"/>
      <c r="JC44" s="87"/>
      <c r="JD44" s="87"/>
      <c r="JE44" s="87"/>
      <c r="JF44" s="87"/>
      <c r="JG44" s="87"/>
      <c r="JH44" s="87"/>
      <c r="JI44" s="87"/>
      <c r="JJ44" s="87"/>
      <c r="JK44" s="87"/>
      <c r="JL44" s="87"/>
      <c r="JM44" s="87"/>
      <c r="JN44" s="87"/>
      <c r="JO44" s="87"/>
      <c r="JP44" s="87"/>
      <c r="JQ44" s="87"/>
      <c r="JR44" s="87"/>
      <c r="JS44" s="87"/>
      <c r="JT44" s="87"/>
      <c r="JU44" s="87"/>
      <c r="JV44" s="87"/>
      <c r="JW44" s="87"/>
      <c r="JX44" s="87"/>
      <c r="JY44" s="87"/>
      <c r="JZ44" s="87"/>
      <c r="KA44" s="87"/>
      <c r="KB44" s="87"/>
      <c r="KC44" s="87"/>
      <c r="KD44" s="87"/>
      <c r="KE44" s="87"/>
      <c r="KF44" s="87"/>
      <c r="KG44" s="87"/>
      <c r="KH44" s="87"/>
      <c r="KI44" s="87"/>
      <c r="KJ44" s="87"/>
      <c r="KK44" s="87"/>
      <c r="KL44" s="87"/>
      <c r="KM44" s="87"/>
      <c r="KN44" s="87"/>
      <c r="KO44" s="87"/>
      <c r="KP44" s="87"/>
      <c r="KQ44" s="87"/>
      <c r="KR44" s="87"/>
      <c r="KS44" s="87"/>
      <c r="KT44" s="87"/>
      <c r="KU44" s="87"/>
      <c r="KV44" s="87"/>
      <c r="KW44" s="87"/>
      <c r="KX44" s="87"/>
      <c r="KY44" s="87"/>
      <c r="KZ44" s="87"/>
      <c r="LA44" s="87"/>
      <c r="LB44" s="87"/>
      <c r="LC44" s="87"/>
      <c r="LD44" s="87"/>
      <c r="LE44" s="87"/>
      <c r="LF44" s="87"/>
      <c r="LG44" s="87"/>
      <c r="LH44" s="87"/>
      <c r="LI44" s="87"/>
      <c r="LJ44" s="87"/>
      <c r="LK44" s="87"/>
      <c r="LL44" s="87"/>
      <c r="LM44" s="87"/>
      <c r="LN44" s="87"/>
      <c r="LO44" s="87"/>
      <c r="LP44" s="87"/>
      <c r="LQ44" s="87"/>
      <c r="LR44" s="87"/>
      <c r="LS44" s="87"/>
      <c r="LT44" s="87"/>
      <c r="LU44" s="87"/>
      <c r="LV44" s="87"/>
      <c r="LW44" s="87"/>
      <c r="LX44" s="87"/>
      <c r="LY44" s="87"/>
      <c r="LZ44" s="87"/>
      <c r="MA44" s="87"/>
      <c r="MB44" s="87"/>
      <c r="MC44" s="87"/>
      <c r="MD44" s="87"/>
      <c r="ME44" s="87"/>
      <c r="MF44" s="87"/>
      <c r="MG44" s="87"/>
      <c r="MH44" s="87"/>
      <c r="MI44" s="87"/>
      <c r="MJ44" s="87"/>
      <c r="MK44" s="87"/>
      <c r="ML44" s="87"/>
      <c r="MM44" s="87"/>
      <c r="MN44" s="87"/>
      <c r="MO44" s="87"/>
      <c r="MP44" s="87"/>
      <c r="MQ44" s="87"/>
      <c r="MR44" s="87"/>
      <c r="MS44" s="87"/>
      <c r="MT44" s="87"/>
      <c r="MU44" s="87"/>
      <c r="MV44" s="87"/>
      <c r="MW44" s="87"/>
      <c r="MX44" s="87"/>
      <c r="MY44" s="87"/>
      <c r="MZ44" s="87"/>
      <c r="NA44" s="87"/>
      <c r="NB44" s="87"/>
      <c r="NC44" s="87"/>
      <c r="ND44" s="87"/>
      <c r="NE44" s="87"/>
      <c r="NF44" s="87"/>
      <c r="NG44" s="87"/>
      <c r="NH44" s="87"/>
      <c r="NI44" s="87"/>
      <c r="NJ44" s="87"/>
      <c r="NK44" s="87"/>
      <c r="NL44" s="87"/>
      <c r="NM44" s="87"/>
      <c r="NN44" s="87"/>
      <c r="NO44" s="87"/>
      <c r="NP44" s="87"/>
      <c r="NQ44" s="87"/>
      <c r="NR44" s="87"/>
      <c r="NS44" s="87"/>
      <c r="NT44" s="87"/>
      <c r="NU44" s="87"/>
      <c r="NV44" s="87"/>
      <c r="NW44" s="87"/>
      <c r="NX44" s="87"/>
      <c r="NY44" s="87"/>
      <c r="NZ44" s="87"/>
      <c r="OA44" s="87"/>
      <c r="OB44" s="87"/>
      <c r="OC44" s="87"/>
      <c r="OD44" s="87"/>
      <c r="OE44" s="87"/>
      <c r="OF44" s="87"/>
      <c r="OG44" s="87"/>
      <c r="OH44" s="87"/>
      <c r="OI44" s="87"/>
      <c r="OJ44" s="87"/>
      <c r="OK44" s="87"/>
      <c r="OL44" s="87"/>
      <c r="OM44" s="87"/>
      <c r="ON44" s="87"/>
      <c r="OO44" s="87"/>
      <c r="OP44" s="87"/>
      <c r="OQ44" s="87"/>
      <c r="OR44" s="87"/>
      <c r="OS44" s="87"/>
      <c r="OT44" s="87"/>
      <c r="OU44" s="87"/>
      <c r="OV44" s="87"/>
      <c r="OW44" s="87"/>
      <c r="OX44" s="87"/>
      <c r="OY44" s="87"/>
      <c r="OZ44" s="87"/>
      <c r="PA44" s="87"/>
      <c r="PB44" s="87"/>
      <c r="PC44" s="87"/>
      <c r="PD44" s="87"/>
      <c r="PE44" s="87"/>
      <c r="PF44" s="87"/>
      <c r="PG44" s="87"/>
      <c r="PH44" s="87"/>
      <c r="PI44" s="87"/>
      <c r="PJ44" s="87"/>
      <c r="PK44" s="87"/>
      <c r="PL44" s="87"/>
      <c r="PM44" s="87"/>
      <c r="PN44" s="87"/>
      <c r="PO44" s="87"/>
      <c r="PP44" s="87"/>
      <c r="PQ44" s="87"/>
      <c r="PR44" s="87"/>
      <c r="PS44" s="87"/>
      <c r="PT44" s="87"/>
      <c r="PU44" s="87"/>
      <c r="PV44" s="87"/>
      <c r="PW44" s="87"/>
      <c r="PX44" s="87"/>
      <c r="PY44" s="87"/>
      <c r="PZ44" s="87"/>
      <c r="QA44" s="87"/>
      <c r="QB44" s="87"/>
      <c r="QC44" s="87"/>
      <c r="QD44" s="87"/>
      <c r="QE44" s="87"/>
      <c r="QF44" s="87"/>
      <c r="QG44" s="87"/>
      <c r="QH44" s="87"/>
      <c r="QI44" s="87"/>
      <c r="QJ44" s="87"/>
      <c r="QK44" s="87"/>
      <c r="QL44" s="87"/>
      <c r="QM44" s="87"/>
      <c r="QN44" s="87"/>
      <c r="QO44" s="87"/>
      <c r="QP44" s="87"/>
      <c r="QQ44" s="87"/>
      <c r="QR44" s="87"/>
      <c r="QS44" s="87"/>
      <c r="QT44" s="87"/>
      <c r="QU44" s="87"/>
      <c r="QV44" s="87"/>
      <c r="QW44" s="87"/>
      <c r="QX44" s="87"/>
      <c r="QY44" s="87"/>
      <c r="QZ44" s="87"/>
      <c r="RA44" s="87"/>
      <c r="RB44" s="87"/>
      <c r="RC44" s="87"/>
      <c r="RD44" s="87"/>
      <c r="RE44" s="87"/>
      <c r="RF44" s="87"/>
      <c r="RG44" s="87"/>
      <c r="RH44" s="87"/>
      <c r="RI44" s="87"/>
      <c r="RJ44" s="87"/>
      <c r="RK44" s="87"/>
      <c r="RL44" s="87"/>
      <c r="RM44" s="87"/>
      <c r="RN44" s="87"/>
      <c r="RO44" s="87"/>
      <c r="RP44" s="87"/>
      <c r="RQ44" s="87"/>
      <c r="RR44" s="87"/>
      <c r="RS44" s="87"/>
      <c r="RT44" s="87"/>
      <c r="RU44" s="87"/>
      <c r="RV44" s="87"/>
      <c r="RW44" s="87"/>
      <c r="RX44" s="87"/>
      <c r="RY44" s="87"/>
      <c r="RZ44" s="87"/>
      <c r="SA44" s="87"/>
      <c r="SB44" s="87"/>
      <c r="SC44" s="87"/>
      <c r="SD44" s="87"/>
      <c r="SE44" s="87"/>
      <c r="SF44" s="87"/>
      <c r="SG44" s="87"/>
      <c r="SH44" s="87"/>
      <c r="SI44" s="87"/>
      <c r="SJ44" s="87"/>
      <c r="SK44" s="87"/>
      <c r="SL44" s="87"/>
      <c r="SM44" s="87"/>
      <c r="SN44" s="87"/>
      <c r="SO44" s="87"/>
      <c r="SP44" s="87"/>
      <c r="SQ44" s="87"/>
      <c r="SR44" s="87"/>
      <c r="SS44" s="87"/>
      <c r="ST44" s="87"/>
      <c r="SU44" s="87"/>
      <c r="SV44" s="87"/>
      <c r="SW44" s="87"/>
      <c r="SX44" s="87"/>
      <c r="SY44" s="87"/>
      <c r="SZ44" s="87"/>
      <c r="TA44" s="87"/>
      <c r="TB44" s="87"/>
      <c r="TC44" s="87"/>
      <c r="TD44" s="87"/>
      <c r="TE44" s="87"/>
      <c r="TF44" s="87"/>
      <c r="TG44" s="87"/>
      <c r="TH44" s="87"/>
      <c r="TI44" s="87"/>
      <c r="TJ44" s="87"/>
      <c r="TK44" s="87"/>
      <c r="TL44" s="87"/>
      <c r="TM44" s="87"/>
      <c r="TN44" s="87"/>
      <c r="TO44" s="87"/>
      <c r="TP44" s="87"/>
      <c r="TQ44" s="87"/>
      <c r="TR44" s="87"/>
      <c r="TS44" s="87"/>
      <c r="TT44" s="87"/>
      <c r="TU44" s="87"/>
      <c r="TV44" s="87"/>
      <c r="TW44" s="87"/>
      <c r="TX44" s="87"/>
      <c r="TY44" s="87"/>
      <c r="TZ44" s="87"/>
      <c r="UA44" s="87"/>
      <c r="UB44" s="87"/>
      <c r="UC44" s="87"/>
      <c r="UD44" s="87"/>
      <c r="UE44" s="87"/>
      <c r="UF44" s="87"/>
      <c r="UG44" s="87"/>
      <c r="UH44" s="87"/>
      <c r="UI44" s="87"/>
      <c r="UJ44" s="87"/>
      <c r="UK44" s="87"/>
      <c r="UL44" s="87"/>
      <c r="UM44" s="87"/>
      <c r="UN44" s="87"/>
      <c r="UO44" s="87"/>
      <c r="UP44" s="87"/>
      <c r="UQ44" s="87"/>
      <c r="UR44" s="87"/>
      <c r="US44" s="87"/>
      <c r="UT44" s="87"/>
      <c r="UU44" s="87"/>
      <c r="UV44" s="87"/>
      <c r="UW44" s="87"/>
      <c r="UX44" s="87"/>
      <c r="UY44" s="87"/>
      <c r="UZ44" s="87"/>
      <c r="VA44" s="87"/>
      <c r="VB44" s="87"/>
      <c r="VC44" s="87"/>
      <c r="VD44" s="87"/>
      <c r="VE44" s="87"/>
      <c r="VF44" s="87"/>
      <c r="VG44" s="87"/>
      <c r="VH44" s="87"/>
      <c r="VI44" s="87"/>
      <c r="VJ44" s="87"/>
      <c r="VK44" s="87"/>
      <c r="VL44" s="87"/>
      <c r="VM44" s="87"/>
      <c r="VN44" s="87"/>
      <c r="VO44" s="87"/>
      <c r="VP44" s="87"/>
      <c r="VQ44" s="87"/>
      <c r="VR44" s="87"/>
      <c r="VS44" s="87"/>
      <c r="VT44" s="87"/>
      <c r="VU44" s="87"/>
      <c r="VV44" s="87"/>
      <c r="VW44" s="87"/>
      <c r="VX44" s="87"/>
      <c r="VY44" s="87"/>
      <c r="VZ44" s="87"/>
      <c r="WA44" s="87"/>
      <c r="WB44" s="87"/>
      <c r="WC44" s="87"/>
      <c r="WD44" s="87"/>
      <c r="WE44" s="87"/>
      <c r="WF44" s="87"/>
      <c r="WG44" s="87"/>
      <c r="WH44" s="87"/>
      <c r="WI44" s="87"/>
      <c r="WJ44" s="87"/>
      <c r="WK44" s="87"/>
      <c r="WL44" s="87"/>
      <c r="WM44" s="87"/>
      <c r="WN44" s="87"/>
      <c r="WO44" s="87"/>
      <c r="WP44" s="87"/>
      <c r="WQ44" s="87"/>
      <c r="WR44" s="87"/>
      <c r="WS44" s="87"/>
      <c r="WT44" s="87"/>
      <c r="WU44" s="87"/>
      <c r="WV44" s="87"/>
      <c r="WW44" s="87"/>
      <c r="WX44" s="87"/>
      <c r="WY44" s="87"/>
      <c r="WZ44" s="87"/>
      <c r="XA44" s="87"/>
      <c r="XB44" s="87"/>
      <c r="XC44" s="87"/>
      <c r="XD44" s="87"/>
      <c r="XE44" s="87"/>
      <c r="XF44" s="87"/>
      <c r="XG44" s="87"/>
      <c r="XH44" s="87"/>
      <c r="XI44" s="87"/>
      <c r="XJ44" s="87"/>
      <c r="XK44" s="87"/>
      <c r="XL44" s="87"/>
      <c r="XM44" s="87"/>
      <c r="XN44" s="87"/>
      <c r="XO44" s="87"/>
      <c r="XP44" s="87"/>
      <c r="XQ44" s="87"/>
      <c r="XR44" s="87"/>
      <c r="XS44" s="87"/>
      <c r="XT44" s="87"/>
      <c r="XU44" s="87"/>
      <c r="XV44" s="87"/>
      <c r="XW44" s="87"/>
      <c r="XX44" s="87"/>
      <c r="XY44" s="87"/>
      <c r="XZ44" s="87"/>
      <c r="YA44" s="87"/>
      <c r="YB44" s="87"/>
      <c r="YC44" s="87"/>
      <c r="YD44" s="87"/>
      <c r="YE44" s="87"/>
      <c r="YF44" s="87"/>
      <c r="YG44" s="87"/>
      <c r="YH44" s="87"/>
      <c r="YI44" s="87"/>
      <c r="YJ44" s="87"/>
      <c r="YK44" s="87"/>
      <c r="YL44" s="87"/>
      <c r="YM44" s="87"/>
      <c r="YN44" s="87"/>
      <c r="YO44" s="87"/>
      <c r="YP44" s="87"/>
      <c r="YQ44" s="87"/>
      <c r="YR44" s="87"/>
      <c r="YS44" s="87"/>
      <c r="YT44" s="87"/>
      <c r="YU44" s="87"/>
      <c r="YV44" s="87"/>
      <c r="YW44" s="87"/>
      <c r="YX44" s="87"/>
      <c r="YY44" s="87"/>
      <c r="YZ44" s="87"/>
      <c r="ZA44" s="87"/>
      <c r="ZB44" s="87"/>
      <c r="ZC44" s="87"/>
      <c r="ZD44" s="87"/>
      <c r="ZE44" s="87"/>
      <c r="ZF44" s="87"/>
      <c r="ZG44" s="87"/>
      <c r="ZH44" s="87"/>
      <c r="ZI44" s="87"/>
      <c r="ZJ44" s="87"/>
      <c r="ZK44" s="87"/>
      <c r="ZL44" s="87"/>
      <c r="ZM44" s="87"/>
      <c r="ZN44" s="87"/>
      <c r="ZO44" s="87"/>
      <c r="ZP44" s="87"/>
      <c r="ZQ44" s="87"/>
      <c r="ZR44" s="87"/>
      <c r="ZS44" s="87"/>
      <c r="ZT44" s="87"/>
      <c r="ZU44" s="87"/>
      <c r="ZV44" s="87"/>
      <c r="ZW44" s="87"/>
      <c r="ZX44" s="87"/>
      <c r="ZY44" s="87"/>
      <c r="ZZ44" s="87"/>
      <c r="AAA44" s="87"/>
      <c r="AAB44" s="87"/>
      <c r="AAC44" s="87"/>
      <c r="AAD44" s="87"/>
      <c r="AAE44" s="87"/>
      <c r="AAF44" s="87"/>
      <c r="AAG44" s="87"/>
      <c r="AAH44" s="87"/>
      <c r="AAI44" s="87"/>
      <c r="AAJ44" s="87"/>
      <c r="AAK44" s="87"/>
      <c r="AAL44" s="87"/>
      <c r="AAM44" s="87"/>
      <c r="AAN44" s="87"/>
      <c r="AAO44" s="87"/>
      <c r="AAP44" s="87"/>
      <c r="AAQ44" s="87"/>
      <c r="AAR44" s="87"/>
      <c r="AAS44" s="87"/>
      <c r="AAT44" s="87"/>
      <c r="AAU44" s="87"/>
      <c r="AAV44" s="87"/>
      <c r="AAW44" s="87"/>
      <c r="AAX44" s="87"/>
      <c r="AAY44" s="87"/>
      <c r="AAZ44" s="87"/>
      <c r="ABA44" s="87"/>
      <c r="ABB44" s="87"/>
      <c r="ABC44" s="87"/>
      <c r="ABD44" s="87"/>
      <c r="ABE44" s="87"/>
      <c r="ABF44" s="87"/>
      <c r="ABG44" s="87"/>
      <c r="ABH44" s="87"/>
      <c r="ABI44" s="87"/>
      <c r="ABJ44" s="87"/>
      <c r="ABK44" s="87"/>
      <c r="ABL44" s="87"/>
      <c r="ABM44" s="87"/>
      <c r="ABN44" s="87"/>
      <c r="ABO44" s="87"/>
      <c r="ABP44" s="87"/>
      <c r="ABQ44" s="87"/>
      <c r="ABR44" s="87"/>
      <c r="ABS44" s="87"/>
      <c r="ABT44" s="87"/>
      <c r="ABU44" s="87"/>
      <c r="ABV44" s="87"/>
      <c r="ABW44" s="87"/>
      <c r="ABX44" s="87"/>
      <c r="ABY44" s="87"/>
      <c r="ABZ44" s="87"/>
      <c r="ACA44" s="87"/>
      <c r="ACB44" s="87"/>
      <c r="ACC44" s="87"/>
      <c r="ACD44" s="87"/>
      <c r="ACE44" s="87"/>
      <c r="ACF44" s="87"/>
      <c r="ACG44" s="87"/>
      <c r="ACH44" s="87"/>
      <c r="ACI44" s="87"/>
      <c r="ACJ44" s="87"/>
      <c r="ACK44" s="87"/>
      <c r="ACL44" s="87"/>
      <c r="ACM44" s="87"/>
      <c r="ACN44" s="87"/>
      <c r="ACO44" s="87"/>
      <c r="ACP44" s="87"/>
      <c r="ACQ44" s="87"/>
      <c r="ACR44" s="87"/>
      <c r="ACS44" s="87"/>
      <c r="ACT44" s="87"/>
      <c r="ACU44" s="87"/>
      <c r="ACV44" s="87"/>
      <c r="ACW44" s="87"/>
      <c r="ACX44" s="87"/>
      <c r="ACY44" s="87"/>
      <c r="ACZ44" s="87"/>
      <c r="ADA44" s="87"/>
      <c r="ADB44" s="87"/>
      <c r="ADC44" s="87"/>
      <c r="ADD44" s="87"/>
      <c r="ADE44" s="87"/>
      <c r="ADF44" s="87"/>
      <c r="ADG44" s="87"/>
      <c r="ADH44" s="87"/>
      <c r="ADI44" s="87"/>
      <c r="ADJ44" s="87"/>
      <c r="ADK44" s="87"/>
      <c r="ADL44" s="87"/>
      <c r="ADM44" s="87"/>
      <c r="ADN44" s="87"/>
      <c r="ADO44" s="87"/>
      <c r="ADP44" s="87"/>
      <c r="ADQ44" s="87"/>
      <c r="ADR44" s="87"/>
      <c r="ADS44" s="87"/>
      <c r="ADT44" s="87"/>
      <c r="ADU44" s="87"/>
      <c r="ADV44" s="87"/>
      <c r="ADW44" s="87"/>
      <c r="ADX44" s="87"/>
      <c r="ADY44" s="87"/>
      <c r="ADZ44" s="87"/>
      <c r="AEA44" s="87"/>
      <c r="AEB44" s="87"/>
      <c r="AEC44" s="87"/>
      <c r="AED44" s="87"/>
      <c r="AEE44" s="87"/>
      <c r="AEF44" s="87"/>
      <c r="AEG44" s="87"/>
      <c r="AEH44" s="87"/>
      <c r="AEI44" s="87"/>
      <c r="AEJ44" s="87"/>
      <c r="AEK44" s="87"/>
      <c r="AEL44" s="87"/>
      <c r="AEM44" s="87"/>
      <c r="AEN44" s="87"/>
      <c r="AEO44" s="87"/>
      <c r="AEP44" s="87"/>
      <c r="AEQ44" s="87"/>
      <c r="AER44" s="87"/>
      <c r="AES44" s="87"/>
      <c r="AET44" s="87"/>
      <c r="AEU44" s="87"/>
      <c r="AEV44" s="87"/>
      <c r="AEW44" s="87"/>
      <c r="AEX44" s="87"/>
      <c r="AEY44" s="87"/>
      <c r="AEZ44" s="87"/>
      <c r="AFA44" s="87"/>
      <c r="AFB44" s="87"/>
      <c r="AFC44" s="87"/>
      <c r="AFD44" s="87"/>
      <c r="AFE44" s="87"/>
      <c r="AFF44" s="87"/>
      <c r="AFG44" s="87"/>
      <c r="AFH44" s="87"/>
      <c r="AFI44" s="87"/>
      <c r="AFJ44" s="87"/>
      <c r="AFK44" s="87"/>
      <c r="AFL44" s="87"/>
      <c r="AFM44" s="87"/>
      <c r="AFN44" s="87"/>
      <c r="AFO44" s="87"/>
      <c r="AFP44" s="87"/>
      <c r="AFQ44" s="87"/>
      <c r="AFR44" s="87"/>
      <c r="AFS44" s="87"/>
      <c r="AFT44" s="87"/>
      <c r="AFU44" s="87"/>
      <c r="AFV44" s="87"/>
      <c r="AFW44" s="87"/>
      <c r="AFX44" s="87"/>
      <c r="AFY44" s="87"/>
      <c r="AFZ44" s="87"/>
      <c r="AGA44" s="87"/>
      <c r="AGB44" s="87"/>
      <c r="AGC44" s="87"/>
      <c r="AGD44" s="87"/>
      <c r="AGE44" s="87"/>
      <c r="AGF44" s="87"/>
      <c r="AGG44" s="87"/>
      <c r="AGH44" s="87"/>
      <c r="AGI44" s="87"/>
      <c r="AGJ44" s="87"/>
      <c r="AGK44" s="87"/>
      <c r="AGL44" s="87"/>
      <c r="AGM44" s="87"/>
      <c r="AGN44" s="87"/>
      <c r="AGO44" s="87"/>
      <c r="AGP44" s="87"/>
      <c r="AGQ44" s="87"/>
      <c r="AGR44" s="87"/>
      <c r="AGS44" s="87"/>
      <c r="AGT44" s="87"/>
      <c r="AGU44" s="87"/>
      <c r="AGV44" s="87"/>
      <c r="AGW44" s="87"/>
      <c r="AGX44" s="87"/>
      <c r="AGY44" s="87"/>
      <c r="AGZ44" s="87"/>
      <c r="AHA44" s="87"/>
      <c r="AHB44" s="87"/>
      <c r="AHC44" s="87"/>
      <c r="AHD44" s="87"/>
      <c r="AHE44" s="87"/>
      <c r="AHF44" s="87"/>
      <c r="AHG44" s="87"/>
      <c r="AHH44" s="87"/>
      <c r="AHI44" s="87"/>
      <c r="AHJ44" s="87"/>
      <c r="AHK44" s="87"/>
      <c r="AHL44" s="87"/>
      <c r="AHM44" s="87"/>
      <c r="AHN44" s="87"/>
      <c r="AHO44" s="87"/>
      <c r="AHP44" s="87"/>
      <c r="AHQ44" s="87"/>
      <c r="AHR44" s="87"/>
      <c r="AHS44" s="87"/>
      <c r="AHT44" s="87"/>
      <c r="AHU44" s="87"/>
      <c r="AHV44" s="87"/>
      <c r="AHW44" s="87"/>
      <c r="AHX44" s="87"/>
      <c r="AHY44" s="87"/>
      <c r="AHZ44" s="87"/>
      <c r="AIA44" s="87"/>
      <c r="AIB44" s="87"/>
      <c r="AIC44" s="87"/>
      <c r="AID44" s="87"/>
      <c r="AIE44" s="87"/>
      <c r="AIF44" s="87"/>
      <c r="AIG44" s="87"/>
      <c r="AIH44" s="87"/>
      <c r="AII44" s="87"/>
      <c r="AIJ44" s="87"/>
      <c r="AIK44" s="87"/>
      <c r="AIL44" s="87"/>
      <c r="AIM44" s="87"/>
      <c r="AIN44" s="87"/>
      <c r="AIO44" s="87"/>
      <c r="AIP44" s="87"/>
      <c r="AIQ44" s="87"/>
      <c r="AIR44" s="87"/>
      <c r="AIS44" s="87"/>
      <c r="AIT44" s="87"/>
      <c r="AIU44" s="87"/>
      <c r="AIV44" s="87"/>
      <c r="AIW44" s="87"/>
      <c r="AIX44" s="87"/>
      <c r="AIY44" s="87"/>
      <c r="AIZ44" s="87"/>
      <c r="AJA44" s="87"/>
      <c r="AJB44" s="87"/>
      <c r="AJC44" s="87"/>
      <c r="AJD44" s="87"/>
      <c r="AJE44" s="87"/>
      <c r="AJF44" s="87"/>
      <c r="AJG44" s="87"/>
      <c r="AJH44" s="87"/>
      <c r="AJI44" s="87"/>
      <c r="AJJ44" s="87"/>
      <c r="AJK44" s="87"/>
      <c r="AJL44" s="87"/>
      <c r="AJM44" s="87"/>
      <c r="AJN44" s="87"/>
      <c r="AJO44" s="87"/>
      <c r="AJP44" s="87"/>
      <c r="AJQ44" s="87"/>
      <c r="AJR44" s="87"/>
      <c r="AJS44" s="87"/>
      <c r="AJT44" s="87"/>
      <c r="AJU44" s="87"/>
      <c r="AJV44" s="87"/>
      <c r="AJW44" s="87"/>
      <c r="AJX44" s="87"/>
      <c r="AJY44" s="87"/>
      <c r="AJZ44" s="87"/>
      <c r="AKA44" s="87"/>
      <c r="AKB44" s="87"/>
      <c r="AKC44" s="87"/>
      <c r="AKD44" s="87"/>
      <c r="AKE44" s="87"/>
      <c r="AKF44" s="87"/>
      <c r="AKG44" s="87"/>
      <c r="AKH44" s="87"/>
      <c r="AKI44" s="87"/>
      <c r="AKJ44" s="87"/>
      <c r="AKK44" s="87"/>
      <c r="AKL44" s="87"/>
      <c r="AKM44" s="87"/>
      <c r="AKN44" s="87"/>
      <c r="AKO44" s="87"/>
      <c r="AKP44" s="87"/>
      <c r="AKQ44" s="87"/>
      <c r="AKR44" s="87"/>
      <c r="AKS44" s="87"/>
      <c r="AKT44" s="87"/>
      <c r="AKU44" s="87"/>
      <c r="AKV44" s="87"/>
      <c r="AKW44" s="87"/>
      <c r="AKX44" s="87"/>
      <c r="AKY44" s="87"/>
      <c r="AKZ44" s="87"/>
      <c r="ALA44" s="87"/>
      <c r="ALB44" s="87"/>
      <c r="ALC44" s="87"/>
      <c r="ALD44" s="87"/>
      <c r="ALE44" s="87"/>
      <c r="ALF44" s="87"/>
      <c r="ALG44" s="87"/>
      <c r="ALH44" s="87"/>
      <c r="ALI44" s="87"/>
      <c r="ALJ44" s="87"/>
      <c r="ALK44" s="87"/>
      <c r="ALL44" s="87"/>
      <c r="ALM44" s="87"/>
      <c r="ALN44" s="87"/>
      <c r="ALO44" s="87"/>
      <c r="ALP44" s="87"/>
      <c r="ALQ44" s="87"/>
      <c r="ALR44" s="87"/>
      <c r="ALS44" s="87"/>
      <c r="ALT44" s="87"/>
      <c r="ALU44" s="87"/>
      <c r="ALV44" s="87"/>
      <c r="ALW44" s="87"/>
      <c r="ALX44" s="87"/>
      <c r="ALY44" s="87"/>
      <c r="ALZ44" s="87"/>
      <c r="AMA44" s="87"/>
      <c r="AMB44" s="87"/>
      <c r="AMC44" s="87"/>
      <c r="AMD44" s="87"/>
      <c r="AME44" s="87"/>
      <c r="AMF44" s="87"/>
      <c r="AMG44" s="87"/>
      <c r="AMH44" s="87"/>
      <c r="AMI44" s="87"/>
      <c r="AMJ44" s="87"/>
      <c r="AMK44" s="87"/>
      <c r="AML44" s="87"/>
      <c r="AMM44" s="87"/>
      <c r="AMN44" s="87"/>
      <c r="AMO44" s="87"/>
      <c r="AMP44" s="87"/>
      <c r="AMQ44" s="87"/>
      <c r="AMR44" s="87"/>
      <c r="AMS44" s="87"/>
      <c r="AMT44" s="87"/>
      <c r="AMU44" s="87"/>
      <c r="AMV44" s="87"/>
      <c r="AMW44" s="87"/>
      <c r="AMX44" s="87"/>
      <c r="AMY44" s="87"/>
      <c r="AMZ44" s="87"/>
      <c r="ANA44" s="87"/>
      <c r="ANB44" s="87"/>
      <c r="ANC44" s="87"/>
      <c r="AND44" s="87"/>
      <c r="ANE44" s="87"/>
      <c r="ANF44" s="87"/>
      <c r="ANG44" s="87"/>
      <c r="ANH44" s="87"/>
      <c r="ANI44" s="87"/>
      <c r="ANJ44" s="87"/>
      <c r="ANK44" s="87"/>
      <c r="ANL44" s="87"/>
      <c r="ANM44" s="87"/>
      <c r="ANN44" s="87"/>
      <c r="ANO44" s="87"/>
      <c r="ANP44" s="87"/>
      <c r="ANQ44" s="87"/>
      <c r="ANR44" s="87"/>
      <c r="ANS44" s="87"/>
      <c r="ANT44" s="87"/>
      <c r="ANU44" s="87"/>
      <c r="ANV44" s="87"/>
      <c r="ANW44" s="87"/>
      <c r="ANX44" s="87"/>
      <c r="ANY44" s="87"/>
      <c r="ANZ44" s="87"/>
      <c r="AOA44" s="87"/>
      <c r="AOB44" s="87"/>
      <c r="AOC44" s="87"/>
      <c r="AOD44" s="87"/>
      <c r="AOE44" s="87"/>
      <c r="AOF44" s="87"/>
      <c r="AOG44" s="87"/>
      <c r="AOH44" s="87"/>
      <c r="AOI44" s="87"/>
      <c r="AOJ44" s="87"/>
      <c r="AOK44" s="87"/>
      <c r="AOL44" s="87"/>
      <c r="AOM44" s="87"/>
      <c r="AON44" s="87"/>
      <c r="AOO44" s="87"/>
      <c r="AOP44" s="87"/>
      <c r="AOQ44" s="87"/>
      <c r="AOR44" s="87"/>
      <c r="AOS44" s="87"/>
      <c r="AOT44" s="87"/>
      <c r="AOU44" s="87"/>
      <c r="AOV44" s="87"/>
      <c r="AOW44" s="87"/>
      <c r="AOX44" s="87"/>
      <c r="AOY44" s="87"/>
      <c r="AOZ44" s="87"/>
      <c r="APA44" s="87"/>
      <c r="APB44" s="87"/>
      <c r="APC44" s="87"/>
      <c r="APD44" s="87"/>
      <c r="APE44" s="87"/>
      <c r="APF44" s="87"/>
      <c r="APG44" s="87"/>
      <c r="APH44" s="87"/>
      <c r="API44" s="87"/>
      <c r="APJ44" s="87"/>
      <c r="APK44" s="87"/>
      <c r="APL44" s="87"/>
      <c r="APM44" s="87"/>
      <c r="APN44" s="87"/>
      <c r="APO44" s="87"/>
      <c r="APP44" s="87"/>
      <c r="APQ44" s="87"/>
      <c r="APR44" s="87"/>
      <c r="APS44" s="87"/>
      <c r="APT44" s="87"/>
      <c r="APU44" s="87"/>
      <c r="APV44" s="87"/>
      <c r="APW44" s="87"/>
      <c r="APX44" s="87"/>
      <c r="APY44" s="87"/>
      <c r="APZ44" s="87"/>
      <c r="AQA44" s="87"/>
      <c r="AQB44" s="87"/>
      <c r="AQC44" s="87"/>
      <c r="AQD44" s="87"/>
      <c r="AQE44" s="87"/>
      <c r="AQF44" s="87"/>
      <c r="AQG44" s="87"/>
      <c r="AQH44" s="87"/>
      <c r="AQI44" s="87"/>
      <c r="AQJ44" s="87"/>
      <c r="AQK44" s="87"/>
      <c r="AQL44" s="87"/>
      <c r="AQM44" s="87"/>
      <c r="AQN44" s="87"/>
      <c r="AQO44" s="87"/>
      <c r="AQP44" s="87"/>
      <c r="AQQ44" s="87"/>
      <c r="AQR44" s="87"/>
      <c r="AQS44" s="87"/>
      <c r="AQT44" s="87"/>
      <c r="AQU44" s="87"/>
      <c r="AQV44" s="87"/>
      <c r="AQW44" s="87"/>
      <c r="AQX44" s="87"/>
      <c r="AQY44" s="87"/>
      <c r="AQZ44" s="87"/>
      <c r="ARA44" s="87"/>
      <c r="ARB44" s="87"/>
      <c r="ARC44" s="87"/>
      <c r="ARD44" s="87"/>
      <c r="ARE44" s="87"/>
      <c r="ARF44" s="87"/>
      <c r="ARG44" s="87"/>
      <c r="ARH44" s="87"/>
      <c r="ARI44" s="87"/>
      <c r="ARJ44" s="87"/>
      <c r="ARK44" s="87"/>
      <c r="ARL44" s="87"/>
      <c r="ARM44" s="87"/>
      <c r="ARN44" s="87"/>
      <c r="ARO44" s="87"/>
      <c r="ARP44" s="87"/>
      <c r="ARQ44" s="87"/>
      <c r="ARR44" s="87"/>
      <c r="ARS44" s="87"/>
      <c r="ART44" s="87"/>
      <c r="ARU44" s="87"/>
      <c r="ARV44" s="87"/>
      <c r="ARW44" s="87"/>
      <c r="ARX44" s="87"/>
      <c r="ARY44" s="87"/>
      <c r="ARZ44" s="87"/>
      <c r="ASA44" s="87"/>
      <c r="ASB44" s="87"/>
      <c r="ASC44" s="87"/>
      <c r="ASD44" s="87"/>
      <c r="ASE44" s="87"/>
      <c r="ASF44" s="87"/>
      <c r="ASG44" s="87"/>
      <c r="ASH44" s="87"/>
      <c r="ASI44" s="87"/>
      <c r="ASJ44" s="87"/>
      <c r="ASK44" s="87"/>
      <c r="ASL44" s="87"/>
      <c r="ASM44" s="87"/>
      <c r="ASN44" s="87"/>
      <c r="ASO44" s="87"/>
      <c r="ASP44" s="87"/>
      <c r="ASQ44" s="87"/>
      <c r="ASR44" s="87"/>
      <c r="ASS44" s="87"/>
      <c r="AST44" s="87"/>
      <c r="ASU44" s="87"/>
      <c r="ASV44" s="87"/>
      <c r="ASW44" s="87"/>
      <c r="ASX44" s="87"/>
      <c r="ASY44" s="87"/>
      <c r="ASZ44" s="87"/>
      <c r="ATA44" s="87"/>
      <c r="ATB44" s="87"/>
      <c r="ATC44" s="87"/>
      <c r="ATD44" s="87"/>
      <c r="ATE44" s="87"/>
      <c r="ATF44" s="87"/>
      <c r="ATG44" s="87"/>
      <c r="ATH44" s="87"/>
      <c r="ATI44" s="87"/>
      <c r="ATJ44" s="87"/>
      <c r="ATK44" s="87"/>
      <c r="ATL44" s="87"/>
      <c r="ATM44" s="87"/>
      <c r="ATN44" s="87"/>
      <c r="ATO44" s="87"/>
      <c r="ATP44" s="87"/>
      <c r="ATQ44" s="87"/>
      <c r="ATR44" s="87"/>
      <c r="ATS44" s="87"/>
      <c r="ATT44" s="87"/>
      <c r="ATU44" s="87"/>
      <c r="ATV44" s="87"/>
      <c r="ATW44" s="87"/>
      <c r="ATX44" s="87"/>
      <c r="ATY44" s="87"/>
      <c r="ATZ44" s="87"/>
      <c r="AUA44" s="87"/>
      <c r="AUB44" s="87"/>
      <c r="AUC44" s="87"/>
      <c r="AUD44" s="87"/>
      <c r="AUE44" s="87"/>
      <c r="AUF44" s="87"/>
      <c r="AUG44" s="87"/>
      <c r="AUH44" s="87"/>
      <c r="AUI44" s="87"/>
      <c r="AUJ44" s="87"/>
      <c r="AUK44" s="87"/>
      <c r="AUL44" s="87"/>
      <c r="AUM44" s="87"/>
      <c r="AUN44" s="87"/>
      <c r="AUO44" s="87"/>
      <c r="AUP44" s="87"/>
      <c r="AUQ44" s="87"/>
      <c r="AUR44" s="87"/>
      <c r="AUS44" s="87"/>
      <c r="AUT44" s="87"/>
      <c r="AUU44" s="87"/>
      <c r="AUV44" s="87"/>
      <c r="AUW44" s="87"/>
      <c r="AUX44" s="87"/>
      <c r="AUY44" s="87"/>
      <c r="AUZ44" s="87"/>
      <c r="AVA44" s="87"/>
      <c r="AVB44" s="87"/>
      <c r="AVC44" s="87"/>
      <c r="AVD44" s="87"/>
      <c r="AVE44" s="87"/>
      <c r="AVF44" s="87"/>
      <c r="AVG44" s="87"/>
      <c r="AVH44" s="87"/>
      <c r="AVI44" s="87"/>
      <c r="AVJ44" s="87"/>
      <c r="AVK44" s="87"/>
      <c r="AVL44" s="87"/>
      <c r="AVM44" s="87"/>
      <c r="AVN44" s="87"/>
      <c r="AVO44" s="87"/>
      <c r="AVP44" s="87"/>
      <c r="AVQ44" s="87"/>
      <c r="AVR44" s="87"/>
      <c r="AVS44" s="87"/>
      <c r="AVT44" s="87"/>
      <c r="AVU44" s="87"/>
      <c r="AVV44" s="87"/>
      <c r="AVW44" s="87"/>
      <c r="AVX44" s="87"/>
      <c r="AVY44" s="87"/>
      <c r="AVZ44" s="87"/>
      <c r="AWA44" s="87"/>
      <c r="AWB44" s="87"/>
      <c r="AWC44" s="87"/>
      <c r="AWD44" s="87"/>
      <c r="AWE44" s="87"/>
      <c r="AWF44" s="87"/>
      <c r="AWG44" s="87"/>
      <c r="AWH44" s="87"/>
      <c r="AWI44" s="87"/>
      <c r="AWJ44" s="87"/>
      <c r="AWK44" s="87"/>
      <c r="AWL44" s="87"/>
      <c r="AWM44" s="87"/>
      <c r="AWN44" s="87"/>
      <c r="AWO44" s="87"/>
      <c r="AWP44" s="87"/>
      <c r="AWQ44" s="87"/>
      <c r="AWR44" s="87"/>
      <c r="AWS44" s="87"/>
      <c r="AWT44" s="87"/>
      <c r="AWU44" s="87"/>
      <c r="AWV44" s="87"/>
      <c r="AWW44" s="87"/>
      <c r="AWX44" s="87"/>
      <c r="AWY44" s="87"/>
      <c r="AWZ44" s="87"/>
      <c r="AXA44" s="87"/>
      <c r="AXB44" s="87"/>
      <c r="AXC44" s="87"/>
      <c r="AXD44" s="87"/>
      <c r="AXE44" s="87"/>
      <c r="AXF44" s="87"/>
      <c r="AXG44" s="87"/>
      <c r="AXH44" s="87"/>
      <c r="AXI44" s="87"/>
      <c r="AXJ44" s="87"/>
      <c r="AXK44" s="87"/>
      <c r="AXL44" s="87"/>
      <c r="AXM44" s="87"/>
      <c r="AXN44" s="87"/>
      <c r="AXO44" s="87"/>
      <c r="AXP44" s="87"/>
      <c r="AXQ44" s="87"/>
      <c r="AXR44" s="87"/>
      <c r="AXS44" s="87"/>
      <c r="AXT44" s="87"/>
      <c r="AXU44" s="87"/>
      <c r="AXV44" s="87"/>
      <c r="AXW44" s="87"/>
      <c r="AXX44" s="87"/>
      <c r="AXY44" s="87"/>
      <c r="AXZ44" s="87"/>
      <c r="AYA44" s="87"/>
      <c r="AYB44" s="87"/>
      <c r="AYC44" s="87"/>
      <c r="AYD44" s="87"/>
      <c r="AYE44" s="87"/>
      <c r="AYF44" s="87"/>
      <c r="AYG44" s="87"/>
      <c r="AYH44" s="87"/>
      <c r="AYI44" s="87"/>
      <c r="AYJ44" s="87"/>
      <c r="AYK44" s="87"/>
      <c r="AYL44" s="87"/>
      <c r="AYM44" s="87"/>
      <c r="AYN44" s="87"/>
      <c r="AYO44" s="87"/>
      <c r="AYP44" s="87"/>
      <c r="AYQ44" s="87"/>
      <c r="AYR44" s="87"/>
      <c r="AYS44" s="87"/>
      <c r="AYT44" s="87"/>
      <c r="AYU44" s="87"/>
      <c r="AYV44" s="87"/>
      <c r="AYW44" s="87"/>
      <c r="AYX44" s="87"/>
      <c r="AYY44" s="87"/>
      <c r="AYZ44" s="87"/>
      <c r="AZA44" s="87"/>
      <c r="AZB44" s="87"/>
      <c r="AZC44" s="87"/>
      <c r="AZD44" s="87"/>
      <c r="AZE44" s="87"/>
      <c r="AZF44" s="87"/>
      <c r="AZG44" s="87"/>
      <c r="AZH44" s="87"/>
      <c r="AZI44" s="87"/>
      <c r="AZJ44" s="87"/>
      <c r="AZK44" s="87"/>
      <c r="AZL44" s="87"/>
      <c r="AZM44" s="87"/>
      <c r="AZN44" s="87"/>
      <c r="AZO44" s="87"/>
      <c r="AZP44" s="87"/>
      <c r="AZQ44" s="87"/>
      <c r="AZR44" s="87"/>
      <c r="AZS44" s="87"/>
      <c r="AZT44" s="87"/>
      <c r="AZU44" s="87"/>
      <c r="AZV44" s="87"/>
      <c r="AZW44" s="87"/>
      <c r="AZX44" s="87"/>
      <c r="AZY44" s="87"/>
      <c r="AZZ44" s="87"/>
      <c r="BAA44" s="87"/>
      <c r="BAB44" s="87"/>
      <c r="BAC44" s="87"/>
      <c r="BAD44" s="87"/>
      <c r="BAE44" s="87"/>
      <c r="BAF44" s="87"/>
      <c r="BAG44" s="87"/>
      <c r="BAH44" s="87"/>
      <c r="BAI44" s="87"/>
      <c r="BAJ44" s="87"/>
      <c r="BAK44" s="87"/>
      <c r="BAL44" s="87"/>
      <c r="BAM44" s="87"/>
      <c r="BAN44" s="87"/>
      <c r="BAO44" s="87"/>
      <c r="BAP44" s="87"/>
      <c r="BAQ44" s="87"/>
      <c r="BAR44" s="87"/>
      <c r="BAS44" s="87"/>
      <c r="BAT44" s="87"/>
      <c r="BAU44" s="87"/>
      <c r="BAV44" s="87"/>
      <c r="BAW44" s="87"/>
      <c r="BAX44" s="87"/>
      <c r="BAY44" s="87"/>
      <c r="BAZ44" s="87"/>
      <c r="BBA44" s="87"/>
      <c r="BBB44" s="87"/>
      <c r="BBC44" s="87"/>
      <c r="BBD44" s="87"/>
      <c r="BBE44" s="87"/>
      <c r="BBF44" s="87"/>
      <c r="BBG44" s="87"/>
      <c r="BBH44" s="87"/>
      <c r="BBI44" s="87"/>
      <c r="BBJ44" s="87"/>
      <c r="BBK44" s="87"/>
      <c r="BBL44" s="87"/>
      <c r="BBM44" s="87"/>
      <c r="BBN44" s="87"/>
      <c r="BBO44" s="87"/>
      <c r="BBP44" s="87"/>
      <c r="BBQ44" s="87"/>
      <c r="BBR44" s="87"/>
      <c r="BBS44" s="87"/>
      <c r="BBT44" s="87"/>
      <c r="BBU44" s="87"/>
      <c r="BBV44" s="87"/>
      <c r="BBW44" s="87"/>
      <c r="BBX44" s="87"/>
      <c r="BBY44" s="87"/>
      <c r="BBZ44" s="87"/>
      <c r="BCA44" s="87"/>
      <c r="BCB44" s="87"/>
      <c r="BCC44" s="87"/>
      <c r="BCD44" s="87"/>
      <c r="BCE44" s="87"/>
      <c r="BCF44" s="87"/>
      <c r="BCG44" s="87"/>
      <c r="BCH44" s="87"/>
      <c r="BCI44" s="87"/>
      <c r="BCJ44" s="87"/>
      <c r="BCK44" s="87"/>
      <c r="BCL44" s="87"/>
      <c r="BCM44" s="87"/>
      <c r="BCN44" s="87"/>
      <c r="BCO44" s="87"/>
      <c r="BCP44" s="87"/>
      <c r="BCQ44" s="87"/>
      <c r="BCR44" s="87"/>
      <c r="BCS44" s="87"/>
      <c r="BCT44" s="87"/>
      <c r="BCU44" s="87"/>
      <c r="BCV44" s="87"/>
      <c r="BCW44" s="87"/>
      <c r="BCX44" s="87"/>
      <c r="BCY44" s="87"/>
      <c r="BCZ44" s="87"/>
      <c r="BDA44" s="87"/>
      <c r="BDB44" s="87"/>
      <c r="BDC44" s="87"/>
      <c r="BDD44" s="87"/>
      <c r="BDE44" s="87"/>
      <c r="BDF44" s="87"/>
      <c r="BDG44" s="87"/>
      <c r="BDH44" s="87"/>
      <c r="BDI44" s="87"/>
      <c r="BDJ44" s="87"/>
      <c r="BDK44" s="87"/>
      <c r="BDL44" s="87"/>
      <c r="BDM44" s="87"/>
      <c r="BDN44" s="87"/>
      <c r="BDO44" s="87"/>
      <c r="BDP44" s="87"/>
      <c r="BDQ44" s="87"/>
      <c r="BDR44" s="87"/>
      <c r="BDS44" s="87"/>
      <c r="BDT44" s="87"/>
      <c r="BDU44" s="87"/>
      <c r="BDV44" s="87"/>
      <c r="BDW44" s="87"/>
      <c r="BDX44" s="87"/>
      <c r="BDY44" s="87"/>
      <c r="BDZ44" s="87"/>
      <c r="BEA44" s="87"/>
      <c r="BEB44" s="87"/>
      <c r="BEC44" s="87"/>
      <c r="BED44" s="87"/>
      <c r="BEE44" s="87"/>
      <c r="BEF44" s="87"/>
      <c r="BEG44" s="87"/>
      <c r="BEH44" s="87"/>
      <c r="BEI44" s="87"/>
      <c r="BEJ44" s="87"/>
      <c r="BEK44" s="87"/>
      <c r="BEL44" s="87"/>
      <c r="BEM44" s="87"/>
      <c r="BEN44" s="87"/>
      <c r="BEO44" s="87"/>
      <c r="BEP44" s="87"/>
      <c r="BEQ44" s="87"/>
      <c r="BER44" s="87"/>
      <c r="BES44" s="87"/>
      <c r="BET44" s="87"/>
      <c r="BEU44" s="87"/>
      <c r="BEV44" s="87"/>
      <c r="BEW44" s="87"/>
      <c r="BEX44" s="87"/>
      <c r="BEY44" s="87"/>
      <c r="BEZ44" s="87"/>
      <c r="BFA44" s="87"/>
      <c r="BFB44" s="87"/>
      <c r="BFC44" s="87"/>
      <c r="BFD44" s="87"/>
      <c r="BFE44" s="87"/>
      <c r="BFF44" s="87"/>
      <c r="BFG44" s="87"/>
      <c r="BFH44" s="87"/>
      <c r="BFI44" s="87"/>
      <c r="BFJ44" s="87"/>
      <c r="BFK44" s="87"/>
      <c r="BFL44" s="87"/>
      <c r="BFM44" s="87"/>
      <c r="BFN44" s="87"/>
      <c r="BFO44" s="87"/>
      <c r="BFP44" s="87"/>
      <c r="BFQ44" s="87"/>
      <c r="BFR44" s="87"/>
      <c r="BFS44" s="87"/>
      <c r="BFT44" s="87"/>
      <c r="BFU44" s="87"/>
      <c r="BFV44" s="87"/>
      <c r="BFW44" s="87"/>
      <c r="BFX44" s="87"/>
      <c r="BFY44" s="87"/>
      <c r="BFZ44" s="87"/>
      <c r="BGA44" s="87"/>
      <c r="BGB44" s="87"/>
      <c r="BGC44" s="87"/>
      <c r="BGD44" s="87"/>
      <c r="BGE44" s="87"/>
      <c r="BGF44" s="87"/>
      <c r="BGG44" s="87"/>
      <c r="BGH44" s="87"/>
      <c r="BGI44" s="87"/>
      <c r="BGJ44" s="87"/>
      <c r="BGK44" s="87"/>
      <c r="BGL44" s="87"/>
      <c r="BGM44" s="87"/>
      <c r="BGN44" s="87"/>
      <c r="BGO44" s="87"/>
      <c r="BGP44" s="87"/>
      <c r="BGQ44" s="87"/>
      <c r="BGR44" s="87"/>
      <c r="BGS44" s="87"/>
      <c r="BGT44" s="87"/>
      <c r="BGU44" s="87"/>
      <c r="BGV44" s="87"/>
      <c r="BGW44" s="87"/>
      <c r="BGX44" s="87"/>
      <c r="BGY44" s="87"/>
      <c r="BGZ44" s="87"/>
      <c r="BHA44" s="87"/>
      <c r="BHB44" s="87"/>
      <c r="BHC44" s="87"/>
      <c r="BHD44" s="87"/>
      <c r="BHE44" s="87"/>
      <c r="BHF44" s="87"/>
      <c r="BHG44" s="87"/>
      <c r="BHH44" s="87"/>
      <c r="BHI44" s="87"/>
      <c r="BHJ44" s="87"/>
      <c r="BHK44" s="87"/>
      <c r="BHL44" s="87"/>
      <c r="BHM44" s="87"/>
      <c r="BHN44" s="87"/>
      <c r="BHO44" s="87"/>
      <c r="BHP44" s="87"/>
      <c r="BHQ44" s="87"/>
      <c r="BHR44" s="87"/>
      <c r="BHS44" s="87"/>
      <c r="BHT44" s="87"/>
      <c r="BHU44" s="87"/>
      <c r="BHV44" s="87"/>
      <c r="BHW44" s="87"/>
      <c r="BHX44" s="87"/>
      <c r="BHY44" s="87"/>
      <c r="BHZ44" s="87"/>
      <c r="BIA44" s="87"/>
      <c r="BIB44" s="87"/>
      <c r="BIC44" s="87"/>
      <c r="BID44" s="87"/>
      <c r="BIE44" s="87"/>
      <c r="BIF44" s="87"/>
      <c r="BIG44" s="87"/>
      <c r="BIH44" s="87"/>
      <c r="BII44" s="87"/>
      <c r="BIJ44" s="87"/>
      <c r="BIK44" s="87"/>
      <c r="BIL44" s="87"/>
      <c r="BIM44" s="87"/>
      <c r="BIN44" s="87"/>
      <c r="BIO44" s="87"/>
      <c r="BIP44" s="87"/>
      <c r="BIQ44" s="87"/>
      <c r="BIR44" s="87"/>
      <c r="BIS44" s="87"/>
      <c r="BIT44" s="87"/>
      <c r="BIU44" s="87"/>
      <c r="BIV44" s="87"/>
      <c r="BIW44" s="87"/>
      <c r="BIX44" s="87"/>
      <c r="BIY44" s="87"/>
      <c r="BIZ44" s="87"/>
      <c r="BJA44" s="87"/>
      <c r="BJB44" s="87"/>
      <c r="BJC44" s="87"/>
      <c r="BJD44" s="87"/>
      <c r="BJE44" s="87"/>
      <c r="BJF44" s="87"/>
      <c r="BJG44" s="87"/>
      <c r="BJH44" s="87"/>
      <c r="BJI44" s="87"/>
      <c r="BJJ44" s="87"/>
      <c r="BJK44" s="87"/>
      <c r="BJL44" s="87"/>
      <c r="BJM44" s="87"/>
      <c r="BJN44" s="87"/>
      <c r="BJO44" s="87"/>
      <c r="BJP44" s="87"/>
      <c r="BJQ44" s="87"/>
      <c r="BJR44" s="87"/>
      <c r="BJS44" s="87"/>
      <c r="BJT44" s="87"/>
      <c r="BJU44" s="87"/>
      <c r="BJV44" s="87"/>
      <c r="BJW44" s="87"/>
      <c r="BJX44" s="87"/>
      <c r="BJY44" s="87"/>
      <c r="BJZ44" s="87"/>
      <c r="BKA44" s="87"/>
      <c r="BKB44" s="87"/>
      <c r="BKC44" s="87"/>
      <c r="BKD44" s="87"/>
      <c r="BKE44" s="87"/>
      <c r="BKF44" s="87"/>
      <c r="BKG44" s="87"/>
      <c r="BKH44" s="87"/>
      <c r="BKI44" s="87"/>
      <c r="BKJ44" s="87"/>
      <c r="BKK44" s="87"/>
      <c r="BKL44" s="87"/>
      <c r="BKM44" s="87"/>
      <c r="BKN44" s="87"/>
      <c r="BKO44" s="87"/>
      <c r="BKP44" s="87"/>
      <c r="BKQ44" s="87"/>
      <c r="BKR44" s="87"/>
      <c r="BKS44" s="87"/>
      <c r="BKT44" s="87"/>
      <c r="BKU44" s="87"/>
      <c r="BKV44" s="87"/>
      <c r="BKW44" s="87"/>
      <c r="BKX44" s="87"/>
      <c r="BKY44" s="87"/>
      <c r="BKZ44" s="87"/>
      <c r="BLA44" s="87"/>
      <c r="BLB44" s="87"/>
      <c r="BLC44" s="87"/>
      <c r="BLD44" s="87"/>
      <c r="BLE44" s="87"/>
      <c r="BLF44" s="87"/>
      <c r="BLG44" s="87"/>
      <c r="BLH44" s="87"/>
      <c r="BLI44" s="87"/>
      <c r="BLJ44" s="87"/>
      <c r="BLK44" s="87"/>
      <c r="BLL44" s="87"/>
      <c r="BLM44" s="87"/>
      <c r="BLN44" s="87"/>
      <c r="BLO44" s="87"/>
      <c r="BLP44" s="87"/>
      <c r="BLQ44" s="87"/>
      <c r="BLR44" s="87"/>
      <c r="BLS44" s="87"/>
      <c r="BLT44" s="87"/>
      <c r="BLU44" s="87"/>
      <c r="BLV44" s="87"/>
      <c r="BLW44" s="87"/>
      <c r="BLX44" s="87"/>
      <c r="BLY44" s="87"/>
      <c r="BLZ44" s="87"/>
      <c r="BMA44" s="87"/>
      <c r="BMB44" s="87"/>
      <c r="BMC44" s="87"/>
      <c r="BMD44" s="87"/>
      <c r="BME44" s="87"/>
      <c r="BMF44" s="87"/>
      <c r="BMG44" s="87"/>
      <c r="BMH44" s="87"/>
      <c r="BMI44" s="87"/>
      <c r="BMJ44" s="87"/>
      <c r="BMK44" s="87"/>
      <c r="BML44" s="87"/>
      <c r="BMM44" s="87"/>
      <c r="BMN44" s="87"/>
      <c r="BMO44" s="87"/>
      <c r="BMP44" s="87"/>
      <c r="BMQ44" s="87"/>
      <c r="BMR44" s="87"/>
      <c r="BMS44" s="87"/>
      <c r="BMT44" s="87"/>
      <c r="BMU44" s="87"/>
      <c r="BMV44" s="87"/>
      <c r="BMW44" s="87"/>
      <c r="BMX44" s="87"/>
      <c r="BMY44" s="87"/>
      <c r="BMZ44" s="87"/>
      <c r="BNA44" s="87"/>
      <c r="BNB44" s="87"/>
      <c r="BNC44" s="87"/>
      <c r="BND44" s="87"/>
      <c r="BNE44" s="87"/>
      <c r="BNF44" s="87"/>
      <c r="BNG44" s="87"/>
      <c r="BNH44" s="87"/>
      <c r="BNI44" s="87"/>
      <c r="BNJ44" s="87"/>
      <c r="BNK44" s="87"/>
      <c r="BNL44" s="87"/>
      <c r="BNM44" s="87"/>
      <c r="BNN44" s="87"/>
      <c r="BNO44" s="87"/>
      <c r="BNP44" s="87"/>
      <c r="BNQ44" s="87"/>
      <c r="BNR44" s="87"/>
      <c r="BNS44" s="87"/>
      <c r="BNT44" s="87"/>
      <c r="BNU44" s="87"/>
      <c r="BNV44" s="87"/>
      <c r="BNW44" s="87"/>
      <c r="BNX44" s="87"/>
      <c r="BNY44" s="87"/>
      <c r="BNZ44" s="87"/>
      <c r="BOA44" s="87"/>
      <c r="BOB44" s="87"/>
      <c r="BOC44" s="87"/>
      <c r="BOD44" s="87"/>
      <c r="BOE44" s="87"/>
      <c r="BOF44" s="87"/>
      <c r="BOG44" s="87"/>
      <c r="BOH44" s="87"/>
      <c r="BOI44" s="87"/>
      <c r="BOJ44" s="87"/>
      <c r="BOK44" s="87"/>
      <c r="BOL44" s="87"/>
      <c r="BOM44" s="87"/>
      <c r="BON44" s="87"/>
      <c r="BOO44" s="87"/>
      <c r="BOP44" s="87"/>
      <c r="BOQ44" s="87"/>
      <c r="BOR44" s="87"/>
      <c r="BOS44" s="87"/>
      <c r="BOT44" s="87"/>
      <c r="BOU44" s="87"/>
      <c r="BOV44" s="87"/>
      <c r="BOW44" s="87"/>
      <c r="BOX44" s="87"/>
      <c r="BOY44" s="87"/>
      <c r="BOZ44" s="87"/>
      <c r="BPA44" s="87"/>
      <c r="BPB44" s="87"/>
      <c r="BPC44" s="87"/>
      <c r="BPD44" s="87"/>
      <c r="BPE44" s="87"/>
      <c r="BPF44" s="87"/>
      <c r="BPG44" s="87"/>
      <c r="BPH44" s="87"/>
      <c r="BPI44" s="87"/>
      <c r="BPJ44" s="87"/>
      <c r="BPK44" s="87"/>
      <c r="BPL44" s="87"/>
      <c r="BPM44" s="87"/>
      <c r="BPN44" s="87"/>
      <c r="BPO44" s="87"/>
      <c r="BPP44" s="87"/>
      <c r="BPQ44" s="87"/>
      <c r="BPR44" s="87"/>
      <c r="BPS44" s="87"/>
      <c r="BPT44" s="87"/>
      <c r="BPU44" s="87"/>
      <c r="BPV44" s="87"/>
      <c r="BPW44" s="87"/>
      <c r="BPX44" s="87"/>
      <c r="BPY44" s="87"/>
      <c r="BPZ44" s="87"/>
      <c r="BQA44" s="87"/>
      <c r="BQB44" s="87"/>
      <c r="BQC44" s="87"/>
      <c r="BQD44" s="87"/>
      <c r="BQE44" s="87"/>
      <c r="BQF44" s="87"/>
      <c r="BQG44" s="87"/>
      <c r="BQH44" s="87"/>
      <c r="BQI44" s="87"/>
      <c r="BQJ44" s="87"/>
      <c r="BQK44" s="87"/>
      <c r="BQL44" s="87"/>
      <c r="BQM44" s="87"/>
      <c r="BQN44" s="87"/>
      <c r="BQO44" s="87"/>
      <c r="BQP44" s="87"/>
      <c r="BQQ44" s="87"/>
      <c r="BQR44" s="87"/>
      <c r="BQS44" s="87"/>
      <c r="BQT44" s="87"/>
      <c r="BQU44" s="87"/>
      <c r="BQV44" s="87"/>
      <c r="BQW44" s="87"/>
      <c r="BQX44" s="87"/>
      <c r="BQY44" s="87"/>
      <c r="BQZ44" s="87"/>
      <c r="BRA44" s="87"/>
      <c r="BRB44" s="87"/>
      <c r="BRC44" s="87"/>
      <c r="BRD44" s="87"/>
      <c r="BRE44" s="87"/>
      <c r="BRF44" s="87"/>
      <c r="BRG44" s="87"/>
      <c r="BRH44" s="87"/>
      <c r="BRI44" s="87"/>
      <c r="BRJ44" s="87"/>
      <c r="BRK44" s="87"/>
      <c r="BRL44" s="87"/>
      <c r="BRM44" s="87"/>
      <c r="BRN44" s="87"/>
      <c r="BRO44" s="87"/>
      <c r="BRP44" s="87"/>
      <c r="BRQ44" s="87"/>
      <c r="BRR44" s="87"/>
      <c r="BRS44" s="87"/>
      <c r="BRT44" s="87"/>
      <c r="BRU44" s="87"/>
      <c r="BRV44" s="87"/>
      <c r="BRW44" s="87"/>
      <c r="BRX44" s="87"/>
      <c r="BRY44" s="87"/>
      <c r="BRZ44" s="87"/>
      <c r="BSA44" s="87"/>
      <c r="BSB44" s="87"/>
      <c r="BSC44" s="87"/>
      <c r="BSD44" s="87"/>
      <c r="BSE44" s="87"/>
      <c r="BSF44" s="87"/>
      <c r="BSG44" s="87"/>
      <c r="BSH44" s="87"/>
      <c r="BSI44" s="87"/>
      <c r="BSJ44" s="87"/>
      <c r="BSK44" s="87"/>
      <c r="BSL44" s="87"/>
      <c r="BSM44" s="87"/>
      <c r="BSN44" s="87"/>
      <c r="BSO44" s="87"/>
      <c r="BSP44" s="87"/>
      <c r="BSQ44" s="87"/>
      <c r="BSR44" s="87"/>
      <c r="BSS44" s="87"/>
      <c r="BST44" s="87"/>
      <c r="BSU44" s="87"/>
      <c r="BSV44" s="87"/>
      <c r="BSW44" s="87"/>
      <c r="BSX44" s="87"/>
      <c r="BSY44" s="87"/>
      <c r="BSZ44" s="87"/>
      <c r="BTA44" s="87"/>
      <c r="BTB44" s="87"/>
      <c r="BTC44" s="87"/>
      <c r="BTD44" s="87"/>
      <c r="BTE44" s="87"/>
      <c r="BTF44" s="87"/>
      <c r="BTG44" s="87"/>
      <c r="BTH44" s="87"/>
      <c r="BTI44" s="87"/>
      <c r="BTJ44" s="87"/>
      <c r="BTK44" s="87"/>
      <c r="BTL44" s="87"/>
      <c r="BTM44" s="87"/>
      <c r="BTN44" s="87"/>
      <c r="BTO44" s="87"/>
      <c r="BTP44" s="87"/>
      <c r="BTQ44" s="87"/>
      <c r="BTR44" s="87"/>
      <c r="BTS44" s="87"/>
      <c r="BTT44" s="87"/>
      <c r="BTU44" s="87"/>
      <c r="BTV44" s="87"/>
      <c r="BTW44" s="87"/>
      <c r="BTX44" s="87"/>
      <c r="BTY44" s="87"/>
      <c r="BTZ44" s="87"/>
      <c r="BUA44" s="87"/>
      <c r="BUB44" s="87"/>
      <c r="BUC44" s="87"/>
      <c r="BUD44" s="87"/>
      <c r="BUE44" s="87"/>
      <c r="BUF44" s="87"/>
      <c r="BUG44" s="87"/>
      <c r="BUH44" s="87"/>
      <c r="BUI44" s="87"/>
      <c r="BUJ44" s="87"/>
      <c r="BUK44" s="87"/>
      <c r="BUL44" s="87"/>
      <c r="BUM44" s="87"/>
      <c r="BUN44" s="87"/>
      <c r="BUO44" s="87"/>
      <c r="BUP44" s="87"/>
      <c r="BUQ44" s="87"/>
      <c r="BUR44" s="87"/>
      <c r="BUS44" s="87"/>
      <c r="BUT44" s="87"/>
      <c r="BUU44" s="87"/>
      <c r="BUV44" s="87"/>
      <c r="BUW44" s="87"/>
      <c r="BUX44" s="87"/>
      <c r="BUY44" s="87"/>
      <c r="BUZ44" s="87"/>
      <c r="BVA44" s="87"/>
      <c r="BVB44" s="87"/>
      <c r="BVC44" s="87"/>
      <c r="BVD44" s="87"/>
      <c r="BVE44" s="87"/>
      <c r="BVF44" s="87"/>
      <c r="BVG44" s="87"/>
      <c r="BVH44" s="87"/>
      <c r="BVI44" s="87"/>
      <c r="BVJ44" s="87"/>
      <c r="BVK44" s="87"/>
      <c r="BVL44" s="87"/>
      <c r="BVM44" s="87"/>
      <c r="BVN44" s="87"/>
      <c r="BVO44" s="87"/>
      <c r="BVP44" s="87"/>
      <c r="BVQ44" s="87"/>
      <c r="BVR44" s="87"/>
      <c r="BVS44" s="87"/>
      <c r="BVT44" s="87"/>
      <c r="BVU44" s="87"/>
      <c r="BVV44" s="87"/>
      <c r="BVW44" s="87"/>
      <c r="BVX44" s="87"/>
      <c r="BVY44" s="87"/>
      <c r="BVZ44" s="87"/>
      <c r="BWA44" s="87"/>
      <c r="BWB44" s="87"/>
      <c r="BWC44" s="87"/>
      <c r="BWD44" s="87"/>
      <c r="BWE44" s="87"/>
      <c r="BWF44" s="87"/>
      <c r="BWG44" s="87"/>
      <c r="BWH44" s="87"/>
      <c r="BWI44" s="87"/>
      <c r="BWJ44" s="87"/>
      <c r="BWK44" s="87"/>
      <c r="BWL44" s="87"/>
      <c r="BWM44" s="87"/>
      <c r="BWN44" s="87"/>
      <c r="BWO44" s="87"/>
      <c r="BWP44" s="87"/>
      <c r="BWQ44" s="87"/>
      <c r="BWR44" s="87"/>
      <c r="BWS44" s="87"/>
      <c r="BWT44" s="87"/>
      <c r="BWU44" s="87"/>
      <c r="BWV44" s="87"/>
      <c r="BWW44" s="87"/>
      <c r="BWX44" s="87"/>
      <c r="BWY44" s="87"/>
      <c r="BWZ44" s="87"/>
      <c r="BXA44" s="87"/>
      <c r="BXB44" s="87"/>
      <c r="BXC44" s="87"/>
      <c r="BXD44" s="87"/>
      <c r="BXE44" s="87"/>
      <c r="BXF44" s="87"/>
      <c r="BXG44" s="87"/>
      <c r="BXH44" s="87"/>
      <c r="BXI44" s="87"/>
      <c r="BXJ44" s="87"/>
      <c r="BXK44" s="87"/>
      <c r="BXL44" s="87"/>
      <c r="BXM44" s="87"/>
      <c r="BXN44" s="87"/>
      <c r="BXO44" s="87"/>
      <c r="BXP44" s="87"/>
      <c r="BXQ44" s="87"/>
      <c r="BXR44" s="87"/>
      <c r="BXS44" s="87"/>
      <c r="BXT44" s="87"/>
      <c r="BXU44" s="87"/>
      <c r="BXV44" s="87"/>
      <c r="BXW44" s="87"/>
      <c r="BXX44" s="87"/>
      <c r="BXY44" s="87"/>
      <c r="BXZ44" s="87"/>
      <c r="BYA44" s="87"/>
      <c r="BYB44" s="87"/>
      <c r="BYC44" s="87"/>
      <c r="BYD44" s="87"/>
      <c r="BYE44" s="87"/>
      <c r="BYF44" s="87"/>
      <c r="BYG44" s="87"/>
      <c r="BYH44" s="87"/>
      <c r="BYI44" s="87"/>
      <c r="BYJ44" s="87"/>
      <c r="BYK44" s="87"/>
      <c r="BYL44" s="87"/>
      <c r="BYM44" s="87"/>
      <c r="BYN44" s="87"/>
      <c r="BYO44" s="87"/>
      <c r="BYP44" s="87"/>
      <c r="BYQ44" s="87"/>
      <c r="BYR44" s="87"/>
      <c r="BYS44" s="87"/>
      <c r="BYT44" s="87"/>
      <c r="BYU44" s="87"/>
      <c r="BYV44" s="87"/>
      <c r="BYW44" s="87"/>
      <c r="BYX44" s="87"/>
      <c r="BYY44" s="87"/>
      <c r="BYZ44" s="87"/>
      <c r="BZA44" s="87"/>
      <c r="BZB44" s="87"/>
      <c r="BZC44" s="87"/>
      <c r="BZD44" s="87"/>
      <c r="BZE44" s="87"/>
      <c r="BZF44" s="87"/>
      <c r="BZG44" s="87"/>
      <c r="BZH44" s="87"/>
      <c r="BZI44" s="87"/>
      <c r="BZJ44" s="87"/>
      <c r="BZK44" s="87"/>
      <c r="BZL44" s="87"/>
      <c r="BZM44" s="87"/>
      <c r="BZN44" s="87"/>
      <c r="BZO44" s="87"/>
      <c r="BZP44" s="87"/>
      <c r="BZQ44" s="87"/>
      <c r="BZR44" s="87"/>
      <c r="BZS44" s="87"/>
      <c r="BZT44" s="87"/>
      <c r="BZU44" s="87"/>
      <c r="BZV44" s="87"/>
      <c r="BZW44" s="87"/>
      <c r="BZX44" s="87"/>
      <c r="BZY44" s="87"/>
      <c r="BZZ44" s="87"/>
      <c r="CAA44" s="87"/>
      <c r="CAB44" s="87"/>
      <c r="CAC44" s="87"/>
      <c r="CAD44" s="87"/>
      <c r="CAE44" s="87"/>
      <c r="CAF44" s="87"/>
      <c r="CAG44" s="87"/>
      <c r="CAH44" s="87"/>
      <c r="CAI44" s="87"/>
      <c r="CAJ44" s="87"/>
      <c r="CAK44" s="87"/>
      <c r="CAL44" s="87"/>
      <c r="CAM44" s="87"/>
      <c r="CAN44" s="87"/>
      <c r="CAO44" s="87"/>
      <c r="CAP44" s="87"/>
      <c r="CAQ44" s="87"/>
      <c r="CAR44" s="87"/>
      <c r="CAS44" s="87"/>
      <c r="CAT44" s="87"/>
      <c r="CAU44" s="87"/>
      <c r="CAV44" s="87"/>
      <c r="CAW44" s="87"/>
      <c r="CAX44" s="87"/>
      <c r="CAY44" s="87"/>
      <c r="CAZ44" s="87"/>
      <c r="CBA44" s="87"/>
      <c r="CBB44" s="87"/>
      <c r="CBC44" s="87"/>
      <c r="CBD44" s="87"/>
      <c r="CBE44" s="87"/>
      <c r="CBF44" s="87"/>
      <c r="CBG44" s="87"/>
      <c r="CBH44" s="87"/>
      <c r="CBI44" s="87"/>
      <c r="CBJ44" s="87"/>
      <c r="CBK44" s="87"/>
      <c r="CBL44" s="87"/>
      <c r="CBM44" s="87"/>
      <c r="CBN44" s="87"/>
      <c r="CBO44" s="87"/>
      <c r="CBP44" s="87"/>
      <c r="CBQ44" s="87"/>
      <c r="CBR44" s="87"/>
      <c r="CBS44" s="87"/>
      <c r="CBT44" s="87"/>
      <c r="CBU44" s="87"/>
      <c r="CBV44" s="87"/>
      <c r="CBW44" s="87"/>
      <c r="CBX44" s="87"/>
      <c r="CBY44" s="87"/>
      <c r="CBZ44" s="87"/>
      <c r="CCA44" s="87"/>
      <c r="CCB44" s="87"/>
      <c r="CCC44" s="87"/>
      <c r="CCD44" s="87"/>
      <c r="CCE44" s="87"/>
      <c r="CCF44" s="87"/>
      <c r="CCG44" s="87"/>
      <c r="CCH44" s="87"/>
      <c r="CCI44" s="87"/>
      <c r="CCJ44" s="87"/>
      <c r="CCK44" s="87"/>
      <c r="CCL44" s="87"/>
      <c r="CCM44" s="87"/>
      <c r="CCN44" s="87"/>
      <c r="CCO44" s="87"/>
      <c r="CCP44" s="87"/>
      <c r="CCQ44" s="87"/>
      <c r="CCR44" s="87"/>
      <c r="CCS44" s="87"/>
      <c r="CCT44" s="87"/>
      <c r="CCU44" s="87"/>
      <c r="CCV44" s="87"/>
      <c r="CCW44" s="87"/>
      <c r="CCX44" s="87"/>
      <c r="CCY44" s="87"/>
      <c r="CCZ44" s="87"/>
      <c r="CDA44" s="87"/>
      <c r="CDB44" s="87"/>
      <c r="CDC44" s="87"/>
      <c r="CDD44" s="87"/>
      <c r="CDE44" s="87"/>
      <c r="CDF44" s="87"/>
      <c r="CDG44" s="87"/>
      <c r="CDH44" s="87"/>
      <c r="CDI44" s="87"/>
      <c r="CDJ44" s="87"/>
      <c r="CDK44" s="87"/>
      <c r="CDL44" s="87"/>
      <c r="CDM44" s="87"/>
      <c r="CDN44" s="87"/>
      <c r="CDO44" s="87"/>
      <c r="CDP44" s="87"/>
      <c r="CDQ44" s="87"/>
      <c r="CDR44" s="87"/>
      <c r="CDS44" s="87"/>
      <c r="CDT44" s="87"/>
      <c r="CDU44" s="87"/>
      <c r="CDV44" s="87"/>
      <c r="CDW44" s="87"/>
      <c r="CDX44" s="87"/>
      <c r="CDY44" s="87"/>
      <c r="CDZ44" s="87"/>
      <c r="CEA44" s="87"/>
      <c r="CEB44" s="87"/>
      <c r="CEC44" s="87"/>
      <c r="CED44" s="87"/>
      <c r="CEE44" s="87"/>
      <c r="CEF44" s="87"/>
      <c r="CEG44" s="87"/>
      <c r="CEH44" s="87"/>
      <c r="CEI44" s="87"/>
      <c r="CEJ44" s="87"/>
      <c r="CEK44" s="87"/>
      <c r="CEL44" s="87"/>
      <c r="CEM44" s="87"/>
      <c r="CEN44" s="87"/>
      <c r="CEO44" s="87"/>
      <c r="CEP44" s="87"/>
      <c r="CEQ44" s="87"/>
      <c r="CER44" s="87"/>
      <c r="CES44" s="87"/>
      <c r="CET44" s="87"/>
      <c r="CEU44" s="87"/>
      <c r="CEV44" s="87"/>
      <c r="CEW44" s="87"/>
      <c r="CEX44" s="87"/>
      <c r="CEY44" s="87"/>
      <c r="CEZ44" s="87"/>
      <c r="CFA44" s="87"/>
      <c r="CFB44" s="87"/>
      <c r="CFC44" s="87"/>
      <c r="CFD44" s="87"/>
      <c r="CFE44" s="87"/>
      <c r="CFF44" s="87"/>
      <c r="CFG44" s="87"/>
      <c r="CFH44" s="87"/>
      <c r="CFI44" s="87"/>
      <c r="CFJ44" s="87"/>
      <c r="CFK44" s="87"/>
      <c r="CFL44" s="87"/>
      <c r="CFM44" s="87"/>
      <c r="CFN44" s="87"/>
      <c r="CFO44" s="87"/>
      <c r="CFP44" s="87"/>
      <c r="CFQ44" s="87"/>
      <c r="CFR44" s="87"/>
      <c r="CFS44" s="87"/>
      <c r="CFT44" s="87"/>
      <c r="CFU44" s="87"/>
      <c r="CFV44" s="87"/>
      <c r="CFW44" s="87"/>
      <c r="CFX44" s="87"/>
      <c r="CFY44" s="87"/>
      <c r="CFZ44" s="87"/>
      <c r="CGA44" s="87"/>
      <c r="CGB44" s="87"/>
      <c r="CGC44" s="87"/>
      <c r="CGD44" s="87"/>
      <c r="CGE44" s="87"/>
      <c r="CGF44" s="87"/>
      <c r="CGG44" s="87"/>
      <c r="CGH44" s="87"/>
      <c r="CGI44" s="87"/>
      <c r="CGJ44" s="87"/>
      <c r="CGK44" s="87"/>
      <c r="CGL44" s="87"/>
      <c r="CGM44" s="87"/>
      <c r="CGN44" s="87"/>
      <c r="CGO44" s="87"/>
      <c r="CGP44" s="87"/>
      <c r="CGQ44" s="87"/>
      <c r="CGR44" s="87"/>
      <c r="CGS44" s="87"/>
      <c r="CGT44" s="87"/>
      <c r="CGU44" s="87"/>
      <c r="CGV44" s="87"/>
      <c r="CGW44" s="87"/>
      <c r="CGX44" s="87"/>
      <c r="CGY44" s="87"/>
      <c r="CGZ44" s="87"/>
      <c r="CHA44" s="87"/>
      <c r="CHB44" s="87"/>
      <c r="CHC44" s="87"/>
      <c r="CHD44" s="87"/>
      <c r="CHE44" s="87"/>
      <c r="CHF44" s="87"/>
      <c r="CHG44" s="87"/>
      <c r="CHH44" s="87"/>
      <c r="CHI44" s="87"/>
      <c r="CHJ44" s="87"/>
      <c r="CHK44" s="87"/>
      <c r="CHL44" s="87"/>
      <c r="CHM44" s="87"/>
      <c r="CHN44" s="87"/>
      <c r="CHO44" s="87"/>
      <c r="CHP44" s="87"/>
      <c r="CHQ44" s="87"/>
      <c r="CHR44" s="87"/>
      <c r="CHS44" s="87"/>
      <c r="CHT44" s="87"/>
      <c r="CHU44" s="87"/>
      <c r="CHV44" s="87"/>
      <c r="CHW44" s="87"/>
      <c r="CHX44" s="87"/>
      <c r="CHY44" s="87"/>
      <c r="CHZ44" s="87"/>
      <c r="CIA44" s="87"/>
      <c r="CIB44" s="87"/>
      <c r="CIC44" s="87"/>
      <c r="CID44" s="87"/>
      <c r="CIE44" s="87"/>
      <c r="CIF44" s="87"/>
      <c r="CIG44" s="87"/>
      <c r="CIH44" s="87"/>
      <c r="CII44" s="87"/>
      <c r="CIJ44" s="87"/>
      <c r="CIK44" s="87"/>
      <c r="CIL44" s="87"/>
      <c r="CIM44" s="87"/>
      <c r="CIN44" s="87"/>
      <c r="CIO44" s="87"/>
      <c r="CIP44" s="87"/>
      <c r="CIQ44" s="87"/>
      <c r="CIR44" s="87"/>
      <c r="CIS44" s="87"/>
      <c r="CIT44" s="87"/>
      <c r="CIU44" s="87"/>
      <c r="CIV44" s="87"/>
      <c r="CIW44" s="87"/>
      <c r="CIX44" s="87"/>
      <c r="CIY44" s="87"/>
      <c r="CIZ44" s="87"/>
      <c r="CJA44" s="87"/>
      <c r="CJB44" s="87"/>
      <c r="CJC44" s="87"/>
      <c r="CJD44" s="87"/>
      <c r="CJE44" s="87"/>
      <c r="CJF44" s="87"/>
      <c r="CJG44" s="87"/>
      <c r="CJH44" s="87"/>
      <c r="CJI44" s="87"/>
      <c r="CJJ44" s="87"/>
      <c r="CJK44" s="87"/>
      <c r="CJL44" s="87"/>
      <c r="CJM44" s="87"/>
      <c r="CJN44" s="87"/>
      <c r="CJO44" s="87"/>
      <c r="CJP44" s="87"/>
      <c r="CJQ44" s="87"/>
      <c r="CJR44" s="87"/>
      <c r="CJS44" s="87"/>
      <c r="CJT44" s="87"/>
      <c r="CJU44" s="87"/>
      <c r="CJV44" s="87"/>
      <c r="CJW44" s="87"/>
      <c r="CJX44" s="87"/>
      <c r="CJY44" s="87"/>
      <c r="CJZ44" s="87"/>
      <c r="CKA44" s="87"/>
      <c r="CKB44" s="87"/>
      <c r="CKC44" s="87"/>
      <c r="CKD44" s="87"/>
      <c r="CKE44" s="87"/>
      <c r="CKF44" s="87"/>
      <c r="CKG44" s="87"/>
      <c r="CKH44" s="87"/>
      <c r="CKI44" s="87"/>
      <c r="CKJ44" s="87"/>
      <c r="CKK44" s="87"/>
      <c r="CKL44" s="87"/>
      <c r="CKM44" s="87"/>
      <c r="CKN44" s="87"/>
      <c r="CKO44" s="87"/>
      <c r="CKP44" s="87"/>
      <c r="CKQ44" s="87"/>
      <c r="CKR44" s="87"/>
      <c r="CKS44" s="87"/>
      <c r="CKT44" s="87"/>
      <c r="CKU44" s="87"/>
      <c r="CKV44" s="87"/>
      <c r="CKW44" s="87"/>
      <c r="CKX44" s="87"/>
      <c r="CKY44" s="87"/>
      <c r="CKZ44" s="87"/>
      <c r="CLA44" s="87"/>
      <c r="CLB44" s="87"/>
      <c r="CLC44" s="87"/>
      <c r="CLD44" s="87"/>
      <c r="CLE44" s="87"/>
      <c r="CLF44" s="87"/>
      <c r="CLG44" s="87"/>
      <c r="CLH44" s="87"/>
      <c r="CLI44" s="87"/>
      <c r="CLJ44" s="87"/>
      <c r="CLK44" s="87"/>
      <c r="CLL44" s="87"/>
      <c r="CLM44" s="87"/>
      <c r="CLN44" s="87"/>
      <c r="CLO44" s="87"/>
      <c r="CLP44" s="87"/>
      <c r="CLQ44" s="87"/>
      <c r="CLR44" s="87"/>
      <c r="CLS44" s="87"/>
      <c r="CLT44" s="87"/>
      <c r="CLU44" s="87"/>
      <c r="CLV44" s="87"/>
      <c r="CLW44" s="87"/>
      <c r="CLX44" s="87"/>
      <c r="CLY44" s="87"/>
      <c r="CLZ44" s="87"/>
      <c r="CMA44" s="87"/>
      <c r="CMB44" s="87"/>
      <c r="CMC44" s="87"/>
      <c r="CMD44" s="87"/>
      <c r="CME44" s="87"/>
      <c r="CMF44" s="87"/>
      <c r="CMG44" s="87"/>
      <c r="CMH44" s="87"/>
      <c r="CMI44" s="87"/>
      <c r="CMJ44" s="87"/>
      <c r="CMK44" s="87"/>
      <c r="CML44" s="87"/>
      <c r="CMM44" s="87"/>
      <c r="CMN44" s="87"/>
      <c r="CMO44" s="87"/>
      <c r="CMP44" s="87"/>
      <c r="CMQ44" s="87"/>
      <c r="CMR44" s="87"/>
      <c r="CMS44" s="87"/>
      <c r="CMT44" s="87"/>
      <c r="CMU44" s="87"/>
      <c r="CMV44" s="87"/>
      <c r="CMW44" s="87"/>
      <c r="CMX44" s="87"/>
      <c r="CMY44" s="87"/>
      <c r="CMZ44" s="87"/>
      <c r="CNA44" s="87"/>
      <c r="CNB44" s="87"/>
      <c r="CNC44" s="87"/>
      <c r="CND44" s="87"/>
      <c r="CNE44" s="87"/>
      <c r="CNF44" s="87"/>
      <c r="CNG44" s="87"/>
      <c r="CNH44" s="87"/>
      <c r="CNI44" s="87"/>
      <c r="CNJ44" s="87"/>
      <c r="CNK44" s="87"/>
      <c r="CNL44" s="87"/>
      <c r="CNM44" s="87"/>
      <c r="CNN44" s="87"/>
      <c r="CNO44" s="87"/>
      <c r="CNP44" s="87"/>
      <c r="CNQ44" s="87"/>
      <c r="CNR44" s="87"/>
      <c r="CNS44" s="87"/>
      <c r="CNT44" s="87"/>
      <c r="CNU44" s="87"/>
      <c r="CNV44" s="87"/>
      <c r="CNW44" s="87"/>
      <c r="CNX44" s="87"/>
      <c r="CNY44" s="87"/>
      <c r="CNZ44" s="87"/>
      <c r="COA44" s="87"/>
      <c r="COB44" s="87"/>
      <c r="COC44" s="87"/>
      <c r="COD44" s="87"/>
      <c r="COE44" s="87"/>
      <c r="COF44" s="87"/>
      <c r="COG44" s="87"/>
      <c r="COH44" s="87"/>
      <c r="COI44" s="87"/>
      <c r="COJ44" s="87"/>
      <c r="COK44" s="87"/>
      <c r="COL44" s="87"/>
      <c r="COM44" s="87"/>
      <c r="CON44" s="87"/>
      <c r="COO44" s="87"/>
      <c r="COP44" s="87"/>
      <c r="COQ44" s="87"/>
      <c r="COR44" s="87"/>
      <c r="COS44" s="87"/>
      <c r="COT44" s="87"/>
      <c r="COU44" s="87"/>
      <c r="COV44" s="87"/>
      <c r="COW44" s="87"/>
      <c r="COX44" s="87"/>
      <c r="COY44" s="87"/>
      <c r="COZ44" s="87"/>
      <c r="CPA44" s="87"/>
      <c r="CPB44" s="87"/>
      <c r="CPC44" s="87"/>
      <c r="CPD44" s="87"/>
      <c r="CPE44" s="87"/>
      <c r="CPF44" s="87"/>
      <c r="CPG44" s="87"/>
      <c r="CPH44" s="87"/>
      <c r="CPI44" s="87"/>
      <c r="CPJ44" s="87"/>
      <c r="CPK44" s="87"/>
      <c r="CPL44" s="87"/>
      <c r="CPM44" s="87"/>
      <c r="CPN44" s="87"/>
      <c r="CPO44" s="87"/>
      <c r="CPP44" s="87"/>
      <c r="CPQ44" s="87"/>
      <c r="CPR44" s="87"/>
      <c r="CPS44" s="87"/>
      <c r="CPT44" s="87"/>
      <c r="CPU44" s="87"/>
      <c r="CPV44" s="87"/>
      <c r="CPW44" s="87"/>
      <c r="CPX44" s="87"/>
      <c r="CPY44" s="87"/>
      <c r="CPZ44" s="87"/>
      <c r="CQA44" s="87"/>
      <c r="CQB44" s="87"/>
      <c r="CQC44" s="87"/>
      <c r="CQD44" s="87"/>
      <c r="CQE44" s="87"/>
      <c r="CQF44" s="87"/>
      <c r="CQG44" s="87"/>
      <c r="CQH44" s="87"/>
      <c r="CQI44" s="87"/>
      <c r="CQJ44" s="87"/>
      <c r="CQK44" s="87"/>
      <c r="CQL44" s="87"/>
      <c r="CQM44" s="87"/>
      <c r="CQN44" s="87"/>
      <c r="CQO44" s="87"/>
      <c r="CQP44" s="87"/>
      <c r="CQQ44" s="87"/>
      <c r="CQR44" s="87"/>
      <c r="CQS44" s="87"/>
      <c r="CQT44" s="87"/>
      <c r="CQU44" s="87"/>
      <c r="CQV44" s="87"/>
      <c r="CQW44" s="87"/>
      <c r="CQX44" s="87"/>
      <c r="CQY44" s="87"/>
      <c r="CQZ44" s="87"/>
      <c r="CRA44" s="87"/>
      <c r="CRB44" s="87"/>
      <c r="CRC44" s="87"/>
      <c r="CRD44" s="87"/>
      <c r="CRE44" s="87"/>
      <c r="CRF44" s="87"/>
      <c r="CRG44" s="87"/>
      <c r="CRH44" s="87"/>
      <c r="CRI44" s="87"/>
      <c r="CRJ44" s="87"/>
      <c r="CRK44" s="87"/>
      <c r="CRL44" s="87"/>
      <c r="CRM44" s="87"/>
      <c r="CRN44" s="87"/>
      <c r="CRO44" s="87"/>
      <c r="CRP44" s="87"/>
      <c r="CRQ44" s="87"/>
      <c r="CRR44" s="87"/>
      <c r="CRS44" s="87"/>
      <c r="CRT44" s="87"/>
      <c r="CRU44" s="87"/>
      <c r="CRV44" s="87"/>
      <c r="CRW44" s="87"/>
      <c r="CRX44" s="87"/>
      <c r="CRY44" s="87"/>
      <c r="CRZ44" s="87"/>
      <c r="CSA44" s="87"/>
      <c r="CSB44" s="87"/>
      <c r="CSC44" s="87"/>
      <c r="CSD44" s="87"/>
      <c r="CSE44" s="87"/>
      <c r="CSF44" s="87"/>
      <c r="CSG44" s="87"/>
      <c r="CSH44" s="87"/>
      <c r="CSI44" s="87"/>
      <c r="CSJ44" s="87"/>
      <c r="CSK44" s="87"/>
      <c r="CSL44" s="87"/>
      <c r="CSM44" s="87"/>
      <c r="CSN44" s="87"/>
      <c r="CSO44" s="87"/>
      <c r="CSP44" s="87"/>
      <c r="CSQ44" s="87"/>
      <c r="CSR44" s="87"/>
      <c r="CSS44" s="87"/>
      <c r="CST44" s="87"/>
      <c r="CSU44" s="87"/>
      <c r="CSV44" s="87"/>
      <c r="CSW44" s="87"/>
      <c r="CSX44" s="87"/>
      <c r="CSY44" s="87"/>
      <c r="CSZ44" s="87"/>
      <c r="CTA44" s="87"/>
      <c r="CTB44" s="87"/>
      <c r="CTC44" s="87"/>
      <c r="CTD44" s="87"/>
      <c r="CTE44" s="87"/>
      <c r="CTF44" s="87"/>
      <c r="CTG44" s="87"/>
      <c r="CTH44" s="87"/>
      <c r="CTI44" s="87"/>
      <c r="CTJ44" s="87"/>
      <c r="CTK44" s="87"/>
      <c r="CTL44" s="87"/>
      <c r="CTM44" s="87"/>
      <c r="CTN44" s="87"/>
      <c r="CTO44" s="87"/>
      <c r="CTP44" s="87"/>
      <c r="CTQ44" s="87"/>
      <c r="CTR44" s="87"/>
      <c r="CTS44" s="87"/>
      <c r="CTT44" s="87"/>
      <c r="CTU44" s="87"/>
      <c r="CTV44" s="87"/>
      <c r="CTW44" s="87"/>
      <c r="CTX44" s="87"/>
      <c r="CTY44" s="87"/>
      <c r="CTZ44" s="87"/>
      <c r="CUA44" s="87"/>
      <c r="CUB44" s="87"/>
      <c r="CUC44" s="87"/>
      <c r="CUD44" s="87"/>
      <c r="CUE44" s="87"/>
      <c r="CUF44" s="87"/>
      <c r="CUG44" s="87"/>
      <c r="CUH44" s="87"/>
      <c r="CUI44" s="87"/>
      <c r="CUJ44" s="87"/>
      <c r="CUK44" s="87"/>
      <c r="CUL44" s="87"/>
      <c r="CUM44" s="87"/>
      <c r="CUN44" s="87"/>
      <c r="CUO44" s="87"/>
      <c r="CUP44" s="87"/>
      <c r="CUQ44" s="87"/>
      <c r="CUR44" s="87"/>
      <c r="CUS44" s="87"/>
      <c r="CUT44" s="87"/>
      <c r="CUU44" s="87"/>
      <c r="CUV44" s="87"/>
      <c r="CUW44" s="87"/>
      <c r="CUX44" s="87"/>
      <c r="CUY44" s="87"/>
      <c r="CUZ44" s="87"/>
      <c r="CVA44" s="87"/>
      <c r="CVB44" s="87"/>
      <c r="CVC44" s="87"/>
      <c r="CVD44" s="87"/>
      <c r="CVE44" s="87"/>
      <c r="CVF44" s="87"/>
      <c r="CVG44" s="87"/>
      <c r="CVH44" s="87"/>
      <c r="CVI44" s="87"/>
      <c r="CVJ44" s="87"/>
      <c r="CVK44" s="87"/>
      <c r="CVL44" s="87"/>
      <c r="CVM44" s="87"/>
      <c r="CVN44" s="87"/>
      <c r="CVO44" s="87"/>
      <c r="CVP44" s="87"/>
      <c r="CVQ44" s="87"/>
      <c r="CVR44" s="87"/>
      <c r="CVS44" s="87"/>
      <c r="CVT44" s="87"/>
      <c r="CVU44" s="87"/>
      <c r="CVV44" s="87"/>
      <c r="CVW44" s="87"/>
      <c r="CVX44" s="87"/>
      <c r="CVY44" s="87"/>
      <c r="CVZ44" s="87"/>
      <c r="CWA44" s="87"/>
      <c r="CWB44" s="87"/>
      <c r="CWC44" s="87"/>
      <c r="CWD44" s="87"/>
      <c r="CWE44" s="87"/>
      <c r="CWF44" s="87"/>
      <c r="CWG44" s="87"/>
      <c r="CWH44" s="87"/>
      <c r="CWI44" s="87"/>
      <c r="CWJ44" s="87"/>
      <c r="CWK44" s="87"/>
      <c r="CWL44" s="87"/>
      <c r="CWM44" s="87"/>
      <c r="CWN44" s="87"/>
      <c r="CWO44" s="87"/>
      <c r="CWP44" s="87"/>
      <c r="CWQ44" s="87"/>
      <c r="CWR44" s="87"/>
      <c r="CWS44" s="87"/>
      <c r="CWT44" s="87"/>
      <c r="CWU44" s="87"/>
      <c r="CWV44" s="87"/>
      <c r="CWW44" s="87"/>
      <c r="CWX44" s="87"/>
      <c r="CWY44" s="87"/>
      <c r="CWZ44" s="87"/>
      <c r="CXA44" s="87"/>
      <c r="CXB44" s="87"/>
      <c r="CXC44" s="87"/>
      <c r="CXD44" s="87"/>
      <c r="CXE44" s="87"/>
      <c r="CXF44" s="87"/>
      <c r="CXG44" s="87"/>
      <c r="CXH44" s="87"/>
      <c r="CXI44" s="87"/>
      <c r="CXJ44" s="87"/>
      <c r="CXK44" s="87"/>
      <c r="CXL44" s="87"/>
      <c r="CXM44" s="87"/>
      <c r="CXN44" s="87"/>
      <c r="CXO44" s="87"/>
      <c r="CXP44" s="87"/>
      <c r="CXQ44" s="87"/>
      <c r="CXR44" s="87"/>
      <c r="CXS44" s="87"/>
      <c r="CXT44" s="87"/>
      <c r="CXU44" s="87"/>
      <c r="CXV44" s="87"/>
      <c r="CXW44" s="87"/>
      <c r="CXX44" s="87"/>
      <c r="CXY44" s="87"/>
      <c r="CXZ44" s="87"/>
      <c r="CYA44" s="87"/>
      <c r="CYB44" s="87"/>
      <c r="CYC44" s="87"/>
      <c r="CYD44" s="87"/>
      <c r="CYE44" s="87"/>
      <c r="CYF44" s="87"/>
      <c r="CYG44" s="87"/>
      <c r="CYH44" s="87"/>
      <c r="CYI44" s="87"/>
      <c r="CYJ44" s="87"/>
      <c r="CYK44" s="87"/>
      <c r="CYL44" s="87"/>
      <c r="CYM44" s="87"/>
      <c r="CYN44" s="87"/>
      <c r="CYO44" s="87"/>
      <c r="CYP44" s="87"/>
      <c r="CYQ44" s="87"/>
      <c r="CYR44" s="87"/>
      <c r="CYS44" s="87"/>
      <c r="CYT44" s="87"/>
      <c r="CYU44" s="87"/>
      <c r="CYV44" s="87"/>
      <c r="CYW44" s="87"/>
      <c r="CYX44" s="87"/>
      <c r="CYY44" s="87"/>
      <c r="CYZ44" s="87"/>
      <c r="CZA44" s="87"/>
      <c r="CZB44" s="87"/>
      <c r="CZC44" s="87"/>
      <c r="CZD44" s="87"/>
      <c r="CZE44" s="87"/>
      <c r="CZF44" s="87"/>
      <c r="CZG44" s="87"/>
      <c r="CZH44" s="87"/>
      <c r="CZI44" s="87"/>
      <c r="CZJ44" s="87"/>
      <c r="CZK44" s="87"/>
      <c r="CZL44" s="87"/>
      <c r="CZM44" s="87"/>
      <c r="CZN44" s="87"/>
      <c r="CZO44" s="87"/>
      <c r="CZP44" s="87"/>
      <c r="CZQ44" s="87"/>
      <c r="CZR44" s="87"/>
      <c r="CZS44" s="87"/>
      <c r="CZT44" s="87"/>
      <c r="CZU44" s="87"/>
      <c r="CZV44" s="87"/>
      <c r="CZW44" s="87"/>
      <c r="CZX44" s="87"/>
      <c r="CZY44" s="87"/>
      <c r="CZZ44" s="87"/>
      <c r="DAA44" s="87"/>
      <c r="DAB44" s="87"/>
      <c r="DAC44" s="87"/>
      <c r="DAD44" s="87"/>
      <c r="DAE44" s="87"/>
      <c r="DAF44" s="87"/>
      <c r="DAG44" s="87"/>
      <c r="DAH44" s="87"/>
      <c r="DAI44" s="87"/>
      <c r="DAJ44" s="87"/>
      <c r="DAK44" s="87"/>
      <c r="DAL44" s="87"/>
      <c r="DAM44" s="87"/>
      <c r="DAN44" s="87"/>
      <c r="DAO44" s="87"/>
      <c r="DAP44" s="87"/>
      <c r="DAQ44" s="87"/>
      <c r="DAR44" s="87"/>
      <c r="DAS44" s="87"/>
      <c r="DAT44" s="87"/>
      <c r="DAU44" s="87"/>
      <c r="DAV44" s="87"/>
      <c r="DAW44" s="87"/>
      <c r="DAX44" s="87"/>
      <c r="DAY44" s="87"/>
      <c r="DAZ44" s="87"/>
      <c r="DBA44" s="87"/>
      <c r="DBB44" s="87"/>
      <c r="DBC44" s="87"/>
      <c r="DBD44" s="87"/>
      <c r="DBE44" s="87"/>
      <c r="DBF44" s="87"/>
      <c r="DBG44" s="87"/>
      <c r="DBH44" s="87"/>
      <c r="DBI44" s="87"/>
      <c r="DBJ44" s="87"/>
      <c r="DBK44" s="87"/>
      <c r="DBL44" s="87"/>
      <c r="DBM44" s="87"/>
      <c r="DBN44" s="87"/>
      <c r="DBO44" s="87"/>
      <c r="DBP44" s="87"/>
      <c r="DBQ44" s="87"/>
      <c r="DBR44" s="87"/>
      <c r="DBS44" s="87"/>
      <c r="DBT44" s="87"/>
      <c r="DBU44" s="87"/>
      <c r="DBV44" s="87"/>
      <c r="DBW44" s="87"/>
      <c r="DBX44" s="87"/>
      <c r="DBY44" s="87"/>
      <c r="DBZ44" s="87"/>
      <c r="DCA44" s="87"/>
      <c r="DCB44" s="87"/>
      <c r="DCC44" s="87"/>
      <c r="DCD44" s="87"/>
      <c r="DCE44" s="87"/>
      <c r="DCF44" s="87"/>
      <c r="DCG44" s="87"/>
      <c r="DCH44" s="87"/>
      <c r="DCI44" s="87"/>
      <c r="DCJ44" s="87"/>
      <c r="DCK44" s="87"/>
      <c r="DCL44" s="87"/>
      <c r="DCM44" s="87"/>
      <c r="DCN44" s="87"/>
      <c r="DCO44" s="87"/>
      <c r="DCP44" s="87"/>
      <c r="DCQ44" s="87"/>
      <c r="DCR44" s="87"/>
      <c r="DCS44" s="87"/>
      <c r="DCT44" s="87"/>
      <c r="DCU44" s="87"/>
      <c r="DCV44" s="87"/>
      <c r="DCW44" s="87"/>
      <c r="DCX44" s="87"/>
      <c r="DCY44" s="87"/>
      <c r="DCZ44" s="87"/>
      <c r="DDA44" s="87"/>
      <c r="DDB44" s="87"/>
      <c r="DDC44" s="87"/>
      <c r="DDD44" s="87"/>
      <c r="DDE44" s="87"/>
      <c r="DDF44" s="87"/>
      <c r="DDG44" s="87"/>
      <c r="DDH44" s="87"/>
      <c r="DDI44" s="87"/>
      <c r="DDJ44" s="87"/>
      <c r="DDK44" s="87"/>
      <c r="DDL44" s="87"/>
      <c r="DDM44" s="87"/>
      <c r="DDN44" s="87"/>
      <c r="DDO44" s="87"/>
      <c r="DDP44" s="87"/>
      <c r="DDQ44" s="87"/>
      <c r="DDR44" s="87"/>
      <c r="DDS44" s="87"/>
      <c r="DDT44" s="87"/>
      <c r="DDU44" s="87"/>
      <c r="DDV44" s="87"/>
      <c r="DDW44" s="87"/>
      <c r="DDX44" s="87"/>
      <c r="DDY44" s="87"/>
      <c r="DDZ44" s="87"/>
      <c r="DEA44" s="87"/>
      <c r="DEB44" s="87"/>
      <c r="DEC44" s="87"/>
      <c r="DED44" s="87"/>
      <c r="DEE44" s="87"/>
      <c r="DEF44" s="87"/>
      <c r="DEG44" s="87"/>
      <c r="DEH44" s="87"/>
      <c r="DEI44" s="87"/>
      <c r="DEJ44" s="87"/>
      <c r="DEK44" s="87"/>
      <c r="DEL44" s="87"/>
      <c r="DEM44" s="87"/>
      <c r="DEN44" s="87"/>
      <c r="DEO44" s="87"/>
      <c r="DEP44" s="87"/>
      <c r="DEQ44" s="87"/>
      <c r="DER44" s="87"/>
      <c r="DES44" s="87"/>
      <c r="DET44" s="87"/>
      <c r="DEU44" s="87"/>
      <c r="DEV44" s="87"/>
      <c r="DEW44" s="87"/>
      <c r="DEX44" s="87"/>
      <c r="DEY44" s="87"/>
      <c r="DEZ44" s="87"/>
      <c r="DFA44" s="87"/>
      <c r="DFB44" s="87"/>
      <c r="DFC44" s="87"/>
      <c r="DFD44" s="87"/>
      <c r="DFE44" s="87"/>
      <c r="DFF44" s="87"/>
      <c r="DFG44" s="87"/>
      <c r="DFH44" s="87"/>
      <c r="DFI44" s="87"/>
      <c r="DFJ44" s="87"/>
      <c r="DFK44" s="87"/>
      <c r="DFL44" s="87"/>
      <c r="DFM44" s="87"/>
      <c r="DFN44" s="87"/>
      <c r="DFO44" s="87"/>
      <c r="DFP44" s="87"/>
      <c r="DFQ44" s="87"/>
      <c r="DFR44" s="87"/>
      <c r="DFS44" s="87"/>
      <c r="DFT44" s="87"/>
      <c r="DFU44" s="87"/>
      <c r="DFV44" s="87"/>
      <c r="DFW44" s="87"/>
      <c r="DFX44" s="87"/>
      <c r="DFY44" s="87"/>
      <c r="DFZ44" s="87"/>
      <c r="DGA44" s="87"/>
      <c r="DGB44" s="87"/>
      <c r="DGC44" s="87"/>
      <c r="DGD44" s="87"/>
      <c r="DGE44" s="87"/>
      <c r="DGF44" s="87"/>
      <c r="DGG44" s="87"/>
      <c r="DGH44" s="87"/>
      <c r="DGI44" s="87"/>
      <c r="DGJ44" s="87"/>
      <c r="DGK44" s="87"/>
      <c r="DGL44" s="87"/>
      <c r="DGM44" s="87"/>
      <c r="DGN44" s="87"/>
      <c r="DGO44" s="87"/>
      <c r="DGP44" s="87"/>
      <c r="DGQ44" s="87"/>
      <c r="DGR44" s="87"/>
      <c r="DGS44" s="87"/>
      <c r="DGT44" s="87"/>
      <c r="DGU44" s="87"/>
      <c r="DGV44" s="87"/>
      <c r="DGW44" s="87"/>
      <c r="DGX44" s="87"/>
      <c r="DGY44" s="87"/>
      <c r="DGZ44" s="87"/>
      <c r="DHA44" s="87"/>
      <c r="DHB44" s="87"/>
      <c r="DHC44" s="87"/>
      <c r="DHD44" s="87"/>
      <c r="DHE44" s="87"/>
      <c r="DHF44" s="87"/>
      <c r="DHG44" s="87"/>
      <c r="DHH44" s="87"/>
      <c r="DHI44" s="87"/>
      <c r="DHJ44" s="87"/>
      <c r="DHK44" s="87"/>
      <c r="DHL44" s="87"/>
      <c r="DHM44" s="87"/>
      <c r="DHN44" s="87"/>
      <c r="DHO44" s="87"/>
      <c r="DHP44" s="87"/>
      <c r="DHQ44" s="87"/>
      <c r="DHR44" s="87"/>
      <c r="DHS44" s="87"/>
      <c r="DHT44" s="87"/>
      <c r="DHU44" s="87"/>
      <c r="DHV44" s="87"/>
      <c r="DHW44" s="87"/>
      <c r="DHX44" s="87"/>
      <c r="DHY44" s="87"/>
      <c r="DHZ44" s="87"/>
      <c r="DIA44" s="87"/>
      <c r="DIB44" s="87"/>
      <c r="DIC44" s="87"/>
      <c r="DID44" s="87"/>
      <c r="DIE44" s="87"/>
      <c r="DIF44" s="87"/>
      <c r="DIG44" s="87"/>
      <c r="DIH44" s="87"/>
      <c r="DII44" s="87"/>
      <c r="DIJ44" s="87"/>
      <c r="DIK44" s="87"/>
      <c r="DIL44" s="87"/>
      <c r="DIM44" s="87"/>
      <c r="DIN44" s="87"/>
      <c r="DIO44" s="87"/>
      <c r="DIP44" s="87"/>
      <c r="DIQ44" s="87"/>
      <c r="DIR44" s="87"/>
      <c r="DIS44" s="87"/>
      <c r="DIT44" s="87"/>
      <c r="DIU44" s="87"/>
      <c r="DIV44" s="87"/>
      <c r="DIW44" s="87"/>
      <c r="DIX44" s="87"/>
      <c r="DIY44" s="87"/>
      <c r="DIZ44" s="87"/>
      <c r="DJA44" s="87"/>
      <c r="DJB44" s="87"/>
      <c r="DJC44" s="87"/>
      <c r="DJD44" s="87"/>
      <c r="DJE44" s="87"/>
      <c r="DJF44" s="87"/>
      <c r="DJG44" s="87"/>
      <c r="DJH44" s="87"/>
      <c r="DJI44" s="87"/>
      <c r="DJJ44" s="87"/>
      <c r="DJK44" s="87"/>
      <c r="DJL44" s="87"/>
      <c r="DJM44" s="87"/>
      <c r="DJN44" s="87"/>
      <c r="DJO44" s="87"/>
      <c r="DJP44" s="87"/>
      <c r="DJQ44" s="87"/>
      <c r="DJR44" s="87"/>
      <c r="DJS44" s="87"/>
      <c r="DJT44" s="87"/>
      <c r="DJU44" s="87"/>
      <c r="DJV44" s="87"/>
      <c r="DJW44" s="87"/>
      <c r="DJX44" s="87"/>
      <c r="DJY44" s="87"/>
      <c r="DJZ44" s="87"/>
      <c r="DKA44" s="87"/>
      <c r="DKB44" s="87"/>
      <c r="DKC44" s="87"/>
      <c r="DKD44" s="87"/>
      <c r="DKE44" s="87"/>
      <c r="DKF44" s="87"/>
      <c r="DKG44" s="87"/>
      <c r="DKH44" s="87"/>
      <c r="DKI44" s="87"/>
      <c r="DKJ44" s="87"/>
      <c r="DKK44" s="87"/>
      <c r="DKL44" s="87"/>
      <c r="DKM44" s="87"/>
      <c r="DKN44" s="87"/>
      <c r="DKO44" s="87"/>
      <c r="DKP44" s="87"/>
      <c r="DKQ44" s="87"/>
      <c r="DKR44" s="87"/>
      <c r="DKS44" s="87"/>
      <c r="DKT44" s="87"/>
      <c r="DKU44" s="87"/>
      <c r="DKV44" s="87"/>
      <c r="DKW44" s="87"/>
      <c r="DKX44" s="87"/>
      <c r="DKY44" s="87"/>
      <c r="DKZ44" s="87"/>
      <c r="DLA44" s="87"/>
      <c r="DLB44" s="87"/>
      <c r="DLC44" s="87"/>
      <c r="DLD44" s="87"/>
      <c r="DLE44" s="87"/>
      <c r="DLF44" s="87"/>
      <c r="DLG44" s="87"/>
      <c r="DLH44" s="87"/>
      <c r="DLI44" s="87"/>
      <c r="DLJ44" s="87"/>
      <c r="DLK44" s="87"/>
      <c r="DLL44" s="87"/>
      <c r="DLM44" s="87"/>
      <c r="DLN44" s="87"/>
      <c r="DLO44" s="87"/>
      <c r="DLP44" s="87"/>
      <c r="DLQ44" s="87"/>
      <c r="DLR44" s="87"/>
      <c r="DLS44" s="87"/>
      <c r="DLT44" s="87"/>
      <c r="DLU44" s="87"/>
      <c r="DLV44" s="87"/>
      <c r="DLW44" s="87"/>
      <c r="DLX44" s="87"/>
      <c r="DLY44" s="87"/>
      <c r="DLZ44" s="87"/>
      <c r="DMA44" s="87"/>
      <c r="DMB44" s="87"/>
      <c r="DMC44" s="87"/>
      <c r="DMD44" s="87"/>
      <c r="DME44" s="87"/>
      <c r="DMF44" s="87"/>
      <c r="DMG44" s="87"/>
      <c r="DMH44" s="87"/>
      <c r="DMI44" s="87"/>
      <c r="DMJ44" s="87"/>
      <c r="DMK44" s="87"/>
      <c r="DML44" s="87"/>
      <c r="DMM44" s="87"/>
      <c r="DMN44" s="87"/>
      <c r="DMO44" s="87"/>
      <c r="DMP44" s="87"/>
      <c r="DMQ44" s="87"/>
      <c r="DMR44" s="87"/>
      <c r="DMS44" s="87"/>
      <c r="DMT44" s="87"/>
      <c r="DMU44" s="87"/>
      <c r="DMV44" s="87"/>
      <c r="DMW44" s="87"/>
      <c r="DMX44" s="87"/>
      <c r="DMY44" s="87"/>
      <c r="DMZ44" s="87"/>
      <c r="DNA44" s="87"/>
      <c r="DNB44" s="87"/>
      <c r="DNC44" s="87"/>
      <c r="DND44" s="87"/>
      <c r="DNE44" s="87"/>
      <c r="DNF44" s="87"/>
      <c r="DNG44" s="87"/>
      <c r="DNH44" s="87"/>
      <c r="DNI44" s="87"/>
      <c r="DNJ44" s="87"/>
      <c r="DNK44" s="87"/>
      <c r="DNL44" s="87"/>
      <c r="DNM44" s="87"/>
      <c r="DNN44" s="87"/>
      <c r="DNO44" s="87"/>
      <c r="DNP44" s="87"/>
      <c r="DNQ44" s="87"/>
      <c r="DNR44" s="87"/>
      <c r="DNS44" s="87"/>
      <c r="DNT44" s="87"/>
      <c r="DNU44" s="87"/>
      <c r="DNV44" s="87"/>
      <c r="DNW44" s="87"/>
      <c r="DNX44" s="87"/>
      <c r="DNY44" s="87"/>
      <c r="DNZ44" s="87"/>
      <c r="DOA44" s="87"/>
      <c r="DOB44" s="87"/>
      <c r="DOC44" s="87"/>
      <c r="DOD44" s="87"/>
      <c r="DOE44" s="87"/>
      <c r="DOF44" s="87"/>
      <c r="DOG44" s="87"/>
      <c r="DOH44" s="87"/>
      <c r="DOI44" s="87"/>
      <c r="DOJ44" s="87"/>
      <c r="DOK44" s="87"/>
      <c r="DOL44" s="87"/>
      <c r="DOM44" s="87"/>
      <c r="DON44" s="87"/>
      <c r="DOO44" s="87"/>
      <c r="DOP44" s="87"/>
      <c r="DOQ44" s="87"/>
      <c r="DOR44" s="87"/>
      <c r="DOS44" s="87"/>
      <c r="DOT44" s="87"/>
      <c r="DOU44" s="87"/>
      <c r="DOV44" s="87"/>
      <c r="DOW44" s="87"/>
      <c r="DOX44" s="87"/>
      <c r="DOY44" s="87"/>
      <c r="DOZ44" s="87"/>
      <c r="DPA44" s="87"/>
      <c r="DPB44" s="87"/>
      <c r="DPC44" s="87"/>
      <c r="DPD44" s="87"/>
      <c r="DPE44" s="87"/>
      <c r="DPF44" s="87"/>
      <c r="DPG44" s="87"/>
      <c r="DPH44" s="87"/>
      <c r="DPI44" s="87"/>
      <c r="DPJ44" s="87"/>
      <c r="DPK44" s="87"/>
      <c r="DPL44" s="87"/>
      <c r="DPM44" s="87"/>
      <c r="DPN44" s="87"/>
      <c r="DPO44" s="87"/>
      <c r="DPP44" s="87"/>
      <c r="DPQ44" s="87"/>
      <c r="DPR44" s="87"/>
      <c r="DPS44" s="87"/>
      <c r="DPT44" s="87"/>
      <c r="DPU44" s="87"/>
      <c r="DPV44" s="87"/>
      <c r="DPW44" s="87"/>
      <c r="DPX44" s="87"/>
      <c r="DPY44" s="87"/>
      <c r="DPZ44" s="87"/>
      <c r="DQA44" s="87"/>
      <c r="DQB44" s="87"/>
      <c r="DQC44" s="87"/>
      <c r="DQD44" s="87"/>
      <c r="DQE44" s="87"/>
      <c r="DQF44" s="87"/>
      <c r="DQG44" s="87"/>
      <c r="DQH44" s="87"/>
      <c r="DQI44" s="87"/>
      <c r="DQJ44" s="87"/>
      <c r="DQK44" s="87"/>
      <c r="DQL44" s="87"/>
      <c r="DQM44" s="87"/>
      <c r="DQN44" s="87"/>
      <c r="DQO44" s="87"/>
      <c r="DQP44" s="87"/>
      <c r="DQQ44" s="87"/>
      <c r="DQR44" s="87"/>
      <c r="DQS44" s="87"/>
      <c r="DQT44" s="87"/>
      <c r="DQU44" s="87"/>
      <c r="DQV44" s="87"/>
      <c r="DQW44" s="87"/>
      <c r="DQX44" s="87"/>
      <c r="DQY44" s="87"/>
      <c r="DQZ44" s="87"/>
      <c r="DRA44" s="87"/>
      <c r="DRB44" s="87"/>
      <c r="DRC44" s="87"/>
      <c r="DRD44" s="87"/>
      <c r="DRE44" s="87"/>
      <c r="DRF44" s="87"/>
      <c r="DRG44" s="87"/>
      <c r="DRH44" s="87"/>
      <c r="DRI44" s="87"/>
      <c r="DRJ44" s="87"/>
      <c r="DRK44" s="87"/>
      <c r="DRL44" s="87"/>
      <c r="DRM44" s="87"/>
      <c r="DRN44" s="87"/>
      <c r="DRO44" s="87"/>
      <c r="DRP44" s="87"/>
      <c r="DRQ44" s="87"/>
      <c r="DRR44" s="87"/>
      <c r="DRS44" s="87"/>
      <c r="DRT44" s="87"/>
      <c r="DRU44" s="87"/>
      <c r="DRV44" s="87"/>
      <c r="DRW44" s="87"/>
      <c r="DRX44" s="87"/>
      <c r="DRY44" s="87"/>
      <c r="DRZ44" s="87"/>
      <c r="DSA44" s="87"/>
      <c r="DSB44" s="87"/>
      <c r="DSC44" s="87"/>
      <c r="DSD44" s="87"/>
      <c r="DSE44" s="87"/>
      <c r="DSF44" s="87"/>
      <c r="DSG44" s="87"/>
      <c r="DSH44" s="87"/>
      <c r="DSI44" s="87"/>
      <c r="DSJ44" s="87"/>
      <c r="DSK44" s="87"/>
      <c r="DSL44" s="87"/>
      <c r="DSM44" s="87"/>
      <c r="DSN44" s="87"/>
      <c r="DSO44" s="87"/>
      <c r="DSP44" s="87"/>
      <c r="DSQ44" s="87"/>
      <c r="DSR44" s="87"/>
      <c r="DSS44" s="87"/>
      <c r="DST44" s="87"/>
      <c r="DSU44" s="87"/>
      <c r="DSV44" s="87"/>
      <c r="DSW44" s="87"/>
      <c r="DSX44" s="87"/>
      <c r="DSY44" s="87"/>
      <c r="DSZ44" s="87"/>
      <c r="DTA44" s="87"/>
      <c r="DTB44" s="87"/>
      <c r="DTC44" s="87"/>
      <c r="DTD44" s="87"/>
      <c r="DTE44" s="87"/>
      <c r="DTF44" s="87"/>
      <c r="DTG44" s="87"/>
      <c r="DTH44" s="87"/>
      <c r="DTI44" s="87"/>
      <c r="DTJ44" s="87"/>
      <c r="DTK44" s="87"/>
      <c r="DTL44" s="87"/>
      <c r="DTM44" s="87"/>
      <c r="DTN44" s="87"/>
      <c r="DTO44" s="87"/>
      <c r="DTP44" s="87"/>
      <c r="DTQ44" s="87"/>
      <c r="DTR44" s="87"/>
      <c r="DTS44" s="87"/>
      <c r="DTT44" s="87"/>
      <c r="DTU44" s="87"/>
      <c r="DTV44" s="87"/>
      <c r="DTW44" s="87"/>
      <c r="DTX44" s="87"/>
      <c r="DTY44" s="87"/>
      <c r="DTZ44" s="87"/>
      <c r="DUA44" s="87"/>
      <c r="DUB44" s="87"/>
      <c r="DUC44" s="87"/>
      <c r="DUD44" s="87"/>
      <c r="DUE44" s="87"/>
      <c r="DUF44" s="87"/>
      <c r="DUG44" s="87"/>
      <c r="DUH44" s="87"/>
      <c r="DUI44" s="87"/>
      <c r="DUJ44" s="87"/>
      <c r="DUK44" s="87"/>
      <c r="DUL44" s="87"/>
      <c r="DUM44" s="87"/>
      <c r="DUN44" s="87"/>
      <c r="DUO44" s="87"/>
      <c r="DUP44" s="87"/>
      <c r="DUQ44" s="87"/>
      <c r="DUR44" s="87"/>
      <c r="DUS44" s="87"/>
      <c r="DUT44" s="87"/>
      <c r="DUU44" s="87"/>
      <c r="DUV44" s="87"/>
      <c r="DUW44" s="87"/>
      <c r="DUX44" s="87"/>
      <c r="DUY44" s="87"/>
      <c r="DUZ44" s="87"/>
      <c r="DVA44" s="87"/>
      <c r="DVB44" s="87"/>
      <c r="DVC44" s="87"/>
      <c r="DVD44" s="87"/>
      <c r="DVE44" s="87"/>
      <c r="DVF44" s="87"/>
      <c r="DVG44" s="87"/>
      <c r="DVH44" s="87"/>
      <c r="DVI44" s="87"/>
      <c r="DVJ44" s="87"/>
      <c r="DVK44" s="87"/>
      <c r="DVL44" s="87"/>
      <c r="DVM44" s="87"/>
      <c r="DVN44" s="87"/>
      <c r="DVO44" s="87"/>
      <c r="DVP44" s="87"/>
      <c r="DVQ44" s="87"/>
      <c r="DVR44" s="87"/>
      <c r="DVS44" s="87"/>
      <c r="DVT44" s="87"/>
      <c r="DVU44" s="87"/>
      <c r="DVV44" s="87"/>
      <c r="DVW44" s="87"/>
      <c r="DVX44" s="87"/>
      <c r="DVY44" s="87"/>
      <c r="DVZ44" s="87"/>
      <c r="DWA44" s="87"/>
      <c r="DWB44" s="87"/>
      <c r="DWC44" s="87"/>
      <c r="DWD44" s="87"/>
      <c r="DWE44" s="87"/>
      <c r="DWF44" s="87"/>
      <c r="DWG44" s="87"/>
      <c r="DWH44" s="87"/>
      <c r="DWI44" s="87"/>
      <c r="DWJ44" s="87"/>
      <c r="DWK44" s="87"/>
      <c r="DWL44" s="87"/>
      <c r="DWM44" s="87"/>
      <c r="DWN44" s="87"/>
      <c r="DWO44" s="87"/>
      <c r="DWP44" s="87"/>
      <c r="DWQ44" s="87"/>
      <c r="DWR44" s="87"/>
      <c r="DWS44" s="87"/>
      <c r="DWT44" s="87"/>
      <c r="DWU44" s="87"/>
      <c r="DWV44" s="87"/>
      <c r="DWW44" s="87"/>
      <c r="DWX44" s="87"/>
      <c r="DWY44" s="87"/>
      <c r="DWZ44" s="87"/>
      <c r="DXA44" s="87"/>
      <c r="DXB44" s="87"/>
      <c r="DXC44" s="87"/>
      <c r="DXD44" s="87"/>
      <c r="DXE44" s="87"/>
      <c r="DXF44" s="87"/>
      <c r="DXG44" s="87"/>
      <c r="DXH44" s="87"/>
      <c r="DXI44" s="87"/>
      <c r="DXJ44" s="87"/>
      <c r="DXK44" s="87"/>
      <c r="DXL44" s="87"/>
      <c r="DXM44" s="87"/>
      <c r="DXN44" s="87"/>
      <c r="DXO44" s="87"/>
      <c r="DXP44" s="87"/>
      <c r="DXQ44" s="87"/>
      <c r="DXR44" s="87"/>
      <c r="DXS44" s="87"/>
      <c r="DXT44" s="87"/>
      <c r="DXU44" s="87"/>
      <c r="DXV44" s="87"/>
      <c r="DXW44" s="87"/>
      <c r="DXX44" s="87"/>
      <c r="DXY44" s="87"/>
      <c r="DXZ44" s="87"/>
      <c r="DYA44" s="87"/>
      <c r="DYB44" s="87"/>
      <c r="DYC44" s="87"/>
      <c r="DYD44" s="87"/>
      <c r="DYE44" s="87"/>
      <c r="DYF44" s="87"/>
      <c r="DYG44" s="87"/>
      <c r="DYH44" s="87"/>
      <c r="DYI44" s="87"/>
      <c r="DYJ44" s="87"/>
      <c r="DYK44" s="87"/>
      <c r="DYL44" s="87"/>
      <c r="DYM44" s="87"/>
      <c r="DYN44" s="87"/>
      <c r="DYO44" s="87"/>
      <c r="DYP44" s="87"/>
      <c r="DYQ44" s="87"/>
      <c r="DYR44" s="87"/>
      <c r="DYS44" s="87"/>
      <c r="DYT44" s="87"/>
      <c r="DYU44" s="87"/>
      <c r="DYV44" s="87"/>
      <c r="DYW44" s="87"/>
      <c r="DYX44" s="87"/>
      <c r="DYY44" s="87"/>
      <c r="DYZ44" s="87"/>
      <c r="DZA44" s="87"/>
      <c r="DZB44" s="87"/>
      <c r="DZC44" s="87"/>
      <c r="DZD44" s="87"/>
      <c r="DZE44" s="87"/>
      <c r="DZF44" s="87"/>
      <c r="DZG44" s="87"/>
      <c r="DZH44" s="87"/>
      <c r="DZI44" s="87"/>
      <c r="DZJ44" s="87"/>
      <c r="DZK44" s="87"/>
      <c r="DZL44" s="87"/>
      <c r="DZM44" s="87"/>
      <c r="DZN44" s="87"/>
      <c r="DZO44" s="87"/>
      <c r="DZP44" s="87"/>
      <c r="DZQ44" s="87"/>
      <c r="DZR44" s="87"/>
      <c r="DZS44" s="87"/>
      <c r="DZT44" s="87"/>
      <c r="DZU44" s="87"/>
      <c r="DZV44" s="87"/>
      <c r="DZW44" s="87"/>
      <c r="DZX44" s="87"/>
      <c r="DZY44" s="87"/>
      <c r="DZZ44" s="87"/>
      <c r="EAA44" s="87"/>
      <c r="EAB44" s="87"/>
      <c r="EAC44" s="87"/>
      <c r="EAD44" s="87"/>
      <c r="EAE44" s="87"/>
      <c r="EAF44" s="87"/>
      <c r="EAG44" s="87"/>
      <c r="EAH44" s="87"/>
      <c r="EAI44" s="87"/>
      <c r="EAJ44" s="87"/>
      <c r="EAK44" s="87"/>
      <c r="EAL44" s="87"/>
      <c r="EAM44" s="87"/>
      <c r="EAN44" s="87"/>
      <c r="EAO44" s="87"/>
      <c r="EAP44" s="87"/>
      <c r="EAQ44" s="87"/>
      <c r="EAR44" s="87"/>
      <c r="EAS44" s="87"/>
      <c r="EAT44" s="87"/>
      <c r="EAU44" s="87"/>
      <c r="EAV44" s="87"/>
      <c r="EAW44" s="87"/>
      <c r="EAX44" s="87"/>
      <c r="EAY44" s="87"/>
      <c r="EAZ44" s="87"/>
      <c r="EBA44" s="87"/>
      <c r="EBB44" s="87"/>
      <c r="EBC44" s="87"/>
      <c r="EBD44" s="87"/>
      <c r="EBE44" s="87"/>
      <c r="EBF44" s="87"/>
      <c r="EBG44" s="87"/>
      <c r="EBH44" s="87"/>
      <c r="EBI44" s="87"/>
      <c r="EBJ44" s="87"/>
      <c r="EBK44" s="87"/>
      <c r="EBL44" s="87"/>
      <c r="EBM44" s="87"/>
      <c r="EBN44" s="87"/>
      <c r="EBO44" s="87"/>
      <c r="EBP44" s="87"/>
      <c r="EBQ44" s="87"/>
      <c r="EBR44" s="87"/>
      <c r="EBS44" s="87"/>
      <c r="EBT44" s="87"/>
      <c r="EBU44" s="87"/>
      <c r="EBV44" s="87"/>
      <c r="EBW44" s="87"/>
      <c r="EBX44" s="87"/>
      <c r="EBY44" s="87"/>
      <c r="EBZ44" s="87"/>
      <c r="ECA44" s="87"/>
      <c r="ECB44" s="87"/>
      <c r="ECC44" s="87"/>
      <c r="ECD44" s="87"/>
      <c r="ECE44" s="87"/>
      <c r="ECF44" s="87"/>
      <c r="ECG44" s="87"/>
      <c r="ECH44" s="87"/>
      <c r="ECI44" s="87"/>
      <c r="ECJ44" s="87"/>
      <c r="ECK44" s="87"/>
      <c r="ECL44" s="87"/>
      <c r="ECM44" s="87"/>
      <c r="ECN44" s="87"/>
      <c r="ECO44" s="87"/>
      <c r="ECP44" s="87"/>
      <c r="ECQ44" s="87"/>
      <c r="ECR44" s="87"/>
      <c r="ECS44" s="87"/>
      <c r="ECT44" s="87"/>
      <c r="ECU44" s="87"/>
      <c r="ECV44" s="87"/>
      <c r="ECW44" s="87"/>
      <c r="ECX44" s="87"/>
      <c r="ECY44" s="87"/>
      <c r="ECZ44" s="87"/>
      <c r="EDA44" s="87"/>
      <c r="EDB44" s="87"/>
      <c r="EDC44" s="87"/>
      <c r="EDD44" s="87"/>
      <c r="EDE44" s="87"/>
      <c r="EDF44" s="87"/>
      <c r="EDG44" s="87"/>
      <c r="EDH44" s="87"/>
      <c r="EDI44" s="87"/>
      <c r="EDJ44" s="87"/>
      <c r="EDK44" s="87"/>
      <c r="EDL44" s="87"/>
      <c r="EDM44" s="87"/>
      <c r="EDN44" s="87"/>
      <c r="EDO44" s="87"/>
      <c r="EDP44" s="87"/>
      <c r="EDQ44" s="87"/>
      <c r="EDR44" s="87"/>
      <c r="EDS44" s="87"/>
      <c r="EDT44" s="87"/>
      <c r="EDU44" s="87"/>
      <c r="EDV44" s="87"/>
      <c r="EDW44" s="87"/>
      <c r="EDX44" s="87"/>
      <c r="EDY44" s="87"/>
      <c r="EDZ44" s="87"/>
      <c r="EEA44" s="87"/>
      <c r="EEB44" s="87"/>
      <c r="EEC44" s="87"/>
      <c r="EED44" s="87"/>
      <c r="EEE44" s="87"/>
      <c r="EEF44" s="87"/>
      <c r="EEG44" s="87"/>
      <c r="EEH44" s="87"/>
      <c r="EEI44" s="87"/>
      <c r="EEJ44" s="87"/>
      <c r="EEK44" s="87"/>
      <c r="EEL44" s="87"/>
      <c r="EEM44" s="87"/>
      <c r="EEN44" s="87"/>
      <c r="EEO44" s="87"/>
      <c r="EEP44" s="87"/>
      <c r="EEQ44" s="87"/>
      <c r="EER44" s="87"/>
      <c r="EES44" s="87"/>
      <c r="EET44" s="87"/>
      <c r="EEU44" s="87"/>
      <c r="EEV44" s="87"/>
      <c r="EEW44" s="87"/>
      <c r="EEX44" s="87"/>
      <c r="EEY44" s="87"/>
      <c r="EEZ44" s="87"/>
      <c r="EFA44" s="87"/>
      <c r="EFB44" s="87"/>
      <c r="EFC44" s="87"/>
      <c r="EFD44" s="87"/>
      <c r="EFE44" s="87"/>
      <c r="EFF44" s="87"/>
      <c r="EFG44" s="87"/>
      <c r="EFH44" s="87"/>
      <c r="EFI44" s="87"/>
      <c r="EFJ44" s="87"/>
      <c r="EFK44" s="87"/>
      <c r="EFL44" s="87"/>
      <c r="EFM44" s="87"/>
      <c r="EFN44" s="87"/>
      <c r="EFO44" s="87"/>
      <c r="EFP44" s="87"/>
      <c r="EFQ44" s="87"/>
      <c r="EFR44" s="87"/>
      <c r="EFS44" s="87"/>
      <c r="EFT44" s="87"/>
      <c r="EFU44" s="87"/>
      <c r="EFV44" s="87"/>
      <c r="EFW44" s="87"/>
      <c r="EFX44" s="87"/>
      <c r="EFY44" s="87"/>
      <c r="EFZ44" s="87"/>
      <c r="EGA44" s="87"/>
      <c r="EGB44" s="87"/>
      <c r="EGC44" s="87"/>
      <c r="EGD44" s="87"/>
      <c r="EGE44" s="87"/>
      <c r="EGF44" s="87"/>
      <c r="EGG44" s="87"/>
      <c r="EGH44" s="87"/>
      <c r="EGI44" s="87"/>
      <c r="EGJ44" s="87"/>
      <c r="EGK44" s="87"/>
      <c r="EGL44" s="87"/>
      <c r="EGM44" s="87"/>
      <c r="EGN44" s="87"/>
      <c r="EGO44" s="87"/>
      <c r="EGP44" s="87"/>
      <c r="EGQ44" s="87"/>
      <c r="EGR44" s="87"/>
      <c r="EGS44" s="87"/>
      <c r="EGT44" s="87"/>
      <c r="EGU44" s="87"/>
      <c r="EGV44" s="87"/>
      <c r="EGW44" s="87"/>
      <c r="EGX44" s="87"/>
      <c r="EGY44" s="87"/>
      <c r="EGZ44" s="87"/>
      <c r="EHA44" s="87"/>
      <c r="EHB44" s="87"/>
      <c r="EHC44" s="87"/>
      <c r="EHD44" s="87"/>
      <c r="EHE44" s="87"/>
      <c r="EHF44" s="87"/>
      <c r="EHG44" s="87"/>
      <c r="EHH44" s="87"/>
      <c r="EHI44" s="87"/>
      <c r="EHJ44" s="87"/>
      <c r="EHK44" s="87"/>
      <c r="EHL44" s="87"/>
      <c r="EHM44" s="87"/>
      <c r="EHN44" s="87"/>
      <c r="EHO44" s="87"/>
      <c r="EHP44" s="87"/>
      <c r="EHQ44" s="87"/>
      <c r="EHR44" s="87"/>
      <c r="EHS44" s="87"/>
      <c r="EHT44" s="87"/>
      <c r="EHU44" s="87"/>
      <c r="EHV44" s="87"/>
      <c r="EHW44" s="87"/>
      <c r="EHX44" s="87"/>
      <c r="EHY44" s="87"/>
      <c r="EHZ44" s="87"/>
      <c r="EIA44" s="87"/>
      <c r="EIB44" s="87"/>
      <c r="EIC44" s="87"/>
      <c r="EID44" s="87"/>
      <c r="EIE44" s="87"/>
      <c r="EIF44" s="87"/>
      <c r="EIG44" s="87"/>
      <c r="EIH44" s="87"/>
      <c r="EII44" s="87"/>
      <c r="EIJ44" s="87"/>
      <c r="EIK44" s="87"/>
      <c r="EIL44" s="87"/>
      <c r="EIM44" s="87"/>
      <c r="EIN44" s="87"/>
      <c r="EIO44" s="87"/>
      <c r="EIP44" s="87"/>
      <c r="EIQ44" s="87"/>
      <c r="EIR44" s="87"/>
      <c r="EIS44" s="87"/>
      <c r="EIT44" s="87"/>
      <c r="EIU44" s="87"/>
      <c r="EIV44" s="87"/>
      <c r="EIW44" s="87"/>
      <c r="EIX44" s="87"/>
      <c r="EIY44" s="87"/>
      <c r="EIZ44" s="87"/>
      <c r="EJA44" s="87"/>
      <c r="EJB44" s="87"/>
      <c r="EJC44" s="87"/>
      <c r="EJD44" s="87"/>
      <c r="EJE44" s="87"/>
      <c r="EJF44" s="87"/>
      <c r="EJG44" s="87"/>
      <c r="EJH44" s="87"/>
      <c r="EJI44" s="87"/>
      <c r="EJJ44" s="87"/>
      <c r="EJK44" s="87"/>
      <c r="EJL44" s="87"/>
      <c r="EJM44" s="87"/>
      <c r="EJN44" s="87"/>
      <c r="EJO44" s="87"/>
      <c r="EJP44" s="87"/>
      <c r="EJQ44" s="87"/>
      <c r="EJR44" s="87"/>
      <c r="EJS44" s="87"/>
      <c r="EJT44" s="87"/>
      <c r="EJU44" s="87"/>
      <c r="EJV44" s="87"/>
      <c r="EJW44" s="87"/>
      <c r="EJX44" s="87"/>
      <c r="EJY44" s="87"/>
      <c r="EJZ44" s="87"/>
      <c r="EKA44" s="87"/>
      <c r="EKB44" s="87"/>
      <c r="EKC44" s="87"/>
      <c r="EKD44" s="87"/>
      <c r="EKE44" s="87"/>
      <c r="EKF44" s="87"/>
      <c r="EKG44" s="87"/>
      <c r="EKH44" s="87"/>
      <c r="EKI44" s="87"/>
      <c r="EKJ44" s="87"/>
      <c r="EKK44" s="87"/>
      <c r="EKL44" s="87"/>
      <c r="EKM44" s="87"/>
      <c r="EKN44" s="87"/>
      <c r="EKO44" s="87"/>
      <c r="EKP44" s="87"/>
      <c r="EKQ44" s="87"/>
      <c r="EKR44" s="87"/>
      <c r="EKS44" s="87"/>
      <c r="EKT44" s="87"/>
      <c r="EKU44" s="87"/>
      <c r="EKV44" s="87"/>
      <c r="EKW44" s="87"/>
      <c r="EKX44" s="87"/>
      <c r="EKY44" s="87"/>
      <c r="EKZ44" s="87"/>
      <c r="ELA44" s="87"/>
      <c r="ELB44" s="87"/>
      <c r="ELC44" s="87"/>
      <c r="ELD44" s="87"/>
      <c r="ELE44" s="87"/>
      <c r="ELF44" s="87"/>
      <c r="ELG44" s="87"/>
      <c r="ELH44" s="87"/>
      <c r="ELI44" s="87"/>
      <c r="ELJ44" s="87"/>
      <c r="ELK44" s="87"/>
      <c r="ELL44" s="87"/>
      <c r="ELM44" s="87"/>
      <c r="ELN44" s="87"/>
      <c r="ELO44" s="87"/>
      <c r="ELP44" s="87"/>
      <c r="ELQ44" s="87"/>
      <c r="ELR44" s="87"/>
      <c r="ELS44" s="87"/>
      <c r="ELT44" s="87"/>
      <c r="ELU44" s="87"/>
      <c r="ELV44" s="87"/>
      <c r="ELW44" s="87"/>
      <c r="ELX44" s="87"/>
      <c r="ELY44" s="87"/>
      <c r="ELZ44" s="87"/>
      <c r="EMA44" s="87"/>
      <c r="EMB44" s="87"/>
      <c r="EMC44" s="87"/>
      <c r="EMD44" s="87"/>
      <c r="EME44" s="87"/>
      <c r="EMF44" s="87"/>
      <c r="EMG44" s="87"/>
      <c r="EMH44" s="87"/>
      <c r="EMI44" s="87"/>
      <c r="EMJ44" s="87"/>
      <c r="EMK44" s="87"/>
      <c r="EML44" s="87"/>
      <c r="EMM44" s="87"/>
      <c r="EMN44" s="87"/>
      <c r="EMO44" s="87"/>
      <c r="EMP44" s="87"/>
      <c r="EMQ44" s="87"/>
      <c r="EMR44" s="87"/>
      <c r="EMS44" s="87"/>
      <c r="EMT44" s="87"/>
      <c r="EMU44" s="87"/>
      <c r="EMV44" s="87"/>
      <c r="EMW44" s="87"/>
      <c r="EMX44" s="87"/>
      <c r="EMY44" s="87"/>
      <c r="EMZ44" s="87"/>
      <c r="ENA44" s="87"/>
      <c r="ENB44" s="87"/>
      <c r="ENC44" s="87"/>
      <c r="END44" s="87"/>
      <c r="ENE44" s="87"/>
      <c r="ENF44" s="87"/>
      <c r="ENG44" s="87"/>
      <c r="ENH44" s="87"/>
      <c r="ENI44" s="87"/>
      <c r="ENJ44" s="87"/>
      <c r="ENK44" s="87"/>
      <c r="ENL44" s="87"/>
      <c r="ENM44" s="87"/>
      <c r="ENN44" s="87"/>
      <c r="ENO44" s="87"/>
      <c r="ENP44" s="87"/>
      <c r="ENQ44" s="87"/>
      <c r="ENR44" s="87"/>
      <c r="ENS44" s="87"/>
      <c r="ENT44" s="87"/>
      <c r="ENU44" s="87"/>
      <c r="ENV44" s="87"/>
      <c r="ENW44" s="87"/>
      <c r="ENX44" s="87"/>
      <c r="ENY44" s="87"/>
      <c r="ENZ44" s="87"/>
      <c r="EOA44" s="87"/>
      <c r="EOB44" s="87"/>
      <c r="EOC44" s="87"/>
      <c r="EOD44" s="87"/>
      <c r="EOE44" s="87"/>
      <c r="EOF44" s="87"/>
      <c r="EOG44" s="87"/>
      <c r="EOH44" s="87"/>
      <c r="EOI44" s="87"/>
      <c r="EOJ44" s="87"/>
      <c r="EOK44" s="87"/>
      <c r="EOL44" s="87"/>
      <c r="EOM44" s="87"/>
      <c r="EON44" s="87"/>
      <c r="EOO44" s="87"/>
      <c r="EOP44" s="87"/>
      <c r="EOQ44" s="87"/>
      <c r="EOR44" s="87"/>
      <c r="EOS44" s="87"/>
      <c r="EOT44" s="87"/>
      <c r="EOU44" s="87"/>
      <c r="EOV44" s="87"/>
      <c r="EOW44" s="87"/>
      <c r="EOX44" s="87"/>
      <c r="EOY44" s="87"/>
      <c r="EOZ44" s="87"/>
      <c r="EPA44" s="87"/>
      <c r="EPB44" s="87"/>
      <c r="EPC44" s="87"/>
      <c r="EPD44" s="87"/>
      <c r="EPE44" s="87"/>
      <c r="EPF44" s="87"/>
      <c r="EPG44" s="87"/>
      <c r="EPH44" s="87"/>
      <c r="EPI44" s="87"/>
      <c r="EPJ44" s="87"/>
      <c r="EPK44" s="87"/>
      <c r="EPL44" s="87"/>
      <c r="EPM44" s="87"/>
      <c r="EPN44" s="87"/>
      <c r="EPO44" s="87"/>
      <c r="EPP44" s="87"/>
      <c r="EPQ44" s="87"/>
      <c r="EPR44" s="87"/>
      <c r="EPS44" s="87"/>
      <c r="EPT44" s="87"/>
      <c r="EPU44" s="87"/>
      <c r="EPV44" s="87"/>
      <c r="EPW44" s="87"/>
      <c r="EPX44" s="87"/>
      <c r="EPY44" s="87"/>
      <c r="EPZ44" s="87"/>
      <c r="EQA44" s="87"/>
      <c r="EQB44" s="87"/>
      <c r="EQC44" s="87"/>
      <c r="EQD44" s="87"/>
      <c r="EQE44" s="87"/>
      <c r="EQF44" s="87"/>
      <c r="EQG44" s="87"/>
      <c r="EQH44" s="87"/>
      <c r="EQI44" s="87"/>
      <c r="EQJ44" s="87"/>
      <c r="EQK44" s="87"/>
      <c r="EQL44" s="87"/>
      <c r="EQM44" s="87"/>
      <c r="EQN44" s="87"/>
      <c r="EQO44" s="87"/>
      <c r="EQP44" s="87"/>
      <c r="EQQ44" s="87"/>
      <c r="EQR44" s="87"/>
      <c r="EQS44" s="87"/>
      <c r="EQT44" s="87"/>
      <c r="EQU44" s="87"/>
      <c r="EQV44" s="87"/>
      <c r="EQW44" s="87"/>
      <c r="EQX44" s="87"/>
      <c r="EQY44" s="87"/>
      <c r="EQZ44" s="87"/>
      <c r="ERA44" s="87"/>
      <c r="ERB44" s="87"/>
      <c r="ERC44" s="87"/>
      <c r="ERD44" s="87"/>
      <c r="ERE44" s="87"/>
      <c r="ERF44" s="87"/>
      <c r="ERG44" s="87"/>
      <c r="ERH44" s="87"/>
      <c r="ERI44" s="87"/>
      <c r="ERJ44" s="87"/>
      <c r="ERK44" s="87"/>
      <c r="ERL44" s="87"/>
      <c r="ERM44" s="87"/>
      <c r="ERN44" s="87"/>
      <c r="ERO44" s="87"/>
      <c r="ERP44" s="87"/>
      <c r="ERQ44" s="87"/>
      <c r="ERR44" s="87"/>
      <c r="ERS44" s="87"/>
      <c r="ERT44" s="87"/>
      <c r="ERU44" s="87"/>
      <c r="ERV44" s="87"/>
      <c r="ERW44" s="87"/>
      <c r="ERX44" s="87"/>
      <c r="ERY44" s="87"/>
      <c r="ERZ44" s="87"/>
      <c r="ESA44" s="87"/>
      <c r="ESB44" s="87"/>
      <c r="ESC44" s="87"/>
      <c r="ESD44" s="87"/>
      <c r="ESE44" s="87"/>
      <c r="ESF44" s="87"/>
      <c r="ESG44" s="87"/>
      <c r="ESH44" s="87"/>
      <c r="ESI44" s="87"/>
      <c r="ESJ44" s="87"/>
      <c r="ESK44" s="87"/>
      <c r="ESL44" s="87"/>
      <c r="ESM44" s="87"/>
      <c r="ESN44" s="87"/>
      <c r="ESO44" s="87"/>
      <c r="ESP44" s="87"/>
      <c r="ESQ44" s="87"/>
      <c r="ESR44" s="87"/>
      <c r="ESS44" s="87"/>
      <c r="EST44" s="87"/>
      <c r="ESU44" s="87"/>
      <c r="ESV44" s="87"/>
      <c r="ESW44" s="87"/>
      <c r="ESX44" s="87"/>
      <c r="ESY44" s="87"/>
      <c r="ESZ44" s="87"/>
      <c r="ETA44" s="87"/>
      <c r="ETB44" s="87"/>
      <c r="ETC44" s="87"/>
      <c r="ETD44" s="87"/>
      <c r="ETE44" s="87"/>
      <c r="ETF44" s="87"/>
      <c r="ETG44" s="87"/>
      <c r="ETH44" s="87"/>
      <c r="ETI44" s="87"/>
      <c r="ETJ44" s="87"/>
      <c r="ETK44" s="87"/>
      <c r="ETL44" s="87"/>
      <c r="ETM44" s="87"/>
      <c r="ETN44" s="87"/>
      <c r="ETO44" s="87"/>
      <c r="ETP44" s="87"/>
      <c r="ETQ44" s="87"/>
      <c r="ETR44" s="87"/>
      <c r="ETS44" s="87"/>
      <c r="ETT44" s="87"/>
      <c r="ETU44" s="87"/>
      <c r="ETV44" s="87"/>
      <c r="ETW44" s="87"/>
      <c r="ETX44" s="87"/>
      <c r="ETY44" s="87"/>
      <c r="ETZ44" s="87"/>
      <c r="EUA44" s="87"/>
      <c r="EUB44" s="87"/>
      <c r="EUC44" s="87"/>
      <c r="EUD44" s="87"/>
      <c r="EUE44" s="87"/>
      <c r="EUF44" s="87"/>
      <c r="EUG44" s="87"/>
      <c r="EUH44" s="87"/>
      <c r="EUI44" s="87"/>
      <c r="EUJ44" s="87"/>
      <c r="EUK44" s="87"/>
      <c r="EUL44" s="87"/>
      <c r="EUM44" s="87"/>
      <c r="EUN44" s="87"/>
      <c r="EUO44" s="87"/>
      <c r="EUP44" s="87"/>
      <c r="EUQ44" s="87"/>
      <c r="EUR44" s="87"/>
      <c r="EUS44" s="87"/>
      <c r="EUT44" s="87"/>
      <c r="EUU44" s="87"/>
      <c r="EUV44" s="87"/>
      <c r="EUW44" s="87"/>
      <c r="EUX44" s="87"/>
      <c r="EUY44" s="87"/>
      <c r="EUZ44" s="87"/>
      <c r="EVA44" s="87"/>
      <c r="EVB44" s="87"/>
      <c r="EVC44" s="87"/>
      <c r="EVD44" s="87"/>
      <c r="EVE44" s="87"/>
      <c r="EVF44" s="87"/>
      <c r="EVG44" s="87"/>
      <c r="EVH44" s="87"/>
      <c r="EVI44" s="87"/>
      <c r="EVJ44" s="87"/>
      <c r="EVK44" s="87"/>
      <c r="EVL44" s="87"/>
      <c r="EVM44" s="87"/>
      <c r="EVN44" s="87"/>
      <c r="EVO44" s="87"/>
      <c r="EVP44" s="87"/>
      <c r="EVQ44" s="87"/>
      <c r="EVR44" s="87"/>
      <c r="EVS44" s="87"/>
      <c r="EVT44" s="87"/>
      <c r="EVU44" s="87"/>
      <c r="EVV44" s="87"/>
      <c r="EVW44" s="87"/>
      <c r="EVX44" s="87"/>
      <c r="EVY44" s="87"/>
      <c r="EVZ44" s="87"/>
      <c r="EWA44" s="87"/>
      <c r="EWB44" s="87"/>
      <c r="EWC44" s="87"/>
      <c r="EWD44" s="87"/>
      <c r="EWE44" s="87"/>
      <c r="EWF44" s="87"/>
      <c r="EWG44" s="87"/>
      <c r="EWH44" s="87"/>
      <c r="EWI44" s="87"/>
      <c r="EWJ44" s="87"/>
      <c r="EWK44" s="87"/>
      <c r="EWL44" s="87"/>
      <c r="EWM44" s="87"/>
      <c r="EWN44" s="87"/>
      <c r="EWO44" s="87"/>
      <c r="EWP44" s="87"/>
      <c r="EWQ44" s="87"/>
      <c r="EWR44" s="87"/>
      <c r="EWS44" s="87"/>
      <c r="EWT44" s="87"/>
      <c r="EWU44" s="87"/>
      <c r="EWV44" s="87"/>
      <c r="EWW44" s="87"/>
      <c r="EWX44" s="87"/>
      <c r="EWY44" s="87"/>
      <c r="EWZ44" s="87"/>
      <c r="EXA44" s="87"/>
      <c r="EXB44" s="87"/>
      <c r="EXC44" s="87"/>
      <c r="EXD44" s="87"/>
      <c r="EXE44" s="87"/>
      <c r="EXF44" s="87"/>
      <c r="EXG44" s="87"/>
      <c r="EXH44" s="87"/>
      <c r="EXI44" s="87"/>
      <c r="EXJ44" s="87"/>
      <c r="EXK44" s="87"/>
      <c r="EXL44" s="87"/>
      <c r="EXM44" s="87"/>
      <c r="EXN44" s="87"/>
      <c r="EXO44" s="87"/>
      <c r="EXP44" s="87"/>
      <c r="EXQ44" s="87"/>
      <c r="EXR44" s="87"/>
      <c r="EXS44" s="87"/>
      <c r="EXT44" s="87"/>
      <c r="EXU44" s="87"/>
      <c r="EXV44" s="87"/>
      <c r="EXW44" s="87"/>
      <c r="EXX44" s="87"/>
      <c r="EXY44" s="87"/>
      <c r="EXZ44" s="87"/>
      <c r="EYA44" s="87"/>
      <c r="EYB44" s="87"/>
      <c r="EYC44" s="87"/>
      <c r="EYD44" s="87"/>
      <c r="EYE44" s="87"/>
      <c r="EYF44" s="87"/>
      <c r="EYG44" s="87"/>
      <c r="EYH44" s="87"/>
      <c r="EYI44" s="87"/>
      <c r="EYJ44" s="87"/>
      <c r="EYK44" s="87"/>
      <c r="EYL44" s="87"/>
      <c r="EYM44" s="87"/>
      <c r="EYN44" s="87"/>
      <c r="EYO44" s="87"/>
      <c r="EYP44" s="87"/>
      <c r="EYQ44" s="87"/>
      <c r="EYR44" s="87"/>
      <c r="EYS44" s="87"/>
      <c r="EYT44" s="87"/>
      <c r="EYU44" s="87"/>
      <c r="EYV44" s="87"/>
      <c r="EYW44" s="87"/>
      <c r="EYX44" s="87"/>
      <c r="EYY44" s="87"/>
      <c r="EYZ44" s="87"/>
      <c r="EZA44" s="87"/>
      <c r="EZB44" s="87"/>
      <c r="EZC44" s="87"/>
      <c r="EZD44" s="87"/>
      <c r="EZE44" s="87"/>
      <c r="EZF44" s="87"/>
      <c r="EZG44" s="87"/>
      <c r="EZH44" s="87"/>
      <c r="EZI44" s="87"/>
      <c r="EZJ44" s="87"/>
      <c r="EZK44" s="87"/>
      <c r="EZL44" s="87"/>
      <c r="EZM44" s="87"/>
      <c r="EZN44" s="87"/>
      <c r="EZO44" s="87"/>
      <c r="EZP44" s="87"/>
      <c r="EZQ44" s="87"/>
      <c r="EZR44" s="87"/>
      <c r="EZS44" s="87"/>
      <c r="EZT44" s="87"/>
      <c r="EZU44" s="87"/>
      <c r="EZV44" s="87"/>
      <c r="EZW44" s="87"/>
      <c r="EZX44" s="87"/>
      <c r="EZY44" s="87"/>
      <c r="EZZ44" s="87"/>
      <c r="FAA44" s="87"/>
      <c r="FAB44" s="87"/>
      <c r="FAC44" s="87"/>
      <c r="FAD44" s="87"/>
      <c r="FAE44" s="87"/>
      <c r="FAF44" s="87"/>
      <c r="FAG44" s="87"/>
      <c r="FAH44" s="87"/>
      <c r="FAI44" s="87"/>
      <c r="FAJ44" s="87"/>
      <c r="FAK44" s="87"/>
      <c r="FAL44" s="87"/>
      <c r="FAM44" s="87"/>
      <c r="FAN44" s="87"/>
      <c r="FAO44" s="87"/>
      <c r="FAP44" s="87"/>
      <c r="FAQ44" s="87"/>
      <c r="FAR44" s="87"/>
      <c r="FAS44" s="87"/>
      <c r="FAT44" s="87"/>
      <c r="FAU44" s="87"/>
      <c r="FAV44" s="87"/>
      <c r="FAW44" s="87"/>
      <c r="FAX44" s="87"/>
      <c r="FAY44" s="87"/>
      <c r="FAZ44" s="87"/>
      <c r="FBA44" s="87"/>
      <c r="FBB44" s="87"/>
      <c r="FBC44" s="87"/>
      <c r="FBD44" s="87"/>
      <c r="FBE44" s="87"/>
      <c r="FBF44" s="87"/>
      <c r="FBG44" s="87"/>
      <c r="FBH44" s="87"/>
      <c r="FBI44" s="87"/>
      <c r="FBJ44" s="87"/>
      <c r="FBK44" s="87"/>
      <c r="FBL44" s="87"/>
      <c r="FBM44" s="87"/>
      <c r="FBN44" s="87"/>
      <c r="FBO44" s="87"/>
      <c r="FBP44" s="87"/>
      <c r="FBQ44" s="87"/>
      <c r="FBR44" s="87"/>
      <c r="FBS44" s="87"/>
      <c r="FBT44" s="87"/>
      <c r="FBU44" s="87"/>
      <c r="FBV44" s="87"/>
      <c r="FBW44" s="87"/>
      <c r="FBX44" s="87"/>
      <c r="FBY44" s="87"/>
      <c r="FBZ44" s="87"/>
      <c r="FCA44" s="87"/>
      <c r="FCB44" s="87"/>
      <c r="FCC44" s="87"/>
      <c r="FCD44" s="87"/>
      <c r="FCE44" s="87"/>
      <c r="FCF44" s="87"/>
      <c r="FCG44" s="87"/>
      <c r="FCH44" s="87"/>
      <c r="FCI44" s="87"/>
      <c r="FCJ44" s="87"/>
      <c r="FCK44" s="87"/>
      <c r="FCL44" s="87"/>
      <c r="FCM44" s="87"/>
      <c r="FCN44" s="87"/>
      <c r="FCO44" s="87"/>
      <c r="FCP44" s="87"/>
      <c r="FCQ44" s="87"/>
      <c r="FCR44" s="87"/>
      <c r="FCS44" s="87"/>
      <c r="FCT44" s="87"/>
      <c r="FCU44" s="87"/>
      <c r="FCV44" s="87"/>
      <c r="FCW44" s="87"/>
      <c r="FCX44" s="87"/>
      <c r="FCY44" s="87"/>
      <c r="FCZ44" s="87"/>
      <c r="FDA44" s="87"/>
      <c r="FDB44" s="87"/>
      <c r="FDC44" s="87"/>
      <c r="FDD44" s="87"/>
      <c r="FDE44" s="87"/>
      <c r="FDF44" s="87"/>
      <c r="FDG44" s="87"/>
      <c r="FDH44" s="87"/>
      <c r="FDI44" s="87"/>
      <c r="FDJ44" s="87"/>
      <c r="FDK44" s="87"/>
      <c r="FDL44" s="87"/>
      <c r="FDM44" s="87"/>
      <c r="FDN44" s="87"/>
      <c r="FDO44" s="87"/>
      <c r="FDP44" s="87"/>
      <c r="FDQ44" s="87"/>
      <c r="FDR44" s="87"/>
      <c r="FDS44" s="87"/>
      <c r="FDT44" s="87"/>
      <c r="FDU44" s="87"/>
      <c r="FDV44" s="87"/>
      <c r="FDW44" s="87"/>
      <c r="FDX44" s="87"/>
      <c r="FDY44" s="87"/>
      <c r="FDZ44" s="87"/>
      <c r="FEA44" s="87"/>
      <c r="FEB44" s="87"/>
      <c r="FEC44" s="87"/>
      <c r="FED44" s="87"/>
      <c r="FEE44" s="87"/>
      <c r="FEF44" s="87"/>
      <c r="FEG44" s="87"/>
      <c r="FEH44" s="87"/>
      <c r="FEI44" s="87"/>
      <c r="FEJ44" s="87"/>
      <c r="FEK44" s="87"/>
      <c r="FEL44" s="87"/>
      <c r="FEM44" s="87"/>
      <c r="FEN44" s="87"/>
      <c r="FEO44" s="87"/>
      <c r="FEP44" s="87"/>
      <c r="FEQ44" s="87"/>
      <c r="FER44" s="87"/>
      <c r="FES44" s="87"/>
      <c r="FET44" s="87"/>
      <c r="FEU44" s="87"/>
      <c r="FEV44" s="87"/>
      <c r="FEW44" s="87"/>
      <c r="FEX44" s="87"/>
      <c r="FEY44" s="87"/>
      <c r="FEZ44" s="87"/>
      <c r="FFA44" s="87"/>
      <c r="FFB44" s="87"/>
      <c r="FFC44" s="87"/>
      <c r="FFD44" s="87"/>
      <c r="FFE44" s="87"/>
      <c r="FFF44" s="87"/>
      <c r="FFG44" s="87"/>
      <c r="FFH44" s="87"/>
      <c r="FFI44" s="87"/>
      <c r="FFJ44" s="87"/>
      <c r="FFK44" s="87"/>
      <c r="FFL44" s="87"/>
      <c r="FFM44" s="87"/>
      <c r="FFN44" s="87"/>
      <c r="FFO44" s="87"/>
      <c r="FFP44" s="87"/>
      <c r="FFQ44" s="87"/>
      <c r="FFR44" s="87"/>
      <c r="FFS44" s="87"/>
      <c r="FFT44" s="87"/>
      <c r="FFU44" s="87"/>
      <c r="FFV44" s="87"/>
      <c r="FFW44" s="87"/>
      <c r="FFX44" s="87"/>
      <c r="FFY44" s="87"/>
      <c r="FFZ44" s="87"/>
      <c r="FGA44" s="87"/>
      <c r="FGB44" s="87"/>
      <c r="FGC44" s="87"/>
      <c r="FGD44" s="87"/>
      <c r="FGE44" s="87"/>
      <c r="FGF44" s="87"/>
      <c r="FGG44" s="87"/>
      <c r="FGH44" s="87"/>
      <c r="FGI44" s="87"/>
      <c r="FGJ44" s="87"/>
      <c r="FGK44" s="87"/>
      <c r="FGL44" s="87"/>
      <c r="FGM44" s="87"/>
      <c r="FGN44" s="87"/>
      <c r="FGO44" s="87"/>
      <c r="FGP44" s="87"/>
      <c r="FGQ44" s="87"/>
      <c r="FGR44" s="87"/>
      <c r="FGS44" s="87"/>
      <c r="FGT44" s="87"/>
      <c r="FGU44" s="87"/>
      <c r="FGV44" s="87"/>
      <c r="FGW44" s="87"/>
      <c r="FGX44" s="87"/>
      <c r="FGY44" s="87"/>
      <c r="FGZ44" s="87"/>
      <c r="FHA44" s="87"/>
      <c r="FHB44" s="87"/>
      <c r="FHC44" s="87"/>
      <c r="FHD44" s="87"/>
      <c r="FHE44" s="87"/>
      <c r="FHF44" s="87"/>
      <c r="FHG44" s="87"/>
      <c r="FHH44" s="87"/>
      <c r="FHI44" s="87"/>
      <c r="FHJ44" s="87"/>
      <c r="FHK44" s="87"/>
      <c r="FHL44" s="87"/>
      <c r="FHM44" s="87"/>
      <c r="FHN44" s="87"/>
      <c r="FHO44" s="87"/>
      <c r="FHP44" s="87"/>
      <c r="FHQ44" s="87"/>
      <c r="FHR44" s="87"/>
      <c r="FHS44" s="87"/>
      <c r="FHT44" s="87"/>
      <c r="FHU44" s="87"/>
      <c r="FHV44" s="87"/>
      <c r="FHW44" s="87"/>
      <c r="FHX44" s="87"/>
      <c r="FHY44" s="87"/>
      <c r="FHZ44" s="87"/>
      <c r="FIA44" s="87"/>
      <c r="FIB44" s="87"/>
      <c r="FIC44" s="87"/>
      <c r="FID44" s="87"/>
      <c r="FIE44" s="87"/>
      <c r="FIF44" s="87"/>
      <c r="FIG44" s="87"/>
      <c r="FIH44" s="87"/>
      <c r="FII44" s="87"/>
      <c r="FIJ44" s="87"/>
      <c r="FIK44" s="87"/>
      <c r="FIL44" s="87"/>
      <c r="FIM44" s="87"/>
      <c r="FIN44" s="87"/>
      <c r="FIO44" s="87"/>
      <c r="FIP44" s="87"/>
      <c r="FIQ44" s="87"/>
      <c r="FIR44" s="87"/>
      <c r="FIS44" s="87"/>
      <c r="FIT44" s="87"/>
      <c r="FIU44" s="87"/>
      <c r="FIV44" s="87"/>
      <c r="FIW44" s="87"/>
      <c r="FIX44" s="87"/>
      <c r="FIY44" s="87"/>
      <c r="FIZ44" s="87"/>
      <c r="FJA44" s="87"/>
      <c r="FJB44" s="87"/>
      <c r="FJC44" s="87"/>
      <c r="FJD44" s="87"/>
      <c r="FJE44" s="87"/>
      <c r="FJF44" s="87"/>
      <c r="FJG44" s="87"/>
      <c r="FJH44" s="87"/>
      <c r="FJI44" s="87"/>
      <c r="FJJ44" s="87"/>
      <c r="FJK44" s="87"/>
      <c r="FJL44" s="87"/>
      <c r="FJM44" s="87"/>
      <c r="FJN44" s="87"/>
      <c r="FJO44" s="87"/>
      <c r="FJP44" s="87"/>
      <c r="FJQ44" s="87"/>
      <c r="FJR44" s="87"/>
      <c r="FJS44" s="87"/>
      <c r="FJT44" s="87"/>
      <c r="FJU44" s="87"/>
      <c r="FJV44" s="87"/>
      <c r="FJW44" s="87"/>
      <c r="FJX44" s="87"/>
      <c r="FJY44" s="87"/>
      <c r="FJZ44" s="87"/>
      <c r="FKA44" s="87"/>
      <c r="FKB44" s="87"/>
      <c r="FKC44" s="87"/>
      <c r="FKD44" s="87"/>
      <c r="FKE44" s="87"/>
      <c r="FKF44" s="87"/>
      <c r="FKG44" s="87"/>
      <c r="FKH44" s="87"/>
      <c r="FKI44" s="87"/>
      <c r="FKJ44" s="87"/>
      <c r="FKK44" s="87"/>
      <c r="FKL44" s="87"/>
      <c r="FKM44" s="87"/>
      <c r="FKN44" s="87"/>
      <c r="FKO44" s="87"/>
      <c r="FKP44" s="87"/>
      <c r="FKQ44" s="87"/>
      <c r="FKR44" s="87"/>
      <c r="FKS44" s="87"/>
      <c r="FKT44" s="87"/>
      <c r="FKU44" s="87"/>
      <c r="FKV44" s="87"/>
      <c r="FKW44" s="87"/>
      <c r="FKX44" s="87"/>
      <c r="FKY44" s="87"/>
      <c r="FKZ44" s="87"/>
      <c r="FLA44" s="87"/>
      <c r="FLB44" s="87"/>
      <c r="FLC44" s="87"/>
      <c r="FLD44" s="87"/>
      <c r="FLE44" s="87"/>
      <c r="FLF44" s="87"/>
      <c r="FLG44" s="87"/>
      <c r="FLH44" s="87"/>
      <c r="FLI44" s="87"/>
      <c r="FLJ44" s="87"/>
      <c r="FLK44" s="87"/>
      <c r="FLL44" s="87"/>
      <c r="FLM44" s="87"/>
      <c r="FLN44" s="87"/>
      <c r="FLO44" s="87"/>
      <c r="FLP44" s="87"/>
      <c r="FLQ44" s="87"/>
      <c r="FLR44" s="87"/>
      <c r="FLS44" s="87"/>
      <c r="FLT44" s="87"/>
      <c r="FLU44" s="87"/>
      <c r="FLV44" s="87"/>
      <c r="FLW44" s="87"/>
      <c r="FLX44" s="87"/>
      <c r="FLY44" s="87"/>
      <c r="FLZ44" s="87"/>
      <c r="FMA44" s="87"/>
      <c r="FMB44" s="87"/>
      <c r="FMC44" s="87"/>
      <c r="FMD44" s="87"/>
      <c r="FME44" s="87"/>
      <c r="FMF44" s="87"/>
      <c r="FMG44" s="87"/>
      <c r="FMH44" s="87"/>
      <c r="FMI44" s="87"/>
      <c r="FMJ44" s="87"/>
      <c r="FMK44" s="87"/>
      <c r="FML44" s="87"/>
      <c r="FMM44" s="87"/>
      <c r="FMN44" s="87"/>
      <c r="FMO44" s="87"/>
      <c r="FMP44" s="87"/>
      <c r="FMQ44" s="87"/>
      <c r="FMR44" s="87"/>
      <c r="FMS44" s="87"/>
      <c r="FMT44" s="87"/>
      <c r="FMU44" s="87"/>
      <c r="FMV44" s="87"/>
      <c r="FMW44" s="87"/>
      <c r="FMX44" s="87"/>
      <c r="FMY44" s="87"/>
      <c r="FMZ44" s="87"/>
      <c r="FNA44" s="87"/>
      <c r="FNB44" s="87"/>
      <c r="FNC44" s="87"/>
      <c r="FND44" s="87"/>
      <c r="FNE44" s="87"/>
      <c r="FNF44" s="87"/>
      <c r="FNG44" s="87"/>
      <c r="FNH44" s="87"/>
      <c r="FNI44" s="87"/>
      <c r="FNJ44" s="87"/>
      <c r="FNK44" s="87"/>
      <c r="FNL44" s="87"/>
      <c r="FNM44" s="87"/>
      <c r="FNN44" s="87"/>
      <c r="FNO44" s="87"/>
      <c r="FNP44" s="87"/>
      <c r="FNQ44" s="87"/>
      <c r="FNR44" s="87"/>
      <c r="FNS44" s="87"/>
      <c r="FNT44" s="87"/>
      <c r="FNU44" s="87"/>
      <c r="FNV44" s="87"/>
      <c r="FNW44" s="87"/>
      <c r="FNX44" s="87"/>
      <c r="FNY44" s="87"/>
      <c r="FNZ44" s="87"/>
      <c r="FOA44" s="87"/>
      <c r="FOB44" s="87"/>
      <c r="FOC44" s="87"/>
      <c r="FOD44" s="87"/>
      <c r="FOE44" s="87"/>
      <c r="FOF44" s="87"/>
      <c r="FOG44" s="87"/>
      <c r="FOH44" s="87"/>
      <c r="FOI44" s="87"/>
      <c r="FOJ44" s="87"/>
      <c r="FOK44" s="87"/>
      <c r="FOL44" s="87"/>
      <c r="FOM44" s="87"/>
      <c r="FON44" s="87"/>
      <c r="FOO44" s="87"/>
      <c r="FOP44" s="87"/>
      <c r="FOQ44" s="87"/>
      <c r="FOR44" s="87"/>
      <c r="FOS44" s="87"/>
      <c r="FOT44" s="87"/>
      <c r="FOU44" s="87"/>
      <c r="FOV44" s="87"/>
      <c r="FOW44" s="87"/>
      <c r="FOX44" s="87"/>
      <c r="FOY44" s="87"/>
      <c r="FOZ44" s="87"/>
      <c r="FPA44" s="87"/>
      <c r="FPB44" s="87"/>
      <c r="FPC44" s="87"/>
      <c r="FPD44" s="87"/>
      <c r="FPE44" s="87"/>
      <c r="FPF44" s="87"/>
      <c r="FPG44" s="87"/>
      <c r="FPH44" s="87"/>
      <c r="FPI44" s="87"/>
      <c r="FPJ44" s="87"/>
      <c r="FPK44" s="87"/>
      <c r="FPL44" s="87"/>
      <c r="FPM44" s="87"/>
      <c r="FPN44" s="87"/>
      <c r="FPO44" s="87"/>
      <c r="FPP44" s="87"/>
      <c r="FPQ44" s="87"/>
      <c r="FPR44" s="87"/>
      <c r="FPS44" s="87"/>
      <c r="FPT44" s="87"/>
      <c r="FPU44" s="87"/>
      <c r="FPV44" s="87"/>
      <c r="FPW44" s="87"/>
      <c r="FPX44" s="87"/>
      <c r="FPY44" s="87"/>
      <c r="FPZ44" s="87"/>
      <c r="FQA44" s="87"/>
      <c r="FQB44" s="87"/>
      <c r="FQC44" s="87"/>
      <c r="FQD44" s="87"/>
      <c r="FQE44" s="87"/>
      <c r="FQF44" s="87"/>
      <c r="FQG44" s="87"/>
      <c r="FQH44" s="87"/>
      <c r="FQI44" s="87"/>
      <c r="FQJ44" s="87"/>
      <c r="FQK44" s="87"/>
      <c r="FQL44" s="87"/>
      <c r="FQM44" s="87"/>
      <c r="FQN44" s="87"/>
      <c r="FQO44" s="87"/>
      <c r="FQP44" s="87"/>
      <c r="FQQ44" s="87"/>
      <c r="FQR44" s="87"/>
      <c r="FQS44" s="87"/>
      <c r="FQT44" s="87"/>
      <c r="FQU44" s="87"/>
      <c r="FQV44" s="87"/>
      <c r="FQW44" s="87"/>
      <c r="FQX44" s="87"/>
      <c r="FQY44" s="87"/>
      <c r="FQZ44" s="87"/>
      <c r="FRA44" s="87"/>
      <c r="FRB44" s="87"/>
      <c r="FRC44" s="87"/>
      <c r="FRD44" s="87"/>
      <c r="FRE44" s="87"/>
      <c r="FRF44" s="87"/>
      <c r="FRG44" s="87"/>
      <c r="FRH44" s="87"/>
      <c r="FRI44" s="87"/>
      <c r="FRJ44" s="87"/>
      <c r="FRK44" s="87"/>
      <c r="FRL44" s="87"/>
      <c r="FRM44" s="87"/>
      <c r="FRN44" s="87"/>
      <c r="FRO44" s="87"/>
      <c r="FRP44" s="87"/>
      <c r="FRQ44" s="87"/>
      <c r="FRR44" s="87"/>
      <c r="FRS44" s="87"/>
      <c r="FRT44" s="87"/>
      <c r="FRU44" s="87"/>
      <c r="FRV44" s="87"/>
      <c r="FRW44" s="87"/>
      <c r="FRX44" s="87"/>
      <c r="FRY44" s="87"/>
      <c r="FRZ44" s="87"/>
      <c r="FSA44" s="87"/>
      <c r="FSB44" s="87"/>
      <c r="FSC44" s="87"/>
      <c r="FSD44" s="87"/>
      <c r="FSE44" s="87"/>
      <c r="FSF44" s="87"/>
      <c r="FSG44" s="87"/>
      <c r="FSH44" s="87"/>
      <c r="FSI44" s="87"/>
      <c r="FSJ44" s="87"/>
      <c r="FSK44" s="87"/>
      <c r="FSL44" s="87"/>
      <c r="FSM44" s="87"/>
      <c r="FSN44" s="87"/>
      <c r="FSO44" s="87"/>
      <c r="FSP44" s="87"/>
      <c r="FSQ44" s="87"/>
      <c r="FSR44" s="87"/>
      <c r="FSS44" s="87"/>
      <c r="FST44" s="87"/>
      <c r="FSU44" s="87"/>
      <c r="FSV44" s="87"/>
      <c r="FSW44" s="87"/>
      <c r="FSX44" s="87"/>
      <c r="FSY44" s="87"/>
      <c r="FSZ44" s="87"/>
      <c r="FTA44" s="87"/>
      <c r="FTB44" s="87"/>
      <c r="FTC44" s="87"/>
      <c r="FTD44" s="87"/>
      <c r="FTE44" s="87"/>
      <c r="FTF44" s="87"/>
      <c r="FTG44" s="87"/>
      <c r="FTH44" s="87"/>
      <c r="FTI44" s="87"/>
      <c r="FTJ44" s="87"/>
      <c r="FTK44" s="87"/>
      <c r="FTL44" s="87"/>
      <c r="FTM44" s="87"/>
      <c r="FTN44" s="87"/>
      <c r="FTO44" s="87"/>
      <c r="FTP44" s="87"/>
      <c r="FTQ44" s="87"/>
      <c r="FTR44" s="87"/>
      <c r="FTS44" s="87"/>
      <c r="FTT44" s="87"/>
      <c r="FTU44" s="87"/>
      <c r="FTV44" s="87"/>
      <c r="FTW44" s="87"/>
      <c r="FTX44" s="87"/>
      <c r="FTY44" s="87"/>
      <c r="FTZ44" s="87"/>
      <c r="FUA44" s="87"/>
      <c r="FUB44" s="87"/>
      <c r="FUC44" s="87"/>
      <c r="FUD44" s="87"/>
      <c r="FUE44" s="87"/>
      <c r="FUF44" s="87"/>
      <c r="FUG44" s="87"/>
      <c r="FUH44" s="87"/>
      <c r="FUI44" s="87"/>
      <c r="FUJ44" s="87"/>
      <c r="FUK44" s="87"/>
      <c r="FUL44" s="87"/>
      <c r="FUM44" s="87"/>
      <c r="FUN44" s="87"/>
      <c r="FUO44" s="87"/>
      <c r="FUP44" s="87"/>
      <c r="FUQ44" s="87"/>
      <c r="FUR44" s="87"/>
      <c r="FUS44" s="87"/>
      <c r="FUT44" s="87"/>
      <c r="FUU44" s="87"/>
      <c r="FUV44" s="87"/>
      <c r="FUW44" s="87"/>
      <c r="FUX44" s="87"/>
      <c r="FUY44" s="87"/>
      <c r="FUZ44" s="87"/>
      <c r="FVA44" s="87"/>
      <c r="FVB44" s="87"/>
      <c r="FVC44" s="87"/>
      <c r="FVD44" s="87"/>
      <c r="FVE44" s="87"/>
      <c r="FVF44" s="87"/>
      <c r="FVG44" s="87"/>
      <c r="FVH44" s="87"/>
      <c r="FVI44" s="87"/>
      <c r="FVJ44" s="87"/>
      <c r="FVK44" s="87"/>
      <c r="FVL44" s="87"/>
      <c r="FVM44" s="87"/>
      <c r="FVN44" s="87"/>
      <c r="FVO44" s="87"/>
      <c r="FVP44" s="87"/>
      <c r="FVQ44" s="87"/>
      <c r="FVR44" s="87"/>
      <c r="FVS44" s="87"/>
      <c r="FVT44" s="87"/>
      <c r="FVU44" s="87"/>
      <c r="FVV44" s="87"/>
      <c r="FVW44" s="87"/>
      <c r="FVX44" s="87"/>
      <c r="FVY44" s="87"/>
      <c r="FVZ44" s="87"/>
      <c r="FWA44" s="87"/>
      <c r="FWB44" s="87"/>
      <c r="FWC44" s="87"/>
      <c r="FWD44" s="87"/>
      <c r="FWE44" s="87"/>
      <c r="FWF44" s="87"/>
      <c r="FWG44" s="87"/>
      <c r="FWH44" s="87"/>
      <c r="FWI44" s="87"/>
      <c r="FWJ44" s="87"/>
      <c r="FWK44" s="87"/>
      <c r="FWL44" s="87"/>
      <c r="FWM44" s="87"/>
      <c r="FWN44" s="87"/>
      <c r="FWO44" s="87"/>
      <c r="FWP44" s="87"/>
      <c r="FWQ44" s="87"/>
      <c r="FWR44" s="87"/>
      <c r="FWS44" s="87"/>
      <c r="FWT44" s="87"/>
      <c r="FWU44" s="87"/>
      <c r="FWV44" s="87"/>
      <c r="FWW44" s="87"/>
      <c r="FWX44" s="87"/>
      <c r="FWY44" s="87"/>
      <c r="FWZ44" s="87"/>
      <c r="FXA44" s="87"/>
      <c r="FXB44" s="87"/>
      <c r="FXC44" s="87"/>
      <c r="FXD44" s="87"/>
      <c r="FXE44" s="87"/>
      <c r="FXF44" s="87"/>
      <c r="FXG44" s="87"/>
      <c r="FXH44" s="87"/>
      <c r="FXI44" s="87"/>
      <c r="FXJ44" s="87"/>
      <c r="FXK44" s="87"/>
      <c r="FXL44" s="87"/>
      <c r="FXM44" s="87"/>
      <c r="FXN44" s="87"/>
      <c r="FXO44" s="87"/>
      <c r="FXP44" s="87"/>
      <c r="FXQ44" s="87"/>
      <c r="FXR44" s="87"/>
      <c r="FXS44" s="87"/>
      <c r="FXT44" s="87"/>
      <c r="FXU44" s="87"/>
      <c r="FXV44" s="87"/>
      <c r="FXW44" s="87"/>
      <c r="FXX44" s="87"/>
      <c r="FXY44" s="87"/>
      <c r="FXZ44" s="87"/>
      <c r="FYA44" s="87"/>
      <c r="FYB44" s="87"/>
      <c r="FYC44" s="87"/>
      <c r="FYD44" s="87"/>
      <c r="FYE44" s="87"/>
      <c r="FYF44" s="87"/>
      <c r="FYG44" s="87"/>
      <c r="FYH44" s="87"/>
      <c r="FYI44" s="87"/>
      <c r="FYJ44" s="87"/>
      <c r="FYK44" s="87"/>
      <c r="FYL44" s="87"/>
      <c r="FYM44" s="87"/>
      <c r="FYN44" s="87"/>
      <c r="FYO44" s="87"/>
      <c r="FYP44" s="87"/>
      <c r="FYQ44" s="87"/>
      <c r="FYR44" s="87"/>
      <c r="FYS44" s="87"/>
      <c r="FYT44" s="87"/>
      <c r="FYU44" s="87"/>
      <c r="FYV44" s="87"/>
      <c r="FYW44" s="87"/>
      <c r="FYX44" s="87"/>
      <c r="FYY44" s="87"/>
      <c r="FYZ44" s="87"/>
      <c r="FZA44" s="87"/>
      <c r="FZB44" s="87"/>
      <c r="FZC44" s="87"/>
      <c r="FZD44" s="87"/>
      <c r="FZE44" s="87"/>
      <c r="FZF44" s="87"/>
      <c r="FZG44" s="87"/>
      <c r="FZH44" s="87"/>
      <c r="FZI44" s="87"/>
      <c r="FZJ44" s="87"/>
      <c r="FZK44" s="87"/>
      <c r="FZL44" s="87"/>
      <c r="FZM44" s="87"/>
      <c r="FZN44" s="87"/>
      <c r="FZO44" s="87"/>
      <c r="FZP44" s="87"/>
      <c r="FZQ44" s="87"/>
      <c r="FZR44" s="87"/>
      <c r="FZS44" s="87"/>
      <c r="FZT44" s="87"/>
      <c r="FZU44" s="87"/>
      <c r="FZV44" s="87"/>
      <c r="FZW44" s="87"/>
      <c r="FZX44" s="87"/>
      <c r="FZY44" s="87"/>
      <c r="FZZ44" s="87"/>
      <c r="GAA44" s="87"/>
      <c r="GAB44" s="87"/>
      <c r="GAC44" s="87"/>
      <c r="GAD44" s="87"/>
      <c r="GAE44" s="87"/>
      <c r="GAF44" s="87"/>
      <c r="GAG44" s="87"/>
      <c r="GAH44" s="87"/>
      <c r="GAI44" s="87"/>
      <c r="GAJ44" s="87"/>
      <c r="GAK44" s="87"/>
      <c r="GAL44" s="87"/>
      <c r="GAM44" s="87"/>
      <c r="GAN44" s="87"/>
      <c r="GAO44" s="87"/>
      <c r="GAP44" s="87"/>
      <c r="GAQ44" s="87"/>
      <c r="GAR44" s="87"/>
      <c r="GAS44" s="87"/>
      <c r="GAT44" s="87"/>
      <c r="GAU44" s="87"/>
      <c r="GAV44" s="87"/>
      <c r="GAW44" s="87"/>
      <c r="GAX44" s="87"/>
      <c r="GAY44" s="87"/>
      <c r="GAZ44" s="87"/>
      <c r="GBA44" s="87"/>
      <c r="GBB44" s="87"/>
      <c r="GBC44" s="87"/>
      <c r="GBD44" s="87"/>
      <c r="GBE44" s="87"/>
      <c r="GBF44" s="87"/>
      <c r="GBG44" s="87"/>
      <c r="GBH44" s="87"/>
      <c r="GBI44" s="87"/>
      <c r="GBJ44" s="87"/>
      <c r="GBK44" s="87"/>
      <c r="GBL44" s="87"/>
      <c r="GBM44" s="87"/>
      <c r="GBN44" s="87"/>
      <c r="GBO44" s="87"/>
      <c r="GBP44" s="87"/>
      <c r="GBQ44" s="87"/>
      <c r="GBR44" s="87"/>
      <c r="GBS44" s="87"/>
      <c r="GBT44" s="87"/>
      <c r="GBU44" s="87"/>
      <c r="GBV44" s="87"/>
      <c r="GBW44" s="87"/>
      <c r="GBX44" s="87"/>
      <c r="GBY44" s="87"/>
      <c r="GBZ44" s="87"/>
      <c r="GCA44" s="87"/>
      <c r="GCB44" s="87"/>
      <c r="GCC44" s="87"/>
      <c r="GCD44" s="87"/>
      <c r="GCE44" s="87"/>
      <c r="GCF44" s="87"/>
      <c r="GCG44" s="87"/>
      <c r="GCH44" s="87"/>
      <c r="GCI44" s="87"/>
      <c r="GCJ44" s="87"/>
      <c r="GCK44" s="87"/>
      <c r="GCL44" s="87"/>
      <c r="GCM44" s="87"/>
      <c r="GCN44" s="87"/>
      <c r="GCO44" s="87"/>
      <c r="GCP44" s="87"/>
      <c r="GCQ44" s="87"/>
      <c r="GCR44" s="87"/>
      <c r="GCS44" s="87"/>
      <c r="GCT44" s="87"/>
      <c r="GCU44" s="87"/>
      <c r="GCV44" s="87"/>
      <c r="GCW44" s="87"/>
      <c r="GCX44" s="87"/>
      <c r="GCY44" s="87"/>
      <c r="GCZ44" s="87"/>
      <c r="GDA44" s="87"/>
      <c r="GDB44" s="87"/>
      <c r="GDC44" s="87"/>
      <c r="GDD44" s="87"/>
      <c r="GDE44" s="87"/>
      <c r="GDF44" s="87"/>
      <c r="GDG44" s="87"/>
      <c r="GDH44" s="87"/>
      <c r="GDI44" s="87"/>
      <c r="GDJ44" s="87"/>
      <c r="GDK44" s="87"/>
      <c r="GDL44" s="87"/>
      <c r="GDM44" s="87"/>
      <c r="GDN44" s="87"/>
      <c r="GDO44" s="87"/>
      <c r="GDP44" s="87"/>
      <c r="GDQ44" s="87"/>
      <c r="GDR44" s="87"/>
      <c r="GDS44" s="87"/>
      <c r="GDT44" s="87"/>
      <c r="GDU44" s="87"/>
      <c r="GDV44" s="87"/>
      <c r="GDW44" s="87"/>
      <c r="GDX44" s="87"/>
      <c r="GDY44" s="87"/>
      <c r="GDZ44" s="87"/>
      <c r="GEA44" s="87"/>
      <c r="GEB44" s="87"/>
      <c r="GEC44" s="87"/>
      <c r="GED44" s="87"/>
      <c r="GEE44" s="87"/>
      <c r="GEF44" s="87"/>
      <c r="GEG44" s="87"/>
      <c r="GEH44" s="87"/>
      <c r="GEI44" s="87"/>
      <c r="GEJ44" s="87"/>
      <c r="GEK44" s="87"/>
      <c r="GEL44" s="87"/>
      <c r="GEM44" s="87"/>
      <c r="GEN44" s="87"/>
      <c r="GEO44" s="87"/>
      <c r="GEP44" s="87"/>
      <c r="GEQ44" s="87"/>
      <c r="GER44" s="87"/>
      <c r="GES44" s="87"/>
      <c r="GET44" s="87"/>
      <c r="GEU44" s="87"/>
      <c r="GEV44" s="87"/>
      <c r="GEW44" s="87"/>
      <c r="GEX44" s="87"/>
      <c r="GEY44" s="87"/>
      <c r="GEZ44" s="87"/>
      <c r="GFA44" s="87"/>
      <c r="GFB44" s="87"/>
      <c r="GFC44" s="87"/>
      <c r="GFD44" s="87"/>
      <c r="GFE44" s="87"/>
      <c r="GFF44" s="87"/>
      <c r="GFG44" s="87"/>
      <c r="GFH44" s="87"/>
      <c r="GFI44" s="87"/>
      <c r="GFJ44" s="87"/>
      <c r="GFK44" s="87"/>
      <c r="GFL44" s="87"/>
      <c r="GFM44" s="87"/>
      <c r="GFN44" s="87"/>
      <c r="GFO44" s="87"/>
      <c r="GFP44" s="87"/>
      <c r="GFQ44" s="87"/>
      <c r="GFR44" s="87"/>
      <c r="GFS44" s="87"/>
      <c r="GFT44" s="87"/>
      <c r="GFU44" s="87"/>
      <c r="GFV44" s="87"/>
      <c r="GFW44" s="87"/>
      <c r="GFX44" s="87"/>
      <c r="GFY44" s="87"/>
      <c r="GFZ44" s="87"/>
      <c r="GGA44" s="87"/>
      <c r="GGB44" s="87"/>
      <c r="GGC44" s="87"/>
      <c r="GGD44" s="87"/>
      <c r="GGE44" s="87"/>
      <c r="GGF44" s="87"/>
      <c r="GGG44" s="87"/>
      <c r="GGH44" s="87"/>
      <c r="GGI44" s="87"/>
      <c r="GGJ44" s="87"/>
      <c r="GGK44" s="87"/>
      <c r="GGL44" s="87"/>
      <c r="GGM44" s="87"/>
      <c r="GGN44" s="87"/>
      <c r="GGO44" s="87"/>
      <c r="GGP44" s="87"/>
      <c r="GGQ44" s="87"/>
      <c r="GGR44" s="87"/>
      <c r="GGS44" s="87"/>
      <c r="GGT44" s="87"/>
      <c r="GGU44" s="87"/>
      <c r="GGV44" s="87"/>
      <c r="GGW44" s="87"/>
      <c r="GGX44" s="87"/>
      <c r="GGY44" s="87"/>
      <c r="GGZ44" s="87"/>
      <c r="GHA44" s="87"/>
      <c r="GHB44" s="87"/>
      <c r="GHC44" s="87"/>
      <c r="GHD44" s="87"/>
      <c r="GHE44" s="87"/>
      <c r="GHF44" s="87"/>
      <c r="GHG44" s="87"/>
      <c r="GHH44" s="87"/>
      <c r="GHI44" s="87"/>
      <c r="GHJ44" s="87"/>
      <c r="GHK44" s="87"/>
      <c r="GHL44" s="87"/>
      <c r="GHM44" s="87"/>
      <c r="GHN44" s="87"/>
      <c r="GHO44" s="87"/>
      <c r="GHP44" s="87"/>
      <c r="GHQ44" s="87"/>
      <c r="GHR44" s="87"/>
      <c r="GHS44" s="87"/>
      <c r="GHT44" s="87"/>
      <c r="GHU44" s="87"/>
      <c r="GHV44" s="87"/>
      <c r="GHW44" s="87"/>
      <c r="GHX44" s="87"/>
      <c r="GHY44" s="87"/>
      <c r="GHZ44" s="87"/>
      <c r="GIA44" s="87"/>
      <c r="GIB44" s="87"/>
      <c r="GIC44" s="87"/>
      <c r="GID44" s="87"/>
      <c r="GIE44" s="87"/>
      <c r="GIF44" s="87"/>
      <c r="GIG44" s="87"/>
      <c r="GIH44" s="87"/>
      <c r="GII44" s="87"/>
      <c r="GIJ44" s="87"/>
      <c r="GIK44" s="87"/>
      <c r="GIL44" s="87"/>
      <c r="GIM44" s="87"/>
      <c r="GIN44" s="87"/>
      <c r="GIO44" s="87"/>
      <c r="GIP44" s="87"/>
      <c r="GIQ44" s="87"/>
      <c r="GIR44" s="87"/>
      <c r="GIS44" s="87"/>
      <c r="GIT44" s="87"/>
      <c r="GIU44" s="87"/>
      <c r="GIV44" s="87"/>
      <c r="GIW44" s="87"/>
      <c r="GIX44" s="87"/>
      <c r="GIY44" s="87"/>
      <c r="GIZ44" s="87"/>
      <c r="GJA44" s="87"/>
      <c r="GJB44" s="87"/>
      <c r="GJC44" s="87"/>
      <c r="GJD44" s="87"/>
      <c r="GJE44" s="87"/>
      <c r="GJF44" s="87"/>
      <c r="GJG44" s="87"/>
      <c r="GJH44" s="87"/>
      <c r="GJI44" s="87"/>
      <c r="GJJ44" s="87"/>
      <c r="GJK44" s="87"/>
      <c r="GJL44" s="87"/>
      <c r="GJM44" s="87"/>
      <c r="GJN44" s="87"/>
      <c r="GJO44" s="87"/>
      <c r="GJP44" s="87"/>
      <c r="GJQ44" s="87"/>
      <c r="GJR44" s="87"/>
      <c r="GJS44" s="87"/>
      <c r="GJT44" s="87"/>
      <c r="GJU44" s="87"/>
      <c r="GJV44" s="87"/>
      <c r="GJW44" s="87"/>
      <c r="GJX44" s="87"/>
      <c r="GJY44" s="87"/>
      <c r="GJZ44" s="87"/>
      <c r="GKA44" s="87"/>
      <c r="GKB44" s="87"/>
      <c r="GKC44" s="87"/>
      <c r="GKD44" s="87"/>
      <c r="GKE44" s="87"/>
      <c r="GKF44" s="87"/>
      <c r="GKG44" s="87"/>
      <c r="GKH44" s="87"/>
      <c r="GKI44" s="87"/>
      <c r="GKJ44" s="87"/>
      <c r="GKK44" s="87"/>
      <c r="GKL44" s="87"/>
      <c r="GKM44" s="87"/>
      <c r="GKN44" s="87"/>
      <c r="GKO44" s="87"/>
      <c r="GKP44" s="87"/>
      <c r="GKQ44" s="87"/>
      <c r="GKR44" s="87"/>
      <c r="GKS44" s="87"/>
      <c r="GKT44" s="87"/>
      <c r="GKU44" s="87"/>
      <c r="GKV44" s="87"/>
      <c r="GKW44" s="87"/>
      <c r="GKX44" s="87"/>
      <c r="GKY44" s="87"/>
      <c r="GKZ44" s="87"/>
      <c r="GLA44" s="87"/>
      <c r="GLB44" s="87"/>
      <c r="GLC44" s="87"/>
      <c r="GLD44" s="87"/>
      <c r="GLE44" s="87"/>
      <c r="GLF44" s="87"/>
      <c r="GLG44" s="87"/>
      <c r="GLH44" s="87"/>
      <c r="GLI44" s="87"/>
      <c r="GLJ44" s="87"/>
      <c r="GLK44" s="87"/>
      <c r="GLL44" s="87"/>
      <c r="GLM44" s="87"/>
      <c r="GLN44" s="87"/>
      <c r="GLO44" s="87"/>
      <c r="GLP44" s="87"/>
      <c r="GLQ44" s="87"/>
      <c r="GLR44" s="87"/>
      <c r="GLS44" s="87"/>
      <c r="GLT44" s="87"/>
      <c r="GLU44" s="87"/>
      <c r="GLV44" s="87"/>
      <c r="GLW44" s="87"/>
      <c r="GLX44" s="87"/>
      <c r="GLY44" s="87"/>
      <c r="GLZ44" s="87"/>
      <c r="GMA44" s="87"/>
      <c r="GMB44" s="87"/>
      <c r="GMC44" s="87"/>
      <c r="GMD44" s="87"/>
      <c r="GME44" s="87"/>
      <c r="GMF44" s="87"/>
      <c r="GMG44" s="87"/>
      <c r="GMH44" s="87"/>
      <c r="GMI44" s="87"/>
      <c r="GMJ44" s="87"/>
      <c r="GMK44" s="87"/>
      <c r="GML44" s="87"/>
      <c r="GMM44" s="87"/>
      <c r="GMN44" s="87"/>
      <c r="GMO44" s="87"/>
      <c r="GMP44" s="87"/>
      <c r="GMQ44" s="87"/>
      <c r="GMR44" s="87"/>
      <c r="GMS44" s="87"/>
      <c r="GMT44" s="87"/>
      <c r="GMU44" s="87"/>
      <c r="GMV44" s="87"/>
      <c r="GMW44" s="87"/>
      <c r="GMX44" s="87"/>
      <c r="GMY44" s="87"/>
      <c r="GMZ44" s="87"/>
      <c r="GNA44" s="87"/>
      <c r="GNB44" s="87"/>
      <c r="GNC44" s="87"/>
      <c r="GND44" s="87"/>
      <c r="GNE44" s="87"/>
      <c r="GNF44" s="87"/>
      <c r="GNG44" s="87"/>
      <c r="GNH44" s="87"/>
      <c r="GNI44" s="87"/>
      <c r="GNJ44" s="87"/>
      <c r="GNK44" s="87"/>
      <c r="GNL44" s="87"/>
      <c r="GNM44" s="87"/>
      <c r="GNN44" s="87"/>
      <c r="GNO44" s="87"/>
      <c r="GNP44" s="87"/>
      <c r="GNQ44" s="87"/>
      <c r="GNR44" s="87"/>
      <c r="GNS44" s="87"/>
      <c r="GNT44" s="87"/>
      <c r="GNU44" s="87"/>
      <c r="GNV44" s="87"/>
      <c r="GNW44" s="87"/>
      <c r="GNX44" s="87"/>
      <c r="GNY44" s="87"/>
      <c r="GNZ44" s="87"/>
      <c r="GOA44" s="87"/>
      <c r="GOB44" s="87"/>
      <c r="GOC44" s="87"/>
      <c r="GOD44" s="87"/>
      <c r="GOE44" s="87"/>
      <c r="GOF44" s="87"/>
      <c r="GOG44" s="87"/>
      <c r="GOH44" s="87"/>
      <c r="GOI44" s="87"/>
      <c r="GOJ44" s="87"/>
      <c r="GOK44" s="87"/>
      <c r="GOL44" s="87"/>
      <c r="GOM44" s="87"/>
      <c r="GON44" s="87"/>
      <c r="GOO44" s="87"/>
      <c r="GOP44" s="87"/>
      <c r="GOQ44" s="87"/>
      <c r="GOR44" s="87"/>
      <c r="GOS44" s="87"/>
      <c r="GOT44" s="87"/>
      <c r="GOU44" s="87"/>
      <c r="GOV44" s="87"/>
      <c r="GOW44" s="87"/>
      <c r="GOX44" s="87"/>
      <c r="GOY44" s="87"/>
      <c r="GOZ44" s="87"/>
      <c r="GPA44" s="87"/>
      <c r="GPB44" s="87"/>
      <c r="GPC44" s="87"/>
      <c r="GPD44" s="87"/>
      <c r="GPE44" s="87"/>
      <c r="GPF44" s="87"/>
      <c r="GPG44" s="87"/>
      <c r="GPH44" s="87"/>
      <c r="GPI44" s="87"/>
      <c r="GPJ44" s="87"/>
      <c r="GPK44" s="87"/>
      <c r="GPL44" s="87"/>
      <c r="GPM44" s="87"/>
      <c r="GPN44" s="87"/>
      <c r="GPO44" s="87"/>
      <c r="GPP44" s="87"/>
      <c r="GPQ44" s="87"/>
      <c r="GPR44" s="87"/>
      <c r="GPS44" s="87"/>
      <c r="GPT44" s="87"/>
      <c r="GPU44" s="87"/>
      <c r="GPV44" s="87"/>
      <c r="GPW44" s="87"/>
      <c r="GPX44" s="87"/>
      <c r="GPY44" s="87"/>
      <c r="GPZ44" s="87"/>
      <c r="GQA44" s="87"/>
      <c r="GQB44" s="87"/>
      <c r="GQC44" s="87"/>
      <c r="GQD44" s="87"/>
      <c r="GQE44" s="87"/>
      <c r="GQF44" s="87"/>
      <c r="GQG44" s="87"/>
      <c r="GQH44" s="87"/>
      <c r="GQI44" s="87"/>
      <c r="GQJ44" s="87"/>
      <c r="GQK44" s="87"/>
      <c r="GQL44" s="87"/>
      <c r="GQM44" s="87"/>
      <c r="GQN44" s="87"/>
      <c r="GQO44" s="87"/>
      <c r="GQP44" s="87"/>
      <c r="GQQ44" s="87"/>
      <c r="GQR44" s="87"/>
      <c r="GQS44" s="87"/>
      <c r="GQT44" s="87"/>
      <c r="GQU44" s="87"/>
      <c r="GQV44" s="87"/>
      <c r="GQW44" s="87"/>
      <c r="GQX44" s="87"/>
      <c r="GQY44" s="87"/>
      <c r="GQZ44" s="87"/>
      <c r="GRA44" s="87"/>
      <c r="GRB44" s="87"/>
      <c r="GRC44" s="87"/>
      <c r="GRD44" s="87"/>
      <c r="GRE44" s="87"/>
      <c r="GRF44" s="87"/>
      <c r="GRG44" s="87"/>
      <c r="GRH44" s="87"/>
      <c r="GRI44" s="87"/>
      <c r="GRJ44" s="87"/>
      <c r="GRK44" s="87"/>
      <c r="GRL44" s="87"/>
      <c r="GRM44" s="87"/>
      <c r="GRN44" s="87"/>
      <c r="GRO44" s="87"/>
      <c r="GRP44" s="87"/>
      <c r="GRQ44" s="87"/>
      <c r="GRR44" s="87"/>
      <c r="GRS44" s="87"/>
      <c r="GRT44" s="87"/>
      <c r="GRU44" s="87"/>
      <c r="GRV44" s="87"/>
      <c r="GRW44" s="87"/>
      <c r="GRX44" s="87"/>
      <c r="GRY44" s="87"/>
      <c r="GRZ44" s="87"/>
      <c r="GSA44" s="87"/>
      <c r="GSB44" s="87"/>
      <c r="GSC44" s="87"/>
      <c r="GSD44" s="87"/>
      <c r="GSE44" s="87"/>
      <c r="GSF44" s="87"/>
      <c r="GSG44" s="87"/>
      <c r="GSH44" s="87"/>
      <c r="GSI44" s="87"/>
      <c r="GSJ44" s="87"/>
      <c r="GSK44" s="87"/>
      <c r="GSL44" s="87"/>
      <c r="GSM44" s="87"/>
      <c r="GSN44" s="87"/>
      <c r="GSO44" s="87"/>
      <c r="GSP44" s="87"/>
      <c r="GSQ44" s="87"/>
      <c r="GSR44" s="87"/>
      <c r="GSS44" s="87"/>
      <c r="GST44" s="87"/>
      <c r="GSU44" s="87"/>
      <c r="GSV44" s="87"/>
      <c r="GSW44" s="87"/>
      <c r="GSX44" s="87"/>
      <c r="GSY44" s="87"/>
      <c r="GSZ44" s="87"/>
      <c r="GTA44" s="87"/>
      <c r="GTB44" s="87"/>
      <c r="GTC44" s="87"/>
      <c r="GTD44" s="87"/>
      <c r="GTE44" s="87"/>
      <c r="GTF44" s="87"/>
      <c r="GTG44" s="87"/>
      <c r="GTH44" s="87"/>
      <c r="GTI44" s="87"/>
      <c r="GTJ44" s="87"/>
      <c r="GTK44" s="87"/>
      <c r="GTL44" s="87"/>
      <c r="GTM44" s="87"/>
      <c r="GTN44" s="87"/>
      <c r="GTO44" s="87"/>
      <c r="GTP44" s="87"/>
      <c r="GTQ44" s="87"/>
      <c r="GTR44" s="87"/>
      <c r="GTS44" s="87"/>
      <c r="GTT44" s="87"/>
      <c r="GTU44" s="87"/>
      <c r="GTV44" s="87"/>
      <c r="GTW44" s="87"/>
      <c r="GTX44" s="87"/>
      <c r="GTY44" s="87"/>
      <c r="GTZ44" s="87"/>
      <c r="GUA44" s="87"/>
      <c r="GUB44" s="87"/>
      <c r="GUC44" s="87"/>
      <c r="GUD44" s="87"/>
      <c r="GUE44" s="87"/>
      <c r="GUF44" s="87"/>
      <c r="GUG44" s="87"/>
      <c r="GUH44" s="87"/>
      <c r="GUI44" s="87"/>
      <c r="GUJ44" s="87"/>
      <c r="GUK44" s="87"/>
      <c r="GUL44" s="87"/>
      <c r="GUM44" s="87"/>
      <c r="GUN44" s="87"/>
      <c r="GUO44" s="87"/>
      <c r="GUP44" s="87"/>
      <c r="GUQ44" s="87"/>
      <c r="GUR44" s="87"/>
      <c r="GUS44" s="87"/>
      <c r="GUT44" s="87"/>
      <c r="GUU44" s="87"/>
      <c r="GUV44" s="87"/>
      <c r="GUW44" s="87"/>
      <c r="GUX44" s="87"/>
      <c r="GUY44" s="87"/>
      <c r="GUZ44" s="87"/>
      <c r="GVA44" s="87"/>
      <c r="GVB44" s="87"/>
      <c r="GVC44" s="87"/>
      <c r="GVD44" s="87"/>
      <c r="GVE44" s="87"/>
      <c r="GVF44" s="87"/>
      <c r="GVG44" s="87"/>
      <c r="GVH44" s="87"/>
      <c r="GVI44" s="87"/>
      <c r="GVJ44" s="87"/>
      <c r="GVK44" s="87"/>
      <c r="GVL44" s="87"/>
      <c r="GVM44" s="87"/>
      <c r="GVN44" s="87"/>
      <c r="GVO44" s="87"/>
      <c r="GVP44" s="87"/>
      <c r="GVQ44" s="87"/>
      <c r="GVR44" s="87"/>
      <c r="GVS44" s="87"/>
      <c r="GVT44" s="87"/>
      <c r="GVU44" s="87"/>
      <c r="GVV44" s="87"/>
      <c r="GVW44" s="87"/>
      <c r="GVX44" s="87"/>
      <c r="GVY44" s="87"/>
      <c r="GVZ44" s="87"/>
      <c r="GWA44" s="87"/>
      <c r="GWB44" s="87"/>
      <c r="GWC44" s="87"/>
      <c r="GWD44" s="87"/>
      <c r="GWE44" s="87"/>
      <c r="GWF44" s="87"/>
      <c r="GWG44" s="87"/>
      <c r="GWH44" s="87"/>
      <c r="GWI44" s="87"/>
      <c r="GWJ44" s="87"/>
      <c r="GWK44" s="87"/>
      <c r="GWL44" s="87"/>
      <c r="GWM44" s="87"/>
      <c r="GWN44" s="87"/>
      <c r="GWO44" s="87"/>
      <c r="GWP44" s="87"/>
      <c r="GWQ44" s="87"/>
      <c r="GWR44" s="87"/>
      <c r="GWS44" s="87"/>
      <c r="GWT44" s="87"/>
      <c r="GWU44" s="87"/>
      <c r="GWV44" s="87"/>
      <c r="GWW44" s="87"/>
      <c r="GWX44" s="87"/>
      <c r="GWY44" s="87"/>
      <c r="GWZ44" s="87"/>
      <c r="GXA44" s="87"/>
      <c r="GXB44" s="87"/>
      <c r="GXC44" s="87"/>
      <c r="GXD44" s="87"/>
      <c r="GXE44" s="87"/>
      <c r="GXF44" s="87"/>
      <c r="GXG44" s="87"/>
      <c r="GXH44" s="87"/>
      <c r="GXI44" s="87"/>
      <c r="GXJ44" s="87"/>
      <c r="GXK44" s="87"/>
      <c r="GXL44" s="87"/>
      <c r="GXM44" s="87"/>
      <c r="GXN44" s="87"/>
      <c r="GXO44" s="87"/>
      <c r="GXP44" s="87"/>
      <c r="GXQ44" s="87"/>
      <c r="GXR44" s="87"/>
      <c r="GXS44" s="87"/>
      <c r="GXT44" s="87"/>
      <c r="GXU44" s="87"/>
      <c r="GXV44" s="87"/>
      <c r="GXW44" s="87"/>
      <c r="GXX44" s="87"/>
      <c r="GXY44" s="87"/>
      <c r="GXZ44" s="87"/>
      <c r="GYA44" s="87"/>
      <c r="GYB44" s="87"/>
      <c r="GYC44" s="87"/>
      <c r="GYD44" s="87"/>
      <c r="GYE44" s="87"/>
      <c r="GYF44" s="87"/>
      <c r="GYG44" s="87"/>
      <c r="GYH44" s="87"/>
      <c r="GYI44" s="87"/>
      <c r="GYJ44" s="87"/>
      <c r="GYK44" s="87"/>
      <c r="GYL44" s="87"/>
      <c r="GYM44" s="87"/>
      <c r="GYN44" s="87"/>
      <c r="GYO44" s="87"/>
      <c r="GYP44" s="87"/>
      <c r="GYQ44" s="87"/>
      <c r="GYR44" s="87"/>
      <c r="GYS44" s="87"/>
      <c r="GYT44" s="87"/>
      <c r="GYU44" s="87"/>
      <c r="GYV44" s="87"/>
      <c r="GYW44" s="87"/>
      <c r="GYX44" s="87"/>
      <c r="GYY44" s="87"/>
      <c r="GYZ44" s="87"/>
      <c r="GZA44" s="87"/>
      <c r="GZB44" s="87"/>
      <c r="GZC44" s="87"/>
      <c r="GZD44" s="87"/>
      <c r="GZE44" s="87"/>
      <c r="GZF44" s="87"/>
      <c r="GZG44" s="87"/>
      <c r="GZH44" s="87"/>
      <c r="GZI44" s="87"/>
      <c r="GZJ44" s="87"/>
      <c r="GZK44" s="87"/>
      <c r="GZL44" s="87"/>
      <c r="GZM44" s="87"/>
      <c r="GZN44" s="87"/>
      <c r="GZO44" s="87"/>
      <c r="GZP44" s="87"/>
      <c r="GZQ44" s="87"/>
      <c r="GZR44" s="87"/>
      <c r="GZS44" s="87"/>
      <c r="GZT44" s="87"/>
      <c r="GZU44" s="87"/>
      <c r="GZV44" s="87"/>
      <c r="GZW44" s="87"/>
      <c r="GZX44" s="87"/>
      <c r="GZY44" s="87"/>
      <c r="GZZ44" s="87"/>
      <c r="HAA44" s="87"/>
      <c r="HAB44" s="87"/>
      <c r="HAC44" s="87"/>
      <c r="HAD44" s="87"/>
      <c r="HAE44" s="87"/>
      <c r="HAF44" s="87"/>
      <c r="HAG44" s="87"/>
      <c r="HAH44" s="87"/>
      <c r="HAI44" s="87"/>
      <c r="HAJ44" s="87"/>
      <c r="HAK44" s="87"/>
      <c r="HAL44" s="87"/>
      <c r="HAM44" s="87"/>
      <c r="HAN44" s="87"/>
      <c r="HAO44" s="87"/>
      <c r="HAP44" s="87"/>
      <c r="HAQ44" s="87"/>
      <c r="HAR44" s="87"/>
      <c r="HAS44" s="87"/>
      <c r="HAT44" s="87"/>
      <c r="HAU44" s="87"/>
      <c r="HAV44" s="87"/>
      <c r="HAW44" s="87"/>
      <c r="HAX44" s="87"/>
      <c r="HAY44" s="87"/>
      <c r="HAZ44" s="87"/>
      <c r="HBA44" s="87"/>
      <c r="HBB44" s="87"/>
      <c r="HBC44" s="87"/>
      <c r="HBD44" s="87"/>
      <c r="HBE44" s="87"/>
      <c r="HBF44" s="87"/>
      <c r="HBG44" s="87"/>
      <c r="HBH44" s="87"/>
      <c r="HBI44" s="87"/>
      <c r="HBJ44" s="87"/>
      <c r="HBK44" s="87"/>
      <c r="HBL44" s="87"/>
      <c r="HBM44" s="87"/>
      <c r="HBN44" s="87"/>
      <c r="HBO44" s="87"/>
      <c r="HBP44" s="87"/>
      <c r="HBQ44" s="87"/>
      <c r="HBR44" s="87"/>
      <c r="HBS44" s="87"/>
      <c r="HBT44" s="87"/>
      <c r="HBU44" s="87"/>
      <c r="HBV44" s="87"/>
      <c r="HBW44" s="87"/>
      <c r="HBX44" s="87"/>
      <c r="HBY44" s="87"/>
      <c r="HBZ44" s="87"/>
      <c r="HCA44" s="87"/>
      <c r="HCB44" s="87"/>
      <c r="HCC44" s="87"/>
      <c r="HCD44" s="87"/>
      <c r="HCE44" s="87"/>
      <c r="HCF44" s="87"/>
      <c r="HCG44" s="87"/>
      <c r="HCH44" s="87"/>
      <c r="HCI44" s="87"/>
      <c r="HCJ44" s="87"/>
      <c r="HCK44" s="87"/>
      <c r="HCL44" s="87"/>
      <c r="HCM44" s="87"/>
      <c r="HCN44" s="87"/>
      <c r="HCO44" s="87"/>
      <c r="HCP44" s="87"/>
      <c r="HCQ44" s="87"/>
      <c r="HCR44" s="87"/>
      <c r="HCS44" s="87"/>
      <c r="HCT44" s="87"/>
      <c r="HCU44" s="87"/>
      <c r="HCV44" s="87"/>
      <c r="HCW44" s="87"/>
      <c r="HCX44" s="87"/>
      <c r="HCY44" s="87"/>
      <c r="HCZ44" s="87"/>
      <c r="HDA44" s="87"/>
      <c r="HDB44" s="87"/>
      <c r="HDC44" s="87"/>
      <c r="HDD44" s="87"/>
      <c r="HDE44" s="87"/>
      <c r="HDF44" s="87"/>
      <c r="HDG44" s="87"/>
      <c r="HDH44" s="87"/>
      <c r="HDI44" s="87"/>
      <c r="HDJ44" s="87"/>
      <c r="HDK44" s="87"/>
      <c r="HDL44" s="87"/>
      <c r="HDM44" s="87"/>
      <c r="HDN44" s="87"/>
      <c r="HDO44" s="87"/>
      <c r="HDP44" s="87"/>
      <c r="HDQ44" s="87"/>
      <c r="HDR44" s="87"/>
      <c r="HDS44" s="87"/>
      <c r="HDT44" s="87"/>
      <c r="HDU44" s="87"/>
      <c r="HDV44" s="87"/>
      <c r="HDW44" s="87"/>
      <c r="HDX44" s="87"/>
      <c r="HDY44" s="87"/>
      <c r="HDZ44" s="87"/>
      <c r="HEA44" s="87"/>
      <c r="HEB44" s="87"/>
      <c r="HEC44" s="87"/>
      <c r="HED44" s="87"/>
      <c r="HEE44" s="87"/>
      <c r="HEF44" s="87"/>
      <c r="HEG44" s="87"/>
      <c r="HEH44" s="87"/>
      <c r="HEI44" s="87"/>
      <c r="HEJ44" s="87"/>
      <c r="HEK44" s="87"/>
      <c r="HEL44" s="87"/>
      <c r="HEM44" s="87"/>
      <c r="HEN44" s="87"/>
      <c r="HEO44" s="87"/>
      <c r="HEP44" s="87"/>
      <c r="HEQ44" s="87"/>
      <c r="HER44" s="87"/>
      <c r="HES44" s="87"/>
      <c r="HET44" s="87"/>
      <c r="HEU44" s="87"/>
      <c r="HEV44" s="87"/>
      <c r="HEW44" s="87"/>
      <c r="HEX44" s="87"/>
      <c r="HEY44" s="87"/>
      <c r="HEZ44" s="87"/>
      <c r="HFA44" s="87"/>
      <c r="HFB44" s="87"/>
      <c r="HFC44" s="87"/>
      <c r="HFD44" s="87"/>
      <c r="HFE44" s="87"/>
      <c r="HFF44" s="87"/>
      <c r="HFG44" s="87"/>
      <c r="HFH44" s="87"/>
      <c r="HFI44" s="87"/>
      <c r="HFJ44" s="87"/>
      <c r="HFK44" s="87"/>
      <c r="HFL44" s="87"/>
      <c r="HFM44" s="87"/>
      <c r="HFN44" s="87"/>
      <c r="HFO44" s="87"/>
      <c r="HFP44" s="87"/>
      <c r="HFQ44" s="87"/>
      <c r="HFR44" s="87"/>
      <c r="HFS44" s="87"/>
      <c r="HFT44" s="87"/>
      <c r="HFU44" s="87"/>
      <c r="HFV44" s="87"/>
      <c r="HFW44" s="87"/>
      <c r="HFX44" s="87"/>
      <c r="HFY44" s="87"/>
      <c r="HFZ44" s="87"/>
      <c r="HGA44" s="87"/>
      <c r="HGB44" s="87"/>
      <c r="HGC44" s="87"/>
      <c r="HGD44" s="87"/>
      <c r="HGE44" s="87"/>
      <c r="HGF44" s="87"/>
      <c r="HGG44" s="87"/>
      <c r="HGH44" s="87"/>
      <c r="HGI44" s="87"/>
      <c r="HGJ44" s="87"/>
      <c r="HGK44" s="87"/>
      <c r="HGL44" s="87"/>
      <c r="HGM44" s="87"/>
      <c r="HGN44" s="87"/>
      <c r="HGO44" s="87"/>
      <c r="HGP44" s="87"/>
      <c r="HGQ44" s="87"/>
      <c r="HGR44" s="87"/>
      <c r="HGS44" s="87"/>
      <c r="HGT44" s="87"/>
      <c r="HGU44" s="87"/>
      <c r="HGV44" s="87"/>
      <c r="HGW44" s="87"/>
      <c r="HGX44" s="87"/>
      <c r="HGY44" s="87"/>
      <c r="HGZ44" s="87"/>
      <c r="HHA44" s="87"/>
      <c r="HHB44" s="87"/>
      <c r="HHC44" s="87"/>
      <c r="HHD44" s="87"/>
      <c r="HHE44" s="87"/>
      <c r="HHF44" s="87"/>
      <c r="HHG44" s="87"/>
      <c r="HHH44" s="87"/>
      <c r="HHI44" s="87"/>
      <c r="HHJ44" s="87"/>
      <c r="HHK44" s="87"/>
      <c r="HHL44" s="87"/>
      <c r="HHM44" s="87"/>
      <c r="HHN44" s="87"/>
      <c r="HHO44" s="87"/>
      <c r="HHP44" s="87"/>
      <c r="HHQ44" s="87"/>
      <c r="HHR44" s="87"/>
      <c r="HHS44" s="87"/>
      <c r="HHT44" s="87"/>
      <c r="HHU44" s="87"/>
      <c r="HHV44" s="87"/>
      <c r="HHW44" s="87"/>
      <c r="HHX44" s="87"/>
      <c r="HHY44" s="87"/>
      <c r="HHZ44" s="87"/>
      <c r="HIA44" s="87"/>
      <c r="HIB44" s="87"/>
      <c r="HIC44" s="87"/>
      <c r="HID44" s="87"/>
      <c r="HIE44" s="87"/>
      <c r="HIF44" s="87"/>
      <c r="HIG44" s="87"/>
      <c r="HIH44" s="87"/>
      <c r="HII44" s="87"/>
      <c r="HIJ44" s="87"/>
      <c r="HIK44" s="87"/>
      <c r="HIL44" s="87"/>
      <c r="HIM44" s="87"/>
      <c r="HIN44" s="87"/>
      <c r="HIO44" s="87"/>
      <c r="HIP44" s="87"/>
      <c r="HIQ44" s="87"/>
      <c r="HIR44" s="87"/>
      <c r="HIS44" s="87"/>
      <c r="HIT44" s="87"/>
      <c r="HIU44" s="87"/>
      <c r="HIV44" s="87"/>
      <c r="HIW44" s="87"/>
      <c r="HIX44" s="87"/>
      <c r="HIY44" s="87"/>
      <c r="HIZ44" s="87"/>
      <c r="HJA44" s="87"/>
      <c r="HJB44" s="87"/>
      <c r="HJC44" s="87"/>
      <c r="HJD44" s="87"/>
      <c r="HJE44" s="87"/>
      <c r="HJF44" s="87"/>
      <c r="HJG44" s="87"/>
      <c r="HJH44" s="87"/>
      <c r="HJI44" s="87"/>
      <c r="HJJ44" s="87"/>
      <c r="HJK44" s="87"/>
      <c r="HJL44" s="87"/>
      <c r="HJM44" s="87"/>
      <c r="HJN44" s="87"/>
      <c r="HJO44" s="87"/>
      <c r="HJP44" s="87"/>
      <c r="HJQ44" s="87"/>
      <c r="HJR44" s="87"/>
      <c r="HJS44" s="87"/>
      <c r="HJT44" s="87"/>
      <c r="HJU44" s="87"/>
      <c r="HJV44" s="87"/>
      <c r="HJW44" s="87"/>
      <c r="HJX44" s="87"/>
      <c r="HJY44" s="87"/>
      <c r="HJZ44" s="87"/>
      <c r="HKA44" s="87"/>
      <c r="HKB44" s="87"/>
      <c r="HKC44" s="87"/>
      <c r="HKD44" s="87"/>
      <c r="HKE44" s="87"/>
      <c r="HKF44" s="87"/>
      <c r="HKG44" s="87"/>
      <c r="HKH44" s="87"/>
      <c r="HKI44" s="87"/>
      <c r="HKJ44" s="87"/>
      <c r="HKK44" s="87"/>
      <c r="HKL44" s="87"/>
      <c r="HKM44" s="87"/>
      <c r="HKN44" s="87"/>
      <c r="HKO44" s="87"/>
      <c r="HKP44" s="87"/>
      <c r="HKQ44" s="87"/>
      <c r="HKR44" s="87"/>
      <c r="HKS44" s="87"/>
      <c r="HKT44" s="87"/>
      <c r="HKU44" s="87"/>
      <c r="HKV44" s="87"/>
      <c r="HKW44" s="87"/>
      <c r="HKX44" s="87"/>
      <c r="HKY44" s="87"/>
      <c r="HKZ44" s="87"/>
      <c r="HLA44" s="87"/>
      <c r="HLB44" s="87"/>
      <c r="HLC44" s="87"/>
      <c r="HLD44" s="87"/>
      <c r="HLE44" s="87"/>
      <c r="HLF44" s="87"/>
      <c r="HLG44" s="87"/>
      <c r="HLH44" s="87"/>
      <c r="HLI44" s="87"/>
      <c r="HLJ44" s="87"/>
      <c r="HLK44" s="87"/>
      <c r="HLL44" s="87"/>
      <c r="HLM44" s="87"/>
      <c r="HLN44" s="87"/>
      <c r="HLO44" s="87"/>
      <c r="HLP44" s="87"/>
      <c r="HLQ44" s="87"/>
      <c r="HLR44" s="87"/>
      <c r="HLS44" s="87"/>
      <c r="HLT44" s="87"/>
      <c r="HLU44" s="87"/>
      <c r="HLV44" s="87"/>
      <c r="HLW44" s="87"/>
      <c r="HLX44" s="87"/>
      <c r="HLY44" s="87"/>
      <c r="HLZ44" s="87"/>
      <c r="HMA44" s="87"/>
      <c r="HMB44" s="87"/>
      <c r="HMC44" s="87"/>
      <c r="HMD44" s="87"/>
      <c r="HME44" s="87"/>
      <c r="HMF44" s="87"/>
      <c r="HMG44" s="87"/>
      <c r="HMH44" s="87"/>
      <c r="HMI44" s="87"/>
      <c r="HMJ44" s="87"/>
      <c r="HMK44" s="87"/>
      <c r="HML44" s="87"/>
      <c r="HMM44" s="87"/>
      <c r="HMN44" s="87"/>
      <c r="HMO44" s="87"/>
      <c r="HMP44" s="87"/>
      <c r="HMQ44" s="87"/>
      <c r="HMR44" s="87"/>
      <c r="HMS44" s="87"/>
      <c r="HMT44" s="87"/>
      <c r="HMU44" s="87"/>
      <c r="HMV44" s="87"/>
      <c r="HMW44" s="87"/>
      <c r="HMX44" s="87"/>
      <c r="HMY44" s="87"/>
      <c r="HMZ44" s="87"/>
      <c r="HNA44" s="87"/>
      <c r="HNB44" s="87"/>
      <c r="HNC44" s="87"/>
      <c r="HND44" s="87"/>
      <c r="HNE44" s="87"/>
      <c r="HNF44" s="87"/>
      <c r="HNG44" s="87"/>
      <c r="HNH44" s="87"/>
      <c r="HNI44" s="87"/>
      <c r="HNJ44" s="87"/>
      <c r="HNK44" s="87"/>
      <c r="HNL44" s="87"/>
      <c r="HNM44" s="87"/>
      <c r="HNN44" s="87"/>
      <c r="HNO44" s="87"/>
      <c r="HNP44" s="87"/>
      <c r="HNQ44" s="87"/>
      <c r="HNR44" s="87"/>
      <c r="HNS44" s="87"/>
      <c r="HNT44" s="87"/>
      <c r="HNU44" s="87"/>
      <c r="HNV44" s="87"/>
      <c r="HNW44" s="87"/>
      <c r="HNX44" s="87"/>
      <c r="HNY44" s="87"/>
      <c r="HNZ44" s="87"/>
      <c r="HOA44" s="87"/>
      <c r="HOB44" s="87"/>
      <c r="HOC44" s="87"/>
      <c r="HOD44" s="87"/>
      <c r="HOE44" s="87"/>
      <c r="HOF44" s="87"/>
      <c r="HOG44" s="87"/>
      <c r="HOH44" s="87"/>
      <c r="HOI44" s="87"/>
      <c r="HOJ44" s="87"/>
      <c r="HOK44" s="87"/>
      <c r="HOL44" s="87"/>
      <c r="HOM44" s="87"/>
      <c r="HON44" s="87"/>
      <c r="HOO44" s="87"/>
      <c r="HOP44" s="87"/>
      <c r="HOQ44" s="87"/>
      <c r="HOR44" s="87"/>
      <c r="HOS44" s="87"/>
      <c r="HOT44" s="87"/>
      <c r="HOU44" s="87"/>
      <c r="HOV44" s="87"/>
      <c r="HOW44" s="87"/>
      <c r="HOX44" s="87"/>
      <c r="HOY44" s="87"/>
      <c r="HOZ44" s="87"/>
      <c r="HPA44" s="87"/>
      <c r="HPB44" s="87"/>
      <c r="HPC44" s="87"/>
      <c r="HPD44" s="87"/>
      <c r="HPE44" s="87"/>
      <c r="HPF44" s="87"/>
      <c r="HPG44" s="87"/>
      <c r="HPH44" s="87"/>
      <c r="HPI44" s="87"/>
      <c r="HPJ44" s="87"/>
      <c r="HPK44" s="87"/>
      <c r="HPL44" s="87"/>
      <c r="HPM44" s="87"/>
      <c r="HPN44" s="87"/>
      <c r="HPO44" s="87"/>
      <c r="HPP44" s="87"/>
      <c r="HPQ44" s="87"/>
      <c r="HPR44" s="87"/>
      <c r="HPS44" s="87"/>
      <c r="HPT44" s="87"/>
      <c r="HPU44" s="87"/>
      <c r="HPV44" s="87"/>
      <c r="HPW44" s="87"/>
      <c r="HPX44" s="87"/>
      <c r="HPY44" s="87"/>
      <c r="HPZ44" s="87"/>
      <c r="HQA44" s="87"/>
      <c r="HQB44" s="87"/>
      <c r="HQC44" s="87"/>
      <c r="HQD44" s="87"/>
      <c r="HQE44" s="87"/>
      <c r="HQF44" s="87"/>
      <c r="HQG44" s="87"/>
      <c r="HQH44" s="87"/>
      <c r="HQI44" s="87"/>
      <c r="HQJ44" s="87"/>
      <c r="HQK44" s="87"/>
      <c r="HQL44" s="87"/>
      <c r="HQM44" s="87"/>
      <c r="HQN44" s="87"/>
      <c r="HQO44" s="87"/>
      <c r="HQP44" s="87"/>
      <c r="HQQ44" s="87"/>
      <c r="HQR44" s="87"/>
      <c r="HQS44" s="87"/>
      <c r="HQT44" s="87"/>
      <c r="HQU44" s="87"/>
      <c r="HQV44" s="87"/>
      <c r="HQW44" s="87"/>
      <c r="HQX44" s="87"/>
      <c r="HQY44" s="87"/>
      <c r="HQZ44" s="87"/>
      <c r="HRA44" s="87"/>
      <c r="HRB44" s="87"/>
      <c r="HRC44" s="87"/>
      <c r="HRD44" s="87"/>
      <c r="HRE44" s="87"/>
      <c r="HRF44" s="87"/>
      <c r="HRG44" s="87"/>
      <c r="HRH44" s="87"/>
      <c r="HRI44" s="87"/>
      <c r="HRJ44" s="87"/>
      <c r="HRK44" s="87"/>
      <c r="HRL44" s="87"/>
      <c r="HRM44" s="87"/>
      <c r="HRN44" s="87"/>
      <c r="HRO44" s="87"/>
      <c r="HRP44" s="87"/>
      <c r="HRQ44" s="87"/>
      <c r="HRR44" s="87"/>
      <c r="HRS44" s="87"/>
      <c r="HRT44" s="87"/>
      <c r="HRU44" s="87"/>
      <c r="HRV44" s="87"/>
      <c r="HRW44" s="87"/>
      <c r="HRX44" s="87"/>
      <c r="HRY44" s="87"/>
      <c r="HRZ44" s="87"/>
      <c r="HSA44" s="87"/>
      <c r="HSB44" s="87"/>
      <c r="HSC44" s="87"/>
      <c r="HSD44" s="87"/>
      <c r="HSE44" s="87"/>
      <c r="HSF44" s="87"/>
      <c r="HSG44" s="87"/>
      <c r="HSH44" s="87"/>
      <c r="HSI44" s="87"/>
      <c r="HSJ44" s="87"/>
      <c r="HSK44" s="87"/>
      <c r="HSL44" s="87"/>
      <c r="HSM44" s="87"/>
      <c r="HSN44" s="87"/>
      <c r="HSO44" s="87"/>
      <c r="HSP44" s="87"/>
      <c r="HSQ44" s="87"/>
      <c r="HSR44" s="87"/>
      <c r="HSS44" s="87"/>
      <c r="HST44" s="87"/>
      <c r="HSU44" s="87"/>
      <c r="HSV44" s="87"/>
      <c r="HSW44" s="87"/>
      <c r="HSX44" s="87"/>
      <c r="HSY44" s="87"/>
      <c r="HSZ44" s="87"/>
      <c r="HTA44" s="87"/>
      <c r="HTB44" s="87"/>
      <c r="HTC44" s="87"/>
      <c r="HTD44" s="87"/>
      <c r="HTE44" s="87"/>
      <c r="HTF44" s="87"/>
      <c r="HTG44" s="87"/>
      <c r="HTH44" s="87"/>
      <c r="HTI44" s="87"/>
      <c r="HTJ44" s="87"/>
      <c r="HTK44" s="87"/>
      <c r="HTL44" s="87"/>
      <c r="HTM44" s="87"/>
      <c r="HTN44" s="87"/>
      <c r="HTO44" s="87"/>
      <c r="HTP44" s="87"/>
      <c r="HTQ44" s="87"/>
      <c r="HTR44" s="87"/>
      <c r="HTS44" s="87"/>
      <c r="HTT44" s="87"/>
      <c r="HTU44" s="87"/>
      <c r="HTV44" s="87"/>
      <c r="HTW44" s="87"/>
      <c r="HTX44" s="87"/>
      <c r="HTY44" s="87"/>
      <c r="HTZ44" s="87"/>
      <c r="HUA44" s="87"/>
      <c r="HUB44" s="87"/>
      <c r="HUC44" s="87"/>
      <c r="HUD44" s="87"/>
      <c r="HUE44" s="87"/>
      <c r="HUF44" s="87"/>
      <c r="HUG44" s="87"/>
      <c r="HUH44" s="87"/>
      <c r="HUI44" s="87"/>
      <c r="HUJ44" s="87"/>
      <c r="HUK44" s="87"/>
      <c r="HUL44" s="87"/>
      <c r="HUM44" s="87"/>
      <c r="HUN44" s="87"/>
      <c r="HUO44" s="87"/>
      <c r="HUP44" s="87"/>
      <c r="HUQ44" s="87"/>
      <c r="HUR44" s="87"/>
      <c r="HUS44" s="87"/>
      <c r="HUT44" s="87"/>
      <c r="HUU44" s="87"/>
      <c r="HUV44" s="87"/>
      <c r="HUW44" s="87"/>
      <c r="HUX44" s="87"/>
      <c r="HUY44" s="87"/>
      <c r="HUZ44" s="87"/>
      <c r="HVA44" s="87"/>
      <c r="HVB44" s="87"/>
      <c r="HVC44" s="87"/>
      <c r="HVD44" s="87"/>
      <c r="HVE44" s="87"/>
      <c r="HVF44" s="87"/>
      <c r="HVG44" s="87"/>
      <c r="HVH44" s="87"/>
      <c r="HVI44" s="87"/>
      <c r="HVJ44" s="87"/>
      <c r="HVK44" s="87"/>
      <c r="HVL44" s="87"/>
      <c r="HVM44" s="87"/>
      <c r="HVN44" s="87"/>
      <c r="HVO44" s="87"/>
      <c r="HVP44" s="87"/>
      <c r="HVQ44" s="87"/>
      <c r="HVR44" s="87"/>
      <c r="HVS44" s="87"/>
      <c r="HVT44" s="87"/>
      <c r="HVU44" s="87"/>
      <c r="HVV44" s="87"/>
      <c r="HVW44" s="87"/>
      <c r="HVX44" s="87"/>
      <c r="HVY44" s="87"/>
      <c r="HVZ44" s="87"/>
      <c r="HWA44" s="87"/>
      <c r="HWB44" s="87"/>
      <c r="HWC44" s="87"/>
      <c r="HWD44" s="87"/>
      <c r="HWE44" s="87"/>
      <c r="HWF44" s="87"/>
      <c r="HWG44" s="87"/>
      <c r="HWH44" s="87"/>
      <c r="HWI44" s="87"/>
      <c r="HWJ44" s="87"/>
      <c r="HWK44" s="87"/>
      <c r="HWL44" s="87"/>
      <c r="HWM44" s="87"/>
      <c r="HWN44" s="87"/>
      <c r="HWO44" s="87"/>
      <c r="HWP44" s="87"/>
      <c r="HWQ44" s="87"/>
      <c r="HWR44" s="87"/>
      <c r="HWS44" s="87"/>
      <c r="HWT44" s="87"/>
      <c r="HWU44" s="87"/>
      <c r="HWV44" s="87"/>
      <c r="HWW44" s="87"/>
      <c r="HWX44" s="87"/>
      <c r="HWY44" s="87"/>
      <c r="HWZ44" s="87"/>
      <c r="HXA44" s="87"/>
      <c r="HXB44" s="87"/>
      <c r="HXC44" s="87"/>
      <c r="HXD44" s="87"/>
      <c r="HXE44" s="87"/>
      <c r="HXF44" s="87"/>
      <c r="HXG44" s="87"/>
      <c r="HXH44" s="87"/>
      <c r="HXI44" s="87"/>
      <c r="HXJ44" s="87"/>
      <c r="HXK44" s="87"/>
      <c r="HXL44" s="87"/>
      <c r="HXM44" s="87"/>
      <c r="HXN44" s="87"/>
      <c r="HXO44" s="87"/>
      <c r="HXP44" s="87"/>
      <c r="HXQ44" s="87"/>
      <c r="HXR44" s="87"/>
      <c r="HXS44" s="87"/>
      <c r="HXT44" s="87"/>
      <c r="HXU44" s="87"/>
      <c r="HXV44" s="87"/>
      <c r="HXW44" s="87"/>
      <c r="HXX44" s="87"/>
      <c r="HXY44" s="87"/>
      <c r="HXZ44" s="87"/>
      <c r="HYA44" s="87"/>
      <c r="HYB44" s="87"/>
      <c r="HYC44" s="87"/>
      <c r="HYD44" s="87"/>
      <c r="HYE44" s="87"/>
      <c r="HYF44" s="87"/>
      <c r="HYG44" s="87"/>
      <c r="HYH44" s="87"/>
      <c r="HYI44" s="87"/>
      <c r="HYJ44" s="87"/>
      <c r="HYK44" s="87"/>
      <c r="HYL44" s="87"/>
      <c r="HYM44" s="87"/>
      <c r="HYN44" s="87"/>
      <c r="HYO44" s="87"/>
      <c r="HYP44" s="87"/>
      <c r="HYQ44" s="87"/>
      <c r="HYR44" s="87"/>
      <c r="HYS44" s="87"/>
      <c r="HYT44" s="87"/>
      <c r="HYU44" s="87"/>
      <c r="HYV44" s="87"/>
      <c r="HYW44" s="87"/>
      <c r="HYX44" s="87"/>
      <c r="HYY44" s="87"/>
      <c r="HYZ44" s="87"/>
      <c r="HZA44" s="87"/>
      <c r="HZB44" s="87"/>
      <c r="HZC44" s="87"/>
      <c r="HZD44" s="87"/>
      <c r="HZE44" s="87"/>
      <c r="HZF44" s="87"/>
      <c r="HZG44" s="87"/>
      <c r="HZH44" s="87"/>
      <c r="HZI44" s="87"/>
      <c r="HZJ44" s="87"/>
      <c r="HZK44" s="87"/>
      <c r="HZL44" s="87"/>
      <c r="HZM44" s="87"/>
      <c r="HZN44" s="87"/>
      <c r="HZO44" s="87"/>
      <c r="HZP44" s="87"/>
      <c r="HZQ44" s="87"/>
      <c r="HZR44" s="87"/>
      <c r="HZS44" s="87"/>
      <c r="HZT44" s="87"/>
      <c r="HZU44" s="87"/>
      <c r="HZV44" s="87"/>
      <c r="HZW44" s="87"/>
      <c r="HZX44" s="87"/>
      <c r="HZY44" s="87"/>
      <c r="HZZ44" s="87"/>
      <c r="IAA44" s="87"/>
      <c r="IAB44" s="87"/>
      <c r="IAC44" s="87"/>
      <c r="IAD44" s="87"/>
      <c r="IAE44" s="87"/>
      <c r="IAF44" s="87"/>
      <c r="IAG44" s="87"/>
      <c r="IAH44" s="87"/>
      <c r="IAI44" s="87"/>
      <c r="IAJ44" s="87"/>
      <c r="IAK44" s="87"/>
      <c r="IAL44" s="87"/>
      <c r="IAM44" s="87"/>
      <c r="IAN44" s="87"/>
      <c r="IAO44" s="87"/>
      <c r="IAP44" s="87"/>
      <c r="IAQ44" s="87"/>
      <c r="IAR44" s="87"/>
      <c r="IAS44" s="87"/>
      <c r="IAT44" s="87"/>
      <c r="IAU44" s="87"/>
      <c r="IAV44" s="87"/>
      <c r="IAW44" s="87"/>
      <c r="IAX44" s="87"/>
      <c r="IAY44" s="87"/>
      <c r="IAZ44" s="87"/>
      <c r="IBA44" s="87"/>
      <c r="IBB44" s="87"/>
      <c r="IBC44" s="87"/>
      <c r="IBD44" s="87"/>
      <c r="IBE44" s="87"/>
      <c r="IBF44" s="87"/>
      <c r="IBG44" s="87"/>
      <c r="IBH44" s="87"/>
      <c r="IBI44" s="87"/>
      <c r="IBJ44" s="87"/>
      <c r="IBK44" s="87"/>
      <c r="IBL44" s="87"/>
      <c r="IBM44" s="87"/>
      <c r="IBN44" s="87"/>
      <c r="IBO44" s="87"/>
      <c r="IBP44" s="87"/>
      <c r="IBQ44" s="87"/>
      <c r="IBR44" s="87"/>
      <c r="IBS44" s="87"/>
      <c r="IBT44" s="87"/>
      <c r="IBU44" s="87"/>
      <c r="IBV44" s="87"/>
      <c r="IBW44" s="87"/>
      <c r="IBX44" s="87"/>
      <c r="IBY44" s="87"/>
      <c r="IBZ44" s="87"/>
      <c r="ICA44" s="87"/>
      <c r="ICB44" s="87"/>
      <c r="ICC44" s="87"/>
      <c r="ICD44" s="87"/>
      <c r="ICE44" s="87"/>
      <c r="ICF44" s="87"/>
      <c r="ICG44" s="87"/>
      <c r="ICH44" s="87"/>
      <c r="ICI44" s="87"/>
      <c r="ICJ44" s="87"/>
      <c r="ICK44" s="87"/>
      <c r="ICL44" s="87"/>
      <c r="ICM44" s="87"/>
      <c r="ICN44" s="87"/>
      <c r="ICO44" s="87"/>
      <c r="ICP44" s="87"/>
      <c r="ICQ44" s="87"/>
      <c r="ICR44" s="87"/>
      <c r="ICS44" s="87"/>
      <c r="ICT44" s="87"/>
      <c r="ICU44" s="87"/>
      <c r="ICV44" s="87"/>
      <c r="ICW44" s="87"/>
      <c r="ICX44" s="87"/>
      <c r="ICY44" s="87"/>
      <c r="ICZ44" s="87"/>
      <c r="IDA44" s="87"/>
      <c r="IDB44" s="87"/>
      <c r="IDC44" s="87"/>
      <c r="IDD44" s="87"/>
      <c r="IDE44" s="87"/>
      <c r="IDF44" s="87"/>
      <c r="IDG44" s="87"/>
      <c r="IDH44" s="87"/>
      <c r="IDI44" s="87"/>
      <c r="IDJ44" s="87"/>
      <c r="IDK44" s="87"/>
      <c r="IDL44" s="87"/>
      <c r="IDM44" s="87"/>
      <c r="IDN44" s="87"/>
      <c r="IDO44" s="87"/>
      <c r="IDP44" s="87"/>
      <c r="IDQ44" s="87"/>
      <c r="IDR44" s="87"/>
      <c r="IDS44" s="87"/>
      <c r="IDT44" s="87"/>
      <c r="IDU44" s="87"/>
      <c r="IDV44" s="87"/>
      <c r="IDW44" s="87"/>
      <c r="IDX44" s="87"/>
      <c r="IDY44" s="87"/>
      <c r="IDZ44" s="87"/>
      <c r="IEA44" s="87"/>
      <c r="IEB44" s="87"/>
      <c r="IEC44" s="87"/>
      <c r="IED44" s="87"/>
      <c r="IEE44" s="87"/>
      <c r="IEF44" s="87"/>
      <c r="IEG44" s="87"/>
      <c r="IEH44" s="87"/>
      <c r="IEI44" s="87"/>
      <c r="IEJ44" s="87"/>
      <c r="IEK44" s="87"/>
      <c r="IEL44" s="87"/>
      <c r="IEM44" s="87"/>
      <c r="IEN44" s="87"/>
      <c r="IEO44" s="87"/>
      <c r="IEP44" s="87"/>
      <c r="IEQ44" s="87"/>
      <c r="IER44" s="87"/>
      <c r="IES44" s="87"/>
      <c r="IET44" s="87"/>
      <c r="IEU44" s="87"/>
      <c r="IEV44" s="87"/>
      <c r="IEW44" s="87"/>
      <c r="IEX44" s="87"/>
      <c r="IEY44" s="87"/>
      <c r="IEZ44" s="87"/>
      <c r="IFA44" s="87"/>
      <c r="IFB44" s="87"/>
      <c r="IFC44" s="87"/>
      <c r="IFD44" s="87"/>
      <c r="IFE44" s="87"/>
      <c r="IFF44" s="87"/>
      <c r="IFG44" s="87"/>
      <c r="IFH44" s="87"/>
      <c r="IFI44" s="87"/>
      <c r="IFJ44" s="87"/>
      <c r="IFK44" s="87"/>
      <c r="IFL44" s="87"/>
      <c r="IFM44" s="87"/>
      <c r="IFN44" s="87"/>
      <c r="IFO44" s="87"/>
      <c r="IFP44" s="87"/>
      <c r="IFQ44" s="87"/>
      <c r="IFR44" s="87"/>
      <c r="IFS44" s="87"/>
      <c r="IFT44" s="87"/>
      <c r="IFU44" s="87"/>
      <c r="IFV44" s="87"/>
      <c r="IFW44" s="87"/>
      <c r="IFX44" s="87"/>
      <c r="IFY44" s="87"/>
      <c r="IFZ44" s="87"/>
      <c r="IGA44" s="87"/>
      <c r="IGB44" s="87"/>
      <c r="IGC44" s="87"/>
      <c r="IGD44" s="87"/>
      <c r="IGE44" s="87"/>
      <c r="IGF44" s="87"/>
      <c r="IGG44" s="87"/>
      <c r="IGH44" s="87"/>
      <c r="IGI44" s="87"/>
      <c r="IGJ44" s="87"/>
      <c r="IGK44" s="87"/>
      <c r="IGL44" s="87"/>
      <c r="IGM44" s="87"/>
      <c r="IGN44" s="87"/>
      <c r="IGO44" s="87"/>
      <c r="IGP44" s="87"/>
      <c r="IGQ44" s="87"/>
      <c r="IGR44" s="87"/>
      <c r="IGS44" s="87"/>
      <c r="IGT44" s="87"/>
      <c r="IGU44" s="87"/>
      <c r="IGV44" s="87"/>
      <c r="IGW44" s="87"/>
      <c r="IGX44" s="87"/>
      <c r="IGY44" s="87"/>
      <c r="IGZ44" s="87"/>
      <c r="IHA44" s="87"/>
      <c r="IHB44" s="87"/>
      <c r="IHC44" s="87"/>
      <c r="IHD44" s="87"/>
      <c r="IHE44" s="87"/>
      <c r="IHF44" s="87"/>
      <c r="IHG44" s="87"/>
      <c r="IHH44" s="87"/>
      <c r="IHI44" s="87"/>
      <c r="IHJ44" s="87"/>
      <c r="IHK44" s="87"/>
      <c r="IHL44" s="87"/>
      <c r="IHM44" s="87"/>
      <c r="IHN44" s="87"/>
      <c r="IHO44" s="87"/>
      <c r="IHP44" s="87"/>
      <c r="IHQ44" s="87"/>
      <c r="IHR44" s="87"/>
      <c r="IHS44" s="87"/>
      <c r="IHT44" s="87"/>
      <c r="IHU44" s="87"/>
      <c r="IHV44" s="87"/>
      <c r="IHW44" s="87"/>
      <c r="IHX44" s="87"/>
      <c r="IHY44" s="87"/>
      <c r="IHZ44" s="87"/>
      <c r="IIA44" s="87"/>
      <c r="IIB44" s="87"/>
      <c r="IIC44" s="87"/>
      <c r="IID44" s="87"/>
      <c r="IIE44" s="87"/>
      <c r="IIF44" s="87"/>
      <c r="IIG44" s="87"/>
      <c r="IIH44" s="87"/>
      <c r="III44" s="87"/>
      <c r="IIJ44" s="87"/>
      <c r="IIK44" s="87"/>
      <c r="IIL44" s="87"/>
      <c r="IIM44" s="87"/>
      <c r="IIN44" s="87"/>
      <c r="IIO44" s="87"/>
      <c r="IIP44" s="87"/>
      <c r="IIQ44" s="87"/>
      <c r="IIR44" s="87"/>
      <c r="IIS44" s="87"/>
      <c r="IIT44" s="87"/>
      <c r="IIU44" s="87"/>
      <c r="IIV44" s="87"/>
      <c r="IIW44" s="87"/>
      <c r="IIX44" s="87"/>
      <c r="IIY44" s="87"/>
      <c r="IIZ44" s="87"/>
      <c r="IJA44" s="87"/>
      <c r="IJB44" s="87"/>
      <c r="IJC44" s="87"/>
      <c r="IJD44" s="87"/>
      <c r="IJE44" s="87"/>
      <c r="IJF44" s="87"/>
      <c r="IJG44" s="87"/>
      <c r="IJH44" s="87"/>
      <c r="IJI44" s="87"/>
      <c r="IJJ44" s="87"/>
      <c r="IJK44" s="87"/>
      <c r="IJL44" s="87"/>
      <c r="IJM44" s="87"/>
      <c r="IJN44" s="87"/>
      <c r="IJO44" s="87"/>
      <c r="IJP44" s="87"/>
      <c r="IJQ44" s="87"/>
      <c r="IJR44" s="87"/>
      <c r="IJS44" s="87"/>
      <c r="IJT44" s="87"/>
      <c r="IJU44" s="87"/>
      <c r="IJV44" s="87"/>
      <c r="IJW44" s="87"/>
      <c r="IJX44" s="87"/>
      <c r="IJY44" s="87"/>
      <c r="IJZ44" s="87"/>
      <c r="IKA44" s="87"/>
      <c r="IKB44" s="87"/>
      <c r="IKC44" s="87"/>
      <c r="IKD44" s="87"/>
      <c r="IKE44" s="87"/>
      <c r="IKF44" s="87"/>
      <c r="IKG44" s="87"/>
      <c r="IKH44" s="87"/>
      <c r="IKI44" s="87"/>
      <c r="IKJ44" s="87"/>
      <c r="IKK44" s="87"/>
      <c r="IKL44" s="87"/>
      <c r="IKM44" s="87"/>
      <c r="IKN44" s="87"/>
      <c r="IKO44" s="87"/>
      <c r="IKP44" s="87"/>
      <c r="IKQ44" s="87"/>
      <c r="IKR44" s="87"/>
      <c r="IKS44" s="87"/>
      <c r="IKT44" s="87"/>
      <c r="IKU44" s="87"/>
      <c r="IKV44" s="87"/>
      <c r="IKW44" s="87"/>
      <c r="IKX44" s="87"/>
      <c r="IKY44" s="87"/>
      <c r="IKZ44" s="87"/>
      <c r="ILA44" s="87"/>
      <c r="ILB44" s="87"/>
      <c r="ILC44" s="87"/>
      <c r="ILD44" s="87"/>
      <c r="ILE44" s="87"/>
      <c r="ILF44" s="87"/>
      <c r="ILG44" s="87"/>
      <c r="ILH44" s="87"/>
      <c r="ILI44" s="87"/>
      <c r="ILJ44" s="87"/>
      <c r="ILK44" s="87"/>
      <c r="ILL44" s="87"/>
      <c r="ILM44" s="87"/>
      <c r="ILN44" s="87"/>
      <c r="ILO44" s="87"/>
      <c r="ILP44" s="87"/>
      <c r="ILQ44" s="87"/>
      <c r="ILR44" s="87"/>
      <c r="ILS44" s="87"/>
      <c r="ILT44" s="87"/>
      <c r="ILU44" s="87"/>
      <c r="ILV44" s="87"/>
      <c r="ILW44" s="87"/>
      <c r="ILX44" s="87"/>
      <c r="ILY44" s="87"/>
      <c r="ILZ44" s="87"/>
      <c r="IMA44" s="87"/>
      <c r="IMB44" s="87"/>
      <c r="IMC44" s="87"/>
      <c r="IMD44" s="87"/>
      <c r="IME44" s="87"/>
      <c r="IMF44" s="87"/>
      <c r="IMG44" s="87"/>
      <c r="IMH44" s="87"/>
      <c r="IMI44" s="87"/>
      <c r="IMJ44" s="87"/>
      <c r="IMK44" s="87"/>
      <c r="IML44" s="87"/>
      <c r="IMM44" s="87"/>
      <c r="IMN44" s="87"/>
      <c r="IMO44" s="87"/>
      <c r="IMP44" s="87"/>
      <c r="IMQ44" s="87"/>
      <c r="IMR44" s="87"/>
      <c r="IMS44" s="87"/>
      <c r="IMT44" s="87"/>
      <c r="IMU44" s="87"/>
      <c r="IMV44" s="87"/>
      <c r="IMW44" s="87"/>
      <c r="IMX44" s="87"/>
      <c r="IMY44" s="87"/>
      <c r="IMZ44" s="87"/>
      <c r="INA44" s="87"/>
      <c r="INB44" s="87"/>
      <c r="INC44" s="87"/>
      <c r="IND44" s="87"/>
      <c r="INE44" s="87"/>
      <c r="INF44" s="87"/>
      <c r="ING44" s="87"/>
      <c r="INH44" s="87"/>
      <c r="INI44" s="87"/>
      <c r="INJ44" s="87"/>
      <c r="INK44" s="87"/>
      <c r="INL44" s="87"/>
      <c r="INM44" s="87"/>
      <c r="INN44" s="87"/>
      <c r="INO44" s="87"/>
      <c r="INP44" s="87"/>
      <c r="INQ44" s="87"/>
      <c r="INR44" s="87"/>
      <c r="INS44" s="87"/>
      <c r="INT44" s="87"/>
      <c r="INU44" s="87"/>
      <c r="INV44" s="87"/>
      <c r="INW44" s="87"/>
      <c r="INX44" s="87"/>
      <c r="INY44" s="87"/>
      <c r="INZ44" s="87"/>
      <c r="IOA44" s="87"/>
      <c r="IOB44" s="87"/>
      <c r="IOC44" s="87"/>
      <c r="IOD44" s="87"/>
      <c r="IOE44" s="87"/>
      <c r="IOF44" s="87"/>
      <c r="IOG44" s="87"/>
      <c r="IOH44" s="87"/>
      <c r="IOI44" s="87"/>
      <c r="IOJ44" s="87"/>
      <c r="IOK44" s="87"/>
      <c r="IOL44" s="87"/>
      <c r="IOM44" s="87"/>
      <c r="ION44" s="87"/>
      <c r="IOO44" s="87"/>
      <c r="IOP44" s="87"/>
      <c r="IOQ44" s="87"/>
      <c r="IOR44" s="87"/>
      <c r="IOS44" s="87"/>
      <c r="IOT44" s="87"/>
      <c r="IOU44" s="87"/>
      <c r="IOV44" s="87"/>
      <c r="IOW44" s="87"/>
      <c r="IOX44" s="87"/>
      <c r="IOY44" s="87"/>
      <c r="IOZ44" s="87"/>
      <c r="IPA44" s="87"/>
      <c r="IPB44" s="87"/>
      <c r="IPC44" s="87"/>
      <c r="IPD44" s="87"/>
      <c r="IPE44" s="87"/>
      <c r="IPF44" s="87"/>
      <c r="IPG44" s="87"/>
      <c r="IPH44" s="87"/>
      <c r="IPI44" s="87"/>
      <c r="IPJ44" s="87"/>
      <c r="IPK44" s="87"/>
      <c r="IPL44" s="87"/>
      <c r="IPM44" s="87"/>
      <c r="IPN44" s="87"/>
      <c r="IPO44" s="87"/>
      <c r="IPP44" s="87"/>
      <c r="IPQ44" s="87"/>
      <c r="IPR44" s="87"/>
      <c r="IPS44" s="87"/>
      <c r="IPT44" s="87"/>
      <c r="IPU44" s="87"/>
      <c r="IPV44" s="87"/>
      <c r="IPW44" s="87"/>
      <c r="IPX44" s="87"/>
      <c r="IPY44" s="87"/>
      <c r="IPZ44" s="87"/>
      <c r="IQA44" s="87"/>
      <c r="IQB44" s="87"/>
      <c r="IQC44" s="87"/>
      <c r="IQD44" s="87"/>
      <c r="IQE44" s="87"/>
      <c r="IQF44" s="87"/>
      <c r="IQG44" s="87"/>
      <c r="IQH44" s="87"/>
      <c r="IQI44" s="87"/>
      <c r="IQJ44" s="87"/>
      <c r="IQK44" s="87"/>
      <c r="IQL44" s="87"/>
      <c r="IQM44" s="87"/>
      <c r="IQN44" s="87"/>
      <c r="IQO44" s="87"/>
      <c r="IQP44" s="87"/>
      <c r="IQQ44" s="87"/>
      <c r="IQR44" s="87"/>
      <c r="IQS44" s="87"/>
      <c r="IQT44" s="87"/>
      <c r="IQU44" s="87"/>
      <c r="IQV44" s="87"/>
      <c r="IQW44" s="87"/>
      <c r="IQX44" s="87"/>
      <c r="IQY44" s="87"/>
      <c r="IQZ44" s="87"/>
      <c r="IRA44" s="87"/>
      <c r="IRB44" s="87"/>
      <c r="IRC44" s="87"/>
      <c r="IRD44" s="87"/>
      <c r="IRE44" s="87"/>
      <c r="IRF44" s="87"/>
      <c r="IRG44" s="87"/>
      <c r="IRH44" s="87"/>
      <c r="IRI44" s="87"/>
      <c r="IRJ44" s="87"/>
      <c r="IRK44" s="87"/>
      <c r="IRL44" s="87"/>
      <c r="IRM44" s="87"/>
      <c r="IRN44" s="87"/>
      <c r="IRO44" s="87"/>
      <c r="IRP44" s="87"/>
      <c r="IRQ44" s="87"/>
      <c r="IRR44" s="87"/>
      <c r="IRS44" s="87"/>
      <c r="IRT44" s="87"/>
      <c r="IRU44" s="87"/>
      <c r="IRV44" s="87"/>
      <c r="IRW44" s="87"/>
      <c r="IRX44" s="87"/>
      <c r="IRY44" s="87"/>
      <c r="IRZ44" s="87"/>
      <c r="ISA44" s="87"/>
      <c r="ISB44" s="87"/>
      <c r="ISC44" s="87"/>
      <c r="ISD44" s="87"/>
      <c r="ISE44" s="87"/>
      <c r="ISF44" s="87"/>
      <c r="ISG44" s="87"/>
      <c r="ISH44" s="87"/>
      <c r="ISI44" s="87"/>
      <c r="ISJ44" s="87"/>
      <c r="ISK44" s="87"/>
      <c r="ISL44" s="87"/>
      <c r="ISM44" s="87"/>
      <c r="ISN44" s="87"/>
      <c r="ISO44" s="87"/>
      <c r="ISP44" s="87"/>
      <c r="ISQ44" s="87"/>
      <c r="ISR44" s="87"/>
      <c r="ISS44" s="87"/>
      <c r="IST44" s="87"/>
      <c r="ISU44" s="87"/>
      <c r="ISV44" s="87"/>
      <c r="ISW44" s="87"/>
      <c r="ISX44" s="87"/>
      <c r="ISY44" s="87"/>
      <c r="ISZ44" s="87"/>
      <c r="ITA44" s="87"/>
      <c r="ITB44" s="87"/>
      <c r="ITC44" s="87"/>
      <c r="ITD44" s="87"/>
      <c r="ITE44" s="87"/>
      <c r="ITF44" s="87"/>
      <c r="ITG44" s="87"/>
      <c r="ITH44" s="87"/>
      <c r="ITI44" s="87"/>
      <c r="ITJ44" s="87"/>
      <c r="ITK44" s="87"/>
      <c r="ITL44" s="87"/>
      <c r="ITM44" s="87"/>
      <c r="ITN44" s="87"/>
      <c r="ITO44" s="87"/>
      <c r="ITP44" s="87"/>
      <c r="ITQ44" s="87"/>
      <c r="ITR44" s="87"/>
      <c r="ITS44" s="87"/>
      <c r="ITT44" s="87"/>
      <c r="ITU44" s="87"/>
      <c r="ITV44" s="87"/>
      <c r="ITW44" s="87"/>
      <c r="ITX44" s="87"/>
      <c r="ITY44" s="87"/>
      <c r="ITZ44" s="87"/>
      <c r="IUA44" s="87"/>
      <c r="IUB44" s="87"/>
      <c r="IUC44" s="87"/>
      <c r="IUD44" s="87"/>
      <c r="IUE44" s="87"/>
      <c r="IUF44" s="87"/>
      <c r="IUG44" s="87"/>
      <c r="IUH44" s="87"/>
      <c r="IUI44" s="87"/>
      <c r="IUJ44" s="87"/>
      <c r="IUK44" s="87"/>
      <c r="IUL44" s="87"/>
      <c r="IUM44" s="87"/>
      <c r="IUN44" s="87"/>
      <c r="IUO44" s="87"/>
      <c r="IUP44" s="87"/>
      <c r="IUQ44" s="87"/>
      <c r="IUR44" s="87"/>
      <c r="IUS44" s="87"/>
      <c r="IUT44" s="87"/>
      <c r="IUU44" s="87"/>
      <c r="IUV44" s="87"/>
      <c r="IUW44" s="87"/>
      <c r="IUX44" s="87"/>
      <c r="IUY44" s="87"/>
      <c r="IUZ44" s="87"/>
      <c r="IVA44" s="87"/>
      <c r="IVB44" s="87"/>
      <c r="IVC44" s="87"/>
      <c r="IVD44" s="87"/>
      <c r="IVE44" s="87"/>
      <c r="IVF44" s="87"/>
      <c r="IVG44" s="87"/>
      <c r="IVH44" s="87"/>
      <c r="IVI44" s="87"/>
      <c r="IVJ44" s="87"/>
      <c r="IVK44" s="87"/>
      <c r="IVL44" s="87"/>
      <c r="IVM44" s="87"/>
      <c r="IVN44" s="87"/>
      <c r="IVO44" s="87"/>
      <c r="IVP44" s="87"/>
      <c r="IVQ44" s="87"/>
      <c r="IVR44" s="87"/>
      <c r="IVS44" s="87"/>
      <c r="IVT44" s="87"/>
      <c r="IVU44" s="87"/>
      <c r="IVV44" s="87"/>
      <c r="IVW44" s="87"/>
      <c r="IVX44" s="87"/>
      <c r="IVY44" s="87"/>
      <c r="IVZ44" s="87"/>
      <c r="IWA44" s="87"/>
      <c r="IWB44" s="87"/>
      <c r="IWC44" s="87"/>
      <c r="IWD44" s="87"/>
      <c r="IWE44" s="87"/>
      <c r="IWF44" s="87"/>
      <c r="IWG44" s="87"/>
      <c r="IWH44" s="87"/>
      <c r="IWI44" s="87"/>
      <c r="IWJ44" s="87"/>
      <c r="IWK44" s="87"/>
      <c r="IWL44" s="87"/>
      <c r="IWM44" s="87"/>
      <c r="IWN44" s="87"/>
      <c r="IWO44" s="87"/>
      <c r="IWP44" s="87"/>
      <c r="IWQ44" s="87"/>
      <c r="IWR44" s="87"/>
      <c r="IWS44" s="87"/>
      <c r="IWT44" s="87"/>
      <c r="IWU44" s="87"/>
      <c r="IWV44" s="87"/>
      <c r="IWW44" s="87"/>
      <c r="IWX44" s="87"/>
      <c r="IWY44" s="87"/>
      <c r="IWZ44" s="87"/>
      <c r="IXA44" s="87"/>
      <c r="IXB44" s="87"/>
      <c r="IXC44" s="87"/>
      <c r="IXD44" s="87"/>
      <c r="IXE44" s="87"/>
      <c r="IXF44" s="87"/>
      <c r="IXG44" s="87"/>
      <c r="IXH44" s="87"/>
      <c r="IXI44" s="87"/>
      <c r="IXJ44" s="87"/>
      <c r="IXK44" s="87"/>
      <c r="IXL44" s="87"/>
      <c r="IXM44" s="87"/>
      <c r="IXN44" s="87"/>
      <c r="IXO44" s="87"/>
      <c r="IXP44" s="87"/>
      <c r="IXQ44" s="87"/>
      <c r="IXR44" s="87"/>
      <c r="IXS44" s="87"/>
      <c r="IXT44" s="87"/>
      <c r="IXU44" s="87"/>
      <c r="IXV44" s="87"/>
      <c r="IXW44" s="87"/>
      <c r="IXX44" s="87"/>
      <c r="IXY44" s="87"/>
      <c r="IXZ44" s="87"/>
      <c r="IYA44" s="87"/>
      <c r="IYB44" s="87"/>
      <c r="IYC44" s="87"/>
      <c r="IYD44" s="87"/>
      <c r="IYE44" s="87"/>
      <c r="IYF44" s="87"/>
      <c r="IYG44" s="87"/>
      <c r="IYH44" s="87"/>
      <c r="IYI44" s="87"/>
      <c r="IYJ44" s="87"/>
      <c r="IYK44" s="87"/>
      <c r="IYL44" s="87"/>
      <c r="IYM44" s="87"/>
      <c r="IYN44" s="87"/>
      <c r="IYO44" s="87"/>
      <c r="IYP44" s="87"/>
      <c r="IYQ44" s="87"/>
      <c r="IYR44" s="87"/>
      <c r="IYS44" s="87"/>
      <c r="IYT44" s="87"/>
      <c r="IYU44" s="87"/>
      <c r="IYV44" s="87"/>
      <c r="IYW44" s="87"/>
      <c r="IYX44" s="87"/>
      <c r="IYY44" s="87"/>
      <c r="IYZ44" s="87"/>
      <c r="IZA44" s="87"/>
      <c r="IZB44" s="87"/>
      <c r="IZC44" s="87"/>
      <c r="IZD44" s="87"/>
      <c r="IZE44" s="87"/>
      <c r="IZF44" s="87"/>
      <c r="IZG44" s="87"/>
      <c r="IZH44" s="87"/>
      <c r="IZI44" s="87"/>
      <c r="IZJ44" s="87"/>
      <c r="IZK44" s="87"/>
      <c r="IZL44" s="87"/>
      <c r="IZM44" s="87"/>
      <c r="IZN44" s="87"/>
      <c r="IZO44" s="87"/>
      <c r="IZP44" s="87"/>
      <c r="IZQ44" s="87"/>
      <c r="IZR44" s="87"/>
      <c r="IZS44" s="87"/>
      <c r="IZT44" s="87"/>
      <c r="IZU44" s="87"/>
      <c r="IZV44" s="87"/>
      <c r="IZW44" s="87"/>
      <c r="IZX44" s="87"/>
      <c r="IZY44" s="87"/>
      <c r="IZZ44" s="87"/>
      <c r="JAA44" s="87"/>
      <c r="JAB44" s="87"/>
      <c r="JAC44" s="87"/>
      <c r="JAD44" s="87"/>
      <c r="JAE44" s="87"/>
      <c r="JAF44" s="87"/>
      <c r="JAG44" s="87"/>
      <c r="JAH44" s="87"/>
      <c r="JAI44" s="87"/>
      <c r="JAJ44" s="87"/>
      <c r="JAK44" s="87"/>
      <c r="JAL44" s="87"/>
      <c r="JAM44" s="87"/>
      <c r="JAN44" s="87"/>
      <c r="JAO44" s="87"/>
      <c r="JAP44" s="87"/>
      <c r="JAQ44" s="87"/>
      <c r="JAR44" s="87"/>
      <c r="JAS44" s="87"/>
      <c r="JAT44" s="87"/>
      <c r="JAU44" s="87"/>
      <c r="JAV44" s="87"/>
      <c r="JAW44" s="87"/>
      <c r="JAX44" s="87"/>
      <c r="JAY44" s="87"/>
      <c r="JAZ44" s="87"/>
      <c r="JBA44" s="87"/>
      <c r="JBB44" s="87"/>
      <c r="JBC44" s="87"/>
      <c r="JBD44" s="87"/>
      <c r="JBE44" s="87"/>
      <c r="JBF44" s="87"/>
      <c r="JBG44" s="87"/>
      <c r="JBH44" s="87"/>
      <c r="JBI44" s="87"/>
      <c r="JBJ44" s="87"/>
      <c r="JBK44" s="87"/>
      <c r="JBL44" s="87"/>
      <c r="JBM44" s="87"/>
      <c r="JBN44" s="87"/>
      <c r="JBO44" s="87"/>
      <c r="JBP44" s="87"/>
      <c r="JBQ44" s="87"/>
      <c r="JBR44" s="87"/>
      <c r="JBS44" s="87"/>
      <c r="JBT44" s="87"/>
      <c r="JBU44" s="87"/>
      <c r="JBV44" s="87"/>
      <c r="JBW44" s="87"/>
      <c r="JBX44" s="87"/>
      <c r="JBY44" s="87"/>
      <c r="JBZ44" s="87"/>
      <c r="JCA44" s="87"/>
      <c r="JCB44" s="87"/>
      <c r="JCC44" s="87"/>
      <c r="JCD44" s="87"/>
      <c r="JCE44" s="87"/>
      <c r="JCF44" s="87"/>
      <c r="JCG44" s="87"/>
      <c r="JCH44" s="87"/>
      <c r="JCI44" s="87"/>
      <c r="JCJ44" s="87"/>
      <c r="JCK44" s="87"/>
      <c r="JCL44" s="87"/>
      <c r="JCM44" s="87"/>
      <c r="JCN44" s="87"/>
      <c r="JCO44" s="87"/>
      <c r="JCP44" s="87"/>
      <c r="JCQ44" s="87"/>
      <c r="JCR44" s="87"/>
      <c r="JCS44" s="87"/>
      <c r="JCT44" s="87"/>
      <c r="JCU44" s="87"/>
      <c r="JCV44" s="87"/>
      <c r="JCW44" s="87"/>
      <c r="JCX44" s="87"/>
      <c r="JCY44" s="87"/>
      <c r="JCZ44" s="87"/>
      <c r="JDA44" s="87"/>
      <c r="JDB44" s="87"/>
      <c r="JDC44" s="87"/>
      <c r="JDD44" s="87"/>
      <c r="JDE44" s="87"/>
      <c r="JDF44" s="87"/>
      <c r="JDG44" s="87"/>
      <c r="JDH44" s="87"/>
      <c r="JDI44" s="87"/>
      <c r="JDJ44" s="87"/>
      <c r="JDK44" s="87"/>
      <c r="JDL44" s="87"/>
      <c r="JDM44" s="87"/>
      <c r="JDN44" s="87"/>
      <c r="JDO44" s="87"/>
      <c r="JDP44" s="87"/>
      <c r="JDQ44" s="87"/>
      <c r="JDR44" s="87"/>
      <c r="JDS44" s="87"/>
      <c r="JDT44" s="87"/>
      <c r="JDU44" s="87"/>
      <c r="JDV44" s="87"/>
      <c r="JDW44" s="87"/>
      <c r="JDX44" s="87"/>
      <c r="JDY44" s="87"/>
      <c r="JDZ44" s="87"/>
      <c r="JEA44" s="87"/>
      <c r="JEB44" s="87"/>
      <c r="JEC44" s="87"/>
      <c r="JED44" s="87"/>
      <c r="JEE44" s="87"/>
      <c r="JEF44" s="87"/>
      <c r="JEG44" s="87"/>
      <c r="JEH44" s="87"/>
      <c r="JEI44" s="87"/>
      <c r="JEJ44" s="87"/>
      <c r="JEK44" s="87"/>
      <c r="JEL44" s="87"/>
      <c r="JEM44" s="87"/>
      <c r="JEN44" s="87"/>
      <c r="JEO44" s="87"/>
      <c r="JEP44" s="87"/>
      <c r="JEQ44" s="87"/>
      <c r="JER44" s="87"/>
      <c r="JES44" s="87"/>
      <c r="JET44" s="87"/>
      <c r="JEU44" s="87"/>
      <c r="JEV44" s="87"/>
      <c r="JEW44" s="87"/>
      <c r="JEX44" s="87"/>
      <c r="JEY44" s="87"/>
      <c r="JEZ44" s="87"/>
      <c r="JFA44" s="87"/>
      <c r="JFB44" s="87"/>
      <c r="JFC44" s="87"/>
      <c r="JFD44" s="87"/>
      <c r="JFE44" s="87"/>
      <c r="JFF44" s="87"/>
      <c r="JFG44" s="87"/>
      <c r="JFH44" s="87"/>
      <c r="JFI44" s="87"/>
      <c r="JFJ44" s="87"/>
      <c r="JFK44" s="87"/>
      <c r="JFL44" s="87"/>
      <c r="JFM44" s="87"/>
      <c r="JFN44" s="87"/>
      <c r="JFO44" s="87"/>
      <c r="JFP44" s="87"/>
      <c r="JFQ44" s="87"/>
      <c r="JFR44" s="87"/>
      <c r="JFS44" s="87"/>
      <c r="JFT44" s="87"/>
      <c r="JFU44" s="87"/>
      <c r="JFV44" s="87"/>
      <c r="JFW44" s="87"/>
      <c r="JFX44" s="87"/>
      <c r="JFY44" s="87"/>
      <c r="JFZ44" s="87"/>
      <c r="JGA44" s="87"/>
      <c r="JGB44" s="87"/>
      <c r="JGC44" s="87"/>
      <c r="JGD44" s="87"/>
      <c r="JGE44" s="87"/>
      <c r="JGF44" s="87"/>
      <c r="JGG44" s="87"/>
      <c r="JGH44" s="87"/>
      <c r="JGI44" s="87"/>
      <c r="JGJ44" s="87"/>
      <c r="JGK44" s="87"/>
      <c r="JGL44" s="87"/>
      <c r="JGM44" s="87"/>
      <c r="JGN44" s="87"/>
      <c r="JGO44" s="87"/>
      <c r="JGP44" s="87"/>
      <c r="JGQ44" s="87"/>
      <c r="JGR44" s="87"/>
      <c r="JGS44" s="87"/>
      <c r="JGT44" s="87"/>
      <c r="JGU44" s="87"/>
      <c r="JGV44" s="87"/>
      <c r="JGW44" s="87"/>
      <c r="JGX44" s="87"/>
      <c r="JGY44" s="87"/>
      <c r="JGZ44" s="87"/>
      <c r="JHA44" s="87"/>
      <c r="JHB44" s="87"/>
      <c r="JHC44" s="87"/>
      <c r="JHD44" s="87"/>
      <c r="JHE44" s="87"/>
      <c r="JHF44" s="87"/>
      <c r="JHG44" s="87"/>
      <c r="JHH44" s="87"/>
      <c r="JHI44" s="87"/>
      <c r="JHJ44" s="87"/>
      <c r="JHK44" s="87"/>
      <c r="JHL44" s="87"/>
      <c r="JHM44" s="87"/>
      <c r="JHN44" s="87"/>
      <c r="JHO44" s="87"/>
      <c r="JHP44" s="87"/>
      <c r="JHQ44" s="87"/>
      <c r="JHR44" s="87"/>
      <c r="JHS44" s="87"/>
      <c r="JHT44" s="87"/>
      <c r="JHU44" s="87"/>
      <c r="JHV44" s="87"/>
      <c r="JHW44" s="87"/>
      <c r="JHX44" s="87"/>
      <c r="JHY44" s="87"/>
      <c r="JHZ44" s="87"/>
      <c r="JIA44" s="87"/>
      <c r="JIB44" s="87"/>
      <c r="JIC44" s="87"/>
      <c r="JID44" s="87"/>
      <c r="JIE44" s="87"/>
      <c r="JIF44" s="87"/>
      <c r="JIG44" s="87"/>
      <c r="JIH44" s="87"/>
      <c r="JII44" s="87"/>
      <c r="JIJ44" s="87"/>
      <c r="JIK44" s="87"/>
      <c r="JIL44" s="87"/>
      <c r="JIM44" s="87"/>
      <c r="JIN44" s="87"/>
      <c r="JIO44" s="87"/>
      <c r="JIP44" s="87"/>
      <c r="JIQ44" s="87"/>
      <c r="JIR44" s="87"/>
      <c r="JIS44" s="87"/>
      <c r="JIT44" s="87"/>
      <c r="JIU44" s="87"/>
      <c r="JIV44" s="87"/>
      <c r="JIW44" s="87"/>
      <c r="JIX44" s="87"/>
      <c r="JIY44" s="87"/>
      <c r="JIZ44" s="87"/>
      <c r="JJA44" s="87"/>
      <c r="JJB44" s="87"/>
      <c r="JJC44" s="87"/>
      <c r="JJD44" s="87"/>
      <c r="JJE44" s="87"/>
      <c r="JJF44" s="87"/>
      <c r="JJG44" s="87"/>
      <c r="JJH44" s="87"/>
      <c r="JJI44" s="87"/>
      <c r="JJJ44" s="87"/>
      <c r="JJK44" s="87"/>
      <c r="JJL44" s="87"/>
      <c r="JJM44" s="87"/>
      <c r="JJN44" s="87"/>
      <c r="JJO44" s="87"/>
      <c r="JJP44" s="87"/>
      <c r="JJQ44" s="87"/>
      <c r="JJR44" s="87"/>
      <c r="JJS44" s="87"/>
      <c r="JJT44" s="87"/>
      <c r="JJU44" s="87"/>
      <c r="JJV44" s="87"/>
      <c r="JJW44" s="87"/>
      <c r="JJX44" s="87"/>
      <c r="JJY44" s="87"/>
      <c r="JJZ44" s="87"/>
      <c r="JKA44" s="87"/>
      <c r="JKB44" s="87"/>
      <c r="JKC44" s="87"/>
      <c r="JKD44" s="87"/>
      <c r="JKE44" s="87"/>
      <c r="JKF44" s="87"/>
      <c r="JKG44" s="87"/>
      <c r="JKH44" s="87"/>
      <c r="JKI44" s="87"/>
      <c r="JKJ44" s="87"/>
      <c r="JKK44" s="87"/>
      <c r="JKL44" s="87"/>
      <c r="JKM44" s="87"/>
      <c r="JKN44" s="87"/>
      <c r="JKO44" s="87"/>
      <c r="JKP44" s="87"/>
      <c r="JKQ44" s="87"/>
      <c r="JKR44" s="87"/>
      <c r="JKS44" s="87"/>
      <c r="JKT44" s="87"/>
      <c r="JKU44" s="87"/>
      <c r="JKV44" s="87"/>
      <c r="JKW44" s="87"/>
      <c r="JKX44" s="87"/>
      <c r="JKY44" s="87"/>
      <c r="JKZ44" s="87"/>
      <c r="JLA44" s="87"/>
      <c r="JLB44" s="87"/>
      <c r="JLC44" s="87"/>
      <c r="JLD44" s="87"/>
      <c r="JLE44" s="87"/>
      <c r="JLF44" s="87"/>
      <c r="JLG44" s="87"/>
      <c r="JLH44" s="87"/>
      <c r="JLI44" s="87"/>
      <c r="JLJ44" s="87"/>
      <c r="JLK44" s="87"/>
      <c r="JLL44" s="87"/>
      <c r="JLM44" s="87"/>
      <c r="JLN44" s="87"/>
      <c r="JLO44" s="87"/>
      <c r="JLP44" s="87"/>
      <c r="JLQ44" s="87"/>
      <c r="JLR44" s="87"/>
      <c r="JLS44" s="87"/>
      <c r="JLT44" s="87"/>
      <c r="JLU44" s="87"/>
      <c r="JLV44" s="87"/>
      <c r="JLW44" s="87"/>
      <c r="JLX44" s="87"/>
      <c r="JLY44" s="87"/>
      <c r="JLZ44" s="87"/>
      <c r="JMA44" s="87"/>
      <c r="JMB44" s="87"/>
      <c r="JMC44" s="87"/>
      <c r="JMD44" s="87"/>
      <c r="JME44" s="87"/>
      <c r="JMF44" s="87"/>
      <c r="JMG44" s="87"/>
      <c r="JMH44" s="87"/>
      <c r="JMI44" s="87"/>
      <c r="JMJ44" s="87"/>
      <c r="JMK44" s="87"/>
      <c r="JML44" s="87"/>
      <c r="JMM44" s="87"/>
      <c r="JMN44" s="87"/>
      <c r="JMO44" s="87"/>
      <c r="JMP44" s="87"/>
      <c r="JMQ44" s="87"/>
      <c r="JMR44" s="87"/>
      <c r="JMS44" s="87"/>
      <c r="JMT44" s="87"/>
      <c r="JMU44" s="87"/>
      <c r="JMV44" s="87"/>
      <c r="JMW44" s="87"/>
      <c r="JMX44" s="87"/>
      <c r="JMY44" s="87"/>
      <c r="JMZ44" s="87"/>
      <c r="JNA44" s="87"/>
      <c r="JNB44" s="87"/>
      <c r="JNC44" s="87"/>
      <c r="JND44" s="87"/>
      <c r="JNE44" s="87"/>
      <c r="JNF44" s="87"/>
      <c r="JNG44" s="87"/>
      <c r="JNH44" s="87"/>
      <c r="JNI44" s="87"/>
      <c r="JNJ44" s="87"/>
      <c r="JNK44" s="87"/>
      <c r="JNL44" s="87"/>
      <c r="JNM44" s="87"/>
      <c r="JNN44" s="87"/>
      <c r="JNO44" s="87"/>
      <c r="JNP44" s="87"/>
      <c r="JNQ44" s="87"/>
      <c r="JNR44" s="87"/>
      <c r="JNS44" s="87"/>
      <c r="JNT44" s="87"/>
      <c r="JNU44" s="87"/>
      <c r="JNV44" s="87"/>
      <c r="JNW44" s="87"/>
      <c r="JNX44" s="87"/>
      <c r="JNY44" s="87"/>
      <c r="JNZ44" s="87"/>
      <c r="JOA44" s="87"/>
      <c r="JOB44" s="87"/>
      <c r="JOC44" s="87"/>
      <c r="JOD44" s="87"/>
      <c r="JOE44" s="87"/>
      <c r="JOF44" s="87"/>
      <c r="JOG44" s="87"/>
      <c r="JOH44" s="87"/>
      <c r="JOI44" s="87"/>
      <c r="JOJ44" s="87"/>
      <c r="JOK44" s="87"/>
      <c r="JOL44" s="87"/>
      <c r="JOM44" s="87"/>
      <c r="JON44" s="87"/>
      <c r="JOO44" s="87"/>
      <c r="JOP44" s="87"/>
      <c r="JOQ44" s="87"/>
      <c r="JOR44" s="87"/>
      <c r="JOS44" s="87"/>
      <c r="JOT44" s="87"/>
      <c r="JOU44" s="87"/>
      <c r="JOV44" s="87"/>
      <c r="JOW44" s="87"/>
      <c r="JOX44" s="87"/>
      <c r="JOY44" s="87"/>
      <c r="JOZ44" s="87"/>
      <c r="JPA44" s="87"/>
      <c r="JPB44" s="87"/>
      <c r="JPC44" s="87"/>
      <c r="JPD44" s="87"/>
      <c r="JPE44" s="87"/>
      <c r="JPF44" s="87"/>
      <c r="JPG44" s="87"/>
      <c r="JPH44" s="87"/>
      <c r="JPI44" s="87"/>
      <c r="JPJ44" s="87"/>
      <c r="JPK44" s="87"/>
      <c r="JPL44" s="87"/>
      <c r="JPM44" s="87"/>
      <c r="JPN44" s="87"/>
      <c r="JPO44" s="87"/>
      <c r="JPP44" s="87"/>
      <c r="JPQ44" s="87"/>
      <c r="JPR44" s="87"/>
      <c r="JPS44" s="87"/>
      <c r="JPT44" s="87"/>
      <c r="JPU44" s="87"/>
      <c r="JPV44" s="87"/>
      <c r="JPW44" s="87"/>
      <c r="JPX44" s="87"/>
      <c r="JPY44" s="87"/>
      <c r="JPZ44" s="87"/>
      <c r="JQA44" s="87"/>
      <c r="JQB44" s="87"/>
      <c r="JQC44" s="87"/>
      <c r="JQD44" s="87"/>
      <c r="JQE44" s="87"/>
      <c r="JQF44" s="87"/>
      <c r="JQG44" s="87"/>
      <c r="JQH44" s="87"/>
      <c r="JQI44" s="87"/>
      <c r="JQJ44" s="87"/>
      <c r="JQK44" s="87"/>
      <c r="JQL44" s="87"/>
      <c r="JQM44" s="87"/>
      <c r="JQN44" s="87"/>
      <c r="JQO44" s="87"/>
      <c r="JQP44" s="87"/>
      <c r="JQQ44" s="87"/>
      <c r="JQR44" s="87"/>
      <c r="JQS44" s="87"/>
      <c r="JQT44" s="87"/>
      <c r="JQU44" s="87"/>
      <c r="JQV44" s="87"/>
      <c r="JQW44" s="87"/>
      <c r="JQX44" s="87"/>
      <c r="JQY44" s="87"/>
      <c r="JQZ44" s="87"/>
      <c r="JRA44" s="87"/>
      <c r="JRB44" s="87"/>
      <c r="JRC44" s="87"/>
      <c r="JRD44" s="87"/>
      <c r="JRE44" s="87"/>
      <c r="JRF44" s="87"/>
      <c r="JRG44" s="87"/>
      <c r="JRH44" s="87"/>
      <c r="JRI44" s="87"/>
      <c r="JRJ44" s="87"/>
      <c r="JRK44" s="87"/>
      <c r="JRL44" s="87"/>
      <c r="JRM44" s="87"/>
      <c r="JRN44" s="87"/>
      <c r="JRO44" s="87"/>
      <c r="JRP44" s="87"/>
      <c r="JRQ44" s="87"/>
      <c r="JRR44" s="87"/>
      <c r="JRS44" s="87"/>
      <c r="JRT44" s="87"/>
      <c r="JRU44" s="87"/>
      <c r="JRV44" s="87"/>
      <c r="JRW44" s="87"/>
      <c r="JRX44" s="87"/>
      <c r="JRY44" s="87"/>
      <c r="JRZ44" s="87"/>
      <c r="JSA44" s="87"/>
      <c r="JSB44" s="87"/>
      <c r="JSC44" s="87"/>
      <c r="JSD44" s="87"/>
      <c r="JSE44" s="87"/>
      <c r="JSF44" s="87"/>
      <c r="JSG44" s="87"/>
      <c r="JSH44" s="87"/>
      <c r="JSI44" s="87"/>
      <c r="JSJ44" s="87"/>
      <c r="JSK44" s="87"/>
      <c r="JSL44" s="87"/>
      <c r="JSM44" s="87"/>
      <c r="JSN44" s="87"/>
      <c r="JSO44" s="87"/>
      <c r="JSP44" s="87"/>
      <c r="JSQ44" s="87"/>
      <c r="JSR44" s="87"/>
      <c r="JSS44" s="87"/>
      <c r="JST44" s="87"/>
      <c r="JSU44" s="87"/>
      <c r="JSV44" s="87"/>
      <c r="JSW44" s="87"/>
      <c r="JSX44" s="87"/>
      <c r="JSY44" s="87"/>
      <c r="JSZ44" s="87"/>
      <c r="JTA44" s="87"/>
      <c r="JTB44" s="87"/>
      <c r="JTC44" s="87"/>
      <c r="JTD44" s="87"/>
      <c r="JTE44" s="87"/>
      <c r="JTF44" s="87"/>
      <c r="JTG44" s="87"/>
      <c r="JTH44" s="87"/>
      <c r="JTI44" s="87"/>
      <c r="JTJ44" s="87"/>
      <c r="JTK44" s="87"/>
      <c r="JTL44" s="87"/>
      <c r="JTM44" s="87"/>
      <c r="JTN44" s="87"/>
      <c r="JTO44" s="87"/>
      <c r="JTP44" s="87"/>
      <c r="JTQ44" s="87"/>
      <c r="JTR44" s="87"/>
      <c r="JTS44" s="87"/>
      <c r="JTT44" s="87"/>
      <c r="JTU44" s="87"/>
      <c r="JTV44" s="87"/>
      <c r="JTW44" s="87"/>
      <c r="JTX44" s="87"/>
      <c r="JTY44" s="87"/>
      <c r="JTZ44" s="87"/>
      <c r="JUA44" s="87"/>
      <c r="JUB44" s="87"/>
      <c r="JUC44" s="87"/>
      <c r="JUD44" s="87"/>
      <c r="JUE44" s="87"/>
      <c r="JUF44" s="87"/>
      <c r="JUG44" s="87"/>
      <c r="JUH44" s="87"/>
      <c r="JUI44" s="87"/>
      <c r="JUJ44" s="87"/>
      <c r="JUK44" s="87"/>
      <c r="JUL44" s="87"/>
      <c r="JUM44" s="87"/>
      <c r="JUN44" s="87"/>
      <c r="JUO44" s="87"/>
      <c r="JUP44" s="87"/>
      <c r="JUQ44" s="87"/>
      <c r="JUR44" s="87"/>
      <c r="JUS44" s="87"/>
      <c r="JUT44" s="87"/>
      <c r="JUU44" s="87"/>
      <c r="JUV44" s="87"/>
      <c r="JUW44" s="87"/>
      <c r="JUX44" s="87"/>
      <c r="JUY44" s="87"/>
      <c r="JUZ44" s="87"/>
      <c r="JVA44" s="87"/>
      <c r="JVB44" s="87"/>
      <c r="JVC44" s="87"/>
      <c r="JVD44" s="87"/>
      <c r="JVE44" s="87"/>
      <c r="JVF44" s="87"/>
      <c r="JVG44" s="87"/>
      <c r="JVH44" s="87"/>
      <c r="JVI44" s="87"/>
      <c r="JVJ44" s="87"/>
      <c r="JVK44" s="87"/>
      <c r="JVL44" s="87"/>
      <c r="JVM44" s="87"/>
      <c r="JVN44" s="87"/>
      <c r="JVO44" s="87"/>
      <c r="JVP44" s="87"/>
      <c r="JVQ44" s="87"/>
      <c r="JVR44" s="87"/>
      <c r="JVS44" s="87"/>
      <c r="JVT44" s="87"/>
      <c r="JVU44" s="87"/>
      <c r="JVV44" s="87"/>
      <c r="JVW44" s="87"/>
      <c r="JVX44" s="87"/>
      <c r="JVY44" s="87"/>
      <c r="JVZ44" s="87"/>
      <c r="JWA44" s="87"/>
      <c r="JWB44" s="87"/>
      <c r="JWC44" s="87"/>
      <c r="JWD44" s="87"/>
      <c r="JWE44" s="87"/>
      <c r="JWF44" s="87"/>
      <c r="JWG44" s="87"/>
      <c r="JWH44" s="87"/>
      <c r="JWI44" s="87"/>
      <c r="JWJ44" s="87"/>
      <c r="JWK44" s="87"/>
      <c r="JWL44" s="87"/>
      <c r="JWM44" s="87"/>
      <c r="JWN44" s="87"/>
      <c r="JWO44" s="87"/>
      <c r="JWP44" s="87"/>
      <c r="JWQ44" s="87"/>
      <c r="JWR44" s="87"/>
      <c r="JWS44" s="87"/>
      <c r="JWT44" s="87"/>
      <c r="JWU44" s="87"/>
      <c r="JWV44" s="87"/>
      <c r="JWW44" s="87"/>
      <c r="JWX44" s="87"/>
      <c r="JWY44" s="87"/>
      <c r="JWZ44" s="87"/>
      <c r="JXA44" s="87"/>
      <c r="JXB44" s="87"/>
      <c r="JXC44" s="87"/>
      <c r="JXD44" s="87"/>
      <c r="JXE44" s="87"/>
      <c r="JXF44" s="87"/>
      <c r="JXG44" s="87"/>
      <c r="JXH44" s="87"/>
      <c r="JXI44" s="87"/>
      <c r="JXJ44" s="87"/>
      <c r="JXK44" s="87"/>
      <c r="JXL44" s="87"/>
      <c r="JXM44" s="87"/>
      <c r="JXN44" s="87"/>
      <c r="JXO44" s="87"/>
      <c r="JXP44" s="87"/>
      <c r="JXQ44" s="87"/>
      <c r="JXR44" s="87"/>
      <c r="JXS44" s="87"/>
      <c r="JXT44" s="87"/>
      <c r="JXU44" s="87"/>
      <c r="JXV44" s="87"/>
      <c r="JXW44" s="87"/>
      <c r="JXX44" s="87"/>
      <c r="JXY44" s="87"/>
      <c r="JXZ44" s="87"/>
      <c r="JYA44" s="87"/>
      <c r="JYB44" s="87"/>
      <c r="JYC44" s="87"/>
      <c r="JYD44" s="87"/>
      <c r="JYE44" s="87"/>
      <c r="JYF44" s="87"/>
      <c r="JYG44" s="87"/>
      <c r="JYH44" s="87"/>
      <c r="JYI44" s="87"/>
      <c r="JYJ44" s="87"/>
      <c r="JYK44" s="87"/>
      <c r="JYL44" s="87"/>
      <c r="JYM44" s="87"/>
      <c r="JYN44" s="87"/>
      <c r="JYO44" s="87"/>
      <c r="JYP44" s="87"/>
      <c r="JYQ44" s="87"/>
      <c r="JYR44" s="87"/>
      <c r="JYS44" s="87"/>
      <c r="JYT44" s="87"/>
      <c r="JYU44" s="87"/>
      <c r="JYV44" s="87"/>
      <c r="JYW44" s="87"/>
      <c r="JYX44" s="87"/>
      <c r="JYY44" s="87"/>
      <c r="JYZ44" s="87"/>
      <c r="JZA44" s="87"/>
      <c r="JZB44" s="87"/>
      <c r="JZC44" s="87"/>
      <c r="JZD44" s="87"/>
      <c r="JZE44" s="87"/>
      <c r="JZF44" s="87"/>
      <c r="JZG44" s="87"/>
      <c r="JZH44" s="87"/>
      <c r="JZI44" s="87"/>
      <c r="JZJ44" s="87"/>
      <c r="JZK44" s="87"/>
      <c r="JZL44" s="87"/>
      <c r="JZM44" s="87"/>
      <c r="JZN44" s="87"/>
      <c r="JZO44" s="87"/>
      <c r="JZP44" s="87"/>
      <c r="JZQ44" s="87"/>
      <c r="JZR44" s="87"/>
      <c r="JZS44" s="87"/>
      <c r="JZT44" s="87"/>
      <c r="JZU44" s="87"/>
      <c r="JZV44" s="87"/>
      <c r="JZW44" s="87"/>
      <c r="JZX44" s="87"/>
      <c r="JZY44" s="87"/>
      <c r="JZZ44" s="87"/>
      <c r="KAA44" s="87"/>
      <c r="KAB44" s="87"/>
      <c r="KAC44" s="87"/>
      <c r="KAD44" s="87"/>
      <c r="KAE44" s="87"/>
      <c r="KAF44" s="87"/>
      <c r="KAG44" s="87"/>
      <c r="KAH44" s="87"/>
      <c r="KAI44" s="87"/>
      <c r="KAJ44" s="87"/>
      <c r="KAK44" s="87"/>
      <c r="KAL44" s="87"/>
      <c r="KAM44" s="87"/>
      <c r="KAN44" s="87"/>
      <c r="KAO44" s="87"/>
      <c r="KAP44" s="87"/>
      <c r="KAQ44" s="87"/>
      <c r="KAR44" s="87"/>
      <c r="KAS44" s="87"/>
      <c r="KAT44" s="87"/>
      <c r="KAU44" s="87"/>
      <c r="KAV44" s="87"/>
      <c r="KAW44" s="87"/>
      <c r="KAX44" s="87"/>
      <c r="KAY44" s="87"/>
      <c r="KAZ44" s="87"/>
      <c r="KBA44" s="87"/>
      <c r="KBB44" s="87"/>
      <c r="KBC44" s="87"/>
      <c r="KBD44" s="87"/>
      <c r="KBE44" s="87"/>
      <c r="KBF44" s="87"/>
      <c r="KBG44" s="87"/>
      <c r="KBH44" s="87"/>
      <c r="KBI44" s="87"/>
      <c r="KBJ44" s="87"/>
      <c r="KBK44" s="87"/>
      <c r="KBL44" s="87"/>
      <c r="KBM44" s="87"/>
      <c r="KBN44" s="87"/>
      <c r="KBO44" s="87"/>
      <c r="KBP44" s="87"/>
      <c r="KBQ44" s="87"/>
      <c r="KBR44" s="87"/>
      <c r="KBS44" s="87"/>
      <c r="KBT44" s="87"/>
      <c r="KBU44" s="87"/>
      <c r="KBV44" s="87"/>
      <c r="KBW44" s="87"/>
      <c r="KBX44" s="87"/>
      <c r="KBY44" s="87"/>
      <c r="KBZ44" s="87"/>
      <c r="KCA44" s="87"/>
      <c r="KCB44" s="87"/>
      <c r="KCC44" s="87"/>
      <c r="KCD44" s="87"/>
      <c r="KCE44" s="87"/>
      <c r="KCF44" s="87"/>
      <c r="KCG44" s="87"/>
      <c r="KCH44" s="87"/>
      <c r="KCI44" s="87"/>
      <c r="KCJ44" s="87"/>
      <c r="KCK44" s="87"/>
      <c r="KCL44" s="87"/>
      <c r="KCM44" s="87"/>
      <c r="KCN44" s="87"/>
      <c r="KCO44" s="87"/>
      <c r="KCP44" s="87"/>
      <c r="KCQ44" s="87"/>
      <c r="KCR44" s="87"/>
      <c r="KCS44" s="87"/>
      <c r="KCT44" s="87"/>
      <c r="KCU44" s="87"/>
      <c r="KCV44" s="87"/>
      <c r="KCW44" s="87"/>
      <c r="KCX44" s="87"/>
      <c r="KCY44" s="87"/>
      <c r="KCZ44" s="87"/>
      <c r="KDA44" s="87"/>
      <c r="KDB44" s="87"/>
      <c r="KDC44" s="87"/>
      <c r="KDD44" s="87"/>
      <c r="KDE44" s="87"/>
      <c r="KDF44" s="87"/>
      <c r="KDG44" s="87"/>
      <c r="KDH44" s="87"/>
      <c r="KDI44" s="87"/>
      <c r="KDJ44" s="87"/>
      <c r="KDK44" s="87"/>
      <c r="KDL44" s="87"/>
      <c r="KDM44" s="87"/>
      <c r="KDN44" s="87"/>
      <c r="KDO44" s="87"/>
      <c r="KDP44" s="87"/>
      <c r="KDQ44" s="87"/>
      <c r="KDR44" s="87"/>
      <c r="KDS44" s="87"/>
      <c r="KDT44" s="87"/>
      <c r="KDU44" s="87"/>
      <c r="KDV44" s="87"/>
      <c r="KDW44" s="87"/>
      <c r="KDX44" s="87"/>
      <c r="KDY44" s="87"/>
      <c r="KDZ44" s="87"/>
      <c r="KEA44" s="87"/>
      <c r="KEB44" s="87"/>
      <c r="KEC44" s="87"/>
      <c r="KED44" s="87"/>
      <c r="KEE44" s="87"/>
      <c r="KEF44" s="87"/>
      <c r="KEG44" s="87"/>
      <c r="KEH44" s="87"/>
      <c r="KEI44" s="87"/>
      <c r="KEJ44" s="87"/>
      <c r="KEK44" s="87"/>
      <c r="KEL44" s="87"/>
      <c r="KEM44" s="87"/>
      <c r="KEN44" s="87"/>
      <c r="KEO44" s="87"/>
      <c r="KEP44" s="87"/>
      <c r="KEQ44" s="87"/>
      <c r="KER44" s="87"/>
      <c r="KES44" s="87"/>
      <c r="KET44" s="87"/>
      <c r="KEU44" s="87"/>
      <c r="KEV44" s="87"/>
      <c r="KEW44" s="87"/>
      <c r="KEX44" s="87"/>
      <c r="KEY44" s="87"/>
      <c r="KEZ44" s="87"/>
      <c r="KFA44" s="87"/>
      <c r="KFB44" s="87"/>
      <c r="KFC44" s="87"/>
      <c r="KFD44" s="87"/>
      <c r="KFE44" s="87"/>
      <c r="KFF44" s="87"/>
      <c r="KFG44" s="87"/>
      <c r="KFH44" s="87"/>
      <c r="KFI44" s="87"/>
      <c r="KFJ44" s="87"/>
      <c r="KFK44" s="87"/>
      <c r="KFL44" s="87"/>
      <c r="KFM44" s="87"/>
      <c r="KFN44" s="87"/>
      <c r="KFO44" s="87"/>
      <c r="KFP44" s="87"/>
      <c r="KFQ44" s="87"/>
      <c r="KFR44" s="87"/>
      <c r="KFS44" s="87"/>
      <c r="KFT44" s="87"/>
      <c r="KFU44" s="87"/>
      <c r="KFV44" s="87"/>
      <c r="KFW44" s="87"/>
      <c r="KFX44" s="87"/>
      <c r="KFY44" s="87"/>
      <c r="KFZ44" s="87"/>
      <c r="KGA44" s="87"/>
      <c r="KGB44" s="87"/>
      <c r="KGC44" s="87"/>
      <c r="KGD44" s="87"/>
      <c r="KGE44" s="87"/>
      <c r="KGF44" s="87"/>
      <c r="KGG44" s="87"/>
      <c r="KGH44" s="87"/>
      <c r="KGI44" s="87"/>
      <c r="KGJ44" s="87"/>
      <c r="KGK44" s="87"/>
      <c r="KGL44" s="87"/>
      <c r="KGM44" s="87"/>
      <c r="KGN44" s="87"/>
      <c r="KGO44" s="87"/>
      <c r="KGP44" s="87"/>
      <c r="KGQ44" s="87"/>
      <c r="KGR44" s="87"/>
      <c r="KGS44" s="87"/>
      <c r="KGT44" s="87"/>
      <c r="KGU44" s="87"/>
      <c r="KGV44" s="87"/>
      <c r="KGW44" s="87"/>
      <c r="KGX44" s="87"/>
      <c r="KGY44" s="87"/>
      <c r="KGZ44" s="87"/>
      <c r="KHA44" s="87"/>
      <c r="KHB44" s="87"/>
      <c r="KHC44" s="87"/>
      <c r="KHD44" s="87"/>
      <c r="KHE44" s="87"/>
      <c r="KHF44" s="87"/>
      <c r="KHG44" s="87"/>
      <c r="KHH44" s="87"/>
      <c r="KHI44" s="87"/>
      <c r="KHJ44" s="87"/>
      <c r="KHK44" s="87"/>
      <c r="KHL44" s="87"/>
      <c r="KHM44" s="87"/>
      <c r="KHN44" s="87"/>
      <c r="KHO44" s="87"/>
      <c r="KHP44" s="87"/>
      <c r="KHQ44" s="87"/>
      <c r="KHR44" s="87"/>
      <c r="KHS44" s="87"/>
      <c r="KHT44" s="87"/>
      <c r="KHU44" s="87"/>
      <c r="KHV44" s="87"/>
      <c r="KHW44" s="87"/>
      <c r="KHX44" s="87"/>
      <c r="KHY44" s="87"/>
      <c r="KHZ44" s="87"/>
      <c r="KIA44" s="87"/>
      <c r="KIB44" s="87"/>
      <c r="KIC44" s="87"/>
      <c r="KID44" s="87"/>
      <c r="KIE44" s="87"/>
      <c r="KIF44" s="87"/>
      <c r="KIG44" s="87"/>
      <c r="KIH44" s="87"/>
      <c r="KII44" s="87"/>
      <c r="KIJ44" s="87"/>
      <c r="KIK44" s="87"/>
      <c r="KIL44" s="87"/>
      <c r="KIM44" s="87"/>
      <c r="KIN44" s="87"/>
      <c r="KIO44" s="87"/>
      <c r="KIP44" s="87"/>
      <c r="KIQ44" s="87"/>
      <c r="KIR44" s="87"/>
      <c r="KIS44" s="87"/>
      <c r="KIT44" s="87"/>
      <c r="KIU44" s="87"/>
      <c r="KIV44" s="87"/>
      <c r="KIW44" s="87"/>
      <c r="KIX44" s="87"/>
      <c r="KIY44" s="87"/>
      <c r="KIZ44" s="87"/>
      <c r="KJA44" s="87"/>
      <c r="KJB44" s="87"/>
      <c r="KJC44" s="87"/>
      <c r="KJD44" s="87"/>
      <c r="KJE44" s="87"/>
      <c r="KJF44" s="87"/>
      <c r="KJG44" s="87"/>
      <c r="KJH44" s="87"/>
      <c r="KJI44" s="87"/>
      <c r="KJJ44" s="87"/>
      <c r="KJK44" s="87"/>
      <c r="KJL44" s="87"/>
      <c r="KJM44" s="87"/>
      <c r="KJN44" s="87"/>
      <c r="KJO44" s="87"/>
      <c r="KJP44" s="87"/>
      <c r="KJQ44" s="87"/>
      <c r="KJR44" s="87"/>
      <c r="KJS44" s="87"/>
      <c r="KJT44" s="87"/>
      <c r="KJU44" s="87"/>
      <c r="KJV44" s="87"/>
      <c r="KJW44" s="87"/>
      <c r="KJX44" s="87"/>
      <c r="KJY44" s="87"/>
      <c r="KJZ44" s="87"/>
      <c r="KKA44" s="87"/>
      <c r="KKB44" s="87"/>
      <c r="KKC44" s="87"/>
      <c r="KKD44" s="87"/>
      <c r="KKE44" s="87"/>
      <c r="KKF44" s="87"/>
      <c r="KKG44" s="87"/>
      <c r="KKH44" s="87"/>
      <c r="KKI44" s="87"/>
      <c r="KKJ44" s="87"/>
      <c r="KKK44" s="87"/>
      <c r="KKL44" s="87"/>
      <c r="KKM44" s="87"/>
      <c r="KKN44" s="87"/>
      <c r="KKO44" s="87"/>
      <c r="KKP44" s="87"/>
      <c r="KKQ44" s="87"/>
      <c r="KKR44" s="87"/>
      <c r="KKS44" s="87"/>
      <c r="KKT44" s="87"/>
      <c r="KKU44" s="87"/>
      <c r="KKV44" s="87"/>
      <c r="KKW44" s="87"/>
      <c r="KKX44" s="87"/>
      <c r="KKY44" s="87"/>
      <c r="KKZ44" s="87"/>
      <c r="KLA44" s="87"/>
      <c r="KLB44" s="87"/>
      <c r="KLC44" s="87"/>
      <c r="KLD44" s="87"/>
      <c r="KLE44" s="87"/>
      <c r="KLF44" s="87"/>
      <c r="KLG44" s="87"/>
      <c r="KLH44" s="87"/>
      <c r="KLI44" s="87"/>
      <c r="KLJ44" s="87"/>
      <c r="KLK44" s="87"/>
      <c r="KLL44" s="87"/>
      <c r="KLM44" s="87"/>
      <c r="KLN44" s="87"/>
      <c r="KLO44" s="87"/>
      <c r="KLP44" s="87"/>
      <c r="KLQ44" s="87"/>
      <c r="KLR44" s="87"/>
      <c r="KLS44" s="87"/>
      <c r="KLT44" s="87"/>
      <c r="KLU44" s="87"/>
      <c r="KLV44" s="87"/>
      <c r="KLW44" s="87"/>
      <c r="KLX44" s="87"/>
      <c r="KLY44" s="87"/>
      <c r="KLZ44" s="87"/>
      <c r="KMA44" s="87"/>
      <c r="KMB44" s="87"/>
      <c r="KMC44" s="87"/>
      <c r="KMD44" s="87"/>
      <c r="KME44" s="87"/>
      <c r="KMF44" s="87"/>
      <c r="KMG44" s="87"/>
      <c r="KMH44" s="87"/>
      <c r="KMI44" s="87"/>
      <c r="KMJ44" s="87"/>
      <c r="KMK44" s="87"/>
      <c r="KML44" s="87"/>
      <c r="KMM44" s="87"/>
      <c r="KMN44" s="87"/>
      <c r="KMO44" s="87"/>
      <c r="KMP44" s="87"/>
      <c r="KMQ44" s="87"/>
      <c r="KMR44" s="87"/>
      <c r="KMS44" s="87"/>
      <c r="KMT44" s="87"/>
      <c r="KMU44" s="87"/>
      <c r="KMV44" s="87"/>
      <c r="KMW44" s="87"/>
      <c r="KMX44" s="87"/>
      <c r="KMY44" s="87"/>
      <c r="KMZ44" s="87"/>
      <c r="KNA44" s="87"/>
      <c r="KNB44" s="87"/>
      <c r="KNC44" s="87"/>
      <c r="KND44" s="87"/>
      <c r="KNE44" s="87"/>
      <c r="KNF44" s="87"/>
      <c r="KNG44" s="87"/>
      <c r="KNH44" s="87"/>
      <c r="KNI44" s="87"/>
      <c r="KNJ44" s="87"/>
      <c r="KNK44" s="87"/>
      <c r="KNL44" s="87"/>
      <c r="KNM44" s="87"/>
      <c r="KNN44" s="87"/>
      <c r="KNO44" s="87"/>
      <c r="KNP44" s="87"/>
      <c r="KNQ44" s="87"/>
      <c r="KNR44" s="87"/>
      <c r="KNS44" s="87"/>
      <c r="KNT44" s="87"/>
      <c r="KNU44" s="87"/>
      <c r="KNV44" s="87"/>
      <c r="KNW44" s="87"/>
      <c r="KNX44" s="87"/>
      <c r="KNY44" s="87"/>
      <c r="KNZ44" s="87"/>
      <c r="KOA44" s="87"/>
      <c r="KOB44" s="87"/>
      <c r="KOC44" s="87"/>
      <c r="KOD44" s="87"/>
      <c r="KOE44" s="87"/>
      <c r="KOF44" s="87"/>
      <c r="KOG44" s="87"/>
      <c r="KOH44" s="87"/>
      <c r="KOI44" s="87"/>
      <c r="KOJ44" s="87"/>
      <c r="KOK44" s="87"/>
      <c r="KOL44" s="87"/>
      <c r="KOM44" s="87"/>
      <c r="KON44" s="87"/>
      <c r="KOO44" s="87"/>
      <c r="KOP44" s="87"/>
      <c r="KOQ44" s="87"/>
      <c r="KOR44" s="87"/>
      <c r="KOS44" s="87"/>
      <c r="KOT44" s="87"/>
      <c r="KOU44" s="87"/>
      <c r="KOV44" s="87"/>
      <c r="KOW44" s="87"/>
      <c r="KOX44" s="87"/>
      <c r="KOY44" s="87"/>
      <c r="KOZ44" s="87"/>
      <c r="KPA44" s="87"/>
      <c r="KPB44" s="87"/>
      <c r="KPC44" s="87"/>
      <c r="KPD44" s="87"/>
      <c r="KPE44" s="87"/>
      <c r="KPF44" s="87"/>
      <c r="KPG44" s="87"/>
      <c r="KPH44" s="87"/>
      <c r="KPI44" s="87"/>
      <c r="KPJ44" s="87"/>
      <c r="KPK44" s="87"/>
      <c r="KPL44" s="87"/>
      <c r="KPM44" s="87"/>
      <c r="KPN44" s="87"/>
      <c r="KPO44" s="87"/>
      <c r="KPP44" s="87"/>
      <c r="KPQ44" s="87"/>
      <c r="KPR44" s="87"/>
      <c r="KPS44" s="87"/>
      <c r="KPT44" s="87"/>
      <c r="KPU44" s="87"/>
      <c r="KPV44" s="87"/>
      <c r="KPW44" s="87"/>
      <c r="KPX44" s="87"/>
      <c r="KPY44" s="87"/>
      <c r="KPZ44" s="87"/>
      <c r="KQA44" s="87"/>
      <c r="KQB44" s="87"/>
      <c r="KQC44" s="87"/>
      <c r="KQD44" s="87"/>
      <c r="KQE44" s="87"/>
      <c r="KQF44" s="87"/>
      <c r="KQG44" s="87"/>
      <c r="KQH44" s="87"/>
      <c r="KQI44" s="87"/>
      <c r="KQJ44" s="87"/>
      <c r="KQK44" s="87"/>
      <c r="KQL44" s="87"/>
      <c r="KQM44" s="87"/>
      <c r="KQN44" s="87"/>
      <c r="KQO44" s="87"/>
      <c r="KQP44" s="87"/>
      <c r="KQQ44" s="87"/>
      <c r="KQR44" s="87"/>
      <c r="KQS44" s="87"/>
      <c r="KQT44" s="87"/>
      <c r="KQU44" s="87"/>
      <c r="KQV44" s="87"/>
      <c r="KQW44" s="87"/>
      <c r="KQX44" s="87"/>
      <c r="KQY44" s="87"/>
      <c r="KQZ44" s="87"/>
      <c r="KRA44" s="87"/>
      <c r="KRB44" s="87"/>
      <c r="KRC44" s="87"/>
      <c r="KRD44" s="87"/>
      <c r="KRE44" s="87"/>
      <c r="KRF44" s="87"/>
      <c r="KRG44" s="87"/>
      <c r="KRH44" s="87"/>
      <c r="KRI44" s="87"/>
      <c r="KRJ44" s="87"/>
      <c r="KRK44" s="87"/>
      <c r="KRL44" s="87"/>
      <c r="KRM44" s="87"/>
      <c r="KRN44" s="87"/>
      <c r="KRO44" s="87"/>
      <c r="KRP44" s="87"/>
      <c r="KRQ44" s="87"/>
      <c r="KRR44" s="87"/>
      <c r="KRS44" s="87"/>
      <c r="KRT44" s="87"/>
      <c r="KRU44" s="87"/>
      <c r="KRV44" s="87"/>
      <c r="KRW44" s="87"/>
      <c r="KRX44" s="87"/>
      <c r="KRY44" s="87"/>
      <c r="KRZ44" s="87"/>
      <c r="KSA44" s="87"/>
      <c r="KSB44" s="87"/>
      <c r="KSC44" s="87"/>
      <c r="KSD44" s="87"/>
      <c r="KSE44" s="87"/>
      <c r="KSF44" s="87"/>
      <c r="KSG44" s="87"/>
      <c r="KSH44" s="87"/>
      <c r="KSI44" s="87"/>
      <c r="KSJ44" s="87"/>
      <c r="KSK44" s="87"/>
      <c r="KSL44" s="87"/>
      <c r="KSM44" s="87"/>
      <c r="KSN44" s="87"/>
      <c r="KSO44" s="87"/>
      <c r="KSP44" s="87"/>
      <c r="KSQ44" s="87"/>
      <c r="KSR44" s="87"/>
      <c r="KSS44" s="87"/>
      <c r="KST44" s="87"/>
      <c r="KSU44" s="87"/>
      <c r="KSV44" s="87"/>
      <c r="KSW44" s="87"/>
      <c r="KSX44" s="87"/>
      <c r="KSY44" s="87"/>
      <c r="KSZ44" s="87"/>
      <c r="KTA44" s="87"/>
      <c r="KTB44" s="87"/>
      <c r="KTC44" s="87"/>
      <c r="KTD44" s="87"/>
      <c r="KTE44" s="87"/>
      <c r="KTF44" s="87"/>
      <c r="KTG44" s="87"/>
      <c r="KTH44" s="87"/>
      <c r="KTI44" s="87"/>
      <c r="KTJ44" s="87"/>
      <c r="KTK44" s="87"/>
      <c r="KTL44" s="87"/>
      <c r="KTM44" s="87"/>
      <c r="KTN44" s="87"/>
      <c r="KTO44" s="87"/>
      <c r="KTP44" s="87"/>
      <c r="KTQ44" s="87"/>
      <c r="KTR44" s="87"/>
      <c r="KTS44" s="87"/>
      <c r="KTT44" s="87"/>
      <c r="KTU44" s="87"/>
      <c r="KTV44" s="87"/>
      <c r="KTW44" s="87"/>
      <c r="KTX44" s="87"/>
      <c r="KTY44" s="87"/>
      <c r="KTZ44" s="87"/>
      <c r="KUA44" s="87"/>
      <c r="KUB44" s="87"/>
      <c r="KUC44" s="87"/>
      <c r="KUD44" s="87"/>
      <c r="KUE44" s="87"/>
      <c r="KUF44" s="87"/>
      <c r="KUG44" s="87"/>
      <c r="KUH44" s="87"/>
      <c r="KUI44" s="87"/>
      <c r="KUJ44" s="87"/>
      <c r="KUK44" s="87"/>
      <c r="KUL44" s="87"/>
      <c r="KUM44" s="87"/>
      <c r="KUN44" s="87"/>
      <c r="KUO44" s="87"/>
      <c r="KUP44" s="87"/>
      <c r="KUQ44" s="87"/>
      <c r="KUR44" s="87"/>
      <c r="KUS44" s="87"/>
      <c r="KUT44" s="87"/>
      <c r="KUU44" s="87"/>
      <c r="KUV44" s="87"/>
      <c r="KUW44" s="87"/>
      <c r="KUX44" s="87"/>
      <c r="KUY44" s="87"/>
      <c r="KUZ44" s="87"/>
      <c r="KVA44" s="87"/>
      <c r="KVB44" s="87"/>
      <c r="KVC44" s="87"/>
      <c r="KVD44" s="87"/>
      <c r="KVE44" s="87"/>
      <c r="KVF44" s="87"/>
      <c r="KVG44" s="87"/>
      <c r="KVH44" s="87"/>
      <c r="KVI44" s="87"/>
      <c r="KVJ44" s="87"/>
      <c r="KVK44" s="87"/>
      <c r="KVL44" s="87"/>
      <c r="KVM44" s="87"/>
      <c r="KVN44" s="87"/>
      <c r="KVO44" s="87"/>
      <c r="KVP44" s="87"/>
      <c r="KVQ44" s="87"/>
      <c r="KVR44" s="87"/>
      <c r="KVS44" s="87"/>
      <c r="KVT44" s="87"/>
      <c r="KVU44" s="87"/>
      <c r="KVV44" s="87"/>
      <c r="KVW44" s="87"/>
      <c r="KVX44" s="87"/>
      <c r="KVY44" s="87"/>
      <c r="KVZ44" s="87"/>
      <c r="KWA44" s="87"/>
      <c r="KWB44" s="87"/>
      <c r="KWC44" s="87"/>
      <c r="KWD44" s="87"/>
      <c r="KWE44" s="87"/>
      <c r="KWF44" s="87"/>
      <c r="KWG44" s="87"/>
      <c r="KWH44" s="87"/>
      <c r="KWI44" s="87"/>
      <c r="KWJ44" s="87"/>
      <c r="KWK44" s="87"/>
      <c r="KWL44" s="87"/>
      <c r="KWM44" s="87"/>
      <c r="KWN44" s="87"/>
      <c r="KWO44" s="87"/>
      <c r="KWP44" s="87"/>
      <c r="KWQ44" s="87"/>
      <c r="KWR44" s="87"/>
      <c r="KWS44" s="87"/>
      <c r="KWT44" s="87"/>
      <c r="KWU44" s="87"/>
      <c r="KWV44" s="87"/>
      <c r="KWW44" s="87"/>
      <c r="KWX44" s="87"/>
      <c r="KWY44" s="87"/>
      <c r="KWZ44" s="87"/>
      <c r="KXA44" s="87"/>
      <c r="KXB44" s="87"/>
      <c r="KXC44" s="87"/>
      <c r="KXD44" s="87"/>
      <c r="KXE44" s="87"/>
      <c r="KXF44" s="87"/>
      <c r="KXG44" s="87"/>
      <c r="KXH44" s="87"/>
      <c r="KXI44" s="87"/>
      <c r="KXJ44" s="87"/>
      <c r="KXK44" s="87"/>
      <c r="KXL44" s="87"/>
      <c r="KXM44" s="87"/>
      <c r="KXN44" s="87"/>
      <c r="KXO44" s="87"/>
      <c r="KXP44" s="87"/>
      <c r="KXQ44" s="87"/>
      <c r="KXR44" s="87"/>
      <c r="KXS44" s="87"/>
      <c r="KXT44" s="87"/>
      <c r="KXU44" s="87"/>
      <c r="KXV44" s="87"/>
      <c r="KXW44" s="87"/>
      <c r="KXX44" s="87"/>
      <c r="KXY44" s="87"/>
      <c r="KXZ44" s="87"/>
      <c r="KYA44" s="87"/>
      <c r="KYB44" s="87"/>
      <c r="KYC44" s="87"/>
      <c r="KYD44" s="87"/>
      <c r="KYE44" s="87"/>
      <c r="KYF44" s="87"/>
      <c r="KYG44" s="87"/>
      <c r="KYH44" s="87"/>
      <c r="KYI44" s="87"/>
      <c r="KYJ44" s="87"/>
      <c r="KYK44" s="87"/>
      <c r="KYL44" s="87"/>
      <c r="KYM44" s="87"/>
      <c r="KYN44" s="87"/>
      <c r="KYO44" s="87"/>
      <c r="KYP44" s="87"/>
      <c r="KYQ44" s="87"/>
      <c r="KYR44" s="87"/>
      <c r="KYS44" s="87"/>
      <c r="KYT44" s="87"/>
      <c r="KYU44" s="87"/>
      <c r="KYV44" s="87"/>
      <c r="KYW44" s="87"/>
      <c r="KYX44" s="87"/>
      <c r="KYY44" s="87"/>
      <c r="KYZ44" s="87"/>
      <c r="KZA44" s="87"/>
      <c r="KZB44" s="87"/>
      <c r="KZC44" s="87"/>
      <c r="KZD44" s="87"/>
      <c r="KZE44" s="87"/>
      <c r="KZF44" s="87"/>
      <c r="KZG44" s="87"/>
      <c r="KZH44" s="87"/>
      <c r="KZI44" s="87"/>
      <c r="KZJ44" s="87"/>
      <c r="KZK44" s="87"/>
      <c r="KZL44" s="87"/>
      <c r="KZM44" s="87"/>
      <c r="KZN44" s="87"/>
      <c r="KZO44" s="87"/>
      <c r="KZP44" s="87"/>
      <c r="KZQ44" s="87"/>
      <c r="KZR44" s="87"/>
      <c r="KZS44" s="87"/>
      <c r="KZT44" s="87"/>
      <c r="KZU44" s="87"/>
      <c r="KZV44" s="87"/>
      <c r="KZW44" s="87"/>
      <c r="KZX44" s="87"/>
      <c r="KZY44" s="87"/>
      <c r="KZZ44" s="87"/>
      <c r="LAA44" s="87"/>
      <c r="LAB44" s="87"/>
      <c r="LAC44" s="87"/>
      <c r="LAD44" s="87"/>
      <c r="LAE44" s="87"/>
      <c r="LAF44" s="87"/>
      <c r="LAG44" s="87"/>
      <c r="LAH44" s="87"/>
      <c r="LAI44" s="87"/>
      <c r="LAJ44" s="87"/>
      <c r="LAK44" s="87"/>
      <c r="LAL44" s="87"/>
      <c r="LAM44" s="87"/>
      <c r="LAN44" s="87"/>
      <c r="LAO44" s="87"/>
      <c r="LAP44" s="87"/>
      <c r="LAQ44" s="87"/>
      <c r="LAR44" s="87"/>
      <c r="LAS44" s="87"/>
      <c r="LAT44" s="87"/>
      <c r="LAU44" s="87"/>
      <c r="LAV44" s="87"/>
      <c r="LAW44" s="87"/>
      <c r="LAX44" s="87"/>
      <c r="LAY44" s="87"/>
      <c r="LAZ44" s="87"/>
      <c r="LBA44" s="87"/>
      <c r="LBB44" s="87"/>
      <c r="LBC44" s="87"/>
      <c r="LBD44" s="87"/>
      <c r="LBE44" s="87"/>
      <c r="LBF44" s="87"/>
      <c r="LBG44" s="87"/>
      <c r="LBH44" s="87"/>
      <c r="LBI44" s="87"/>
      <c r="LBJ44" s="87"/>
      <c r="LBK44" s="87"/>
      <c r="LBL44" s="87"/>
      <c r="LBM44" s="87"/>
      <c r="LBN44" s="87"/>
      <c r="LBO44" s="87"/>
      <c r="LBP44" s="87"/>
      <c r="LBQ44" s="87"/>
      <c r="LBR44" s="87"/>
      <c r="LBS44" s="87"/>
      <c r="LBT44" s="87"/>
      <c r="LBU44" s="87"/>
      <c r="LBV44" s="87"/>
      <c r="LBW44" s="87"/>
      <c r="LBX44" s="87"/>
      <c r="LBY44" s="87"/>
      <c r="LBZ44" s="87"/>
      <c r="LCA44" s="87"/>
      <c r="LCB44" s="87"/>
      <c r="LCC44" s="87"/>
      <c r="LCD44" s="87"/>
      <c r="LCE44" s="87"/>
      <c r="LCF44" s="87"/>
      <c r="LCG44" s="87"/>
      <c r="LCH44" s="87"/>
      <c r="LCI44" s="87"/>
      <c r="LCJ44" s="87"/>
      <c r="LCK44" s="87"/>
      <c r="LCL44" s="87"/>
      <c r="LCM44" s="87"/>
      <c r="LCN44" s="87"/>
      <c r="LCO44" s="87"/>
      <c r="LCP44" s="87"/>
      <c r="LCQ44" s="87"/>
      <c r="LCR44" s="87"/>
      <c r="LCS44" s="87"/>
      <c r="LCT44" s="87"/>
      <c r="LCU44" s="87"/>
      <c r="LCV44" s="87"/>
      <c r="LCW44" s="87"/>
      <c r="LCX44" s="87"/>
      <c r="LCY44" s="87"/>
      <c r="LCZ44" s="87"/>
      <c r="LDA44" s="87"/>
      <c r="LDB44" s="87"/>
      <c r="LDC44" s="87"/>
      <c r="LDD44" s="87"/>
      <c r="LDE44" s="87"/>
      <c r="LDF44" s="87"/>
      <c r="LDG44" s="87"/>
      <c r="LDH44" s="87"/>
      <c r="LDI44" s="87"/>
      <c r="LDJ44" s="87"/>
      <c r="LDK44" s="87"/>
      <c r="LDL44" s="87"/>
      <c r="LDM44" s="87"/>
      <c r="LDN44" s="87"/>
      <c r="LDO44" s="87"/>
      <c r="LDP44" s="87"/>
      <c r="LDQ44" s="87"/>
      <c r="LDR44" s="87"/>
      <c r="LDS44" s="87"/>
      <c r="LDT44" s="87"/>
      <c r="LDU44" s="87"/>
      <c r="LDV44" s="87"/>
      <c r="LDW44" s="87"/>
      <c r="LDX44" s="87"/>
      <c r="LDY44" s="87"/>
      <c r="LDZ44" s="87"/>
      <c r="LEA44" s="87"/>
      <c r="LEB44" s="87"/>
      <c r="LEC44" s="87"/>
      <c r="LED44" s="87"/>
      <c r="LEE44" s="87"/>
      <c r="LEF44" s="87"/>
      <c r="LEG44" s="87"/>
      <c r="LEH44" s="87"/>
      <c r="LEI44" s="87"/>
      <c r="LEJ44" s="87"/>
      <c r="LEK44" s="87"/>
      <c r="LEL44" s="87"/>
      <c r="LEM44" s="87"/>
      <c r="LEN44" s="87"/>
      <c r="LEO44" s="87"/>
      <c r="LEP44" s="87"/>
      <c r="LEQ44" s="87"/>
      <c r="LER44" s="87"/>
      <c r="LES44" s="87"/>
      <c r="LET44" s="87"/>
      <c r="LEU44" s="87"/>
      <c r="LEV44" s="87"/>
      <c r="LEW44" s="87"/>
      <c r="LEX44" s="87"/>
      <c r="LEY44" s="87"/>
      <c r="LEZ44" s="87"/>
      <c r="LFA44" s="87"/>
      <c r="LFB44" s="87"/>
      <c r="LFC44" s="87"/>
      <c r="LFD44" s="87"/>
      <c r="LFE44" s="87"/>
      <c r="LFF44" s="87"/>
      <c r="LFG44" s="87"/>
      <c r="LFH44" s="87"/>
      <c r="LFI44" s="87"/>
      <c r="LFJ44" s="87"/>
      <c r="LFK44" s="87"/>
      <c r="LFL44" s="87"/>
      <c r="LFM44" s="87"/>
      <c r="LFN44" s="87"/>
      <c r="LFO44" s="87"/>
      <c r="LFP44" s="87"/>
      <c r="LFQ44" s="87"/>
      <c r="LFR44" s="87"/>
      <c r="LFS44" s="87"/>
      <c r="LFT44" s="87"/>
      <c r="LFU44" s="87"/>
      <c r="LFV44" s="87"/>
      <c r="LFW44" s="87"/>
      <c r="LFX44" s="87"/>
      <c r="LFY44" s="87"/>
      <c r="LFZ44" s="87"/>
      <c r="LGA44" s="87"/>
      <c r="LGB44" s="87"/>
      <c r="LGC44" s="87"/>
      <c r="LGD44" s="87"/>
      <c r="LGE44" s="87"/>
      <c r="LGF44" s="87"/>
      <c r="LGG44" s="87"/>
      <c r="LGH44" s="87"/>
      <c r="LGI44" s="87"/>
      <c r="LGJ44" s="87"/>
      <c r="LGK44" s="87"/>
      <c r="LGL44" s="87"/>
      <c r="LGM44" s="87"/>
      <c r="LGN44" s="87"/>
      <c r="LGO44" s="87"/>
      <c r="LGP44" s="87"/>
      <c r="LGQ44" s="87"/>
      <c r="LGR44" s="87"/>
      <c r="LGS44" s="87"/>
      <c r="LGT44" s="87"/>
      <c r="LGU44" s="87"/>
      <c r="LGV44" s="87"/>
      <c r="LGW44" s="87"/>
      <c r="LGX44" s="87"/>
      <c r="LGY44" s="87"/>
      <c r="LGZ44" s="87"/>
      <c r="LHA44" s="87"/>
      <c r="LHB44" s="87"/>
      <c r="LHC44" s="87"/>
      <c r="LHD44" s="87"/>
      <c r="LHE44" s="87"/>
      <c r="LHF44" s="87"/>
      <c r="LHG44" s="87"/>
      <c r="LHH44" s="87"/>
      <c r="LHI44" s="87"/>
      <c r="LHJ44" s="87"/>
      <c r="LHK44" s="87"/>
      <c r="LHL44" s="87"/>
      <c r="LHM44" s="87"/>
      <c r="LHN44" s="87"/>
      <c r="LHO44" s="87"/>
      <c r="LHP44" s="87"/>
      <c r="LHQ44" s="87"/>
      <c r="LHR44" s="87"/>
      <c r="LHS44" s="87"/>
      <c r="LHT44" s="87"/>
      <c r="LHU44" s="87"/>
      <c r="LHV44" s="87"/>
      <c r="LHW44" s="87"/>
      <c r="LHX44" s="87"/>
      <c r="LHY44" s="87"/>
      <c r="LHZ44" s="87"/>
      <c r="LIA44" s="87"/>
      <c r="LIB44" s="87"/>
      <c r="LIC44" s="87"/>
      <c r="LID44" s="87"/>
      <c r="LIE44" s="87"/>
      <c r="LIF44" s="87"/>
      <c r="LIG44" s="87"/>
      <c r="LIH44" s="87"/>
      <c r="LII44" s="87"/>
      <c r="LIJ44" s="87"/>
      <c r="LIK44" s="87"/>
      <c r="LIL44" s="87"/>
      <c r="LIM44" s="87"/>
      <c r="LIN44" s="87"/>
      <c r="LIO44" s="87"/>
      <c r="LIP44" s="87"/>
      <c r="LIQ44" s="87"/>
      <c r="LIR44" s="87"/>
      <c r="LIS44" s="87"/>
      <c r="LIT44" s="87"/>
      <c r="LIU44" s="87"/>
      <c r="LIV44" s="87"/>
      <c r="LIW44" s="87"/>
      <c r="LIX44" s="87"/>
      <c r="LIY44" s="87"/>
      <c r="LIZ44" s="87"/>
      <c r="LJA44" s="87"/>
      <c r="LJB44" s="87"/>
      <c r="LJC44" s="87"/>
      <c r="LJD44" s="87"/>
      <c r="LJE44" s="87"/>
      <c r="LJF44" s="87"/>
      <c r="LJG44" s="87"/>
      <c r="LJH44" s="87"/>
      <c r="LJI44" s="87"/>
      <c r="LJJ44" s="87"/>
      <c r="LJK44" s="87"/>
      <c r="LJL44" s="87"/>
      <c r="LJM44" s="87"/>
      <c r="LJN44" s="87"/>
      <c r="LJO44" s="87"/>
      <c r="LJP44" s="87"/>
      <c r="LJQ44" s="87"/>
      <c r="LJR44" s="87"/>
      <c r="LJS44" s="87"/>
      <c r="LJT44" s="87"/>
      <c r="LJU44" s="87"/>
      <c r="LJV44" s="87"/>
      <c r="LJW44" s="87"/>
      <c r="LJX44" s="87"/>
      <c r="LJY44" s="87"/>
      <c r="LJZ44" s="87"/>
      <c r="LKA44" s="87"/>
      <c r="LKB44" s="87"/>
      <c r="LKC44" s="87"/>
      <c r="LKD44" s="87"/>
      <c r="LKE44" s="87"/>
      <c r="LKF44" s="87"/>
      <c r="LKG44" s="87"/>
      <c r="LKH44" s="87"/>
      <c r="LKI44" s="87"/>
      <c r="LKJ44" s="87"/>
      <c r="LKK44" s="87"/>
      <c r="LKL44" s="87"/>
      <c r="LKM44" s="87"/>
      <c r="LKN44" s="87"/>
      <c r="LKO44" s="87"/>
      <c r="LKP44" s="87"/>
      <c r="LKQ44" s="87"/>
      <c r="LKR44" s="87"/>
      <c r="LKS44" s="87"/>
      <c r="LKT44" s="87"/>
      <c r="LKU44" s="87"/>
      <c r="LKV44" s="87"/>
      <c r="LKW44" s="87"/>
      <c r="LKX44" s="87"/>
      <c r="LKY44" s="87"/>
      <c r="LKZ44" s="87"/>
      <c r="LLA44" s="87"/>
      <c r="LLB44" s="87"/>
      <c r="LLC44" s="87"/>
      <c r="LLD44" s="87"/>
      <c r="LLE44" s="87"/>
      <c r="LLF44" s="87"/>
      <c r="LLG44" s="87"/>
      <c r="LLH44" s="87"/>
      <c r="LLI44" s="87"/>
      <c r="LLJ44" s="87"/>
      <c r="LLK44" s="87"/>
      <c r="LLL44" s="87"/>
      <c r="LLM44" s="87"/>
      <c r="LLN44" s="87"/>
      <c r="LLO44" s="87"/>
      <c r="LLP44" s="87"/>
      <c r="LLQ44" s="87"/>
      <c r="LLR44" s="87"/>
      <c r="LLS44" s="87"/>
      <c r="LLT44" s="87"/>
      <c r="LLU44" s="87"/>
      <c r="LLV44" s="87"/>
      <c r="LLW44" s="87"/>
      <c r="LLX44" s="87"/>
      <c r="LLY44" s="87"/>
      <c r="LLZ44" s="87"/>
      <c r="LMA44" s="87"/>
      <c r="LMB44" s="87"/>
      <c r="LMC44" s="87"/>
      <c r="LMD44" s="87"/>
      <c r="LME44" s="87"/>
      <c r="LMF44" s="87"/>
      <c r="LMG44" s="87"/>
      <c r="LMH44" s="87"/>
      <c r="LMI44" s="87"/>
      <c r="LMJ44" s="87"/>
      <c r="LMK44" s="87"/>
      <c r="LML44" s="87"/>
      <c r="LMM44" s="87"/>
      <c r="LMN44" s="87"/>
      <c r="LMO44" s="87"/>
      <c r="LMP44" s="87"/>
      <c r="LMQ44" s="87"/>
      <c r="LMR44" s="87"/>
      <c r="LMS44" s="87"/>
      <c r="LMT44" s="87"/>
      <c r="LMU44" s="87"/>
      <c r="LMV44" s="87"/>
      <c r="LMW44" s="87"/>
      <c r="LMX44" s="87"/>
      <c r="LMY44" s="87"/>
      <c r="LMZ44" s="87"/>
      <c r="LNA44" s="87"/>
      <c r="LNB44" s="87"/>
      <c r="LNC44" s="87"/>
      <c r="LND44" s="87"/>
      <c r="LNE44" s="87"/>
      <c r="LNF44" s="87"/>
      <c r="LNG44" s="87"/>
      <c r="LNH44" s="87"/>
      <c r="LNI44" s="87"/>
      <c r="LNJ44" s="87"/>
      <c r="LNK44" s="87"/>
      <c r="LNL44" s="87"/>
      <c r="LNM44" s="87"/>
      <c r="LNN44" s="87"/>
      <c r="LNO44" s="87"/>
      <c r="LNP44" s="87"/>
      <c r="LNQ44" s="87"/>
      <c r="LNR44" s="87"/>
      <c r="LNS44" s="87"/>
      <c r="LNT44" s="87"/>
      <c r="LNU44" s="87"/>
      <c r="LNV44" s="87"/>
      <c r="LNW44" s="87"/>
      <c r="LNX44" s="87"/>
      <c r="LNY44" s="87"/>
      <c r="LNZ44" s="87"/>
      <c r="LOA44" s="87"/>
      <c r="LOB44" s="87"/>
      <c r="LOC44" s="87"/>
      <c r="LOD44" s="87"/>
      <c r="LOE44" s="87"/>
      <c r="LOF44" s="87"/>
      <c r="LOG44" s="87"/>
      <c r="LOH44" s="87"/>
      <c r="LOI44" s="87"/>
      <c r="LOJ44" s="87"/>
      <c r="LOK44" s="87"/>
      <c r="LOL44" s="87"/>
      <c r="LOM44" s="87"/>
      <c r="LON44" s="87"/>
      <c r="LOO44" s="87"/>
      <c r="LOP44" s="87"/>
      <c r="LOQ44" s="87"/>
      <c r="LOR44" s="87"/>
      <c r="LOS44" s="87"/>
      <c r="LOT44" s="87"/>
      <c r="LOU44" s="87"/>
      <c r="LOV44" s="87"/>
      <c r="LOW44" s="87"/>
      <c r="LOX44" s="87"/>
      <c r="LOY44" s="87"/>
      <c r="LOZ44" s="87"/>
      <c r="LPA44" s="87"/>
      <c r="LPB44" s="87"/>
      <c r="LPC44" s="87"/>
      <c r="LPD44" s="87"/>
      <c r="LPE44" s="87"/>
      <c r="LPF44" s="87"/>
      <c r="LPG44" s="87"/>
      <c r="LPH44" s="87"/>
      <c r="LPI44" s="87"/>
      <c r="LPJ44" s="87"/>
      <c r="LPK44" s="87"/>
      <c r="LPL44" s="87"/>
      <c r="LPM44" s="87"/>
      <c r="LPN44" s="87"/>
      <c r="LPO44" s="87"/>
      <c r="LPP44" s="87"/>
      <c r="LPQ44" s="87"/>
      <c r="LPR44" s="87"/>
      <c r="LPS44" s="87"/>
      <c r="LPT44" s="87"/>
      <c r="LPU44" s="87"/>
      <c r="LPV44" s="87"/>
      <c r="LPW44" s="87"/>
      <c r="LPX44" s="87"/>
      <c r="LPY44" s="87"/>
      <c r="LPZ44" s="87"/>
      <c r="LQA44" s="87"/>
      <c r="LQB44" s="87"/>
      <c r="LQC44" s="87"/>
      <c r="LQD44" s="87"/>
      <c r="LQE44" s="87"/>
      <c r="LQF44" s="87"/>
      <c r="LQG44" s="87"/>
      <c r="LQH44" s="87"/>
      <c r="LQI44" s="87"/>
      <c r="LQJ44" s="87"/>
      <c r="LQK44" s="87"/>
      <c r="LQL44" s="87"/>
      <c r="LQM44" s="87"/>
      <c r="LQN44" s="87"/>
      <c r="LQO44" s="87"/>
      <c r="LQP44" s="87"/>
      <c r="LQQ44" s="87"/>
      <c r="LQR44" s="87"/>
      <c r="LQS44" s="87"/>
      <c r="LQT44" s="87"/>
      <c r="LQU44" s="87"/>
      <c r="LQV44" s="87"/>
      <c r="LQW44" s="87"/>
      <c r="LQX44" s="87"/>
      <c r="LQY44" s="87"/>
      <c r="LQZ44" s="87"/>
      <c r="LRA44" s="87"/>
      <c r="LRB44" s="87"/>
      <c r="LRC44" s="87"/>
      <c r="LRD44" s="87"/>
      <c r="LRE44" s="87"/>
      <c r="LRF44" s="87"/>
      <c r="LRG44" s="87"/>
      <c r="LRH44" s="87"/>
      <c r="LRI44" s="87"/>
      <c r="LRJ44" s="87"/>
      <c r="LRK44" s="87"/>
      <c r="LRL44" s="87"/>
      <c r="LRM44" s="87"/>
      <c r="LRN44" s="87"/>
      <c r="LRO44" s="87"/>
      <c r="LRP44" s="87"/>
      <c r="LRQ44" s="87"/>
      <c r="LRR44" s="87"/>
      <c r="LRS44" s="87"/>
      <c r="LRT44" s="87"/>
      <c r="LRU44" s="87"/>
      <c r="LRV44" s="87"/>
      <c r="LRW44" s="87"/>
      <c r="LRX44" s="87"/>
      <c r="LRY44" s="87"/>
      <c r="LRZ44" s="87"/>
      <c r="LSA44" s="87"/>
      <c r="LSB44" s="87"/>
      <c r="LSC44" s="87"/>
      <c r="LSD44" s="87"/>
      <c r="LSE44" s="87"/>
      <c r="LSF44" s="87"/>
      <c r="LSG44" s="87"/>
      <c r="LSH44" s="87"/>
      <c r="LSI44" s="87"/>
      <c r="LSJ44" s="87"/>
      <c r="LSK44" s="87"/>
      <c r="LSL44" s="87"/>
      <c r="LSM44" s="87"/>
      <c r="LSN44" s="87"/>
      <c r="LSO44" s="87"/>
      <c r="LSP44" s="87"/>
      <c r="LSQ44" s="87"/>
      <c r="LSR44" s="87"/>
      <c r="LSS44" s="87"/>
      <c r="LST44" s="87"/>
      <c r="LSU44" s="87"/>
      <c r="LSV44" s="87"/>
      <c r="LSW44" s="87"/>
      <c r="LSX44" s="87"/>
      <c r="LSY44" s="87"/>
      <c r="LSZ44" s="87"/>
      <c r="LTA44" s="87"/>
      <c r="LTB44" s="87"/>
      <c r="LTC44" s="87"/>
      <c r="LTD44" s="87"/>
      <c r="LTE44" s="87"/>
      <c r="LTF44" s="87"/>
      <c r="LTG44" s="87"/>
      <c r="LTH44" s="87"/>
      <c r="LTI44" s="87"/>
      <c r="LTJ44" s="87"/>
      <c r="LTK44" s="87"/>
      <c r="LTL44" s="87"/>
      <c r="LTM44" s="87"/>
      <c r="LTN44" s="87"/>
      <c r="LTO44" s="87"/>
      <c r="LTP44" s="87"/>
      <c r="LTQ44" s="87"/>
      <c r="LTR44" s="87"/>
      <c r="LTS44" s="87"/>
      <c r="LTT44" s="87"/>
      <c r="LTU44" s="87"/>
      <c r="LTV44" s="87"/>
      <c r="LTW44" s="87"/>
      <c r="LTX44" s="87"/>
      <c r="LTY44" s="87"/>
      <c r="LTZ44" s="87"/>
      <c r="LUA44" s="87"/>
      <c r="LUB44" s="87"/>
      <c r="LUC44" s="87"/>
      <c r="LUD44" s="87"/>
      <c r="LUE44" s="87"/>
      <c r="LUF44" s="87"/>
      <c r="LUG44" s="87"/>
      <c r="LUH44" s="87"/>
      <c r="LUI44" s="87"/>
      <c r="LUJ44" s="87"/>
      <c r="LUK44" s="87"/>
      <c r="LUL44" s="87"/>
      <c r="LUM44" s="87"/>
      <c r="LUN44" s="87"/>
      <c r="LUO44" s="87"/>
      <c r="LUP44" s="87"/>
      <c r="LUQ44" s="87"/>
      <c r="LUR44" s="87"/>
      <c r="LUS44" s="87"/>
      <c r="LUT44" s="87"/>
      <c r="LUU44" s="87"/>
      <c r="LUV44" s="87"/>
      <c r="LUW44" s="87"/>
      <c r="LUX44" s="87"/>
      <c r="LUY44" s="87"/>
      <c r="LUZ44" s="87"/>
      <c r="LVA44" s="87"/>
      <c r="LVB44" s="87"/>
      <c r="LVC44" s="87"/>
      <c r="LVD44" s="87"/>
      <c r="LVE44" s="87"/>
      <c r="LVF44" s="87"/>
      <c r="LVG44" s="87"/>
      <c r="LVH44" s="87"/>
      <c r="LVI44" s="87"/>
      <c r="LVJ44" s="87"/>
      <c r="LVK44" s="87"/>
      <c r="LVL44" s="87"/>
      <c r="LVM44" s="87"/>
      <c r="LVN44" s="87"/>
      <c r="LVO44" s="87"/>
      <c r="LVP44" s="87"/>
      <c r="LVQ44" s="87"/>
      <c r="LVR44" s="87"/>
      <c r="LVS44" s="87"/>
      <c r="LVT44" s="87"/>
      <c r="LVU44" s="87"/>
      <c r="LVV44" s="87"/>
      <c r="LVW44" s="87"/>
      <c r="LVX44" s="87"/>
      <c r="LVY44" s="87"/>
      <c r="LVZ44" s="87"/>
      <c r="LWA44" s="87"/>
      <c r="LWB44" s="87"/>
      <c r="LWC44" s="87"/>
      <c r="LWD44" s="87"/>
      <c r="LWE44" s="87"/>
      <c r="LWF44" s="87"/>
      <c r="LWG44" s="87"/>
      <c r="LWH44" s="87"/>
      <c r="LWI44" s="87"/>
      <c r="LWJ44" s="87"/>
      <c r="LWK44" s="87"/>
      <c r="LWL44" s="87"/>
      <c r="LWM44" s="87"/>
      <c r="LWN44" s="87"/>
      <c r="LWO44" s="87"/>
      <c r="LWP44" s="87"/>
      <c r="LWQ44" s="87"/>
      <c r="LWR44" s="87"/>
      <c r="LWS44" s="87"/>
      <c r="LWT44" s="87"/>
      <c r="LWU44" s="87"/>
      <c r="LWV44" s="87"/>
      <c r="LWW44" s="87"/>
      <c r="LWX44" s="87"/>
      <c r="LWY44" s="87"/>
      <c r="LWZ44" s="87"/>
      <c r="LXA44" s="87"/>
      <c r="LXB44" s="87"/>
      <c r="LXC44" s="87"/>
      <c r="LXD44" s="87"/>
      <c r="LXE44" s="87"/>
      <c r="LXF44" s="87"/>
      <c r="LXG44" s="87"/>
      <c r="LXH44" s="87"/>
      <c r="LXI44" s="87"/>
      <c r="LXJ44" s="87"/>
      <c r="LXK44" s="87"/>
      <c r="LXL44" s="87"/>
      <c r="LXM44" s="87"/>
      <c r="LXN44" s="87"/>
      <c r="LXO44" s="87"/>
      <c r="LXP44" s="87"/>
      <c r="LXQ44" s="87"/>
      <c r="LXR44" s="87"/>
      <c r="LXS44" s="87"/>
      <c r="LXT44" s="87"/>
      <c r="LXU44" s="87"/>
      <c r="LXV44" s="87"/>
      <c r="LXW44" s="87"/>
      <c r="LXX44" s="87"/>
      <c r="LXY44" s="87"/>
      <c r="LXZ44" s="87"/>
      <c r="LYA44" s="87"/>
      <c r="LYB44" s="87"/>
      <c r="LYC44" s="87"/>
      <c r="LYD44" s="87"/>
      <c r="LYE44" s="87"/>
      <c r="LYF44" s="87"/>
      <c r="LYG44" s="87"/>
      <c r="LYH44" s="87"/>
      <c r="LYI44" s="87"/>
      <c r="LYJ44" s="87"/>
      <c r="LYK44" s="87"/>
      <c r="LYL44" s="87"/>
      <c r="LYM44" s="87"/>
      <c r="LYN44" s="87"/>
      <c r="LYO44" s="87"/>
      <c r="LYP44" s="87"/>
      <c r="LYQ44" s="87"/>
      <c r="LYR44" s="87"/>
      <c r="LYS44" s="87"/>
      <c r="LYT44" s="87"/>
      <c r="LYU44" s="87"/>
      <c r="LYV44" s="87"/>
      <c r="LYW44" s="87"/>
      <c r="LYX44" s="87"/>
      <c r="LYY44" s="87"/>
      <c r="LYZ44" s="87"/>
      <c r="LZA44" s="87"/>
      <c r="LZB44" s="87"/>
      <c r="LZC44" s="87"/>
      <c r="LZD44" s="87"/>
      <c r="LZE44" s="87"/>
      <c r="LZF44" s="87"/>
      <c r="LZG44" s="87"/>
      <c r="LZH44" s="87"/>
      <c r="LZI44" s="87"/>
      <c r="LZJ44" s="87"/>
      <c r="LZK44" s="87"/>
      <c r="LZL44" s="87"/>
      <c r="LZM44" s="87"/>
      <c r="LZN44" s="87"/>
      <c r="LZO44" s="87"/>
      <c r="LZP44" s="87"/>
      <c r="LZQ44" s="87"/>
      <c r="LZR44" s="87"/>
      <c r="LZS44" s="87"/>
      <c r="LZT44" s="87"/>
      <c r="LZU44" s="87"/>
      <c r="LZV44" s="87"/>
      <c r="LZW44" s="87"/>
      <c r="LZX44" s="87"/>
      <c r="LZY44" s="87"/>
      <c r="LZZ44" s="87"/>
      <c r="MAA44" s="87"/>
      <c r="MAB44" s="87"/>
      <c r="MAC44" s="87"/>
      <c r="MAD44" s="87"/>
      <c r="MAE44" s="87"/>
      <c r="MAF44" s="87"/>
      <c r="MAG44" s="87"/>
      <c r="MAH44" s="87"/>
      <c r="MAI44" s="87"/>
      <c r="MAJ44" s="87"/>
      <c r="MAK44" s="87"/>
      <c r="MAL44" s="87"/>
      <c r="MAM44" s="87"/>
      <c r="MAN44" s="87"/>
      <c r="MAO44" s="87"/>
      <c r="MAP44" s="87"/>
      <c r="MAQ44" s="87"/>
      <c r="MAR44" s="87"/>
      <c r="MAS44" s="87"/>
      <c r="MAT44" s="87"/>
      <c r="MAU44" s="87"/>
      <c r="MAV44" s="87"/>
      <c r="MAW44" s="87"/>
      <c r="MAX44" s="87"/>
      <c r="MAY44" s="87"/>
      <c r="MAZ44" s="87"/>
      <c r="MBA44" s="87"/>
      <c r="MBB44" s="87"/>
      <c r="MBC44" s="87"/>
      <c r="MBD44" s="87"/>
      <c r="MBE44" s="87"/>
      <c r="MBF44" s="87"/>
      <c r="MBG44" s="87"/>
      <c r="MBH44" s="87"/>
      <c r="MBI44" s="87"/>
      <c r="MBJ44" s="87"/>
      <c r="MBK44" s="87"/>
      <c r="MBL44" s="87"/>
      <c r="MBM44" s="87"/>
      <c r="MBN44" s="87"/>
      <c r="MBO44" s="87"/>
      <c r="MBP44" s="87"/>
      <c r="MBQ44" s="87"/>
      <c r="MBR44" s="87"/>
      <c r="MBS44" s="87"/>
      <c r="MBT44" s="87"/>
      <c r="MBU44" s="87"/>
      <c r="MBV44" s="87"/>
      <c r="MBW44" s="87"/>
      <c r="MBX44" s="87"/>
      <c r="MBY44" s="87"/>
      <c r="MBZ44" s="87"/>
      <c r="MCA44" s="87"/>
      <c r="MCB44" s="87"/>
      <c r="MCC44" s="87"/>
      <c r="MCD44" s="87"/>
      <c r="MCE44" s="87"/>
      <c r="MCF44" s="87"/>
      <c r="MCG44" s="87"/>
      <c r="MCH44" s="87"/>
      <c r="MCI44" s="87"/>
      <c r="MCJ44" s="87"/>
      <c r="MCK44" s="87"/>
      <c r="MCL44" s="87"/>
      <c r="MCM44" s="87"/>
      <c r="MCN44" s="87"/>
      <c r="MCO44" s="87"/>
      <c r="MCP44" s="87"/>
      <c r="MCQ44" s="87"/>
      <c r="MCR44" s="87"/>
      <c r="MCS44" s="87"/>
      <c r="MCT44" s="87"/>
      <c r="MCU44" s="87"/>
      <c r="MCV44" s="87"/>
      <c r="MCW44" s="87"/>
      <c r="MCX44" s="87"/>
      <c r="MCY44" s="87"/>
      <c r="MCZ44" s="87"/>
      <c r="MDA44" s="87"/>
      <c r="MDB44" s="87"/>
      <c r="MDC44" s="87"/>
      <c r="MDD44" s="87"/>
      <c r="MDE44" s="87"/>
      <c r="MDF44" s="87"/>
      <c r="MDG44" s="87"/>
      <c r="MDH44" s="87"/>
      <c r="MDI44" s="87"/>
      <c r="MDJ44" s="87"/>
      <c r="MDK44" s="87"/>
      <c r="MDL44" s="87"/>
      <c r="MDM44" s="87"/>
      <c r="MDN44" s="87"/>
      <c r="MDO44" s="87"/>
      <c r="MDP44" s="87"/>
      <c r="MDQ44" s="87"/>
      <c r="MDR44" s="87"/>
      <c r="MDS44" s="87"/>
      <c r="MDT44" s="87"/>
      <c r="MDU44" s="87"/>
      <c r="MDV44" s="87"/>
      <c r="MDW44" s="87"/>
      <c r="MDX44" s="87"/>
      <c r="MDY44" s="87"/>
      <c r="MDZ44" s="87"/>
      <c r="MEA44" s="87"/>
      <c r="MEB44" s="87"/>
      <c r="MEC44" s="87"/>
      <c r="MED44" s="87"/>
      <c r="MEE44" s="87"/>
      <c r="MEF44" s="87"/>
      <c r="MEG44" s="87"/>
      <c r="MEH44" s="87"/>
      <c r="MEI44" s="87"/>
      <c r="MEJ44" s="87"/>
      <c r="MEK44" s="87"/>
      <c r="MEL44" s="87"/>
      <c r="MEM44" s="87"/>
      <c r="MEN44" s="87"/>
      <c r="MEO44" s="87"/>
      <c r="MEP44" s="87"/>
      <c r="MEQ44" s="87"/>
      <c r="MER44" s="87"/>
      <c r="MES44" s="87"/>
      <c r="MET44" s="87"/>
      <c r="MEU44" s="87"/>
      <c r="MEV44" s="87"/>
      <c r="MEW44" s="87"/>
      <c r="MEX44" s="87"/>
      <c r="MEY44" s="87"/>
      <c r="MEZ44" s="87"/>
      <c r="MFA44" s="87"/>
      <c r="MFB44" s="87"/>
      <c r="MFC44" s="87"/>
      <c r="MFD44" s="87"/>
      <c r="MFE44" s="87"/>
      <c r="MFF44" s="87"/>
      <c r="MFG44" s="87"/>
      <c r="MFH44" s="87"/>
      <c r="MFI44" s="87"/>
      <c r="MFJ44" s="87"/>
      <c r="MFK44" s="87"/>
      <c r="MFL44" s="87"/>
      <c r="MFM44" s="87"/>
      <c r="MFN44" s="87"/>
      <c r="MFO44" s="87"/>
      <c r="MFP44" s="87"/>
      <c r="MFQ44" s="87"/>
      <c r="MFR44" s="87"/>
      <c r="MFS44" s="87"/>
      <c r="MFT44" s="87"/>
      <c r="MFU44" s="87"/>
      <c r="MFV44" s="87"/>
      <c r="MFW44" s="87"/>
      <c r="MFX44" s="87"/>
      <c r="MFY44" s="87"/>
      <c r="MFZ44" s="87"/>
      <c r="MGA44" s="87"/>
      <c r="MGB44" s="87"/>
      <c r="MGC44" s="87"/>
      <c r="MGD44" s="87"/>
      <c r="MGE44" s="87"/>
      <c r="MGF44" s="87"/>
      <c r="MGG44" s="87"/>
      <c r="MGH44" s="87"/>
      <c r="MGI44" s="87"/>
      <c r="MGJ44" s="87"/>
      <c r="MGK44" s="87"/>
      <c r="MGL44" s="87"/>
      <c r="MGM44" s="87"/>
      <c r="MGN44" s="87"/>
      <c r="MGO44" s="87"/>
      <c r="MGP44" s="87"/>
      <c r="MGQ44" s="87"/>
      <c r="MGR44" s="87"/>
      <c r="MGS44" s="87"/>
      <c r="MGT44" s="87"/>
      <c r="MGU44" s="87"/>
      <c r="MGV44" s="87"/>
      <c r="MGW44" s="87"/>
      <c r="MGX44" s="87"/>
      <c r="MGY44" s="87"/>
      <c r="MGZ44" s="87"/>
      <c r="MHA44" s="87"/>
      <c r="MHB44" s="87"/>
      <c r="MHC44" s="87"/>
      <c r="MHD44" s="87"/>
      <c r="MHE44" s="87"/>
      <c r="MHF44" s="87"/>
      <c r="MHG44" s="87"/>
      <c r="MHH44" s="87"/>
      <c r="MHI44" s="87"/>
      <c r="MHJ44" s="87"/>
      <c r="MHK44" s="87"/>
      <c r="MHL44" s="87"/>
      <c r="MHM44" s="87"/>
      <c r="MHN44" s="87"/>
      <c r="MHO44" s="87"/>
      <c r="MHP44" s="87"/>
      <c r="MHQ44" s="87"/>
      <c r="MHR44" s="87"/>
      <c r="MHS44" s="87"/>
      <c r="MHT44" s="87"/>
      <c r="MHU44" s="87"/>
      <c r="MHV44" s="87"/>
      <c r="MHW44" s="87"/>
      <c r="MHX44" s="87"/>
      <c r="MHY44" s="87"/>
      <c r="MHZ44" s="87"/>
      <c r="MIA44" s="87"/>
      <c r="MIB44" s="87"/>
      <c r="MIC44" s="87"/>
      <c r="MID44" s="87"/>
      <c r="MIE44" s="87"/>
      <c r="MIF44" s="87"/>
      <c r="MIG44" s="87"/>
      <c r="MIH44" s="87"/>
      <c r="MII44" s="87"/>
      <c r="MIJ44" s="87"/>
      <c r="MIK44" s="87"/>
      <c r="MIL44" s="87"/>
      <c r="MIM44" s="87"/>
      <c r="MIN44" s="87"/>
      <c r="MIO44" s="87"/>
      <c r="MIP44" s="87"/>
      <c r="MIQ44" s="87"/>
      <c r="MIR44" s="87"/>
      <c r="MIS44" s="87"/>
      <c r="MIT44" s="87"/>
      <c r="MIU44" s="87"/>
      <c r="MIV44" s="87"/>
      <c r="MIW44" s="87"/>
      <c r="MIX44" s="87"/>
      <c r="MIY44" s="87"/>
      <c r="MIZ44" s="87"/>
      <c r="MJA44" s="87"/>
      <c r="MJB44" s="87"/>
      <c r="MJC44" s="87"/>
      <c r="MJD44" s="87"/>
      <c r="MJE44" s="87"/>
      <c r="MJF44" s="87"/>
      <c r="MJG44" s="87"/>
      <c r="MJH44" s="87"/>
      <c r="MJI44" s="87"/>
      <c r="MJJ44" s="87"/>
      <c r="MJK44" s="87"/>
      <c r="MJL44" s="87"/>
      <c r="MJM44" s="87"/>
      <c r="MJN44" s="87"/>
      <c r="MJO44" s="87"/>
      <c r="MJP44" s="87"/>
      <c r="MJQ44" s="87"/>
      <c r="MJR44" s="87"/>
      <c r="MJS44" s="87"/>
      <c r="MJT44" s="87"/>
      <c r="MJU44" s="87"/>
      <c r="MJV44" s="87"/>
      <c r="MJW44" s="87"/>
      <c r="MJX44" s="87"/>
      <c r="MJY44" s="87"/>
      <c r="MJZ44" s="87"/>
      <c r="MKA44" s="87"/>
      <c r="MKB44" s="87"/>
      <c r="MKC44" s="87"/>
      <c r="MKD44" s="87"/>
      <c r="MKE44" s="87"/>
      <c r="MKF44" s="87"/>
      <c r="MKG44" s="87"/>
      <c r="MKH44" s="87"/>
      <c r="MKI44" s="87"/>
      <c r="MKJ44" s="87"/>
      <c r="MKK44" s="87"/>
      <c r="MKL44" s="87"/>
      <c r="MKM44" s="87"/>
      <c r="MKN44" s="87"/>
      <c r="MKO44" s="87"/>
      <c r="MKP44" s="87"/>
      <c r="MKQ44" s="87"/>
      <c r="MKR44" s="87"/>
      <c r="MKS44" s="87"/>
      <c r="MKT44" s="87"/>
      <c r="MKU44" s="87"/>
      <c r="MKV44" s="87"/>
      <c r="MKW44" s="87"/>
      <c r="MKX44" s="87"/>
      <c r="MKY44" s="87"/>
      <c r="MKZ44" s="87"/>
      <c r="MLA44" s="87"/>
      <c r="MLB44" s="87"/>
      <c r="MLC44" s="87"/>
      <c r="MLD44" s="87"/>
      <c r="MLE44" s="87"/>
      <c r="MLF44" s="87"/>
      <c r="MLG44" s="87"/>
      <c r="MLH44" s="87"/>
      <c r="MLI44" s="87"/>
      <c r="MLJ44" s="87"/>
      <c r="MLK44" s="87"/>
      <c r="MLL44" s="87"/>
      <c r="MLM44" s="87"/>
      <c r="MLN44" s="87"/>
      <c r="MLO44" s="87"/>
      <c r="MLP44" s="87"/>
      <c r="MLQ44" s="87"/>
      <c r="MLR44" s="87"/>
      <c r="MLS44" s="87"/>
      <c r="MLT44" s="87"/>
      <c r="MLU44" s="87"/>
      <c r="MLV44" s="87"/>
      <c r="MLW44" s="87"/>
      <c r="MLX44" s="87"/>
      <c r="MLY44" s="87"/>
      <c r="MLZ44" s="87"/>
      <c r="MMA44" s="87"/>
      <c r="MMB44" s="87"/>
      <c r="MMC44" s="87"/>
      <c r="MMD44" s="87"/>
      <c r="MME44" s="87"/>
      <c r="MMF44" s="87"/>
      <c r="MMG44" s="87"/>
      <c r="MMH44" s="87"/>
      <c r="MMI44" s="87"/>
      <c r="MMJ44" s="87"/>
      <c r="MMK44" s="87"/>
      <c r="MML44" s="87"/>
      <c r="MMM44" s="87"/>
      <c r="MMN44" s="87"/>
      <c r="MMO44" s="87"/>
      <c r="MMP44" s="87"/>
      <c r="MMQ44" s="87"/>
      <c r="MMR44" s="87"/>
      <c r="MMS44" s="87"/>
      <c r="MMT44" s="87"/>
      <c r="MMU44" s="87"/>
      <c r="MMV44" s="87"/>
      <c r="MMW44" s="87"/>
      <c r="MMX44" s="87"/>
      <c r="MMY44" s="87"/>
      <c r="MMZ44" s="87"/>
      <c r="MNA44" s="87"/>
      <c r="MNB44" s="87"/>
      <c r="MNC44" s="87"/>
      <c r="MND44" s="87"/>
      <c r="MNE44" s="87"/>
      <c r="MNF44" s="87"/>
      <c r="MNG44" s="87"/>
      <c r="MNH44" s="87"/>
      <c r="MNI44" s="87"/>
      <c r="MNJ44" s="87"/>
      <c r="MNK44" s="87"/>
      <c r="MNL44" s="87"/>
      <c r="MNM44" s="87"/>
      <c r="MNN44" s="87"/>
      <c r="MNO44" s="87"/>
      <c r="MNP44" s="87"/>
      <c r="MNQ44" s="87"/>
      <c r="MNR44" s="87"/>
      <c r="MNS44" s="87"/>
      <c r="MNT44" s="87"/>
      <c r="MNU44" s="87"/>
      <c r="MNV44" s="87"/>
      <c r="MNW44" s="87"/>
      <c r="MNX44" s="87"/>
      <c r="MNY44" s="87"/>
      <c r="MNZ44" s="87"/>
      <c r="MOA44" s="87"/>
      <c r="MOB44" s="87"/>
      <c r="MOC44" s="87"/>
      <c r="MOD44" s="87"/>
      <c r="MOE44" s="87"/>
      <c r="MOF44" s="87"/>
      <c r="MOG44" s="87"/>
      <c r="MOH44" s="87"/>
      <c r="MOI44" s="87"/>
      <c r="MOJ44" s="87"/>
      <c r="MOK44" s="87"/>
      <c r="MOL44" s="87"/>
      <c r="MOM44" s="87"/>
      <c r="MON44" s="87"/>
      <c r="MOO44" s="87"/>
      <c r="MOP44" s="87"/>
      <c r="MOQ44" s="87"/>
      <c r="MOR44" s="87"/>
      <c r="MOS44" s="87"/>
      <c r="MOT44" s="87"/>
      <c r="MOU44" s="87"/>
      <c r="MOV44" s="87"/>
      <c r="MOW44" s="87"/>
      <c r="MOX44" s="87"/>
      <c r="MOY44" s="87"/>
      <c r="MOZ44" s="87"/>
      <c r="MPA44" s="87"/>
      <c r="MPB44" s="87"/>
      <c r="MPC44" s="87"/>
      <c r="MPD44" s="87"/>
      <c r="MPE44" s="87"/>
      <c r="MPF44" s="87"/>
      <c r="MPG44" s="87"/>
      <c r="MPH44" s="87"/>
      <c r="MPI44" s="87"/>
      <c r="MPJ44" s="87"/>
      <c r="MPK44" s="87"/>
      <c r="MPL44" s="87"/>
      <c r="MPM44" s="87"/>
      <c r="MPN44" s="87"/>
      <c r="MPO44" s="87"/>
      <c r="MPP44" s="87"/>
      <c r="MPQ44" s="87"/>
      <c r="MPR44" s="87"/>
      <c r="MPS44" s="87"/>
      <c r="MPT44" s="87"/>
      <c r="MPU44" s="87"/>
      <c r="MPV44" s="87"/>
      <c r="MPW44" s="87"/>
      <c r="MPX44" s="87"/>
      <c r="MPY44" s="87"/>
      <c r="MPZ44" s="87"/>
      <c r="MQA44" s="87"/>
      <c r="MQB44" s="87"/>
      <c r="MQC44" s="87"/>
      <c r="MQD44" s="87"/>
      <c r="MQE44" s="87"/>
      <c r="MQF44" s="87"/>
      <c r="MQG44" s="87"/>
      <c r="MQH44" s="87"/>
      <c r="MQI44" s="87"/>
      <c r="MQJ44" s="87"/>
      <c r="MQK44" s="87"/>
      <c r="MQL44" s="87"/>
      <c r="MQM44" s="87"/>
      <c r="MQN44" s="87"/>
      <c r="MQO44" s="87"/>
      <c r="MQP44" s="87"/>
      <c r="MQQ44" s="87"/>
      <c r="MQR44" s="87"/>
      <c r="MQS44" s="87"/>
      <c r="MQT44" s="87"/>
      <c r="MQU44" s="87"/>
      <c r="MQV44" s="87"/>
      <c r="MQW44" s="87"/>
      <c r="MQX44" s="87"/>
      <c r="MQY44" s="87"/>
      <c r="MQZ44" s="87"/>
      <c r="MRA44" s="87"/>
      <c r="MRB44" s="87"/>
      <c r="MRC44" s="87"/>
      <c r="MRD44" s="87"/>
      <c r="MRE44" s="87"/>
      <c r="MRF44" s="87"/>
      <c r="MRG44" s="87"/>
      <c r="MRH44" s="87"/>
      <c r="MRI44" s="87"/>
      <c r="MRJ44" s="87"/>
      <c r="MRK44" s="87"/>
      <c r="MRL44" s="87"/>
      <c r="MRM44" s="87"/>
      <c r="MRN44" s="87"/>
      <c r="MRO44" s="87"/>
      <c r="MRP44" s="87"/>
      <c r="MRQ44" s="87"/>
      <c r="MRR44" s="87"/>
      <c r="MRS44" s="87"/>
      <c r="MRT44" s="87"/>
      <c r="MRU44" s="87"/>
      <c r="MRV44" s="87"/>
      <c r="MRW44" s="87"/>
      <c r="MRX44" s="87"/>
      <c r="MRY44" s="87"/>
      <c r="MRZ44" s="87"/>
      <c r="MSA44" s="87"/>
      <c r="MSB44" s="87"/>
      <c r="MSC44" s="87"/>
      <c r="MSD44" s="87"/>
      <c r="MSE44" s="87"/>
      <c r="MSF44" s="87"/>
      <c r="MSG44" s="87"/>
      <c r="MSH44" s="87"/>
      <c r="MSI44" s="87"/>
      <c r="MSJ44" s="87"/>
      <c r="MSK44" s="87"/>
      <c r="MSL44" s="87"/>
      <c r="MSM44" s="87"/>
      <c r="MSN44" s="87"/>
      <c r="MSO44" s="87"/>
      <c r="MSP44" s="87"/>
      <c r="MSQ44" s="87"/>
      <c r="MSR44" s="87"/>
      <c r="MSS44" s="87"/>
      <c r="MST44" s="87"/>
      <c r="MSU44" s="87"/>
      <c r="MSV44" s="87"/>
      <c r="MSW44" s="87"/>
      <c r="MSX44" s="87"/>
      <c r="MSY44" s="87"/>
      <c r="MSZ44" s="87"/>
      <c r="MTA44" s="87"/>
      <c r="MTB44" s="87"/>
      <c r="MTC44" s="87"/>
      <c r="MTD44" s="87"/>
      <c r="MTE44" s="87"/>
      <c r="MTF44" s="87"/>
      <c r="MTG44" s="87"/>
      <c r="MTH44" s="87"/>
      <c r="MTI44" s="87"/>
      <c r="MTJ44" s="87"/>
      <c r="MTK44" s="87"/>
      <c r="MTL44" s="87"/>
      <c r="MTM44" s="87"/>
      <c r="MTN44" s="87"/>
      <c r="MTO44" s="87"/>
      <c r="MTP44" s="87"/>
      <c r="MTQ44" s="87"/>
      <c r="MTR44" s="87"/>
      <c r="MTS44" s="87"/>
      <c r="MTT44" s="87"/>
      <c r="MTU44" s="87"/>
      <c r="MTV44" s="87"/>
      <c r="MTW44" s="87"/>
      <c r="MTX44" s="87"/>
      <c r="MTY44" s="87"/>
      <c r="MTZ44" s="87"/>
      <c r="MUA44" s="87"/>
      <c r="MUB44" s="87"/>
      <c r="MUC44" s="87"/>
      <c r="MUD44" s="87"/>
      <c r="MUE44" s="87"/>
      <c r="MUF44" s="87"/>
      <c r="MUG44" s="87"/>
      <c r="MUH44" s="87"/>
      <c r="MUI44" s="87"/>
      <c r="MUJ44" s="87"/>
      <c r="MUK44" s="87"/>
      <c r="MUL44" s="87"/>
      <c r="MUM44" s="87"/>
      <c r="MUN44" s="87"/>
      <c r="MUO44" s="87"/>
      <c r="MUP44" s="87"/>
      <c r="MUQ44" s="87"/>
      <c r="MUR44" s="87"/>
      <c r="MUS44" s="87"/>
      <c r="MUT44" s="87"/>
      <c r="MUU44" s="87"/>
      <c r="MUV44" s="87"/>
      <c r="MUW44" s="87"/>
      <c r="MUX44" s="87"/>
      <c r="MUY44" s="87"/>
      <c r="MUZ44" s="87"/>
      <c r="MVA44" s="87"/>
      <c r="MVB44" s="87"/>
      <c r="MVC44" s="87"/>
      <c r="MVD44" s="87"/>
      <c r="MVE44" s="87"/>
      <c r="MVF44" s="87"/>
      <c r="MVG44" s="87"/>
      <c r="MVH44" s="87"/>
      <c r="MVI44" s="87"/>
      <c r="MVJ44" s="87"/>
      <c r="MVK44" s="87"/>
      <c r="MVL44" s="87"/>
      <c r="MVM44" s="87"/>
      <c r="MVN44" s="87"/>
      <c r="MVO44" s="87"/>
      <c r="MVP44" s="87"/>
      <c r="MVQ44" s="87"/>
      <c r="MVR44" s="87"/>
      <c r="MVS44" s="87"/>
      <c r="MVT44" s="87"/>
      <c r="MVU44" s="87"/>
      <c r="MVV44" s="87"/>
      <c r="MVW44" s="87"/>
      <c r="MVX44" s="87"/>
      <c r="MVY44" s="87"/>
      <c r="MVZ44" s="87"/>
      <c r="MWA44" s="87"/>
      <c r="MWB44" s="87"/>
      <c r="MWC44" s="87"/>
      <c r="MWD44" s="87"/>
      <c r="MWE44" s="87"/>
      <c r="MWF44" s="87"/>
      <c r="MWG44" s="87"/>
      <c r="MWH44" s="87"/>
      <c r="MWI44" s="87"/>
      <c r="MWJ44" s="87"/>
      <c r="MWK44" s="87"/>
      <c r="MWL44" s="87"/>
      <c r="MWM44" s="87"/>
      <c r="MWN44" s="87"/>
      <c r="MWO44" s="87"/>
      <c r="MWP44" s="87"/>
      <c r="MWQ44" s="87"/>
      <c r="MWR44" s="87"/>
      <c r="MWS44" s="87"/>
      <c r="MWT44" s="87"/>
      <c r="MWU44" s="87"/>
      <c r="MWV44" s="87"/>
      <c r="MWW44" s="87"/>
      <c r="MWX44" s="87"/>
      <c r="MWY44" s="87"/>
      <c r="MWZ44" s="87"/>
      <c r="MXA44" s="87"/>
      <c r="MXB44" s="87"/>
      <c r="MXC44" s="87"/>
      <c r="MXD44" s="87"/>
      <c r="MXE44" s="87"/>
      <c r="MXF44" s="87"/>
      <c r="MXG44" s="87"/>
      <c r="MXH44" s="87"/>
      <c r="MXI44" s="87"/>
      <c r="MXJ44" s="87"/>
      <c r="MXK44" s="87"/>
      <c r="MXL44" s="87"/>
      <c r="MXM44" s="87"/>
      <c r="MXN44" s="87"/>
      <c r="MXO44" s="87"/>
      <c r="MXP44" s="87"/>
      <c r="MXQ44" s="87"/>
      <c r="MXR44" s="87"/>
      <c r="MXS44" s="87"/>
      <c r="MXT44" s="87"/>
      <c r="MXU44" s="87"/>
      <c r="MXV44" s="87"/>
      <c r="MXW44" s="87"/>
      <c r="MXX44" s="87"/>
      <c r="MXY44" s="87"/>
      <c r="MXZ44" s="87"/>
      <c r="MYA44" s="87"/>
      <c r="MYB44" s="87"/>
      <c r="MYC44" s="87"/>
      <c r="MYD44" s="87"/>
      <c r="MYE44" s="87"/>
      <c r="MYF44" s="87"/>
      <c r="MYG44" s="87"/>
      <c r="MYH44" s="87"/>
      <c r="MYI44" s="87"/>
      <c r="MYJ44" s="87"/>
      <c r="MYK44" s="87"/>
      <c r="MYL44" s="87"/>
      <c r="MYM44" s="87"/>
      <c r="MYN44" s="87"/>
      <c r="MYO44" s="87"/>
      <c r="MYP44" s="87"/>
      <c r="MYQ44" s="87"/>
      <c r="MYR44" s="87"/>
      <c r="MYS44" s="87"/>
      <c r="MYT44" s="87"/>
      <c r="MYU44" s="87"/>
      <c r="MYV44" s="87"/>
      <c r="MYW44" s="87"/>
      <c r="MYX44" s="87"/>
      <c r="MYY44" s="87"/>
      <c r="MYZ44" s="87"/>
      <c r="MZA44" s="87"/>
      <c r="MZB44" s="87"/>
      <c r="MZC44" s="87"/>
      <c r="MZD44" s="87"/>
      <c r="MZE44" s="87"/>
      <c r="MZF44" s="87"/>
      <c r="MZG44" s="87"/>
      <c r="MZH44" s="87"/>
      <c r="MZI44" s="87"/>
      <c r="MZJ44" s="87"/>
      <c r="MZK44" s="87"/>
      <c r="MZL44" s="87"/>
      <c r="MZM44" s="87"/>
      <c r="MZN44" s="87"/>
      <c r="MZO44" s="87"/>
      <c r="MZP44" s="87"/>
      <c r="MZQ44" s="87"/>
      <c r="MZR44" s="87"/>
      <c r="MZS44" s="87"/>
      <c r="MZT44" s="87"/>
      <c r="MZU44" s="87"/>
      <c r="MZV44" s="87"/>
      <c r="MZW44" s="87"/>
      <c r="MZX44" s="87"/>
      <c r="MZY44" s="87"/>
      <c r="MZZ44" s="87"/>
      <c r="NAA44" s="87"/>
      <c r="NAB44" s="87"/>
      <c r="NAC44" s="87"/>
      <c r="NAD44" s="87"/>
      <c r="NAE44" s="87"/>
      <c r="NAF44" s="87"/>
      <c r="NAG44" s="87"/>
      <c r="NAH44" s="87"/>
      <c r="NAI44" s="87"/>
      <c r="NAJ44" s="87"/>
      <c r="NAK44" s="87"/>
      <c r="NAL44" s="87"/>
      <c r="NAM44" s="87"/>
      <c r="NAN44" s="87"/>
      <c r="NAO44" s="87"/>
      <c r="NAP44" s="87"/>
      <c r="NAQ44" s="87"/>
      <c r="NAR44" s="87"/>
      <c r="NAS44" s="87"/>
      <c r="NAT44" s="87"/>
      <c r="NAU44" s="87"/>
      <c r="NAV44" s="87"/>
      <c r="NAW44" s="87"/>
      <c r="NAX44" s="87"/>
      <c r="NAY44" s="87"/>
      <c r="NAZ44" s="87"/>
      <c r="NBA44" s="87"/>
      <c r="NBB44" s="87"/>
      <c r="NBC44" s="87"/>
      <c r="NBD44" s="87"/>
      <c r="NBE44" s="87"/>
      <c r="NBF44" s="87"/>
      <c r="NBG44" s="87"/>
      <c r="NBH44" s="87"/>
      <c r="NBI44" s="87"/>
      <c r="NBJ44" s="87"/>
      <c r="NBK44" s="87"/>
      <c r="NBL44" s="87"/>
      <c r="NBM44" s="87"/>
      <c r="NBN44" s="87"/>
      <c r="NBO44" s="87"/>
      <c r="NBP44" s="87"/>
      <c r="NBQ44" s="87"/>
      <c r="NBR44" s="87"/>
      <c r="NBS44" s="87"/>
      <c r="NBT44" s="87"/>
      <c r="NBU44" s="87"/>
      <c r="NBV44" s="87"/>
      <c r="NBW44" s="87"/>
      <c r="NBX44" s="87"/>
      <c r="NBY44" s="87"/>
      <c r="NBZ44" s="87"/>
      <c r="NCA44" s="87"/>
      <c r="NCB44" s="87"/>
      <c r="NCC44" s="87"/>
      <c r="NCD44" s="87"/>
      <c r="NCE44" s="87"/>
      <c r="NCF44" s="87"/>
      <c r="NCG44" s="87"/>
      <c r="NCH44" s="87"/>
      <c r="NCI44" s="87"/>
      <c r="NCJ44" s="87"/>
      <c r="NCK44" s="87"/>
      <c r="NCL44" s="87"/>
      <c r="NCM44" s="87"/>
      <c r="NCN44" s="87"/>
      <c r="NCO44" s="87"/>
      <c r="NCP44" s="87"/>
      <c r="NCQ44" s="87"/>
      <c r="NCR44" s="87"/>
      <c r="NCS44" s="87"/>
      <c r="NCT44" s="87"/>
      <c r="NCU44" s="87"/>
      <c r="NCV44" s="87"/>
      <c r="NCW44" s="87"/>
      <c r="NCX44" s="87"/>
      <c r="NCY44" s="87"/>
      <c r="NCZ44" s="87"/>
      <c r="NDA44" s="87"/>
      <c r="NDB44" s="87"/>
      <c r="NDC44" s="87"/>
      <c r="NDD44" s="87"/>
      <c r="NDE44" s="87"/>
      <c r="NDF44" s="87"/>
      <c r="NDG44" s="87"/>
      <c r="NDH44" s="87"/>
      <c r="NDI44" s="87"/>
      <c r="NDJ44" s="87"/>
      <c r="NDK44" s="87"/>
      <c r="NDL44" s="87"/>
      <c r="NDM44" s="87"/>
      <c r="NDN44" s="87"/>
      <c r="NDO44" s="87"/>
      <c r="NDP44" s="87"/>
      <c r="NDQ44" s="87"/>
      <c r="NDR44" s="87"/>
      <c r="NDS44" s="87"/>
      <c r="NDT44" s="87"/>
      <c r="NDU44" s="87"/>
      <c r="NDV44" s="87"/>
      <c r="NDW44" s="87"/>
      <c r="NDX44" s="87"/>
      <c r="NDY44" s="87"/>
      <c r="NDZ44" s="87"/>
      <c r="NEA44" s="87"/>
      <c r="NEB44" s="87"/>
      <c r="NEC44" s="87"/>
      <c r="NED44" s="87"/>
      <c r="NEE44" s="87"/>
      <c r="NEF44" s="87"/>
      <c r="NEG44" s="87"/>
      <c r="NEH44" s="87"/>
      <c r="NEI44" s="87"/>
      <c r="NEJ44" s="87"/>
      <c r="NEK44" s="87"/>
      <c r="NEL44" s="87"/>
      <c r="NEM44" s="87"/>
      <c r="NEN44" s="87"/>
      <c r="NEO44" s="87"/>
      <c r="NEP44" s="87"/>
      <c r="NEQ44" s="87"/>
      <c r="NER44" s="87"/>
      <c r="NES44" s="87"/>
      <c r="NET44" s="87"/>
      <c r="NEU44" s="87"/>
      <c r="NEV44" s="87"/>
      <c r="NEW44" s="87"/>
      <c r="NEX44" s="87"/>
      <c r="NEY44" s="87"/>
      <c r="NEZ44" s="87"/>
      <c r="NFA44" s="87"/>
      <c r="NFB44" s="87"/>
      <c r="NFC44" s="87"/>
      <c r="NFD44" s="87"/>
      <c r="NFE44" s="87"/>
      <c r="NFF44" s="87"/>
      <c r="NFG44" s="87"/>
      <c r="NFH44" s="87"/>
      <c r="NFI44" s="87"/>
      <c r="NFJ44" s="87"/>
      <c r="NFK44" s="87"/>
      <c r="NFL44" s="87"/>
      <c r="NFM44" s="87"/>
      <c r="NFN44" s="87"/>
      <c r="NFO44" s="87"/>
      <c r="NFP44" s="87"/>
      <c r="NFQ44" s="87"/>
      <c r="NFR44" s="87"/>
      <c r="NFS44" s="87"/>
      <c r="NFT44" s="87"/>
      <c r="NFU44" s="87"/>
      <c r="NFV44" s="87"/>
      <c r="NFW44" s="87"/>
      <c r="NFX44" s="87"/>
      <c r="NFY44" s="87"/>
      <c r="NFZ44" s="87"/>
      <c r="NGA44" s="87"/>
      <c r="NGB44" s="87"/>
      <c r="NGC44" s="87"/>
      <c r="NGD44" s="87"/>
      <c r="NGE44" s="87"/>
      <c r="NGF44" s="87"/>
      <c r="NGG44" s="87"/>
      <c r="NGH44" s="87"/>
      <c r="NGI44" s="87"/>
      <c r="NGJ44" s="87"/>
      <c r="NGK44" s="87"/>
      <c r="NGL44" s="87"/>
      <c r="NGM44" s="87"/>
      <c r="NGN44" s="87"/>
      <c r="NGO44" s="87"/>
      <c r="NGP44" s="87"/>
      <c r="NGQ44" s="87"/>
      <c r="NGR44" s="87"/>
      <c r="NGS44" s="87"/>
      <c r="NGT44" s="87"/>
      <c r="NGU44" s="87"/>
      <c r="NGV44" s="87"/>
      <c r="NGW44" s="87"/>
      <c r="NGX44" s="87"/>
      <c r="NGY44" s="87"/>
      <c r="NGZ44" s="87"/>
      <c r="NHA44" s="87"/>
      <c r="NHB44" s="87"/>
      <c r="NHC44" s="87"/>
      <c r="NHD44" s="87"/>
      <c r="NHE44" s="87"/>
      <c r="NHF44" s="87"/>
      <c r="NHG44" s="87"/>
      <c r="NHH44" s="87"/>
      <c r="NHI44" s="87"/>
      <c r="NHJ44" s="87"/>
      <c r="NHK44" s="87"/>
      <c r="NHL44" s="87"/>
      <c r="NHM44" s="87"/>
      <c r="NHN44" s="87"/>
      <c r="NHO44" s="87"/>
      <c r="NHP44" s="87"/>
      <c r="NHQ44" s="87"/>
      <c r="NHR44" s="87"/>
      <c r="NHS44" s="87"/>
      <c r="NHT44" s="87"/>
      <c r="NHU44" s="87"/>
      <c r="NHV44" s="87"/>
      <c r="NHW44" s="87"/>
      <c r="NHX44" s="87"/>
      <c r="NHY44" s="87"/>
      <c r="NHZ44" s="87"/>
      <c r="NIA44" s="87"/>
      <c r="NIB44" s="87"/>
      <c r="NIC44" s="87"/>
      <c r="NID44" s="87"/>
      <c r="NIE44" s="87"/>
      <c r="NIF44" s="87"/>
      <c r="NIG44" s="87"/>
      <c r="NIH44" s="87"/>
      <c r="NII44" s="87"/>
      <c r="NIJ44" s="87"/>
      <c r="NIK44" s="87"/>
      <c r="NIL44" s="87"/>
      <c r="NIM44" s="87"/>
      <c r="NIN44" s="87"/>
      <c r="NIO44" s="87"/>
      <c r="NIP44" s="87"/>
      <c r="NIQ44" s="87"/>
      <c r="NIR44" s="87"/>
      <c r="NIS44" s="87"/>
      <c r="NIT44" s="87"/>
      <c r="NIU44" s="87"/>
      <c r="NIV44" s="87"/>
      <c r="NIW44" s="87"/>
      <c r="NIX44" s="87"/>
      <c r="NIY44" s="87"/>
      <c r="NIZ44" s="87"/>
      <c r="NJA44" s="87"/>
      <c r="NJB44" s="87"/>
      <c r="NJC44" s="87"/>
      <c r="NJD44" s="87"/>
      <c r="NJE44" s="87"/>
      <c r="NJF44" s="87"/>
      <c r="NJG44" s="87"/>
      <c r="NJH44" s="87"/>
      <c r="NJI44" s="87"/>
      <c r="NJJ44" s="87"/>
      <c r="NJK44" s="87"/>
      <c r="NJL44" s="87"/>
      <c r="NJM44" s="87"/>
      <c r="NJN44" s="87"/>
      <c r="NJO44" s="87"/>
      <c r="NJP44" s="87"/>
      <c r="NJQ44" s="87"/>
      <c r="NJR44" s="87"/>
      <c r="NJS44" s="87"/>
      <c r="NJT44" s="87"/>
      <c r="NJU44" s="87"/>
      <c r="NJV44" s="87"/>
      <c r="NJW44" s="87"/>
      <c r="NJX44" s="87"/>
      <c r="NJY44" s="87"/>
      <c r="NJZ44" s="87"/>
      <c r="NKA44" s="87"/>
      <c r="NKB44" s="87"/>
      <c r="NKC44" s="87"/>
      <c r="NKD44" s="87"/>
      <c r="NKE44" s="87"/>
      <c r="NKF44" s="87"/>
      <c r="NKG44" s="87"/>
      <c r="NKH44" s="87"/>
      <c r="NKI44" s="87"/>
      <c r="NKJ44" s="87"/>
      <c r="NKK44" s="87"/>
      <c r="NKL44" s="87"/>
      <c r="NKM44" s="87"/>
      <c r="NKN44" s="87"/>
      <c r="NKO44" s="87"/>
      <c r="NKP44" s="87"/>
      <c r="NKQ44" s="87"/>
      <c r="NKR44" s="87"/>
      <c r="NKS44" s="87"/>
      <c r="NKT44" s="87"/>
      <c r="NKU44" s="87"/>
      <c r="NKV44" s="87"/>
      <c r="NKW44" s="87"/>
      <c r="NKX44" s="87"/>
      <c r="NKY44" s="87"/>
      <c r="NKZ44" s="87"/>
      <c r="NLA44" s="87"/>
      <c r="NLB44" s="87"/>
      <c r="NLC44" s="87"/>
      <c r="NLD44" s="87"/>
      <c r="NLE44" s="87"/>
      <c r="NLF44" s="87"/>
      <c r="NLG44" s="87"/>
      <c r="NLH44" s="87"/>
      <c r="NLI44" s="87"/>
      <c r="NLJ44" s="87"/>
      <c r="NLK44" s="87"/>
      <c r="NLL44" s="87"/>
      <c r="NLM44" s="87"/>
      <c r="NLN44" s="87"/>
      <c r="NLO44" s="87"/>
      <c r="NLP44" s="87"/>
      <c r="NLQ44" s="87"/>
      <c r="NLR44" s="87"/>
      <c r="NLS44" s="87"/>
      <c r="NLT44" s="87"/>
      <c r="NLU44" s="87"/>
      <c r="NLV44" s="87"/>
      <c r="NLW44" s="87"/>
      <c r="NLX44" s="87"/>
      <c r="NLY44" s="87"/>
      <c r="NLZ44" s="87"/>
      <c r="NMA44" s="87"/>
      <c r="NMB44" s="87"/>
      <c r="NMC44" s="87"/>
      <c r="NMD44" s="87"/>
      <c r="NME44" s="87"/>
      <c r="NMF44" s="87"/>
      <c r="NMG44" s="87"/>
      <c r="NMH44" s="87"/>
      <c r="NMI44" s="87"/>
      <c r="NMJ44" s="87"/>
      <c r="NMK44" s="87"/>
      <c r="NML44" s="87"/>
      <c r="NMM44" s="87"/>
      <c r="NMN44" s="87"/>
      <c r="NMO44" s="87"/>
      <c r="NMP44" s="87"/>
      <c r="NMQ44" s="87"/>
      <c r="NMR44" s="87"/>
      <c r="NMS44" s="87"/>
      <c r="NMT44" s="87"/>
      <c r="NMU44" s="87"/>
      <c r="NMV44" s="87"/>
      <c r="NMW44" s="87"/>
      <c r="NMX44" s="87"/>
      <c r="NMY44" s="87"/>
      <c r="NMZ44" s="87"/>
      <c r="NNA44" s="87"/>
      <c r="NNB44" s="87"/>
      <c r="NNC44" s="87"/>
      <c r="NND44" s="87"/>
      <c r="NNE44" s="87"/>
      <c r="NNF44" s="87"/>
      <c r="NNG44" s="87"/>
      <c r="NNH44" s="87"/>
      <c r="NNI44" s="87"/>
      <c r="NNJ44" s="87"/>
      <c r="NNK44" s="87"/>
      <c r="NNL44" s="87"/>
      <c r="NNM44" s="87"/>
      <c r="NNN44" s="87"/>
      <c r="NNO44" s="87"/>
      <c r="NNP44" s="87"/>
      <c r="NNQ44" s="87"/>
      <c r="NNR44" s="87"/>
      <c r="NNS44" s="87"/>
      <c r="NNT44" s="87"/>
      <c r="NNU44" s="87"/>
      <c r="NNV44" s="87"/>
      <c r="NNW44" s="87"/>
      <c r="NNX44" s="87"/>
      <c r="NNY44" s="87"/>
      <c r="NNZ44" s="87"/>
      <c r="NOA44" s="87"/>
      <c r="NOB44" s="87"/>
      <c r="NOC44" s="87"/>
      <c r="NOD44" s="87"/>
      <c r="NOE44" s="87"/>
      <c r="NOF44" s="87"/>
      <c r="NOG44" s="87"/>
      <c r="NOH44" s="87"/>
      <c r="NOI44" s="87"/>
      <c r="NOJ44" s="87"/>
      <c r="NOK44" s="87"/>
      <c r="NOL44" s="87"/>
      <c r="NOM44" s="87"/>
      <c r="NON44" s="87"/>
      <c r="NOO44" s="87"/>
      <c r="NOP44" s="87"/>
      <c r="NOQ44" s="87"/>
      <c r="NOR44" s="87"/>
      <c r="NOS44" s="87"/>
      <c r="NOT44" s="87"/>
      <c r="NOU44" s="87"/>
      <c r="NOV44" s="87"/>
      <c r="NOW44" s="87"/>
      <c r="NOX44" s="87"/>
      <c r="NOY44" s="87"/>
      <c r="NOZ44" s="87"/>
      <c r="NPA44" s="87"/>
      <c r="NPB44" s="87"/>
      <c r="NPC44" s="87"/>
      <c r="NPD44" s="87"/>
      <c r="NPE44" s="87"/>
      <c r="NPF44" s="87"/>
      <c r="NPG44" s="87"/>
      <c r="NPH44" s="87"/>
      <c r="NPI44" s="87"/>
      <c r="NPJ44" s="87"/>
      <c r="NPK44" s="87"/>
      <c r="NPL44" s="87"/>
      <c r="NPM44" s="87"/>
      <c r="NPN44" s="87"/>
      <c r="NPO44" s="87"/>
      <c r="NPP44" s="87"/>
      <c r="NPQ44" s="87"/>
      <c r="NPR44" s="87"/>
      <c r="NPS44" s="87"/>
      <c r="NPT44" s="87"/>
      <c r="NPU44" s="87"/>
      <c r="NPV44" s="87"/>
      <c r="NPW44" s="87"/>
      <c r="NPX44" s="87"/>
      <c r="NPY44" s="87"/>
      <c r="NPZ44" s="87"/>
      <c r="NQA44" s="87"/>
      <c r="NQB44" s="87"/>
      <c r="NQC44" s="87"/>
      <c r="NQD44" s="87"/>
      <c r="NQE44" s="87"/>
      <c r="NQF44" s="87"/>
      <c r="NQG44" s="87"/>
      <c r="NQH44" s="87"/>
      <c r="NQI44" s="87"/>
      <c r="NQJ44" s="87"/>
      <c r="NQK44" s="87"/>
      <c r="NQL44" s="87"/>
      <c r="NQM44" s="87"/>
      <c r="NQN44" s="87"/>
      <c r="NQO44" s="87"/>
      <c r="NQP44" s="87"/>
      <c r="NQQ44" s="87"/>
      <c r="NQR44" s="87"/>
      <c r="NQS44" s="87"/>
      <c r="NQT44" s="87"/>
      <c r="NQU44" s="87"/>
      <c r="NQV44" s="87"/>
      <c r="NQW44" s="87"/>
      <c r="NQX44" s="87"/>
      <c r="NQY44" s="87"/>
      <c r="NQZ44" s="87"/>
      <c r="NRA44" s="87"/>
      <c r="NRB44" s="87"/>
      <c r="NRC44" s="87"/>
      <c r="NRD44" s="87"/>
      <c r="NRE44" s="87"/>
      <c r="NRF44" s="87"/>
      <c r="NRG44" s="87"/>
      <c r="NRH44" s="87"/>
      <c r="NRI44" s="87"/>
      <c r="NRJ44" s="87"/>
      <c r="NRK44" s="87"/>
      <c r="NRL44" s="87"/>
      <c r="NRM44" s="87"/>
      <c r="NRN44" s="87"/>
      <c r="NRO44" s="87"/>
      <c r="NRP44" s="87"/>
      <c r="NRQ44" s="87"/>
      <c r="NRR44" s="87"/>
      <c r="NRS44" s="87"/>
      <c r="NRT44" s="87"/>
      <c r="NRU44" s="87"/>
      <c r="NRV44" s="87"/>
      <c r="NRW44" s="87"/>
      <c r="NRX44" s="87"/>
      <c r="NRY44" s="87"/>
      <c r="NRZ44" s="87"/>
      <c r="NSA44" s="87"/>
      <c r="NSB44" s="87"/>
      <c r="NSC44" s="87"/>
      <c r="NSD44" s="87"/>
      <c r="NSE44" s="87"/>
      <c r="NSF44" s="87"/>
      <c r="NSG44" s="87"/>
      <c r="NSH44" s="87"/>
      <c r="NSI44" s="87"/>
      <c r="NSJ44" s="87"/>
      <c r="NSK44" s="87"/>
      <c r="NSL44" s="87"/>
      <c r="NSM44" s="87"/>
      <c r="NSN44" s="87"/>
      <c r="NSO44" s="87"/>
      <c r="NSP44" s="87"/>
      <c r="NSQ44" s="87"/>
      <c r="NSR44" s="87"/>
      <c r="NSS44" s="87"/>
      <c r="NST44" s="87"/>
      <c r="NSU44" s="87"/>
      <c r="NSV44" s="87"/>
      <c r="NSW44" s="87"/>
      <c r="NSX44" s="87"/>
      <c r="NSY44" s="87"/>
      <c r="NSZ44" s="87"/>
      <c r="NTA44" s="87"/>
      <c r="NTB44" s="87"/>
      <c r="NTC44" s="87"/>
      <c r="NTD44" s="87"/>
      <c r="NTE44" s="87"/>
      <c r="NTF44" s="87"/>
      <c r="NTG44" s="87"/>
      <c r="NTH44" s="87"/>
      <c r="NTI44" s="87"/>
      <c r="NTJ44" s="87"/>
      <c r="NTK44" s="87"/>
      <c r="NTL44" s="87"/>
      <c r="NTM44" s="87"/>
      <c r="NTN44" s="87"/>
      <c r="NTO44" s="87"/>
      <c r="NTP44" s="87"/>
      <c r="NTQ44" s="87"/>
      <c r="NTR44" s="87"/>
      <c r="NTS44" s="87"/>
      <c r="NTT44" s="87"/>
      <c r="NTU44" s="87"/>
      <c r="NTV44" s="87"/>
      <c r="NTW44" s="87"/>
      <c r="NTX44" s="87"/>
      <c r="NTY44" s="87"/>
      <c r="NTZ44" s="87"/>
      <c r="NUA44" s="87"/>
      <c r="NUB44" s="87"/>
      <c r="NUC44" s="87"/>
      <c r="NUD44" s="87"/>
      <c r="NUE44" s="87"/>
      <c r="NUF44" s="87"/>
      <c r="NUG44" s="87"/>
      <c r="NUH44" s="87"/>
      <c r="NUI44" s="87"/>
      <c r="NUJ44" s="87"/>
      <c r="NUK44" s="87"/>
      <c r="NUL44" s="87"/>
      <c r="NUM44" s="87"/>
      <c r="NUN44" s="87"/>
      <c r="NUO44" s="87"/>
      <c r="NUP44" s="87"/>
      <c r="NUQ44" s="87"/>
      <c r="NUR44" s="87"/>
      <c r="NUS44" s="87"/>
      <c r="NUT44" s="87"/>
      <c r="NUU44" s="87"/>
      <c r="NUV44" s="87"/>
      <c r="NUW44" s="87"/>
      <c r="NUX44" s="87"/>
      <c r="NUY44" s="87"/>
      <c r="NUZ44" s="87"/>
      <c r="NVA44" s="87"/>
      <c r="NVB44" s="87"/>
      <c r="NVC44" s="87"/>
      <c r="NVD44" s="87"/>
      <c r="NVE44" s="87"/>
      <c r="NVF44" s="87"/>
      <c r="NVG44" s="87"/>
      <c r="NVH44" s="87"/>
      <c r="NVI44" s="87"/>
      <c r="NVJ44" s="87"/>
      <c r="NVK44" s="87"/>
      <c r="NVL44" s="87"/>
      <c r="NVM44" s="87"/>
      <c r="NVN44" s="87"/>
      <c r="NVO44" s="87"/>
      <c r="NVP44" s="87"/>
      <c r="NVQ44" s="87"/>
      <c r="NVR44" s="87"/>
      <c r="NVS44" s="87"/>
      <c r="NVT44" s="87"/>
      <c r="NVU44" s="87"/>
      <c r="NVV44" s="87"/>
      <c r="NVW44" s="87"/>
      <c r="NVX44" s="87"/>
      <c r="NVY44" s="87"/>
      <c r="NVZ44" s="87"/>
      <c r="NWA44" s="87"/>
      <c r="NWB44" s="87"/>
      <c r="NWC44" s="87"/>
      <c r="NWD44" s="87"/>
      <c r="NWE44" s="87"/>
      <c r="NWF44" s="87"/>
      <c r="NWG44" s="87"/>
      <c r="NWH44" s="87"/>
      <c r="NWI44" s="87"/>
      <c r="NWJ44" s="87"/>
      <c r="NWK44" s="87"/>
      <c r="NWL44" s="87"/>
      <c r="NWM44" s="87"/>
      <c r="NWN44" s="87"/>
      <c r="NWO44" s="87"/>
      <c r="NWP44" s="87"/>
      <c r="NWQ44" s="87"/>
      <c r="NWR44" s="87"/>
      <c r="NWS44" s="87"/>
      <c r="NWT44" s="87"/>
      <c r="NWU44" s="87"/>
      <c r="NWV44" s="87"/>
      <c r="NWW44" s="87"/>
      <c r="NWX44" s="87"/>
      <c r="NWY44" s="87"/>
      <c r="NWZ44" s="87"/>
      <c r="NXA44" s="87"/>
      <c r="NXB44" s="87"/>
      <c r="NXC44" s="87"/>
      <c r="NXD44" s="87"/>
      <c r="NXE44" s="87"/>
      <c r="NXF44" s="87"/>
      <c r="NXG44" s="87"/>
      <c r="NXH44" s="87"/>
      <c r="NXI44" s="87"/>
      <c r="NXJ44" s="87"/>
      <c r="NXK44" s="87"/>
      <c r="NXL44" s="87"/>
      <c r="NXM44" s="87"/>
      <c r="NXN44" s="87"/>
      <c r="NXO44" s="87"/>
      <c r="NXP44" s="87"/>
      <c r="NXQ44" s="87"/>
      <c r="NXR44" s="87"/>
      <c r="NXS44" s="87"/>
      <c r="NXT44" s="87"/>
      <c r="NXU44" s="87"/>
      <c r="NXV44" s="87"/>
      <c r="NXW44" s="87"/>
      <c r="NXX44" s="87"/>
      <c r="NXY44" s="87"/>
      <c r="NXZ44" s="87"/>
      <c r="NYA44" s="87"/>
      <c r="NYB44" s="87"/>
      <c r="NYC44" s="87"/>
      <c r="NYD44" s="87"/>
      <c r="NYE44" s="87"/>
      <c r="NYF44" s="87"/>
      <c r="NYG44" s="87"/>
      <c r="NYH44" s="87"/>
      <c r="NYI44" s="87"/>
      <c r="NYJ44" s="87"/>
      <c r="NYK44" s="87"/>
      <c r="NYL44" s="87"/>
      <c r="NYM44" s="87"/>
      <c r="NYN44" s="87"/>
      <c r="NYO44" s="87"/>
      <c r="NYP44" s="87"/>
      <c r="NYQ44" s="87"/>
      <c r="NYR44" s="87"/>
      <c r="NYS44" s="87"/>
      <c r="NYT44" s="87"/>
      <c r="NYU44" s="87"/>
      <c r="NYV44" s="87"/>
      <c r="NYW44" s="87"/>
      <c r="NYX44" s="87"/>
      <c r="NYY44" s="87"/>
      <c r="NYZ44" s="87"/>
      <c r="NZA44" s="87"/>
      <c r="NZB44" s="87"/>
      <c r="NZC44" s="87"/>
      <c r="NZD44" s="87"/>
      <c r="NZE44" s="87"/>
      <c r="NZF44" s="87"/>
      <c r="NZG44" s="87"/>
      <c r="NZH44" s="87"/>
      <c r="NZI44" s="87"/>
      <c r="NZJ44" s="87"/>
      <c r="NZK44" s="87"/>
      <c r="NZL44" s="87"/>
      <c r="NZM44" s="87"/>
      <c r="NZN44" s="87"/>
      <c r="NZO44" s="87"/>
      <c r="NZP44" s="87"/>
      <c r="NZQ44" s="87"/>
      <c r="NZR44" s="87"/>
      <c r="NZS44" s="87"/>
      <c r="NZT44" s="87"/>
      <c r="NZU44" s="87"/>
      <c r="NZV44" s="87"/>
      <c r="NZW44" s="87"/>
      <c r="NZX44" s="87"/>
      <c r="NZY44" s="87"/>
      <c r="NZZ44" s="87"/>
      <c r="OAA44" s="87"/>
      <c r="OAB44" s="87"/>
      <c r="OAC44" s="87"/>
      <c r="OAD44" s="87"/>
      <c r="OAE44" s="87"/>
      <c r="OAF44" s="87"/>
      <c r="OAG44" s="87"/>
      <c r="OAH44" s="87"/>
      <c r="OAI44" s="87"/>
      <c r="OAJ44" s="87"/>
      <c r="OAK44" s="87"/>
      <c r="OAL44" s="87"/>
      <c r="OAM44" s="87"/>
      <c r="OAN44" s="87"/>
      <c r="OAO44" s="87"/>
      <c r="OAP44" s="87"/>
      <c r="OAQ44" s="87"/>
      <c r="OAR44" s="87"/>
      <c r="OAS44" s="87"/>
      <c r="OAT44" s="87"/>
      <c r="OAU44" s="87"/>
      <c r="OAV44" s="87"/>
      <c r="OAW44" s="87"/>
      <c r="OAX44" s="87"/>
      <c r="OAY44" s="87"/>
      <c r="OAZ44" s="87"/>
      <c r="OBA44" s="87"/>
      <c r="OBB44" s="87"/>
      <c r="OBC44" s="87"/>
      <c r="OBD44" s="87"/>
      <c r="OBE44" s="87"/>
      <c r="OBF44" s="87"/>
      <c r="OBG44" s="87"/>
      <c r="OBH44" s="87"/>
      <c r="OBI44" s="87"/>
      <c r="OBJ44" s="87"/>
      <c r="OBK44" s="87"/>
      <c r="OBL44" s="87"/>
      <c r="OBM44" s="87"/>
      <c r="OBN44" s="87"/>
      <c r="OBO44" s="87"/>
      <c r="OBP44" s="87"/>
      <c r="OBQ44" s="87"/>
      <c r="OBR44" s="87"/>
      <c r="OBS44" s="87"/>
      <c r="OBT44" s="87"/>
      <c r="OBU44" s="87"/>
      <c r="OBV44" s="87"/>
      <c r="OBW44" s="87"/>
      <c r="OBX44" s="87"/>
      <c r="OBY44" s="87"/>
      <c r="OBZ44" s="87"/>
      <c r="OCA44" s="87"/>
      <c r="OCB44" s="87"/>
      <c r="OCC44" s="87"/>
      <c r="OCD44" s="87"/>
      <c r="OCE44" s="87"/>
      <c r="OCF44" s="87"/>
      <c r="OCG44" s="87"/>
      <c r="OCH44" s="87"/>
      <c r="OCI44" s="87"/>
      <c r="OCJ44" s="87"/>
      <c r="OCK44" s="87"/>
      <c r="OCL44" s="87"/>
      <c r="OCM44" s="87"/>
      <c r="OCN44" s="87"/>
      <c r="OCO44" s="87"/>
      <c r="OCP44" s="87"/>
      <c r="OCQ44" s="87"/>
      <c r="OCR44" s="87"/>
      <c r="OCS44" s="87"/>
      <c r="OCT44" s="87"/>
      <c r="OCU44" s="87"/>
      <c r="OCV44" s="87"/>
      <c r="OCW44" s="87"/>
      <c r="OCX44" s="87"/>
      <c r="OCY44" s="87"/>
      <c r="OCZ44" s="87"/>
      <c r="ODA44" s="87"/>
      <c r="ODB44" s="87"/>
      <c r="ODC44" s="87"/>
      <c r="ODD44" s="87"/>
      <c r="ODE44" s="87"/>
      <c r="ODF44" s="87"/>
      <c r="ODG44" s="87"/>
      <c r="ODH44" s="87"/>
      <c r="ODI44" s="87"/>
      <c r="ODJ44" s="87"/>
      <c r="ODK44" s="87"/>
      <c r="ODL44" s="87"/>
      <c r="ODM44" s="87"/>
      <c r="ODN44" s="87"/>
      <c r="ODO44" s="87"/>
      <c r="ODP44" s="87"/>
      <c r="ODQ44" s="87"/>
      <c r="ODR44" s="87"/>
      <c r="ODS44" s="87"/>
      <c r="ODT44" s="87"/>
      <c r="ODU44" s="87"/>
      <c r="ODV44" s="87"/>
      <c r="ODW44" s="87"/>
      <c r="ODX44" s="87"/>
      <c r="ODY44" s="87"/>
      <c r="ODZ44" s="87"/>
      <c r="OEA44" s="87"/>
      <c r="OEB44" s="87"/>
      <c r="OEC44" s="87"/>
      <c r="OED44" s="87"/>
      <c r="OEE44" s="87"/>
      <c r="OEF44" s="87"/>
      <c r="OEG44" s="87"/>
      <c r="OEH44" s="87"/>
      <c r="OEI44" s="87"/>
      <c r="OEJ44" s="87"/>
      <c r="OEK44" s="87"/>
      <c r="OEL44" s="87"/>
      <c r="OEM44" s="87"/>
      <c r="OEN44" s="87"/>
      <c r="OEO44" s="87"/>
      <c r="OEP44" s="87"/>
      <c r="OEQ44" s="87"/>
      <c r="OER44" s="87"/>
      <c r="OES44" s="87"/>
      <c r="OET44" s="87"/>
      <c r="OEU44" s="87"/>
      <c r="OEV44" s="87"/>
      <c r="OEW44" s="87"/>
      <c r="OEX44" s="87"/>
      <c r="OEY44" s="87"/>
      <c r="OEZ44" s="87"/>
      <c r="OFA44" s="87"/>
      <c r="OFB44" s="87"/>
      <c r="OFC44" s="87"/>
      <c r="OFD44" s="87"/>
      <c r="OFE44" s="87"/>
      <c r="OFF44" s="87"/>
      <c r="OFG44" s="87"/>
      <c r="OFH44" s="87"/>
      <c r="OFI44" s="87"/>
      <c r="OFJ44" s="87"/>
      <c r="OFK44" s="87"/>
      <c r="OFL44" s="87"/>
      <c r="OFM44" s="87"/>
      <c r="OFN44" s="87"/>
      <c r="OFO44" s="87"/>
      <c r="OFP44" s="87"/>
      <c r="OFQ44" s="87"/>
      <c r="OFR44" s="87"/>
      <c r="OFS44" s="87"/>
      <c r="OFT44" s="87"/>
      <c r="OFU44" s="87"/>
      <c r="OFV44" s="87"/>
      <c r="OFW44" s="87"/>
      <c r="OFX44" s="87"/>
      <c r="OFY44" s="87"/>
      <c r="OFZ44" s="87"/>
      <c r="OGA44" s="87"/>
      <c r="OGB44" s="87"/>
      <c r="OGC44" s="87"/>
      <c r="OGD44" s="87"/>
      <c r="OGE44" s="87"/>
      <c r="OGF44" s="87"/>
      <c r="OGG44" s="87"/>
      <c r="OGH44" s="87"/>
      <c r="OGI44" s="87"/>
      <c r="OGJ44" s="87"/>
      <c r="OGK44" s="87"/>
      <c r="OGL44" s="87"/>
      <c r="OGM44" s="87"/>
      <c r="OGN44" s="87"/>
      <c r="OGO44" s="87"/>
      <c r="OGP44" s="87"/>
      <c r="OGQ44" s="87"/>
      <c r="OGR44" s="87"/>
      <c r="OGS44" s="87"/>
      <c r="OGT44" s="87"/>
      <c r="OGU44" s="87"/>
      <c r="OGV44" s="87"/>
      <c r="OGW44" s="87"/>
      <c r="OGX44" s="87"/>
      <c r="OGY44" s="87"/>
      <c r="OGZ44" s="87"/>
      <c r="OHA44" s="87"/>
      <c r="OHB44" s="87"/>
      <c r="OHC44" s="87"/>
      <c r="OHD44" s="87"/>
      <c r="OHE44" s="87"/>
      <c r="OHF44" s="87"/>
      <c r="OHG44" s="87"/>
      <c r="OHH44" s="87"/>
      <c r="OHI44" s="87"/>
      <c r="OHJ44" s="87"/>
      <c r="OHK44" s="87"/>
      <c r="OHL44" s="87"/>
      <c r="OHM44" s="87"/>
      <c r="OHN44" s="87"/>
      <c r="OHO44" s="87"/>
      <c r="OHP44" s="87"/>
      <c r="OHQ44" s="87"/>
      <c r="OHR44" s="87"/>
      <c r="OHS44" s="87"/>
      <c r="OHT44" s="87"/>
      <c r="OHU44" s="87"/>
      <c r="OHV44" s="87"/>
      <c r="OHW44" s="87"/>
      <c r="OHX44" s="87"/>
      <c r="OHY44" s="87"/>
      <c r="OHZ44" s="87"/>
      <c r="OIA44" s="87"/>
      <c r="OIB44" s="87"/>
      <c r="OIC44" s="87"/>
      <c r="OID44" s="87"/>
      <c r="OIE44" s="87"/>
      <c r="OIF44" s="87"/>
      <c r="OIG44" s="87"/>
      <c r="OIH44" s="87"/>
      <c r="OII44" s="87"/>
      <c r="OIJ44" s="87"/>
      <c r="OIK44" s="87"/>
      <c r="OIL44" s="87"/>
      <c r="OIM44" s="87"/>
      <c r="OIN44" s="87"/>
      <c r="OIO44" s="87"/>
      <c r="OIP44" s="87"/>
      <c r="OIQ44" s="87"/>
      <c r="OIR44" s="87"/>
      <c r="OIS44" s="87"/>
      <c r="OIT44" s="87"/>
      <c r="OIU44" s="87"/>
      <c r="OIV44" s="87"/>
      <c r="OIW44" s="87"/>
      <c r="OIX44" s="87"/>
      <c r="OIY44" s="87"/>
      <c r="OIZ44" s="87"/>
      <c r="OJA44" s="87"/>
      <c r="OJB44" s="87"/>
      <c r="OJC44" s="87"/>
      <c r="OJD44" s="87"/>
      <c r="OJE44" s="87"/>
      <c r="OJF44" s="87"/>
      <c r="OJG44" s="87"/>
      <c r="OJH44" s="87"/>
      <c r="OJI44" s="87"/>
      <c r="OJJ44" s="87"/>
      <c r="OJK44" s="87"/>
      <c r="OJL44" s="87"/>
      <c r="OJM44" s="87"/>
      <c r="OJN44" s="87"/>
      <c r="OJO44" s="87"/>
      <c r="OJP44" s="87"/>
      <c r="OJQ44" s="87"/>
      <c r="OJR44" s="87"/>
      <c r="OJS44" s="87"/>
      <c r="OJT44" s="87"/>
      <c r="OJU44" s="87"/>
      <c r="OJV44" s="87"/>
      <c r="OJW44" s="87"/>
      <c r="OJX44" s="87"/>
      <c r="OJY44" s="87"/>
      <c r="OJZ44" s="87"/>
      <c r="OKA44" s="87"/>
      <c r="OKB44" s="87"/>
      <c r="OKC44" s="87"/>
      <c r="OKD44" s="87"/>
      <c r="OKE44" s="87"/>
      <c r="OKF44" s="87"/>
      <c r="OKG44" s="87"/>
      <c r="OKH44" s="87"/>
      <c r="OKI44" s="87"/>
      <c r="OKJ44" s="87"/>
      <c r="OKK44" s="87"/>
      <c r="OKL44" s="87"/>
      <c r="OKM44" s="87"/>
      <c r="OKN44" s="87"/>
      <c r="OKO44" s="87"/>
      <c r="OKP44" s="87"/>
      <c r="OKQ44" s="87"/>
      <c r="OKR44" s="87"/>
      <c r="OKS44" s="87"/>
      <c r="OKT44" s="87"/>
      <c r="OKU44" s="87"/>
      <c r="OKV44" s="87"/>
      <c r="OKW44" s="87"/>
      <c r="OKX44" s="87"/>
      <c r="OKY44" s="87"/>
      <c r="OKZ44" s="87"/>
      <c r="OLA44" s="87"/>
      <c r="OLB44" s="87"/>
      <c r="OLC44" s="87"/>
      <c r="OLD44" s="87"/>
      <c r="OLE44" s="87"/>
      <c r="OLF44" s="87"/>
      <c r="OLG44" s="87"/>
      <c r="OLH44" s="87"/>
      <c r="OLI44" s="87"/>
      <c r="OLJ44" s="87"/>
      <c r="OLK44" s="87"/>
      <c r="OLL44" s="87"/>
      <c r="OLM44" s="87"/>
      <c r="OLN44" s="87"/>
      <c r="OLO44" s="87"/>
      <c r="OLP44" s="87"/>
      <c r="OLQ44" s="87"/>
      <c r="OLR44" s="87"/>
      <c r="OLS44" s="87"/>
      <c r="OLT44" s="87"/>
      <c r="OLU44" s="87"/>
      <c r="OLV44" s="87"/>
      <c r="OLW44" s="87"/>
      <c r="OLX44" s="87"/>
      <c r="OLY44" s="87"/>
      <c r="OLZ44" s="87"/>
      <c r="OMA44" s="87"/>
      <c r="OMB44" s="87"/>
      <c r="OMC44" s="87"/>
      <c r="OMD44" s="87"/>
      <c r="OME44" s="87"/>
      <c r="OMF44" s="87"/>
      <c r="OMG44" s="87"/>
      <c r="OMH44" s="87"/>
      <c r="OMI44" s="87"/>
      <c r="OMJ44" s="87"/>
      <c r="OMK44" s="87"/>
      <c r="OML44" s="87"/>
      <c r="OMM44" s="87"/>
      <c r="OMN44" s="87"/>
      <c r="OMO44" s="87"/>
      <c r="OMP44" s="87"/>
      <c r="OMQ44" s="87"/>
      <c r="OMR44" s="87"/>
      <c r="OMS44" s="87"/>
      <c r="OMT44" s="87"/>
      <c r="OMU44" s="87"/>
      <c r="OMV44" s="87"/>
      <c r="OMW44" s="87"/>
      <c r="OMX44" s="87"/>
      <c r="OMY44" s="87"/>
      <c r="OMZ44" s="87"/>
      <c r="ONA44" s="87"/>
      <c r="ONB44" s="87"/>
      <c r="ONC44" s="87"/>
      <c r="OND44" s="87"/>
      <c r="ONE44" s="87"/>
      <c r="ONF44" s="87"/>
      <c r="ONG44" s="87"/>
      <c r="ONH44" s="87"/>
      <c r="ONI44" s="87"/>
      <c r="ONJ44" s="87"/>
      <c r="ONK44" s="87"/>
      <c r="ONL44" s="87"/>
      <c r="ONM44" s="87"/>
      <c r="ONN44" s="87"/>
      <c r="ONO44" s="87"/>
      <c r="ONP44" s="87"/>
      <c r="ONQ44" s="87"/>
      <c r="ONR44" s="87"/>
      <c r="ONS44" s="87"/>
      <c r="ONT44" s="87"/>
      <c r="ONU44" s="87"/>
      <c r="ONV44" s="87"/>
      <c r="ONW44" s="87"/>
      <c r="ONX44" s="87"/>
      <c r="ONY44" s="87"/>
      <c r="ONZ44" s="87"/>
      <c r="OOA44" s="87"/>
      <c r="OOB44" s="87"/>
      <c r="OOC44" s="87"/>
      <c r="OOD44" s="87"/>
      <c r="OOE44" s="87"/>
      <c r="OOF44" s="87"/>
      <c r="OOG44" s="87"/>
      <c r="OOH44" s="87"/>
      <c r="OOI44" s="87"/>
      <c r="OOJ44" s="87"/>
      <c r="OOK44" s="87"/>
      <c r="OOL44" s="87"/>
      <c r="OOM44" s="87"/>
      <c r="OON44" s="87"/>
      <c r="OOO44" s="87"/>
      <c r="OOP44" s="87"/>
      <c r="OOQ44" s="87"/>
      <c r="OOR44" s="87"/>
      <c r="OOS44" s="87"/>
      <c r="OOT44" s="87"/>
      <c r="OOU44" s="87"/>
      <c r="OOV44" s="87"/>
      <c r="OOW44" s="87"/>
      <c r="OOX44" s="87"/>
      <c r="OOY44" s="87"/>
      <c r="OOZ44" s="87"/>
      <c r="OPA44" s="87"/>
      <c r="OPB44" s="87"/>
      <c r="OPC44" s="87"/>
      <c r="OPD44" s="87"/>
      <c r="OPE44" s="87"/>
      <c r="OPF44" s="87"/>
      <c r="OPG44" s="87"/>
      <c r="OPH44" s="87"/>
      <c r="OPI44" s="87"/>
      <c r="OPJ44" s="87"/>
      <c r="OPK44" s="87"/>
      <c r="OPL44" s="87"/>
      <c r="OPM44" s="87"/>
      <c r="OPN44" s="87"/>
      <c r="OPO44" s="87"/>
      <c r="OPP44" s="87"/>
      <c r="OPQ44" s="87"/>
      <c r="OPR44" s="87"/>
      <c r="OPS44" s="87"/>
      <c r="OPT44" s="87"/>
      <c r="OPU44" s="87"/>
      <c r="OPV44" s="87"/>
      <c r="OPW44" s="87"/>
      <c r="OPX44" s="87"/>
      <c r="OPY44" s="87"/>
      <c r="OPZ44" s="87"/>
      <c r="OQA44" s="87"/>
      <c r="OQB44" s="87"/>
      <c r="OQC44" s="87"/>
      <c r="OQD44" s="87"/>
      <c r="OQE44" s="87"/>
      <c r="OQF44" s="87"/>
      <c r="OQG44" s="87"/>
      <c r="OQH44" s="87"/>
      <c r="OQI44" s="87"/>
      <c r="OQJ44" s="87"/>
      <c r="OQK44" s="87"/>
      <c r="OQL44" s="87"/>
      <c r="OQM44" s="87"/>
      <c r="OQN44" s="87"/>
      <c r="OQO44" s="87"/>
      <c r="OQP44" s="87"/>
      <c r="OQQ44" s="87"/>
      <c r="OQR44" s="87"/>
      <c r="OQS44" s="87"/>
      <c r="OQT44" s="87"/>
      <c r="OQU44" s="87"/>
      <c r="OQV44" s="87"/>
      <c r="OQW44" s="87"/>
      <c r="OQX44" s="87"/>
      <c r="OQY44" s="87"/>
      <c r="OQZ44" s="87"/>
      <c r="ORA44" s="87"/>
      <c r="ORB44" s="87"/>
      <c r="ORC44" s="87"/>
      <c r="ORD44" s="87"/>
      <c r="ORE44" s="87"/>
      <c r="ORF44" s="87"/>
      <c r="ORG44" s="87"/>
      <c r="ORH44" s="87"/>
      <c r="ORI44" s="87"/>
      <c r="ORJ44" s="87"/>
      <c r="ORK44" s="87"/>
      <c r="ORL44" s="87"/>
      <c r="ORM44" s="87"/>
      <c r="ORN44" s="87"/>
      <c r="ORO44" s="87"/>
      <c r="ORP44" s="87"/>
      <c r="ORQ44" s="87"/>
      <c r="ORR44" s="87"/>
      <c r="ORS44" s="87"/>
      <c r="ORT44" s="87"/>
      <c r="ORU44" s="87"/>
      <c r="ORV44" s="87"/>
      <c r="ORW44" s="87"/>
      <c r="ORX44" s="87"/>
      <c r="ORY44" s="87"/>
      <c r="ORZ44" s="87"/>
      <c r="OSA44" s="87"/>
      <c r="OSB44" s="87"/>
      <c r="OSC44" s="87"/>
      <c r="OSD44" s="87"/>
      <c r="OSE44" s="87"/>
      <c r="OSF44" s="87"/>
      <c r="OSG44" s="87"/>
      <c r="OSH44" s="87"/>
      <c r="OSI44" s="87"/>
      <c r="OSJ44" s="87"/>
      <c r="OSK44" s="87"/>
      <c r="OSL44" s="87"/>
      <c r="OSM44" s="87"/>
      <c r="OSN44" s="87"/>
      <c r="OSO44" s="87"/>
      <c r="OSP44" s="87"/>
      <c r="OSQ44" s="87"/>
      <c r="OSR44" s="87"/>
      <c r="OSS44" s="87"/>
      <c r="OST44" s="87"/>
      <c r="OSU44" s="87"/>
      <c r="OSV44" s="87"/>
      <c r="OSW44" s="87"/>
      <c r="OSX44" s="87"/>
      <c r="OSY44" s="87"/>
      <c r="OSZ44" s="87"/>
      <c r="OTA44" s="87"/>
      <c r="OTB44" s="87"/>
      <c r="OTC44" s="87"/>
      <c r="OTD44" s="87"/>
      <c r="OTE44" s="87"/>
      <c r="OTF44" s="87"/>
      <c r="OTG44" s="87"/>
      <c r="OTH44" s="87"/>
      <c r="OTI44" s="87"/>
      <c r="OTJ44" s="87"/>
      <c r="OTK44" s="87"/>
      <c r="OTL44" s="87"/>
      <c r="OTM44" s="87"/>
      <c r="OTN44" s="87"/>
      <c r="OTO44" s="87"/>
      <c r="OTP44" s="87"/>
      <c r="OTQ44" s="87"/>
      <c r="OTR44" s="87"/>
      <c r="OTS44" s="87"/>
      <c r="OTT44" s="87"/>
      <c r="OTU44" s="87"/>
      <c r="OTV44" s="87"/>
      <c r="OTW44" s="87"/>
      <c r="OTX44" s="87"/>
      <c r="OTY44" s="87"/>
      <c r="OTZ44" s="87"/>
      <c r="OUA44" s="87"/>
      <c r="OUB44" s="87"/>
      <c r="OUC44" s="87"/>
      <c r="OUD44" s="87"/>
      <c r="OUE44" s="87"/>
      <c r="OUF44" s="87"/>
      <c r="OUG44" s="87"/>
      <c r="OUH44" s="87"/>
      <c r="OUI44" s="87"/>
      <c r="OUJ44" s="87"/>
      <c r="OUK44" s="87"/>
      <c r="OUL44" s="87"/>
      <c r="OUM44" s="87"/>
      <c r="OUN44" s="87"/>
      <c r="OUO44" s="87"/>
      <c r="OUP44" s="87"/>
      <c r="OUQ44" s="87"/>
      <c r="OUR44" s="87"/>
      <c r="OUS44" s="87"/>
      <c r="OUT44" s="87"/>
      <c r="OUU44" s="87"/>
      <c r="OUV44" s="87"/>
      <c r="OUW44" s="87"/>
      <c r="OUX44" s="87"/>
      <c r="OUY44" s="87"/>
      <c r="OUZ44" s="87"/>
      <c r="OVA44" s="87"/>
      <c r="OVB44" s="87"/>
      <c r="OVC44" s="87"/>
      <c r="OVD44" s="87"/>
      <c r="OVE44" s="87"/>
      <c r="OVF44" s="87"/>
      <c r="OVG44" s="87"/>
      <c r="OVH44" s="87"/>
      <c r="OVI44" s="87"/>
      <c r="OVJ44" s="87"/>
      <c r="OVK44" s="87"/>
      <c r="OVL44" s="87"/>
      <c r="OVM44" s="87"/>
      <c r="OVN44" s="87"/>
      <c r="OVO44" s="87"/>
      <c r="OVP44" s="87"/>
      <c r="OVQ44" s="87"/>
      <c r="OVR44" s="87"/>
      <c r="OVS44" s="87"/>
      <c r="OVT44" s="87"/>
      <c r="OVU44" s="87"/>
      <c r="OVV44" s="87"/>
      <c r="OVW44" s="87"/>
      <c r="OVX44" s="87"/>
      <c r="OVY44" s="87"/>
      <c r="OVZ44" s="87"/>
      <c r="OWA44" s="87"/>
      <c r="OWB44" s="87"/>
      <c r="OWC44" s="87"/>
      <c r="OWD44" s="87"/>
      <c r="OWE44" s="87"/>
      <c r="OWF44" s="87"/>
      <c r="OWG44" s="87"/>
      <c r="OWH44" s="87"/>
      <c r="OWI44" s="87"/>
      <c r="OWJ44" s="87"/>
      <c r="OWK44" s="87"/>
      <c r="OWL44" s="87"/>
      <c r="OWM44" s="87"/>
      <c r="OWN44" s="87"/>
      <c r="OWO44" s="87"/>
      <c r="OWP44" s="87"/>
      <c r="OWQ44" s="87"/>
      <c r="OWR44" s="87"/>
      <c r="OWS44" s="87"/>
      <c r="OWT44" s="87"/>
      <c r="OWU44" s="87"/>
      <c r="OWV44" s="87"/>
      <c r="OWW44" s="87"/>
      <c r="OWX44" s="87"/>
      <c r="OWY44" s="87"/>
      <c r="OWZ44" s="87"/>
      <c r="OXA44" s="87"/>
      <c r="OXB44" s="87"/>
      <c r="OXC44" s="87"/>
      <c r="OXD44" s="87"/>
      <c r="OXE44" s="87"/>
      <c r="OXF44" s="87"/>
      <c r="OXG44" s="87"/>
      <c r="OXH44" s="87"/>
      <c r="OXI44" s="87"/>
      <c r="OXJ44" s="87"/>
      <c r="OXK44" s="87"/>
      <c r="OXL44" s="87"/>
      <c r="OXM44" s="87"/>
      <c r="OXN44" s="87"/>
      <c r="OXO44" s="87"/>
      <c r="OXP44" s="87"/>
      <c r="OXQ44" s="87"/>
      <c r="OXR44" s="87"/>
      <c r="OXS44" s="87"/>
      <c r="OXT44" s="87"/>
      <c r="OXU44" s="87"/>
      <c r="OXV44" s="87"/>
      <c r="OXW44" s="87"/>
      <c r="OXX44" s="87"/>
      <c r="OXY44" s="87"/>
      <c r="OXZ44" s="87"/>
      <c r="OYA44" s="87"/>
      <c r="OYB44" s="87"/>
      <c r="OYC44" s="87"/>
      <c r="OYD44" s="87"/>
      <c r="OYE44" s="87"/>
      <c r="OYF44" s="87"/>
      <c r="OYG44" s="87"/>
      <c r="OYH44" s="87"/>
      <c r="OYI44" s="87"/>
      <c r="OYJ44" s="87"/>
      <c r="OYK44" s="87"/>
      <c r="OYL44" s="87"/>
      <c r="OYM44" s="87"/>
      <c r="OYN44" s="87"/>
      <c r="OYO44" s="87"/>
      <c r="OYP44" s="87"/>
      <c r="OYQ44" s="87"/>
      <c r="OYR44" s="87"/>
      <c r="OYS44" s="87"/>
      <c r="OYT44" s="87"/>
      <c r="OYU44" s="87"/>
      <c r="OYV44" s="87"/>
      <c r="OYW44" s="87"/>
      <c r="OYX44" s="87"/>
      <c r="OYY44" s="87"/>
      <c r="OYZ44" s="87"/>
      <c r="OZA44" s="87"/>
      <c r="OZB44" s="87"/>
      <c r="OZC44" s="87"/>
      <c r="OZD44" s="87"/>
      <c r="OZE44" s="87"/>
      <c r="OZF44" s="87"/>
      <c r="OZG44" s="87"/>
      <c r="OZH44" s="87"/>
      <c r="OZI44" s="87"/>
      <c r="OZJ44" s="87"/>
      <c r="OZK44" s="87"/>
      <c r="OZL44" s="87"/>
      <c r="OZM44" s="87"/>
      <c r="OZN44" s="87"/>
      <c r="OZO44" s="87"/>
      <c r="OZP44" s="87"/>
      <c r="OZQ44" s="87"/>
      <c r="OZR44" s="87"/>
      <c r="OZS44" s="87"/>
      <c r="OZT44" s="87"/>
      <c r="OZU44" s="87"/>
      <c r="OZV44" s="87"/>
      <c r="OZW44" s="87"/>
      <c r="OZX44" s="87"/>
      <c r="OZY44" s="87"/>
      <c r="OZZ44" s="87"/>
      <c r="PAA44" s="87"/>
      <c r="PAB44" s="87"/>
      <c r="PAC44" s="87"/>
      <c r="PAD44" s="87"/>
      <c r="PAE44" s="87"/>
      <c r="PAF44" s="87"/>
      <c r="PAG44" s="87"/>
      <c r="PAH44" s="87"/>
      <c r="PAI44" s="87"/>
      <c r="PAJ44" s="87"/>
      <c r="PAK44" s="87"/>
      <c r="PAL44" s="87"/>
      <c r="PAM44" s="87"/>
      <c r="PAN44" s="87"/>
      <c r="PAO44" s="87"/>
      <c r="PAP44" s="87"/>
      <c r="PAQ44" s="87"/>
      <c r="PAR44" s="87"/>
      <c r="PAS44" s="87"/>
      <c r="PAT44" s="87"/>
      <c r="PAU44" s="87"/>
      <c r="PAV44" s="87"/>
      <c r="PAW44" s="87"/>
      <c r="PAX44" s="87"/>
      <c r="PAY44" s="87"/>
      <c r="PAZ44" s="87"/>
      <c r="PBA44" s="87"/>
      <c r="PBB44" s="87"/>
      <c r="PBC44" s="87"/>
      <c r="PBD44" s="87"/>
      <c r="PBE44" s="87"/>
      <c r="PBF44" s="87"/>
      <c r="PBG44" s="87"/>
      <c r="PBH44" s="87"/>
      <c r="PBI44" s="87"/>
      <c r="PBJ44" s="87"/>
      <c r="PBK44" s="87"/>
      <c r="PBL44" s="87"/>
      <c r="PBM44" s="87"/>
      <c r="PBN44" s="87"/>
      <c r="PBO44" s="87"/>
      <c r="PBP44" s="87"/>
      <c r="PBQ44" s="87"/>
      <c r="PBR44" s="87"/>
      <c r="PBS44" s="87"/>
      <c r="PBT44" s="87"/>
      <c r="PBU44" s="87"/>
      <c r="PBV44" s="87"/>
      <c r="PBW44" s="87"/>
      <c r="PBX44" s="87"/>
      <c r="PBY44" s="87"/>
      <c r="PBZ44" s="87"/>
      <c r="PCA44" s="87"/>
      <c r="PCB44" s="87"/>
      <c r="PCC44" s="87"/>
      <c r="PCD44" s="87"/>
      <c r="PCE44" s="87"/>
      <c r="PCF44" s="87"/>
      <c r="PCG44" s="87"/>
      <c r="PCH44" s="87"/>
      <c r="PCI44" s="87"/>
      <c r="PCJ44" s="87"/>
      <c r="PCK44" s="87"/>
      <c r="PCL44" s="87"/>
      <c r="PCM44" s="87"/>
      <c r="PCN44" s="87"/>
      <c r="PCO44" s="87"/>
      <c r="PCP44" s="87"/>
      <c r="PCQ44" s="87"/>
      <c r="PCR44" s="87"/>
      <c r="PCS44" s="87"/>
      <c r="PCT44" s="87"/>
      <c r="PCU44" s="87"/>
      <c r="PCV44" s="87"/>
      <c r="PCW44" s="87"/>
      <c r="PCX44" s="87"/>
      <c r="PCY44" s="87"/>
      <c r="PCZ44" s="87"/>
      <c r="PDA44" s="87"/>
      <c r="PDB44" s="87"/>
      <c r="PDC44" s="87"/>
      <c r="PDD44" s="87"/>
      <c r="PDE44" s="87"/>
      <c r="PDF44" s="87"/>
      <c r="PDG44" s="87"/>
      <c r="PDH44" s="87"/>
      <c r="PDI44" s="87"/>
      <c r="PDJ44" s="87"/>
      <c r="PDK44" s="87"/>
      <c r="PDL44" s="87"/>
      <c r="PDM44" s="87"/>
      <c r="PDN44" s="87"/>
      <c r="PDO44" s="87"/>
      <c r="PDP44" s="87"/>
      <c r="PDQ44" s="87"/>
      <c r="PDR44" s="87"/>
      <c r="PDS44" s="87"/>
      <c r="PDT44" s="87"/>
      <c r="PDU44" s="87"/>
      <c r="PDV44" s="87"/>
      <c r="PDW44" s="87"/>
      <c r="PDX44" s="87"/>
      <c r="PDY44" s="87"/>
      <c r="PDZ44" s="87"/>
      <c r="PEA44" s="87"/>
      <c r="PEB44" s="87"/>
      <c r="PEC44" s="87"/>
      <c r="PED44" s="87"/>
      <c r="PEE44" s="87"/>
      <c r="PEF44" s="87"/>
      <c r="PEG44" s="87"/>
      <c r="PEH44" s="87"/>
      <c r="PEI44" s="87"/>
      <c r="PEJ44" s="87"/>
      <c r="PEK44" s="87"/>
      <c r="PEL44" s="87"/>
      <c r="PEM44" s="87"/>
      <c r="PEN44" s="87"/>
      <c r="PEO44" s="87"/>
      <c r="PEP44" s="87"/>
      <c r="PEQ44" s="87"/>
      <c r="PER44" s="87"/>
      <c r="PES44" s="87"/>
      <c r="PET44" s="87"/>
      <c r="PEU44" s="87"/>
      <c r="PEV44" s="87"/>
      <c r="PEW44" s="87"/>
      <c r="PEX44" s="87"/>
      <c r="PEY44" s="87"/>
      <c r="PEZ44" s="87"/>
      <c r="PFA44" s="87"/>
      <c r="PFB44" s="87"/>
      <c r="PFC44" s="87"/>
      <c r="PFD44" s="87"/>
      <c r="PFE44" s="87"/>
      <c r="PFF44" s="87"/>
      <c r="PFG44" s="87"/>
      <c r="PFH44" s="87"/>
      <c r="PFI44" s="87"/>
      <c r="PFJ44" s="87"/>
      <c r="PFK44" s="87"/>
      <c r="PFL44" s="87"/>
      <c r="PFM44" s="87"/>
      <c r="PFN44" s="87"/>
      <c r="PFO44" s="87"/>
      <c r="PFP44" s="87"/>
      <c r="PFQ44" s="87"/>
      <c r="PFR44" s="87"/>
      <c r="PFS44" s="87"/>
      <c r="PFT44" s="87"/>
      <c r="PFU44" s="87"/>
      <c r="PFV44" s="87"/>
      <c r="PFW44" s="87"/>
      <c r="PFX44" s="87"/>
      <c r="PFY44" s="87"/>
      <c r="PFZ44" s="87"/>
      <c r="PGA44" s="87"/>
      <c r="PGB44" s="87"/>
      <c r="PGC44" s="87"/>
      <c r="PGD44" s="87"/>
      <c r="PGE44" s="87"/>
      <c r="PGF44" s="87"/>
      <c r="PGG44" s="87"/>
      <c r="PGH44" s="87"/>
      <c r="PGI44" s="87"/>
      <c r="PGJ44" s="87"/>
      <c r="PGK44" s="87"/>
      <c r="PGL44" s="87"/>
      <c r="PGM44" s="87"/>
      <c r="PGN44" s="87"/>
      <c r="PGO44" s="87"/>
      <c r="PGP44" s="87"/>
      <c r="PGQ44" s="87"/>
      <c r="PGR44" s="87"/>
      <c r="PGS44" s="87"/>
      <c r="PGT44" s="87"/>
      <c r="PGU44" s="87"/>
      <c r="PGV44" s="87"/>
      <c r="PGW44" s="87"/>
      <c r="PGX44" s="87"/>
      <c r="PGY44" s="87"/>
      <c r="PGZ44" s="87"/>
      <c r="PHA44" s="87"/>
      <c r="PHB44" s="87"/>
      <c r="PHC44" s="87"/>
      <c r="PHD44" s="87"/>
      <c r="PHE44" s="87"/>
      <c r="PHF44" s="87"/>
      <c r="PHG44" s="87"/>
      <c r="PHH44" s="87"/>
      <c r="PHI44" s="87"/>
      <c r="PHJ44" s="87"/>
      <c r="PHK44" s="87"/>
      <c r="PHL44" s="87"/>
      <c r="PHM44" s="87"/>
      <c r="PHN44" s="87"/>
      <c r="PHO44" s="87"/>
      <c r="PHP44" s="87"/>
      <c r="PHQ44" s="87"/>
      <c r="PHR44" s="87"/>
      <c r="PHS44" s="87"/>
      <c r="PHT44" s="87"/>
      <c r="PHU44" s="87"/>
      <c r="PHV44" s="87"/>
      <c r="PHW44" s="87"/>
      <c r="PHX44" s="87"/>
      <c r="PHY44" s="87"/>
      <c r="PHZ44" s="87"/>
      <c r="PIA44" s="87"/>
      <c r="PIB44" s="87"/>
      <c r="PIC44" s="87"/>
      <c r="PID44" s="87"/>
      <c r="PIE44" s="87"/>
      <c r="PIF44" s="87"/>
      <c r="PIG44" s="87"/>
      <c r="PIH44" s="87"/>
      <c r="PII44" s="87"/>
      <c r="PIJ44" s="87"/>
      <c r="PIK44" s="87"/>
      <c r="PIL44" s="87"/>
      <c r="PIM44" s="87"/>
      <c r="PIN44" s="87"/>
      <c r="PIO44" s="87"/>
      <c r="PIP44" s="87"/>
      <c r="PIQ44" s="87"/>
      <c r="PIR44" s="87"/>
      <c r="PIS44" s="87"/>
      <c r="PIT44" s="87"/>
      <c r="PIU44" s="87"/>
      <c r="PIV44" s="87"/>
      <c r="PIW44" s="87"/>
      <c r="PIX44" s="87"/>
      <c r="PIY44" s="87"/>
      <c r="PIZ44" s="87"/>
      <c r="PJA44" s="87"/>
      <c r="PJB44" s="87"/>
      <c r="PJC44" s="87"/>
      <c r="PJD44" s="87"/>
      <c r="PJE44" s="87"/>
      <c r="PJF44" s="87"/>
      <c r="PJG44" s="87"/>
      <c r="PJH44" s="87"/>
      <c r="PJI44" s="87"/>
      <c r="PJJ44" s="87"/>
      <c r="PJK44" s="87"/>
      <c r="PJL44" s="87"/>
      <c r="PJM44" s="87"/>
      <c r="PJN44" s="87"/>
      <c r="PJO44" s="87"/>
      <c r="PJP44" s="87"/>
      <c r="PJQ44" s="87"/>
      <c r="PJR44" s="87"/>
      <c r="PJS44" s="87"/>
      <c r="PJT44" s="87"/>
      <c r="PJU44" s="87"/>
      <c r="PJV44" s="87"/>
      <c r="PJW44" s="87"/>
      <c r="PJX44" s="87"/>
      <c r="PJY44" s="87"/>
      <c r="PJZ44" s="87"/>
      <c r="PKA44" s="87"/>
      <c r="PKB44" s="87"/>
      <c r="PKC44" s="87"/>
      <c r="PKD44" s="87"/>
      <c r="PKE44" s="87"/>
      <c r="PKF44" s="87"/>
      <c r="PKG44" s="87"/>
      <c r="PKH44" s="87"/>
      <c r="PKI44" s="87"/>
      <c r="PKJ44" s="87"/>
      <c r="PKK44" s="87"/>
      <c r="PKL44" s="87"/>
      <c r="PKM44" s="87"/>
      <c r="PKN44" s="87"/>
      <c r="PKO44" s="87"/>
      <c r="PKP44" s="87"/>
      <c r="PKQ44" s="87"/>
      <c r="PKR44" s="87"/>
      <c r="PKS44" s="87"/>
      <c r="PKT44" s="87"/>
      <c r="PKU44" s="87"/>
      <c r="PKV44" s="87"/>
      <c r="PKW44" s="87"/>
      <c r="PKX44" s="87"/>
      <c r="PKY44" s="87"/>
      <c r="PKZ44" s="87"/>
      <c r="PLA44" s="87"/>
      <c r="PLB44" s="87"/>
      <c r="PLC44" s="87"/>
      <c r="PLD44" s="87"/>
      <c r="PLE44" s="87"/>
      <c r="PLF44" s="87"/>
      <c r="PLG44" s="87"/>
      <c r="PLH44" s="87"/>
      <c r="PLI44" s="87"/>
      <c r="PLJ44" s="87"/>
      <c r="PLK44" s="87"/>
      <c r="PLL44" s="87"/>
      <c r="PLM44" s="87"/>
      <c r="PLN44" s="87"/>
      <c r="PLO44" s="87"/>
      <c r="PLP44" s="87"/>
      <c r="PLQ44" s="87"/>
      <c r="PLR44" s="87"/>
      <c r="PLS44" s="87"/>
      <c r="PLT44" s="87"/>
      <c r="PLU44" s="87"/>
      <c r="PLV44" s="87"/>
      <c r="PLW44" s="87"/>
      <c r="PLX44" s="87"/>
      <c r="PLY44" s="87"/>
      <c r="PLZ44" s="87"/>
      <c r="PMA44" s="87"/>
      <c r="PMB44" s="87"/>
      <c r="PMC44" s="87"/>
      <c r="PMD44" s="87"/>
      <c r="PME44" s="87"/>
      <c r="PMF44" s="87"/>
      <c r="PMG44" s="87"/>
      <c r="PMH44" s="87"/>
      <c r="PMI44" s="87"/>
      <c r="PMJ44" s="87"/>
      <c r="PMK44" s="87"/>
      <c r="PML44" s="87"/>
      <c r="PMM44" s="87"/>
      <c r="PMN44" s="87"/>
      <c r="PMO44" s="87"/>
      <c r="PMP44" s="87"/>
      <c r="PMQ44" s="87"/>
      <c r="PMR44" s="87"/>
      <c r="PMS44" s="87"/>
      <c r="PMT44" s="87"/>
      <c r="PMU44" s="87"/>
      <c r="PMV44" s="87"/>
      <c r="PMW44" s="87"/>
      <c r="PMX44" s="87"/>
      <c r="PMY44" s="87"/>
      <c r="PMZ44" s="87"/>
      <c r="PNA44" s="87"/>
      <c r="PNB44" s="87"/>
      <c r="PNC44" s="87"/>
      <c r="PND44" s="87"/>
      <c r="PNE44" s="87"/>
      <c r="PNF44" s="87"/>
      <c r="PNG44" s="87"/>
      <c r="PNH44" s="87"/>
      <c r="PNI44" s="87"/>
      <c r="PNJ44" s="87"/>
      <c r="PNK44" s="87"/>
      <c r="PNL44" s="87"/>
      <c r="PNM44" s="87"/>
      <c r="PNN44" s="87"/>
      <c r="PNO44" s="87"/>
      <c r="PNP44" s="87"/>
      <c r="PNQ44" s="87"/>
      <c r="PNR44" s="87"/>
      <c r="PNS44" s="87"/>
      <c r="PNT44" s="87"/>
      <c r="PNU44" s="87"/>
      <c r="PNV44" s="87"/>
      <c r="PNW44" s="87"/>
      <c r="PNX44" s="87"/>
      <c r="PNY44" s="87"/>
      <c r="PNZ44" s="87"/>
      <c r="POA44" s="87"/>
      <c r="POB44" s="87"/>
      <c r="POC44" s="87"/>
      <c r="POD44" s="87"/>
      <c r="POE44" s="87"/>
      <c r="POF44" s="87"/>
      <c r="POG44" s="87"/>
      <c r="POH44" s="87"/>
      <c r="POI44" s="87"/>
      <c r="POJ44" s="87"/>
      <c r="POK44" s="87"/>
      <c r="POL44" s="87"/>
      <c r="POM44" s="87"/>
      <c r="PON44" s="87"/>
      <c r="POO44" s="87"/>
      <c r="POP44" s="87"/>
      <c r="POQ44" s="87"/>
      <c r="POR44" s="87"/>
      <c r="POS44" s="87"/>
      <c r="POT44" s="87"/>
      <c r="POU44" s="87"/>
      <c r="POV44" s="87"/>
      <c r="POW44" s="87"/>
      <c r="POX44" s="87"/>
      <c r="POY44" s="87"/>
      <c r="POZ44" s="87"/>
      <c r="PPA44" s="87"/>
      <c r="PPB44" s="87"/>
      <c r="PPC44" s="87"/>
      <c r="PPD44" s="87"/>
      <c r="PPE44" s="87"/>
      <c r="PPF44" s="87"/>
      <c r="PPG44" s="87"/>
      <c r="PPH44" s="87"/>
      <c r="PPI44" s="87"/>
      <c r="PPJ44" s="87"/>
      <c r="PPK44" s="87"/>
      <c r="PPL44" s="87"/>
      <c r="PPM44" s="87"/>
      <c r="PPN44" s="87"/>
      <c r="PPO44" s="87"/>
      <c r="PPP44" s="87"/>
      <c r="PPQ44" s="87"/>
      <c r="PPR44" s="87"/>
      <c r="PPS44" s="87"/>
      <c r="PPT44" s="87"/>
      <c r="PPU44" s="87"/>
      <c r="PPV44" s="87"/>
      <c r="PPW44" s="87"/>
      <c r="PPX44" s="87"/>
      <c r="PPY44" s="87"/>
      <c r="PPZ44" s="87"/>
      <c r="PQA44" s="87"/>
      <c r="PQB44" s="87"/>
      <c r="PQC44" s="87"/>
      <c r="PQD44" s="87"/>
      <c r="PQE44" s="87"/>
      <c r="PQF44" s="87"/>
      <c r="PQG44" s="87"/>
      <c r="PQH44" s="87"/>
      <c r="PQI44" s="87"/>
      <c r="PQJ44" s="87"/>
      <c r="PQK44" s="87"/>
      <c r="PQL44" s="87"/>
      <c r="PQM44" s="87"/>
      <c r="PQN44" s="87"/>
      <c r="PQO44" s="87"/>
      <c r="PQP44" s="87"/>
      <c r="PQQ44" s="87"/>
      <c r="PQR44" s="87"/>
      <c r="PQS44" s="87"/>
      <c r="PQT44" s="87"/>
      <c r="PQU44" s="87"/>
      <c r="PQV44" s="87"/>
      <c r="PQW44" s="87"/>
      <c r="PQX44" s="87"/>
      <c r="PQY44" s="87"/>
      <c r="PQZ44" s="87"/>
      <c r="PRA44" s="87"/>
      <c r="PRB44" s="87"/>
      <c r="PRC44" s="87"/>
      <c r="PRD44" s="87"/>
      <c r="PRE44" s="87"/>
      <c r="PRF44" s="87"/>
      <c r="PRG44" s="87"/>
      <c r="PRH44" s="87"/>
      <c r="PRI44" s="87"/>
      <c r="PRJ44" s="87"/>
      <c r="PRK44" s="87"/>
      <c r="PRL44" s="87"/>
      <c r="PRM44" s="87"/>
      <c r="PRN44" s="87"/>
      <c r="PRO44" s="87"/>
      <c r="PRP44" s="87"/>
      <c r="PRQ44" s="87"/>
      <c r="PRR44" s="87"/>
      <c r="PRS44" s="87"/>
      <c r="PRT44" s="87"/>
      <c r="PRU44" s="87"/>
      <c r="PRV44" s="87"/>
      <c r="PRW44" s="87"/>
      <c r="PRX44" s="87"/>
      <c r="PRY44" s="87"/>
      <c r="PRZ44" s="87"/>
      <c r="PSA44" s="87"/>
      <c r="PSB44" s="87"/>
      <c r="PSC44" s="87"/>
      <c r="PSD44" s="87"/>
      <c r="PSE44" s="87"/>
      <c r="PSF44" s="87"/>
      <c r="PSG44" s="87"/>
      <c r="PSH44" s="87"/>
      <c r="PSI44" s="87"/>
      <c r="PSJ44" s="87"/>
      <c r="PSK44" s="87"/>
      <c r="PSL44" s="87"/>
      <c r="PSM44" s="87"/>
      <c r="PSN44" s="87"/>
      <c r="PSO44" s="87"/>
      <c r="PSP44" s="87"/>
      <c r="PSQ44" s="87"/>
      <c r="PSR44" s="87"/>
      <c r="PSS44" s="87"/>
      <c r="PST44" s="87"/>
      <c r="PSU44" s="87"/>
      <c r="PSV44" s="87"/>
      <c r="PSW44" s="87"/>
      <c r="PSX44" s="87"/>
      <c r="PSY44" s="87"/>
      <c r="PSZ44" s="87"/>
      <c r="PTA44" s="87"/>
      <c r="PTB44" s="87"/>
      <c r="PTC44" s="87"/>
      <c r="PTD44" s="87"/>
      <c r="PTE44" s="87"/>
      <c r="PTF44" s="87"/>
      <c r="PTG44" s="87"/>
      <c r="PTH44" s="87"/>
      <c r="PTI44" s="87"/>
      <c r="PTJ44" s="87"/>
      <c r="PTK44" s="87"/>
      <c r="PTL44" s="87"/>
      <c r="PTM44" s="87"/>
      <c r="PTN44" s="87"/>
      <c r="PTO44" s="87"/>
      <c r="PTP44" s="87"/>
      <c r="PTQ44" s="87"/>
      <c r="PTR44" s="87"/>
      <c r="PTS44" s="87"/>
      <c r="PTT44" s="87"/>
      <c r="PTU44" s="87"/>
      <c r="PTV44" s="87"/>
      <c r="PTW44" s="87"/>
      <c r="PTX44" s="87"/>
      <c r="PTY44" s="87"/>
      <c r="PTZ44" s="87"/>
      <c r="PUA44" s="87"/>
      <c r="PUB44" s="87"/>
      <c r="PUC44" s="87"/>
      <c r="PUD44" s="87"/>
      <c r="PUE44" s="87"/>
      <c r="PUF44" s="87"/>
      <c r="PUG44" s="87"/>
      <c r="PUH44" s="87"/>
      <c r="PUI44" s="87"/>
      <c r="PUJ44" s="87"/>
      <c r="PUK44" s="87"/>
      <c r="PUL44" s="87"/>
      <c r="PUM44" s="87"/>
      <c r="PUN44" s="87"/>
      <c r="PUO44" s="87"/>
      <c r="PUP44" s="87"/>
      <c r="PUQ44" s="87"/>
      <c r="PUR44" s="87"/>
      <c r="PUS44" s="87"/>
      <c r="PUT44" s="87"/>
      <c r="PUU44" s="87"/>
      <c r="PUV44" s="87"/>
      <c r="PUW44" s="87"/>
      <c r="PUX44" s="87"/>
      <c r="PUY44" s="87"/>
      <c r="PUZ44" s="87"/>
      <c r="PVA44" s="87"/>
      <c r="PVB44" s="87"/>
      <c r="PVC44" s="87"/>
      <c r="PVD44" s="87"/>
      <c r="PVE44" s="87"/>
      <c r="PVF44" s="87"/>
      <c r="PVG44" s="87"/>
      <c r="PVH44" s="87"/>
      <c r="PVI44" s="87"/>
      <c r="PVJ44" s="87"/>
      <c r="PVK44" s="87"/>
      <c r="PVL44" s="87"/>
      <c r="PVM44" s="87"/>
      <c r="PVN44" s="87"/>
      <c r="PVO44" s="87"/>
      <c r="PVP44" s="87"/>
      <c r="PVQ44" s="87"/>
      <c r="PVR44" s="87"/>
      <c r="PVS44" s="87"/>
      <c r="PVT44" s="87"/>
      <c r="PVU44" s="87"/>
      <c r="PVV44" s="87"/>
      <c r="PVW44" s="87"/>
      <c r="PVX44" s="87"/>
      <c r="PVY44" s="87"/>
      <c r="PVZ44" s="87"/>
      <c r="PWA44" s="87"/>
      <c r="PWB44" s="87"/>
      <c r="PWC44" s="87"/>
      <c r="PWD44" s="87"/>
      <c r="PWE44" s="87"/>
      <c r="PWF44" s="87"/>
      <c r="PWG44" s="87"/>
      <c r="PWH44" s="87"/>
      <c r="PWI44" s="87"/>
      <c r="PWJ44" s="87"/>
      <c r="PWK44" s="87"/>
      <c r="PWL44" s="87"/>
      <c r="PWM44" s="87"/>
      <c r="PWN44" s="87"/>
      <c r="PWO44" s="87"/>
      <c r="PWP44" s="87"/>
      <c r="PWQ44" s="87"/>
      <c r="PWR44" s="87"/>
      <c r="PWS44" s="87"/>
      <c r="PWT44" s="87"/>
      <c r="PWU44" s="87"/>
      <c r="PWV44" s="87"/>
      <c r="PWW44" s="87"/>
      <c r="PWX44" s="87"/>
      <c r="PWY44" s="87"/>
      <c r="PWZ44" s="87"/>
      <c r="PXA44" s="87"/>
      <c r="PXB44" s="87"/>
      <c r="PXC44" s="87"/>
      <c r="PXD44" s="87"/>
      <c r="PXE44" s="87"/>
      <c r="PXF44" s="87"/>
      <c r="PXG44" s="87"/>
      <c r="PXH44" s="87"/>
      <c r="PXI44" s="87"/>
      <c r="PXJ44" s="87"/>
      <c r="PXK44" s="87"/>
      <c r="PXL44" s="87"/>
      <c r="PXM44" s="87"/>
      <c r="PXN44" s="87"/>
      <c r="PXO44" s="87"/>
      <c r="PXP44" s="87"/>
      <c r="PXQ44" s="87"/>
      <c r="PXR44" s="87"/>
      <c r="PXS44" s="87"/>
      <c r="PXT44" s="87"/>
      <c r="PXU44" s="87"/>
      <c r="PXV44" s="87"/>
      <c r="PXW44" s="87"/>
      <c r="PXX44" s="87"/>
      <c r="PXY44" s="87"/>
      <c r="PXZ44" s="87"/>
      <c r="PYA44" s="87"/>
      <c r="PYB44" s="87"/>
      <c r="PYC44" s="87"/>
      <c r="PYD44" s="87"/>
      <c r="PYE44" s="87"/>
      <c r="PYF44" s="87"/>
      <c r="PYG44" s="87"/>
      <c r="PYH44" s="87"/>
      <c r="PYI44" s="87"/>
      <c r="PYJ44" s="87"/>
      <c r="PYK44" s="87"/>
      <c r="PYL44" s="87"/>
      <c r="PYM44" s="87"/>
      <c r="PYN44" s="87"/>
      <c r="PYO44" s="87"/>
      <c r="PYP44" s="87"/>
      <c r="PYQ44" s="87"/>
      <c r="PYR44" s="87"/>
      <c r="PYS44" s="87"/>
      <c r="PYT44" s="87"/>
      <c r="PYU44" s="87"/>
      <c r="PYV44" s="87"/>
      <c r="PYW44" s="87"/>
      <c r="PYX44" s="87"/>
      <c r="PYY44" s="87"/>
      <c r="PYZ44" s="87"/>
      <c r="PZA44" s="87"/>
      <c r="PZB44" s="87"/>
      <c r="PZC44" s="87"/>
      <c r="PZD44" s="87"/>
      <c r="PZE44" s="87"/>
      <c r="PZF44" s="87"/>
      <c r="PZG44" s="87"/>
      <c r="PZH44" s="87"/>
      <c r="PZI44" s="87"/>
      <c r="PZJ44" s="87"/>
      <c r="PZK44" s="87"/>
      <c r="PZL44" s="87"/>
      <c r="PZM44" s="87"/>
      <c r="PZN44" s="87"/>
      <c r="PZO44" s="87"/>
      <c r="PZP44" s="87"/>
      <c r="PZQ44" s="87"/>
      <c r="PZR44" s="87"/>
      <c r="PZS44" s="87"/>
      <c r="PZT44" s="87"/>
      <c r="PZU44" s="87"/>
      <c r="PZV44" s="87"/>
      <c r="PZW44" s="87"/>
      <c r="PZX44" s="87"/>
      <c r="PZY44" s="87"/>
      <c r="PZZ44" s="87"/>
      <c r="QAA44" s="87"/>
      <c r="QAB44" s="87"/>
      <c r="QAC44" s="87"/>
      <c r="QAD44" s="87"/>
      <c r="QAE44" s="87"/>
      <c r="QAF44" s="87"/>
      <c r="QAG44" s="87"/>
      <c r="QAH44" s="87"/>
      <c r="QAI44" s="87"/>
      <c r="QAJ44" s="87"/>
      <c r="QAK44" s="87"/>
      <c r="QAL44" s="87"/>
      <c r="QAM44" s="87"/>
      <c r="QAN44" s="87"/>
      <c r="QAO44" s="87"/>
      <c r="QAP44" s="87"/>
      <c r="QAQ44" s="87"/>
      <c r="QAR44" s="87"/>
      <c r="QAS44" s="87"/>
      <c r="QAT44" s="87"/>
      <c r="QAU44" s="87"/>
      <c r="QAV44" s="87"/>
      <c r="QAW44" s="87"/>
      <c r="QAX44" s="87"/>
      <c r="QAY44" s="87"/>
      <c r="QAZ44" s="87"/>
      <c r="QBA44" s="87"/>
      <c r="QBB44" s="87"/>
      <c r="QBC44" s="87"/>
      <c r="QBD44" s="87"/>
      <c r="QBE44" s="87"/>
      <c r="QBF44" s="87"/>
      <c r="QBG44" s="87"/>
      <c r="QBH44" s="87"/>
      <c r="QBI44" s="87"/>
      <c r="QBJ44" s="87"/>
      <c r="QBK44" s="87"/>
      <c r="QBL44" s="87"/>
      <c r="QBM44" s="87"/>
      <c r="QBN44" s="87"/>
      <c r="QBO44" s="87"/>
      <c r="QBP44" s="87"/>
      <c r="QBQ44" s="87"/>
      <c r="QBR44" s="87"/>
      <c r="QBS44" s="87"/>
      <c r="QBT44" s="87"/>
      <c r="QBU44" s="87"/>
      <c r="QBV44" s="87"/>
      <c r="QBW44" s="87"/>
      <c r="QBX44" s="87"/>
      <c r="QBY44" s="87"/>
      <c r="QBZ44" s="87"/>
      <c r="QCA44" s="87"/>
      <c r="QCB44" s="87"/>
      <c r="QCC44" s="87"/>
      <c r="QCD44" s="87"/>
      <c r="QCE44" s="87"/>
      <c r="QCF44" s="87"/>
      <c r="QCG44" s="87"/>
      <c r="QCH44" s="87"/>
      <c r="QCI44" s="87"/>
      <c r="QCJ44" s="87"/>
      <c r="QCK44" s="87"/>
      <c r="QCL44" s="87"/>
      <c r="QCM44" s="87"/>
      <c r="QCN44" s="87"/>
      <c r="QCO44" s="87"/>
      <c r="QCP44" s="87"/>
      <c r="QCQ44" s="87"/>
      <c r="QCR44" s="87"/>
      <c r="QCS44" s="87"/>
      <c r="QCT44" s="87"/>
      <c r="QCU44" s="87"/>
      <c r="QCV44" s="87"/>
      <c r="QCW44" s="87"/>
      <c r="QCX44" s="87"/>
      <c r="QCY44" s="87"/>
      <c r="QCZ44" s="87"/>
      <c r="QDA44" s="87"/>
      <c r="QDB44" s="87"/>
      <c r="QDC44" s="87"/>
      <c r="QDD44" s="87"/>
      <c r="QDE44" s="87"/>
      <c r="QDF44" s="87"/>
      <c r="QDG44" s="87"/>
      <c r="QDH44" s="87"/>
      <c r="QDI44" s="87"/>
      <c r="QDJ44" s="87"/>
      <c r="QDK44" s="87"/>
      <c r="QDL44" s="87"/>
      <c r="QDM44" s="87"/>
      <c r="QDN44" s="87"/>
      <c r="QDO44" s="87"/>
      <c r="QDP44" s="87"/>
      <c r="QDQ44" s="87"/>
      <c r="QDR44" s="87"/>
      <c r="QDS44" s="87"/>
      <c r="QDT44" s="87"/>
      <c r="QDU44" s="87"/>
      <c r="QDV44" s="87"/>
      <c r="QDW44" s="87"/>
      <c r="QDX44" s="87"/>
      <c r="QDY44" s="87"/>
      <c r="QDZ44" s="87"/>
      <c r="QEA44" s="87"/>
      <c r="QEB44" s="87"/>
      <c r="QEC44" s="87"/>
      <c r="QED44" s="87"/>
      <c r="QEE44" s="87"/>
      <c r="QEF44" s="87"/>
      <c r="QEG44" s="87"/>
      <c r="QEH44" s="87"/>
      <c r="QEI44" s="87"/>
      <c r="QEJ44" s="87"/>
      <c r="QEK44" s="87"/>
      <c r="QEL44" s="87"/>
      <c r="QEM44" s="87"/>
      <c r="QEN44" s="87"/>
      <c r="QEO44" s="87"/>
      <c r="QEP44" s="87"/>
      <c r="QEQ44" s="87"/>
      <c r="QER44" s="87"/>
      <c r="QES44" s="87"/>
      <c r="QET44" s="87"/>
      <c r="QEU44" s="87"/>
      <c r="QEV44" s="87"/>
      <c r="QEW44" s="87"/>
      <c r="QEX44" s="87"/>
      <c r="QEY44" s="87"/>
      <c r="QEZ44" s="87"/>
      <c r="QFA44" s="87"/>
      <c r="QFB44" s="87"/>
      <c r="QFC44" s="87"/>
      <c r="QFD44" s="87"/>
      <c r="QFE44" s="87"/>
      <c r="QFF44" s="87"/>
      <c r="QFG44" s="87"/>
      <c r="QFH44" s="87"/>
      <c r="QFI44" s="87"/>
      <c r="QFJ44" s="87"/>
      <c r="QFK44" s="87"/>
      <c r="QFL44" s="87"/>
      <c r="QFM44" s="87"/>
      <c r="QFN44" s="87"/>
      <c r="QFO44" s="87"/>
      <c r="QFP44" s="87"/>
      <c r="QFQ44" s="87"/>
      <c r="QFR44" s="87"/>
      <c r="QFS44" s="87"/>
      <c r="QFT44" s="87"/>
      <c r="QFU44" s="87"/>
      <c r="QFV44" s="87"/>
      <c r="QFW44" s="87"/>
      <c r="QFX44" s="87"/>
      <c r="QFY44" s="87"/>
      <c r="QFZ44" s="87"/>
      <c r="QGA44" s="87"/>
      <c r="QGB44" s="87"/>
      <c r="QGC44" s="87"/>
      <c r="QGD44" s="87"/>
      <c r="QGE44" s="87"/>
      <c r="QGF44" s="87"/>
      <c r="QGG44" s="87"/>
      <c r="QGH44" s="87"/>
      <c r="QGI44" s="87"/>
      <c r="QGJ44" s="87"/>
      <c r="QGK44" s="87"/>
      <c r="QGL44" s="87"/>
      <c r="QGM44" s="87"/>
      <c r="QGN44" s="87"/>
      <c r="QGO44" s="87"/>
      <c r="QGP44" s="87"/>
      <c r="QGQ44" s="87"/>
      <c r="QGR44" s="87"/>
      <c r="QGS44" s="87"/>
      <c r="QGT44" s="87"/>
      <c r="QGU44" s="87"/>
      <c r="QGV44" s="87"/>
      <c r="QGW44" s="87"/>
      <c r="QGX44" s="87"/>
      <c r="QGY44" s="87"/>
      <c r="QGZ44" s="87"/>
      <c r="QHA44" s="87"/>
      <c r="QHB44" s="87"/>
      <c r="QHC44" s="87"/>
      <c r="QHD44" s="87"/>
      <c r="QHE44" s="87"/>
      <c r="QHF44" s="87"/>
      <c r="QHG44" s="87"/>
      <c r="QHH44" s="87"/>
      <c r="QHI44" s="87"/>
      <c r="QHJ44" s="87"/>
      <c r="QHK44" s="87"/>
      <c r="QHL44" s="87"/>
      <c r="QHM44" s="87"/>
      <c r="QHN44" s="87"/>
      <c r="QHO44" s="87"/>
      <c r="QHP44" s="87"/>
      <c r="QHQ44" s="87"/>
      <c r="QHR44" s="87"/>
      <c r="QHS44" s="87"/>
      <c r="QHT44" s="87"/>
      <c r="QHU44" s="87"/>
      <c r="QHV44" s="87"/>
      <c r="QHW44" s="87"/>
      <c r="QHX44" s="87"/>
      <c r="QHY44" s="87"/>
      <c r="QHZ44" s="87"/>
      <c r="QIA44" s="87"/>
      <c r="QIB44" s="87"/>
      <c r="QIC44" s="87"/>
      <c r="QID44" s="87"/>
      <c r="QIE44" s="87"/>
      <c r="QIF44" s="87"/>
      <c r="QIG44" s="87"/>
      <c r="QIH44" s="87"/>
      <c r="QII44" s="87"/>
      <c r="QIJ44" s="87"/>
      <c r="QIK44" s="87"/>
      <c r="QIL44" s="87"/>
      <c r="QIM44" s="87"/>
      <c r="QIN44" s="87"/>
      <c r="QIO44" s="87"/>
      <c r="QIP44" s="87"/>
      <c r="QIQ44" s="87"/>
      <c r="QIR44" s="87"/>
      <c r="QIS44" s="87"/>
      <c r="QIT44" s="87"/>
      <c r="QIU44" s="87"/>
      <c r="QIV44" s="87"/>
      <c r="QIW44" s="87"/>
      <c r="QIX44" s="87"/>
      <c r="QIY44" s="87"/>
      <c r="QIZ44" s="87"/>
      <c r="QJA44" s="87"/>
      <c r="QJB44" s="87"/>
      <c r="QJC44" s="87"/>
      <c r="QJD44" s="87"/>
      <c r="QJE44" s="87"/>
      <c r="QJF44" s="87"/>
      <c r="QJG44" s="87"/>
      <c r="QJH44" s="87"/>
      <c r="QJI44" s="87"/>
      <c r="QJJ44" s="87"/>
      <c r="QJK44" s="87"/>
      <c r="QJL44" s="87"/>
      <c r="QJM44" s="87"/>
      <c r="QJN44" s="87"/>
      <c r="QJO44" s="87"/>
      <c r="QJP44" s="87"/>
      <c r="QJQ44" s="87"/>
      <c r="QJR44" s="87"/>
      <c r="QJS44" s="87"/>
      <c r="QJT44" s="87"/>
      <c r="QJU44" s="87"/>
      <c r="QJV44" s="87"/>
      <c r="QJW44" s="87"/>
      <c r="QJX44" s="87"/>
      <c r="QJY44" s="87"/>
      <c r="QJZ44" s="87"/>
      <c r="QKA44" s="87"/>
      <c r="QKB44" s="87"/>
      <c r="QKC44" s="87"/>
      <c r="QKD44" s="87"/>
      <c r="QKE44" s="87"/>
      <c r="QKF44" s="87"/>
      <c r="QKG44" s="87"/>
      <c r="QKH44" s="87"/>
      <c r="QKI44" s="87"/>
      <c r="QKJ44" s="87"/>
      <c r="QKK44" s="87"/>
      <c r="QKL44" s="87"/>
      <c r="QKM44" s="87"/>
      <c r="QKN44" s="87"/>
      <c r="QKO44" s="87"/>
      <c r="QKP44" s="87"/>
      <c r="QKQ44" s="87"/>
      <c r="QKR44" s="87"/>
      <c r="QKS44" s="87"/>
      <c r="QKT44" s="87"/>
      <c r="QKU44" s="87"/>
      <c r="QKV44" s="87"/>
      <c r="QKW44" s="87"/>
      <c r="QKX44" s="87"/>
      <c r="QKY44" s="87"/>
      <c r="QKZ44" s="87"/>
      <c r="QLA44" s="87"/>
      <c r="QLB44" s="87"/>
      <c r="QLC44" s="87"/>
      <c r="QLD44" s="87"/>
      <c r="QLE44" s="87"/>
      <c r="QLF44" s="87"/>
      <c r="QLG44" s="87"/>
      <c r="QLH44" s="87"/>
      <c r="QLI44" s="87"/>
      <c r="QLJ44" s="87"/>
      <c r="QLK44" s="87"/>
      <c r="QLL44" s="87"/>
      <c r="QLM44" s="87"/>
      <c r="QLN44" s="87"/>
      <c r="QLO44" s="87"/>
      <c r="QLP44" s="87"/>
      <c r="QLQ44" s="87"/>
      <c r="QLR44" s="87"/>
      <c r="QLS44" s="87"/>
      <c r="QLT44" s="87"/>
      <c r="QLU44" s="87"/>
      <c r="QLV44" s="87"/>
      <c r="QLW44" s="87"/>
      <c r="QLX44" s="87"/>
      <c r="QLY44" s="87"/>
      <c r="QLZ44" s="87"/>
      <c r="QMA44" s="87"/>
      <c r="QMB44" s="87"/>
      <c r="QMC44" s="87"/>
      <c r="QMD44" s="87"/>
      <c r="QME44" s="87"/>
      <c r="QMF44" s="87"/>
      <c r="QMG44" s="87"/>
      <c r="QMH44" s="87"/>
      <c r="QMI44" s="87"/>
      <c r="QMJ44" s="87"/>
      <c r="QMK44" s="87"/>
      <c r="QML44" s="87"/>
      <c r="QMM44" s="87"/>
      <c r="QMN44" s="87"/>
      <c r="QMO44" s="87"/>
      <c r="QMP44" s="87"/>
      <c r="QMQ44" s="87"/>
      <c r="QMR44" s="87"/>
      <c r="QMS44" s="87"/>
      <c r="QMT44" s="87"/>
      <c r="QMU44" s="87"/>
      <c r="QMV44" s="87"/>
      <c r="QMW44" s="87"/>
      <c r="QMX44" s="87"/>
      <c r="QMY44" s="87"/>
      <c r="QMZ44" s="87"/>
      <c r="QNA44" s="87"/>
      <c r="QNB44" s="87"/>
      <c r="QNC44" s="87"/>
      <c r="QND44" s="87"/>
      <c r="QNE44" s="87"/>
      <c r="QNF44" s="87"/>
      <c r="QNG44" s="87"/>
      <c r="QNH44" s="87"/>
      <c r="QNI44" s="87"/>
      <c r="QNJ44" s="87"/>
      <c r="QNK44" s="87"/>
      <c r="QNL44" s="87"/>
      <c r="QNM44" s="87"/>
      <c r="QNN44" s="87"/>
      <c r="QNO44" s="87"/>
      <c r="QNP44" s="87"/>
      <c r="QNQ44" s="87"/>
      <c r="QNR44" s="87"/>
      <c r="QNS44" s="87"/>
      <c r="QNT44" s="87"/>
      <c r="QNU44" s="87"/>
      <c r="QNV44" s="87"/>
      <c r="QNW44" s="87"/>
      <c r="QNX44" s="87"/>
      <c r="QNY44" s="87"/>
      <c r="QNZ44" s="87"/>
      <c r="QOA44" s="87"/>
      <c r="QOB44" s="87"/>
      <c r="QOC44" s="87"/>
      <c r="QOD44" s="87"/>
      <c r="QOE44" s="87"/>
      <c r="QOF44" s="87"/>
      <c r="QOG44" s="87"/>
      <c r="QOH44" s="87"/>
      <c r="QOI44" s="87"/>
      <c r="QOJ44" s="87"/>
      <c r="QOK44" s="87"/>
      <c r="QOL44" s="87"/>
      <c r="QOM44" s="87"/>
      <c r="QON44" s="87"/>
      <c r="QOO44" s="87"/>
      <c r="QOP44" s="87"/>
      <c r="QOQ44" s="87"/>
      <c r="QOR44" s="87"/>
      <c r="QOS44" s="87"/>
      <c r="QOT44" s="87"/>
      <c r="QOU44" s="87"/>
      <c r="QOV44" s="87"/>
      <c r="QOW44" s="87"/>
      <c r="QOX44" s="87"/>
      <c r="QOY44" s="87"/>
      <c r="QOZ44" s="87"/>
      <c r="QPA44" s="87"/>
      <c r="QPB44" s="87"/>
      <c r="QPC44" s="87"/>
      <c r="QPD44" s="87"/>
      <c r="QPE44" s="87"/>
      <c r="QPF44" s="87"/>
      <c r="QPG44" s="87"/>
      <c r="QPH44" s="87"/>
      <c r="QPI44" s="87"/>
      <c r="QPJ44" s="87"/>
      <c r="QPK44" s="87"/>
      <c r="QPL44" s="87"/>
      <c r="QPM44" s="87"/>
      <c r="QPN44" s="87"/>
      <c r="QPO44" s="87"/>
      <c r="QPP44" s="87"/>
      <c r="QPQ44" s="87"/>
      <c r="QPR44" s="87"/>
      <c r="QPS44" s="87"/>
      <c r="QPT44" s="87"/>
      <c r="QPU44" s="87"/>
      <c r="QPV44" s="87"/>
      <c r="QPW44" s="87"/>
      <c r="QPX44" s="87"/>
      <c r="QPY44" s="87"/>
      <c r="QPZ44" s="87"/>
      <c r="QQA44" s="87"/>
      <c r="QQB44" s="87"/>
      <c r="QQC44" s="87"/>
      <c r="QQD44" s="87"/>
      <c r="QQE44" s="87"/>
      <c r="QQF44" s="87"/>
      <c r="QQG44" s="87"/>
      <c r="QQH44" s="87"/>
      <c r="QQI44" s="87"/>
      <c r="QQJ44" s="87"/>
      <c r="QQK44" s="87"/>
      <c r="QQL44" s="87"/>
      <c r="QQM44" s="87"/>
      <c r="QQN44" s="87"/>
      <c r="QQO44" s="87"/>
      <c r="QQP44" s="87"/>
      <c r="QQQ44" s="87"/>
      <c r="QQR44" s="87"/>
      <c r="QQS44" s="87"/>
      <c r="QQT44" s="87"/>
      <c r="QQU44" s="87"/>
      <c r="QQV44" s="87"/>
      <c r="QQW44" s="87"/>
      <c r="QQX44" s="87"/>
      <c r="QQY44" s="87"/>
      <c r="QQZ44" s="87"/>
      <c r="QRA44" s="87"/>
      <c r="QRB44" s="87"/>
      <c r="QRC44" s="87"/>
      <c r="QRD44" s="87"/>
      <c r="QRE44" s="87"/>
      <c r="QRF44" s="87"/>
      <c r="QRG44" s="87"/>
      <c r="QRH44" s="87"/>
      <c r="QRI44" s="87"/>
      <c r="QRJ44" s="87"/>
      <c r="QRK44" s="87"/>
      <c r="QRL44" s="87"/>
      <c r="QRM44" s="87"/>
      <c r="QRN44" s="87"/>
      <c r="QRO44" s="87"/>
      <c r="QRP44" s="87"/>
      <c r="QRQ44" s="87"/>
      <c r="QRR44" s="87"/>
      <c r="QRS44" s="87"/>
      <c r="QRT44" s="87"/>
      <c r="QRU44" s="87"/>
      <c r="QRV44" s="87"/>
      <c r="QRW44" s="87"/>
      <c r="QRX44" s="87"/>
      <c r="QRY44" s="87"/>
      <c r="QRZ44" s="87"/>
      <c r="QSA44" s="87"/>
      <c r="QSB44" s="87"/>
      <c r="QSC44" s="87"/>
      <c r="QSD44" s="87"/>
      <c r="QSE44" s="87"/>
      <c r="QSF44" s="87"/>
      <c r="QSG44" s="87"/>
      <c r="QSH44" s="87"/>
      <c r="QSI44" s="87"/>
      <c r="QSJ44" s="87"/>
      <c r="QSK44" s="87"/>
      <c r="QSL44" s="87"/>
      <c r="QSM44" s="87"/>
      <c r="QSN44" s="87"/>
      <c r="QSO44" s="87"/>
      <c r="QSP44" s="87"/>
      <c r="QSQ44" s="87"/>
      <c r="QSR44" s="87"/>
      <c r="QSS44" s="87"/>
      <c r="QST44" s="87"/>
      <c r="QSU44" s="87"/>
      <c r="QSV44" s="87"/>
      <c r="QSW44" s="87"/>
      <c r="QSX44" s="87"/>
      <c r="QSY44" s="87"/>
      <c r="QSZ44" s="87"/>
      <c r="QTA44" s="87"/>
      <c r="QTB44" s="87"/>
      <c r="QTC44" s="87"/>
      <c r="QTD44" s="87"/>
      <c r="QTE44" s="87"/>
      <c r="QTF44" s="87"/>
      <c r="QTG44" s="87"/>
      <c r="QTH44" s="87"/>
      <c r="QTI44" s="87"/>
      <c r="QTJ44" s="87"/>
      <c r="QTK44" s="87"/>
      <c r="QTL44" s="87"/>
      <c r="QTM44" s="87"/>
      <c r="QTN44" s="87"/>
      <c r="QTO44" s="87"/>
      <c r="QTP44" s="87"/>
      <c r="QTQ44" s="87"/>
      <c r="QTR44" s="87"/>
      <c r="QTS44" s="87"/>
      <c r="QTT44" s="87"/>
      <c r="QTU44" s="87"/>
      <c r="QTV44" s="87"/>
      <c r="QTW44" s="87"/>
      <c r="QTX44" s="87"/>
      <c r="QTY44" s="87"/>
      <c r="QTZ44" s="87"/>
      <c r="QUA44" s="87"/>
      <c r="QUB44" s="87"/>
      <c r="QUC44" s="87"/>
      <c r="QUD44" s="87"/>
      <c r="QUE44" s="87"/>
      <c r="QUF44" s="87"/>
      <c r="QUG44" s="87"/>
      <c r="QUH44" s="87"/>
      <c r="QUI44" s="87"/>
      <c r="QUJ44" s="87"/>
      <c r="QUK44" s="87"/>
      <c r="QUL44" s="87"/>
      <c r="QUM44" s="87"/>
      <c r="QUN44" s="87"/>
      <c r="QUO44" s="87"/>
      <c r="QUP44" s="87"/>
      <c r="QUQ44" s="87"/>
      <c r="QUR44" s="87"/>
      <c r="QUS44" s="87"/>
      <c r="QUT44" s="87"/>
      <c r="QUU44" s="87"/>
      <c r="QUV44" s="87"/>
      <c r="QUW44" s="87"/>
      <c r="QUX44" s="87"/>
      <c r="QUY44" s="87"/>
      <c r="QUZ44" s="87"/>
      <c r="QVA44" s="87"/>
      <c r="QVB44" s="87"/>
      <c r="QVC44" s="87"/>
      <c r="QVD44" s="87"/>
      <c r="QVE44" s="87"/>
      <c r="QVF44" s="87"/>
      <c r="QVG44" s="87"/>
      <c r="QVH44" s="87"/>
      <c r="QVI44" s="87"/>
      <c r="QVJ44" s="87"/>
      <c r="QVK44" s="87"/>
      <c r="QVL44" s="87"/>
      <c r="QVM44" s="87"/>
      <c r="QVN44" s="87"/>
      <c r="QVO44" s="87"/>
      <c r="QVP44" s="87"/>
      <c r="QVQ44" s="87"/>
      <c r="QVR44" s="87"/>
      <c r="QVS44" s="87"/>
      <c r="QVT44" s="87"/>
      <c r="QVU44" s="87"/>
      <c r="QVV44" s="87"/>
      <c r="QVW44" s="87"/>
      <c r="QVX44" s="87"/>
      <c r="QVY44" s="87"/>
      <c r="QVZ44" s="87"/>
      <c r="QWA44" s="87"/>
      <c r="QWB44" s="87"/>
      <c r="QWC44" s="87"/>
      <c r="QWD44" s="87"/>
      <c r="QWE44" s="87"/>
      <c r="QWF44" s="87"/>
      <c r="QWG44" s="87"/>
      <c r="QWH44" s="87"/>
      <c r="QWI44" s="87"/>
      <c r="QWJ44" s="87"/>
      <c r="QWK44" s="87"/>
      <c r="QWL44" s="87"/>
      <c r="QWM44" s="87"/>
      <c r="QWN44" s="87"/>
      <c r="QWO44" s="87"/>
      <c r="QWP44" s="87"/>
      <c r="QWQ44" s="87"/>
      <c r="QWR44" s="87"/>
      <c r="QWS44" s="87"/>
      <c r="QWT44" s="87"/>
      <c r="QWU44" s="87"/>
      <c r="QWV44" s="87"/>
      <c r="QWW44" s="87"/>
      <c r="QWX44" s="87"/>
      <c r="QWY44" s="87"/>
      <c r="QWZ44" s="87"/>
      <c r="QXA44" s="87"/>
      <c r="QXB44" s="87"/>
      <c r="QXC44" s="87"/>
      <c r="QXD44" s="87"/>
      <c r="QXE44" s="87"/>
      <c r="QXF44" s="87"/>
      <c r="QXG44" s="87"/>
      <c r="QXH44" s="87"/>
      <c r="QXI44" s="87"/>
      <c r="QXJ44" s="87"/>
      <c r="QXK44" s="87"/>
      <c r="QXL44" s="87"/>
      <c r="QXM44" s="87"/>
      <c r="QXN44" s="87"/>
      <c r="QXO44" s="87"/>
      <c r="QXP44" s="87"/>
      <c r="QXQ44" s="87"/>
      <c r="QXR44" s="87"/>
      <c r="QXS44" s="87"/>
      <c r="QXT44" s="87"/>
      <c r="QXU44" s="87"/>
      <c r="QXV44" s="87"/>
      <c r="QXW44" s="87"/>
      <c r="QXX44" s="87"/>
      <c r="QXY44" s="87"/>
      <c r="QXZ44" s="87"/>
      <c r="QYA44" s="87"/>
      <c r="QYB44" s="87"/>
      <c r="QYC44" s="87"/>
      <c r="QYD44" s="87"/>
      <c r="QYE44" s="87"/>
      <c r="QYF44" s="87"/>
      <c r="QYG44" s="87"/>
      <c r="QYH44" s="87"/>
      <c r="QYI44" s="87"/>
      <c r="QYJ44" s="87"/>
      <c r="QYK44" s="87"/>
      <c r="QYL44" s="87"/>
      <c r="QYM44" s="87"/>
      <c r="QYN44" s="87"/>
      <c r="QYO44" s="87"/>
      <c r="QYP44" s="87"/>
      <c r="QYQ44" s="87"/>
      <c r="QYR44" s="87"/>
      <c r="QYS44" s="87"/>
      <c r="QYT44" s="87"/>
      <c r="QYU44" s="87"/>
      <c r="QYV44" s="87"/>
      <c r="QYW44" s="87"/>
      <c r="QYX44" s="87"/>
      <c r="QYY44" s="87"/>
      <c r="QYZ44" s="87"/>
      <c r="QZA44" s="87"/>
      <c r="QZB44" s="87"/>
      <c r="QZC44" s="87"/>
      <c r="QZD44" s="87"/>
      <c r="QZE44" s="87"/>
      <c r="QZF44" s="87"/>
      <c r="QZG44" s="87"/>
      <c r="QZH44" s="87"/>
      <c r="QZI44" s="87"/>
      <c r="QZJ44" s="87"/>
      <c r="QZK44" s="87"/>
      <c r="QZL44" s="87"/>
      <c r="QZM44" s="87"/>
      <c r="QZN44" s="87"/>
      <c r="QZO44" s="87"/>
      <c r="QZP44" s="87"/>
      <c r="QZQ44" s="87"/>
      <c r="QZR44" s="87"/>
      <c r="QZS44" s="87"/>
      <c r="QZT44" s="87"/>
      <c r="QZU44" s="87"/>
      <c r="QZV44" s="87"/>
      <c r="QZW44" s="87"/>
      <c r="QZX44" s="87"/>
      <c r="QZY44" s="87"/>
      <c r="QZZ44" s="87"/>
      <c r="RAA44" s="87"/>
      <c r="RAB44" s="87"/>
      <c r="RAC44" s="87"/>
      <c r="RAD44" s="87"/>
      <c r="RAE44" s="87"/>
      <c r="RAF44" s="87"/>
      <c r="RAG44" s="87"/>
      <c r="RAH44" s="87"/>
      <c r="RAI44" s="87"/>
      <c r="RAJ44" s="87"/>
      <c r="RAK44" s="87"/>
      <c r="RAL44" s="87"/>
      <c r="RAM44" s="87"/>
      <c r="RAN44" s="87"/>
      <c r="RAO44" s="87"/>
      <c r="RAP44" s="87"/>
      <c r="RAQ44" s="87"/>
      <c r="RAR44" s="87"/>
      <c r="RAS44" s="87"/>
      <c r="RAT44" s="87"/>
      <c r="RAU44" s="87"/>
      <c r="RAV44" s="87"/>
      <c r="RAW44" s="87"/>
      <c r="RAX44" s="87"/>
      <c r="RAY44" s="87"/>
      <c r="RAZ44" s="87"/>
      <c r="RBA44" s="87"/>
      <c r="RBB44" s="87"/>
      <c r="RBC44" s="87"/>
      <c r="RBD44" s="87"/>
      <c r="RBE44" s="87"/>
      <c r="RBF44" s="87"/>
      <c r="RBG44" s="87"/>
      <c r="RBH44" s="87"/>
      <c r="RBI44" s="87"/>
      <c r="RBJ44" s="87"/>
      <c r="RBK44" s="87"/>
      <c r="RBL44" s="87"/>
      <c r="RBM44" s="87"/>
      <c r="RBN44" s="87"/>
      <c r="RBO44" s="87"/>
      <c r="RBP44" s="87"/>
      <c r="RBQ44" s="87"/>
      <c r="RBR44" s="87"/>
      <c r="RBS44" s="87"/>
      <c r="RBT44" s="87"/>
      <c r="RBU44" s="87"/>
      <c r="RBV44" s="87"/>
      <c r="RBW44" s="87"/>
      <c r="RBX44" s="87"/>
      <c r="RBY44" s="87"/>
      <c r="RBZ44" s="87"/>
      <c r="RCA44" s="87"/>
      <c r="RCB44" s="87"/>
      <c r="RCC44" s="87"/>
      <c r="RCD44" s="87"/>
      <c r="RCE44" s="87"/>
      <c r="RCF44" s="87"/>
      <c r="RCG44" s="87"/>
      <c r="RCH44" s="87"/>
      <c r="RCI44" s="87"/>
      <c r="RCJ44" s="87"/>
      <c r="RCK44" s="87"/>
      <c r="RCL44" s="87"/>
      <c r="RCM44" s="87"/>
      <c r="RCN44" s="87"/>
      <c r="RCO44" s="87"/>
      <c r="RCP44" s="87"/>
      <c r="RCQ44" s="87"/>
      <c r="RCR44" s="87"/>
      <c r="RCS44" s="87"/>
      <c r="RCT44" s="87"/>
      <c r="RCU44" s="87"/>
      <c r="RCV44" s="87"/>
      <c r="RCW44" s="87"/>
      <c r="RCX44" s="87"/>
      <c r="RCY44" s="87"/>
      <c r="RCZ44" s="87"/>
      <c r="RDA44" s="87"/>
      <c r="RDB44" s="87"/>
      <c r="RDC44" s="87"/>
      <c r="RDD44" s="87"/>
      <c r="RDE44" s="87"/>
      <c r="RDF44" s="87"/>
      <c r="RDG44" s="87"/>
      <c r="RDH44" s="87"/>
      <c r="RDI44" s="87"/>
      <c r="RDJ44" s="87"/>
      <c r="RDK44" s="87"/>
      <c r="RDL44" s="87"/>
      <c r="RDM44" s="87"/>
      <c r="RDN44" s="87"/>
      <c r="RDO44" s="87"/>
      <c r="RDP44" s="87"/>
      <c r="RDQ44" s="87"/>
      <c r="RDR44" s="87"/>
      <c r="RDS44" s="87"/>
      <c r="RDT44" s="87"/>
      <c r="RDU44" s="87"/>
      <c r="RDV44" s="87"/>
      <c r="RDW44" s="87"/>
      <c r="RDX44" s="87"/>
      <c r="RDY44" s="87"/>
      <c r="RDZ44" s="87"/>
      <c r="REA44" s="87"/>
      <c r="REB44" s="87"/>
      <c r="REC44" s="87"/>
      <c r="RED44" s="87"/>
      <c r="REE44" s="87"/>
      <c r="REF44" s="87"/>
      <c r="REG44" s="87"/>
      <c r="REH44" s="87"/>
      <c r="REI44" s="87"/>
      <c r="REJ44" s="87"/>
      <c r="REK44" s="87"/>
      <c r="REL44" s="87"/>
      <c r="REM44" s="87"/>
      <c r="REN44" s="87"/>
      <c r="REO44" s="87"/>
      <c r="REP44" s="87"/>
      <c r="REQ44" s="87"/>
      <c r="RER44" s="87"/>
      <c r="RES44" s="87"/>
      <c r="RET44" s="87"/>
      <c r="REU44" s="87"/>
      <c r="REV44" s="87"/>
      <c r="REW44" s="87"/>
      <c r="REX44" s="87"/>
      <c r="REY44" s="87"/>
      <c r="REZ44" s="87"/>
      <c r="RFA44" s="87"/>
      <c r="RFB44" s="87"/>
      <c r="RFC44" s="87"/>
      <c r="RFD44" s="87"/>
      <c r="RFE44" s="87"/>
      <c r="RFF44" s="87"/>
      <c r="RFG44" s="87"/>
      <c r="RFH44" s="87"/>
      <c r="RFI44" s="87"/>
      <c r="RFJ44" s="87"/>
      <c r="RFK44" s="87"/>
      <c r="RFL44" s="87"/>
      <c r="RFM44" s="87"/>
      <c r="RFN44" s="87"/>
      <c r="RFO44" s="87"/>
      <c r="RFP44" s="87"/>
      <c r="RFQ44" s="87"/>
      <c r="RFR44" s="87"/>
      <c r="RFS44" s="87"/>
      <c r="RFT44" s="87"/>
      <c r="RFU44" s="87"/>
      <c r="RFV44" s="87"/>
      <c r="RFW44" s="87"/>
      <c r="RFX44" s="87"/>
      <c r="RFY44" s="87"/>
      <c r="RFZ44" s="87"/>
      <c r="RGA44" s="87"/>
      <c r="RGB44" s="87"/>
      <c r="RGC44" s="87"/>
      <c r="RGD44" s="87"/>
      <c r="RGE44" s="87"/>
      <c r="RGF44" s="87"/>
      <c r="RGG44" s="87"/>
      <c r="RGH44" s="87"/>
      <c r="RGI44" s="87"/>
      <c r="RGJ44" s="87"/>
      <c r="RGK44" s="87"/>
      <c r="RGL44" s="87"/>
      <c r="RGM44" s="87"/>
      <c r="RGN44" s="87"/>
      <c r="RGO44" s="87"/>
      <c r="RGP44" s="87"/>
      <c r="RGQ44" s="87"/>
      <c r="RGR44" s="87"/>
      <c r="RGS44" s="87"/>
      <c r="RGT44" s="87"/>
      <c r="RGU44" s="87"/>
      <c r="RGV44" s="87"/>
      <c r="RGW44" s="87"/>
      <c r="RGX44" s="87"/>
      <c r="RGY44" s="87"/>
      <c r="RGZ44" s="87"/>
      <c r="RHA44" s="87"/>
      <c r="RHB44" s="87"/>
      <c r="RHC44" s="87"/>
      <c r="RHD44" s="87"/>
      <c r="RHE44" s="87"/>
      <c r="RHF44" s="87"/>
      <c r="RHG44" s="87"/>
      <c r="RHH44" s="87"/>
      <c r="RHI44" s="87"/>
      <c r="RHJ44" s="87"/>
      <c r="RHK44" s="87"/>
      <c r="RHL44" s="87"/>
      <c r="RHM44" s="87"/>
      <c r="RHN44" s="87"/>
      <c r="RHO44" s="87"/>
      <c r="RHP44" s="87"/>
      <c r="RHQ44" s="87"/>
      <c r="RHR44" s="87"/>
      <c r="RHS44" s="87"/>
      <c r="RHT44" s="87"/>
      <c r="RHU44" s="87"/>
      <c r="RHV44" s="87"/>
      <c r="RHW44" s="87"/>
      <c r="RHX44" s="87"/>
      <c r="RHY44" s="87"/>
      <c r="RHZ44" s="87"/>
      <c r="RIA44" s="87"/>
      <c r="RIB44" s="87"/>
      <c r="RIC44" s="87"/>
      <c r="RID44" s="87"/>
      <c r="RIE44" s="87"/>
      <c r="RIF44" s="87"/>
      <c r="RIG44" s="87"/>
      <c r="RIH44" s="87"/>
      <c r="RII44" s="87"/>
      <c r="RIJ44" s="87"/>
      <c r="RIK44" s="87"/>
      <c r="RIL44" s="87"/>
      <c r="RIM44" s="87"/>
      <c r="RIN44" s="87"/>
      <c r="RIO44" s="87"/>
      <c r="RIP44" s="87"/>
      <c r="RIQ44" s="87"/>
      <c r="RIR44" s="87"/>
      <c r="RIS44" s="87"/>
      <c r="RIT44" s="87"/>
      <c r="RIU44" s="87"/>
      <c r="RIV44" s="87"/>
      <c r="RIW44" s="87"/>
      <c r="RIX44" s="87"/>
      <c r="RIY44" s="87"/>
      <c r="RIZ44" s="87"/>
      <c r="RJA44" s="87"/>
      <c r="RJB44" s="87"/>
      <c r="RJC44" s="87"/>
      <c r="RJD44" s="87"/>
      <c r="RJE44" s="87"/>
      <c r="RJF44" s="87"/>
      <c r="RJG44" s="87"/>
      <c r="RJH44" s="87"/>
      <c r="RJI44" s="87"/>
      <c r="RJJ44" s="87"/>
      <c r="RJK44" s="87"/>
      <c r="RJL44" s="87"/>
      <c r="RJM44" s="87"/>
      <c r="RJN44" s="87"/>
      <c r="RJO44" s="87"/>
      <c r="RJP44" s="87"/>
      <c r="RJQ44" s="87"/>
      <c r="RJR44" s="87"/>
      <c r="RJS44" s="87"/>
      <c r="RJT44" s="87"/>
      <c r="RJU44" s="87"/>
      <c r="RJV44" s="87"/>
      <c r="RJW44" s="87"/>
      <c r="RJX44" s="87"/>
      <c r="RJY44" s="87"/>
      <c r="RJZ44" s="87"/>
      <c r="RKA44" s="87"/>
      <c r="RKB44" s="87"/>
      <c r="RKC44" s="87"/>
      <c r="RKD44" s="87"/>
      <c r="RKE44" s="87"/>
      <c r="RKF44" s="87"/>
      <c r="RKG44" s="87"/>
      <c r="RKH44" s="87"/>
      <c r="RKI44" s="87"/>
      <c r="RKJ44" s="87"/>
      <c r="RKK44" s="87"/>
      <c r="RKL44" s="87"/>
      <c r="RKM44" s="87"/>
      <c r="RKN44" s="87"/>
      <c r="RKO44" s="87"/>
      <c r="RKP44" s="87"/>
      <c r="RKQ44" s="87"/>
      <c r="RKR44" s="87"/>
      <c r="RKS44" s="87"/>
      <c r="RKT44" s="87"/>
      <c r="RKU44" s="87"/>
      <c r="RKV44" s="87"/>
      <c r="RKW44" s="87"/>
      <c r="RKX44" s="87"/>
      <c r="RKY44" s="87"/>
      <c r="RKZ44" s="87"/>
      <c r="RLA44" s="87"/>
      <c r="RLB44" s="87"/>
      <c r="RLC44" s="87"/>
      <c r="RLD44" s="87"/>
      <c r="RLE44" s="87"/>
      <c r="RLF44" s="87"/>
      <c r="RLG44" s="87"/>
      <c r="RLH44" s="87"/>
      <c r="RLI44" s="87"/>
      <c r="RLJ44" s="87"/>
      <c r="RLK44" s="87"/>
      <c r="RLL44" s="87"/>
      <c r="RLM44" s="87"/>
      <c r="RLN44" s="87"/>
      <c r="RLO44" s="87"/>
      <c r="RLP44" s="87"/>
      <c r="RLQ44" s="87"/>
      <c r="RLR44" s="87"/>
      <c r="RLS44" s="87"/>
      <c r="RLT44" s="87"/>
      <c r="RLU44" s="87"/>
      <c r="RLV44" s="87"/>
      <c r="RLW44" s="87"/>
      <c r="RLX44" s="87"/>
      <c r="RLY44" s="87"/>
      <c r="RLZ44" s="87"/>
      <c r="RMA44" s="87"/>
      <c r="RMB44" s="87"/>
      <c r="RMC44" s="87"/>
      <c r="RMD44" s="87"/>
      <c r="RME44" s="87"/>
      <c r="RMF44" s="87"/>
      <c r="RMG44" s="87"/>
      <c r="RMH44" s="87"/>
      <c r="RMI44" s="87"/>
      <c r="RMJ44" s="87"/>
      <c r="RMK44" s="87"/>
      <c r="RML44" s="87"/>
      <c r="RMM44" s="87"/>
      <c r="RMN44" s="87"/>
      <c r="RMO44" s="87"/>
      <c r="RMP44" s="87"/>
      <c r="RMQ44" s="87"/>
      <c r="RMR44" s="87"/>
      <c r="RMS44" s="87"/>
      <c r="RMT44" s="87"/>
      <c r="RMU44" s="87"/>
      <c r="RMV44" s="87"/>
      <c r="RMW44" s="87"/>
      <c r="RMX44" s="87"/>
      <c r="RMY44" s="87"/>
      <c r="RMZ44" s="87"/>
      <c r="RNA44" s="87"/>
      <c r="RNB44" s="87"/>
      <c r="RNC44" s="87"/>
      <c r="RND44" s="87"/>
      <c r="RNE44" s="87"/>
      <c r="RNF44" s="87"/>
      <c r="RNG44" s="87"/>
      <c r="RNH44" s="87"/>
      <c r="RNI44" s="87"/>
      <c r="RNJ44" s="87"/>
      <c r="RNK44" s="87"/>
      <c r="RNL44" s="87"/>
      <c r="RNM44" s="87"/>
      <c r="RNN44" s="87"/>
      <c r="RNO44" s="87"/>
      <c r="RNP44" s="87"/>
      <c r="RNQ44" s="87"/>
      <c r="RNR44" s="87"/>
      <c r="RNS44" s="87"/>
      <c r="RNT44" s="87"/>
      <c r="RNU44" s="87"/>
      <c r="RNV44" s="87"/>
      <c r="RNW44" s="87"/>
      <c r="RNX44" s="87"/>
      <c r="RNY44" s="87"/>
      <c r="RNZ44" s="87"/>
      <c r="ROA44" s="87"/>
      <c r="ROB44" s="87"/>
      <c r="ROC44" s="87"/>
      <c r="ROD44" s="87"/>
      <c r="ROE44" s="87"/>
      <c r="ROF44" s="87"/>
      <c r="ROG44" s="87"/>
      <c r="ROH44" s="87"/>
      <c r="ROI44" s="87"/>
      <c r="ROJ44" s="87"/>
      <c r="ROK44" s="87"/>
      <c r="ROL44" s="87"/>
      <c r="ROM44" s="87"/>
      <c r="RON44" s="87"/>
      <c r="ROO44" s="87"/>
      <c r="ROP44" s="87"/>
      <c r="ROQ44" s="87"/>
      <c r="ROR44" s="87"/>
      <c r="ROS44" s="87"/>
      <c r="ROT44" s="87"/>
      <c r="ROU44" s="87"/>
      <c r="ROV44" s="87"/>
      <c r="ROW44" s="87"/>
      <c r="ROX44" s="87"/>
      <c r="ROY44" s="87"/>
      <c r="ROZ44" s="87"/>
      <c r="RPA44" s="87"/>
      <c r="RPB44" s="87"/>
      <c r="RPC44" s="87"/>
      <c r="RPD44" s="87"/>
      <c r="RPE44" s="87"/>
      <c r="RPF44" s="87"/>
      <c r="RPG44" s="87"/>
      <c r="RPH44" s="87"/>
      <c r="RPI44" s="87"/>
      <c r="RPJ44" s="87"/>
      <c r="RPK44" s="87"/>
      <c r="RPL44" s="87"/>
      <c r="RPM44" s="87"/>
      <c r="RPN44" s="87"/>
      <c r="RPO44" s="87"/>
      <c r="RPP44" s="87"/>
      <c r="RPQ44" s="87"/>
      <c r="RPR44" s="87"/>
      <c r="RPS44" s="87"/>
      <c r="RPT44" s="87"/>
      <c r="RPU44" s="87"/>
      <c r="RPV44" s="87"/>
      <c r="RPW44" s="87"/>
      <c r="RPX44" s="87"/>
      <c r="RPY44" s="87"/>
      <c r="RPZ44" s="87"/>
      <c r="RQA44" s="87"/>
      <c r="RQB44" s="87"/>
      <c r="RQC44" s="87"/>
      <c r="RQD44" s="87"/>
      <c r="RQE44" s="87"/>
      <c r="RQF44" s="87"/>
      <c r="RQG44" s="87"/>
      <c r="RQH44" s="87"/>
      <c r="RQI44" s="87"/>
      <c r="RQJ44" s="87"/>
      <c r="RQK44" s="87"/>
      <c r="RQL44" s="87"/>
      <c r="RQM44" s="87"/>
      <c r="RQN44" s="87"/>
      <c r="RQO44" s="87"/>
      <c r="RQP44" s="87"/>
      <c r="RQQ44" s="87"/>
      <c r="RQR44" s="87"/>
      <c r="RQS44" s="87"/>
      <c r="RQT44" s="87"/>
      <c r="RQU44" s="87"/>
      <c r="RQV44" s="87"/>
      <c r="RQW44" s="87"/>
      <c r="RQX44" s="87"/>
      <c r="RQY44" s="87"/>
      <c r="RQZ44" s="87"/>
      <c r="RRA44" s="87"/>
      <c r="RRB44" s="87"/>
      <c r="RRC44" s="87"/>
      <c r="RRD44" s="87"/>
      <c r="RRE44" s="87"/>
      <c r="RRF44" s="87"/>
      <c r="RRG44" s="87"/>
      <c r="RRH44" s="87"/>
      <c r="RRI44" s="87"/>
      <c r="RRJ44" s="87"/>
      <c r="RRK44" s="87"/>
      <c r="RRL44" s="87"/>
      <c r="RRM44" s="87"/>
      <c r="RRN44" s="87"/>
      <c r="RRO44" s="87"/>
      <c r="RRP44" s="87"/>
      <c r="RRQ44" s="87"/>
      <c r="RRR44" s="87"/>
      <c r="RRS44" s="87"/>
      <c r="RRT44" s="87"/>
      <c r="RRU44" s="87"/>
      <c r="RRV44" s="87"/>
      <c r="RRW44" s="87"/>
      <c r="RRX44" s="87"/>
      <c r="RRY44" s="87"/>
      <c r="RRZ44" s="87"/>
      <c r="RSA44" s="87"/>
      <c r="RSB44" s="87"/>
      <c r="RSC44" s="87"/>
      <c r="RSD44" s="87"/>
      <c r="RSE44" s="87"/>
      <c r="RSF44" s="87"/>
      <c r="RSG44" s="87"/>
      <c r="RSH44" s="87"/>
      <c r="RSI44" s="87"/>
      <c r="RSJ44" s="87"/>
      <c r="RSK44" s="87"/>
      <c r="RSL44" s="87"/>
      <c r="RSM44" s="87"/>
      <c r="RSN44" s="87"/>
      <c r="RSO44" s="87"/>
      <c r="RSP44" s="87"/>
      <c r="RSQ44" s="87"/>
      <c r="RSR44" s="87"/>
      <c r="RSS44" s="87"/>
      <c r="RST44" s="87"/>
      <c r="RSU44" s="87"/>
      <c r="RSV44" s="87"/>
      <c r="RSW44" s="87"/>
      <c r="RSX44" s="87"/>
      <c r="RSY44" s="87"/>
      <c r="RSZ44" s="87"/>
      <c r="RTA44" s="87"/>
      <c r="RTB44" s="87"/>
      <c r="RTC44" s="87"/>
      <c r="RTD44" s="87"/>
      <c r="RTE44" s="87"/>
      <c r="RTF44" s="87"/>
      <c r="RTG44" s="87"/>
      <c r="RTH44" s="87"/>
      <c r="RTI44" s="87"/>
      <c r="RTJ44" s="87"/>
      <c r="RTK44" s="87"/>
      <c r="RTL44" s="87"/>
      <c r="RTM44" s="87"/>
      <c r="RTN44" s="87"/>
      <c r="RTO44" s="87"/>
      <c r="RTP44" s="87"/>
      <c r="RTQ44" s="87"/>
      <c r="RTR44" s="87"/>
      <c r="RTS44" s="87"/>
      <c r="RTT44" s="87"/>
      <c r="RTU44" s="87"/>
      <c r="RTV44" s="87"/>
      <c r="RTW44" s="87"/>
      <c r="RTX44" s="87"/>
      <c r="RTY44" s="87"/>
      <c r="RTZ44" s="87"/>
      <c r="RUA44" s="87"/>
      <c r="RUB44" s="87"/>
      <c r="RUC44" s="87"/>
      <c r="RUD44" s="87"/>
      <c r="RUE44" s="87"/>
      <c r="RUF44" s="87"/>
      <c r="RUG44" s="87"/>
      <c r="RUH44" s="87"/>
      <c r="RUI44" s="87"/>
      <c r="RUJ44" s="87"/>
      <c r="RUK44" s="87"/>
      <c r="RUL44" s="87"/>
      <c r="RUM44" s="87"/>
      <c r="RUN44" s="87"/>
      <c r="RUO44" s="87"/>
      <c r="RUP44" s="87"/>
      <c r="RUQ44" s="87"/>
      <c r="RUR44" s="87"/>
      <c r="RUS44" s="87"/>
      <c r="RUT44" s="87"/>
      <c r="RUU44" s="87"/>
      <c r="RUV44" s="87"/>
      <c r="RUW44" s="87"/>
      <c r="RUX44" s="87"/>
      <c r="RUY44" s="87"/>
      <c r="RUZ44" s="87"/>
      <c r="RVA44" s="87"/>
      <c r="RVB44" s="87"/>
      <c r="RVC44" s="87"/>
      <c r="RVD44" s="87"/>
      <c r="RVE44" s="87"/>
      <c r="RVF44" s="87"/>
      <c r="RVG44" s="87"/>
      <c r="RVH44" s="87"/>
      <c r="RVI44" s="87"/>
      <c r="RVJ44" s="87"/>
      <c r="RVK44" s="87"/>
      <c r="RVL44" s="87"/>
      <c r="RVM44" s="87"/>
      <c r="RVN44" s="87"/>
      <c r="RVO44" s="87"/>
      <c r="RVP44" s="87"/>
      <c r="RVQ44" s="87"/>
      <c r="RVR44" s="87"/>
      <c r="RVS44" s="87"/>
      <c r="RVT44" s="87"/>
      <c r="RVU44" s="87"/>
      <c r="RVV44" s="87"/>
      <c r="RVW44" s="87"/>
      <c r="RVX44" s="87"/>
      <c r="RVY44" s="87"/>
      <c r="RVZ44" s="87"/>
      <c r="RWA44" s="87"/>
      <c r="RWB44" s="87"/>
      <c r="RWC44" s="87"/>
      <c r="RWD44" s="87"/>
      <c r="RWE44" s="87"/>
      <c r="RWF44" s="87"/>
      <c r="RWG44" s="87"/>
      <c r="RWH44" s="87"/>
      <c r="RWI44" s="87"/>
      <c r="RWJ44" s="87"/>
      <c r="RWK44" s="87"/>
      <c r="RWL44" s="87"/>
      <c r="RWM44" s="87"/>
      <c r="RWN44" s="87"/>
      <c r="RWO44" s="87"/>
      <c r="RWP44" s="87"/>
      <c r="RWQ44" s="87"/>
      <c r="RWR44" s="87"/>
      <c r="RWS44" s="87"/>
      <c r="RWT44" s="87"/>
      <c r="RWU44" s="87"/>
      <c r="RWV44" s="87"/>
      <c r="RWW44" s="87"/>
      <c r="RWX44" s="87"/>
      <c r="RWY44" s="87"/>
      <c r="RWZ44" s="87"/>
      <c r="RXA44" s="87"/>
      <c r="RXB44" s="87"/>
      <c r="RXC44" s="87"/>
      <c r="RXD44" s="87"/>
      <c r="RXE44" s="87"/>
      <c r="RXF44" s="87"/>
      <c r="RXG44" s="87"/>
      <c r="RXH44" s="87"/>
      <c r="RXI44" s="87"/>
      <c r="RXJ44" s="87"/>
      <c r="RXK44" s="87"/>
      <c r="RXL44" s="87"/>
      <c r="RXM44" s="87"/>
      <c r="RXN44" s="87"/>
      <c r="RXO44" s="87"/>
      <c r="RXP44" s="87"/>
      <c r="RXQ44" s="87"/>
      <c r="RXR44" s="87"/>
      <c r="RXS44" s="87"/>
      <c r="RXT44" s="87"/>
      <c r="RXU44" s="87"/>
      <c r="RXV44" s="87"/>
      <c r="RXW44" s="87"/>
      <c r="RXX44" s="87"/>
      <c r="RXY44" s="87"/>
      <c r="RXZ44" s="87"/>
      <c r="RYA44" s="87"/>
      <c r="RYB44" s="87"/>
      <c r="RYC44" s="87"/>
      <c r="RYD44" s="87"/>
      <c r="RYE44" s="87"/>
      <c r="RYF44" s="87"/>
      <c r="RYG44" s="87"/>
      <c r="RYH44" s="87"/>
      <c r="RYI44" s="87"/>
      <c r="RYJ44" s="87"/>
      <c r="RYK44" s="87"/>
      <c r="RYL44" s="87"/>
      <c r="RYM44" s="87"/>
      <c r="RYN44" s="87"/>
      <c r="RYO44" s="87"/>
      <c r="RYP44" s="87"/>
      <c r="RYQ44" s="87"/>
      <c r="RYR44" s="87"/>
      <c r="RYS44" s="87"/>
      <c r="RYT44" s="87"/>
      <c r="RYU44" s="87"/>
      <c r="RYV44" s="87"/>
      <c r="RYW44" s="87"/>
      <c r="RYX44" s="87"/>
      <c r="RYY44" s="87"/>
      <c r="RYZ44" s="87"/>
      <c r="RZA44" s="87"/>
      <c r="RZB44" s="87"/>
      <c r="RZC44" s="87"/>
      <c r="RZD44" s="87"/>
      <c r="RZE44" s="87"/>
      <c r="RZF44" s="87"/>
      <c r="RZG44" s="87"/>
      <c r="RZH44" s="87"/>
      <c r="RZI44" s="87"/>
      <c r="RZJ44" s="87"/>
      <c r="RZK44" s="87"/>
      <c r="RZL44" s="87"/>
      <c r="RZM44" s="87"/>
      <c r="RZN44" s="87"/>
      <c r="RZO44" s="87"/>
      <c r="RZP44" s="87"/>
      <c r="RZQ44" s="87"/>
      <c r="RZR44" s="87"/>
      <c r="RZS44" s="87"/>
      <c r="RZT44" s="87"/>
      <c r="RZU44" s="87"/>
      <c r="RZV44" s="87"/>
      <c r="RZW44" s="87"/>
      <c r="RZX44" s="87"/>
      <c r="RZY44" s="87"/>
      <c r="RZZ44" s="87"/>
      <c r="SAA44" s="87"/>
      <c r="SAB44" s="87"/>
      <c r="SAC44" s="87"/>
      <c r="SAD44" s="87"/>
      <c r="SAE44" s="87"/>
      <c r="SAF44" s="87"/>
      <c r="SAG44" s="87"/>
      <c r="SAH44" s="87"/>
      <c r="SAI44" s="87"/>
      <c r="SAJ44" s="87"/>
      <c r="SAK44" s="87"/>
      <c r="SAL44" s="87"/>
      <c r="SAM44" s="87"/>
      <c r="SAN44" s="87"/>
      <c r="SAO44" s="87"/>
      <c r="SAP44" s="87"/>
      <c r="SAQ44" s="87"/>
      <c r="SAR44" s="87"/>
      <c r="SAS44" s="87"/>
      <c r="SAT44" s="87"/>
      <c r="SAU44" s="87"/>
      <c r="SAV44" s="87"/>
      <c r="SAW44" s="87"/>
      <c r="SAX44" s="87"/>
      <c r="SAY44" s="87"/>
      <c r="SAZ44" s="87"/>
      <c r="SBA44" s="87"/>
      <c r="SBB44" s="87"/>
      <c r="SBC44" s="87"/>
      <c r="SBD44" s="87"/>
      <c r="SBE44" s="87"/>
      <c r="SBF44" s="87"/>
      <c r="SBG44" s="87"/>
      <c r="SBH44" s="87"/>
      <c r="SBI44" s="87"/>
      <c r="SBJ44" s="87"/>
      <c r="SBK44" s="87"/>
      <c r="SBL44" s="87"/>
      <c r="SBM44" s="87"/>
      <c r="SBN44" s="87"/>
      <c r="SBO44" s="87"/>
      <c r="SBP44" s="87"/>
      <c r="SBQ44" s="87"/>
      <c r="SBR44" s="87"/>
      <c r="SBS44" s="87"/>
      <c r="SBT44" s="87"/>
      <c r="SBU44" s="87"/>
      <c r="SBV44" s="87"/>
      <c r="SBW44" s="87"/>
      <c r="SBX44" s="87"/>
      <c r="SBY44" s="87"/>
      <c r="SBZ44" s="87"/>
      <c r="SCA44" s="87"/>
      <c r="SCB44" s="87"/>
      <c r="SCC44" s="87"/>
      <c r="SCD44" s="87"/>
      <c r="SCE44" s="87"/>
      <c r="SCF44" s="87"/>
      <c r="SCG44" s="87"/>
      <c r="SCH44" s="87"/>
      <c r="SCI44" s="87"/>
      <c r="SCJ44" s="87"/>
      <c r="SCK44" s="87"/>
      <c r="SCL44" s="87"/>
      <c r="SCM44" s="87"/>
      <c r="SCN44" s="87"/>
      <c r="SCO44" s="87"/>
      <c r="SCP44" s="87"/>
      <c r="SCQ44" s="87"/>
      <c r="SCR44" s="87"/>
      <c r="SCS44" s="87"/>
      <c r="SCT44" s="87"/>
      <c r="SCU44" s="87"/>
      <c r="SCV44" s="87"/>
      <c r="SCW44" s="87"/>
      <c r="SCX44" s="87"/>
      <c r="SCY44" s="87"/>
      <c r="SCZ44" s="87"/>
      <c r="SDA44" s="87"/>
      <c r="SDB44" s="87"/>
      <c r="SDC44" s="87"/>
      <c r="SDD44" s="87"/>
      <c r="SDE44" s="87"/>
      <c r="SDF44" s="87"/>
      <c r="SDG44" s="87"/>
      <c r="SDH44" s="87"/>
      <c r="SDI44" s="87"/>
      <c r="SDJ44" s="87"/>
      <c r="SDK44" s="87"/>
      <c r="SDL44" s="87"/>
      <c r="SDM44" s="87"/>
      <c r="SDN44" s="87"/>
      <c r="SDO44" s="87"/>
      <c r="SDP44" s="87"/>
      <c r="SDQ44" s="87"/>
      <c r="SDR44" s="87"/>
      <c r="SDS44" s="87"/>
      <c r="SDT44" s="87"/>
      <c r="SDU44" s="87"/>
      <c r="SDV44" s="87"/>
      <c r="SDW44" s="87"/>
      <c r="SDX44" s="87"/>
      <c r="SDY44" s="87"/>
      <c r="SDZ44" s="87"/>
      <c r="SEA44" s="87"/>
      <c r="SEB44" s="87"/>
      <c r="SEC44" s="87"/>
      <c r="SED44" s="87"/>
      <c r="SEE44" s="87"/>
      <c r="SEF44" s="87"/>
      <c r="SEG44" s="87"/>
      <c r="SEH44" s="87"/>
      <c r="SEI44" s="87"/>
      <c r="SEJ44" s="87"/>
      <c r="SEK44" s="87"/>
      <c r="SEL44" s="87"/>
      <c r="SEM44" s="87"/>
      <c r="SEN44" s="87"/>
      <c r="SEO44" s="87"/>
      <c r="SEP44" s="87"/>
      <c r="SEQ44" s="87"/>
      <c r="SER44" s="87"/>
      <c r="SES44" s="87"/>
      <c r="SET44" s="87"/>
      <c r="SEU44" s="87"/>
      <c r="SEV44" s="87"/>
      <c r="SEW44" s="87"/>
      <c r="SEX44" s="87"/>
      <c r="SEY44" s="87"/>
      <c r="SEZ44" s="87"/>
      <c r="SFA44" s="87"/>
      <c r="SFB44" s="87"/>
      <c r="SFC44" s="87"/>
      <c r="SFD44" s="87"/>
      <c r="SFE44" s="87"/>
      <c r="SFF44" s="87"/>
      <c r="SFG44" s="87"/>
      <c r="SFH44" s="87"/>
      <c r="SFI44" s="87"/>
      <c r="SFJ44" s="87"/>
      <c r="SFK44" s="87"/>
      <c r="SFL44" s="87"/>
      <c r="SFM44" s="87"/>
      <c r="SFN44" s="87"/>
      <c r="SFO44" s="87"/>
      <c r="SFP44" s="87"/>
      <c r="SFQ44" s="87"/>
      <c r="SFR44" s="87"/>
      <c r="SFS44" s="87"/>
      <c r="SFT44" s="87"/>
      <c r="SFU44" s="87"/>
      <c r="SFV44" s="87"/>
      <c r="SFW44" s="87"/>
      <c r="SFX44" s="87"/>
      <c r="SFY44" s="87"/>
      <c r="SFZ44" s="87"/>
      <c r="SGA44" s="87"/>
      <c r="SGB44" s="87"/>
      <c r="SGC44" s="87"/>
      <c r="SGD44" s="87"/>
      <c r="SGE44" s="87"/>
      <c r="SGF44" s="87"/>
      <c r="SGG44" s="87"/>
      <c r="SGH44" s="87"/>
      <c r="SGI44" s="87"/>
      <c r="SGJ44" s="87"/>
      <c r="SGK44" s="87"/>
      <c r="SGL44" s="87"/>
      <c r="SGM44" s="87"/>
      <c r="SGN44" s="87"/>
      <c r="SGO44" s="87"/>
      <c r="SGP44" s="87"/>
      <c r="SGQ44" s="87"/>
      <c r="SGR44" s="87"/>
      <c r="SGS44" s="87"/>
      <c r="SGT44" s="87"/>
      <c r="SGU44" s="87"/>
      <c r="SGV44" s="87"/>
      <c r="SGW44" s="87"/>
      <c r="SGX44" s="87"/>
      <c r="SGY44" s="87"/>
      <c r="SGZ44" s="87"/>
      <c r="SHA44" s="87"/>
      <c r="SHB44" s="87"/>
      <c r="SHC44" s="87"/>
      <c r="SHD44" s="87"/>
      <c r="SHE44" s="87"/>
      <c r="SHF44" s="87"/>
      <c r="SHG44" s="87"/>
      <c r="SHH44" s="87"/>
      <c r="SHI44" s="87"/>
      <c r="SHJ44" s="87"/>
      <c r="SHK44" s="87"/>
      <c r="SHL44" s="87"/>
      <c r="SHM44" s="87"/>
      <c r="SHN44" s="87"/>
      <c r="SHO44" s="87"/>
      <c r="SHP44" s="87"/>
      <c r="SHQ44" s="87"/>
      <c r="SHR44" s="87"/>
      <c r="SHS44" s="87"/>
      <c r="SHT44" s="87"/>
      <c r="SHU44" s="87"/>
      <c r="SHV44" s="87"/>
      <c r="SHW44" s="87"/>
      <c r="SHX44" s="87"/>
      <c r="SHY44" s="87"/>
      <c r="SHZ44" s="87"/>
      <c r="SIA44" s="87"/>
      <c r="SIB44" s="87"/>
      <c r="SIC44" s="87"/>
      <c r="SID44" s="87"/>
      <c r="SIE44" s="87"/>
      <c r="SIF44" s="87"/>
      <c r="SIG44" s="87"/>
      <c r="SIH44" s="87"/>
      <c r="SII44" s="87"/>
      <c r="SIJ44" s="87"/>
      <c r="SIK44" s="87"/>
      <c r="SIL44" s="87"/>
      <c r="SIM44" s="87"/>
      <c r="SIN44" s="87"/>
      <c r="SIO44" s="87"/>
      <c r="SIP44" s="87"/>
      <c r="SIQ44" s="87"/>
      <c r="SIR44" s="87"/>
      <c r="SIS44" s="87"/>
      <c r="SIT44" s="87"/>
      <c r="SIU44" s="87"/>
      <c r="SIV44" s="87"/>
      <c r="SIW44" s="87"/>
      <c r="SIX44" s="87"/>
      <c r="SIY44" s="87"/>
      <c r="SIZ44" s="87"/>
      <c r="SJA44" s="87"/>
      <c r="SJB44" s="87"/>
      <c r="SJC44" s="87"/>
      <c r="SJD44" s="87"/>
      <c r="SJE44" s="87"/>
      <c r="SJF44" s="87"/>
      <c r="SJG44" s="87"/>
      <c r="SJH44" s="87"/>
      <c r="SJI44" s="87"/>
      <c r="SJJ44" s="87"/>
      <c r="SJK44" s="87"/>
      <c r="SJL44" s="87"/>
      <c r="SJM44" s="87"/>
      <c r="SJN44" s="87"/>
      <c r="SJO44" s="87"/>
      <c r="SJP44" s="87"/>
      <c r="SJQ44" s="87"/>
      <c r="SJR44" s="87"/>
      <c r="SJS44" s="87"/>
      <c r="SJT44" s="87"/>
      <c r="SJU44" s="87"/>
      <c r="SJV44" s="87"/>
      <c r="SJW44" s="87"/>
      <c r="SJX44" s="87"/>
      <c r="SJY44" s="87"/>
      <c r="SJZ44" s="87"/>
      <c r="SKA44" s="87"/>
      <c r="SKB44" s="87"/>
      <c r="SKC44" s="87"/>
      <c r="SKD44" s="87"/>
      <c r="SKE44" s="87"/>
      <c r="SKF44" s="87"/>
      <c r="SKG44" s="87"/>
      <c r="SKH44" s="87"/>
      <c r="SKI44" s="87"/>
      <c r="SKJ44" s="87"/>
      <c r="SKK44" s="87"/>
      <c r="SKL44" s="87"/>
      <c r="SKM44" s="87"/>
      <c r="SKN44" s="87"/>
      <c r="SKO44" s="87"/>
      <c r="SKP44" s="87"/>
      <c r="SKQ44" s="87"/>
      <c r="SKR44" s="87"/>
      <c r="SKS44" s="87"/>
      <c r="SKT44" s="87"/>
      <c r="SKU44" s="87"/>
      <c r="SKV44" s="87"/>
      <c r="SKW44" s="87"/>
      <c r="SKX44" s="87"/>
      <c r="SKY44" s="87"/>
      <c r="SKZ44" s="87"/>
      <c r="SLA44" s="87"/>
      <c r="SLB44" s="87"/>
      <c r="SLC44" s="87"/>
      <c r="SLD44" s="87"/>
      <c r="SLE44" s="87"/>
      <c r="SLF44" s="87"/>
      <c r="SLG44" s="87"/>
      <c r="SLH44" s="87"/>
      <c r="SLI44" s="87"/>
      <c r="SLJ44" s="87"/>
      <c r="SLK44" s="87"/>
      <c r="SLL44" s="87"/>
      <c r="SLM44" s="87"/>
      <c r="SLN44" s="87"/>
      <c r="SLO44" s="87"/>
      <c r="SLP44" s="87"/>
      <c r="SLQ44" s="87"/>
      <c r="SLR44" s="87"/>
      <c r="SLS44" s="87"/>
      <c r="SLT44" s="87"/>
      <c r="SLU44" s="87"/>
      <c r="SLV44" s="87"/>
      <c r="SLW44" s="87"/>
      <c r="SLX44" s="87"/>
      <c r="SLY44" s="87"/>
      <c r="SLZ44" s="87"/>
      <c r="SMA44" s="87"/>
      <c r="SMB44" s="87"/>
      <c r="SMC44" s="87"/>
      <c r="SMD44" s="87"/>
      <c r="SME44" s="87"/>
      <c r="SMF44" s="87"/>
      <c r="SMG44" s="87"/>
      <c r="SMH44" s="87"/>
      <c r="SMI44" s="87"/>
      <c r="SMJ44" s="87"/>
      <c r="SMK44" s="87"/>
      <c r="SML44" s="87"/>
      <c r="SMM44" s="87"/>
      <c r="SMN44" s="87"/>
      <c r="SMO44" s="87"/>
      <c r="SMP44" s="87"/>
      <c r="SMQ44" s="87"/>
      <c r="SMR44" s="87"/>
      <c r="SMS44" s="87"/>
      <c r="SMT44" s="87"/>
      <c r="SMU44" s="87"/>
      <c r="SMV44" s="87"/>
      <c r="SMW44" s="87"/>
      <c r="SMX44" s="87"/>
      <c r="SMY44" s="87"/>
      <c r="SMZ44" s="87"/>
      <c r="SNA44" s="87"/>
      <c r="SNB44" s="87"/>
      <c r="SNC44" s="87"/>
      <c r="SND44" s="87"/>
      <c r="SNE44" s="87"/>
      <c r="SNF44" s="87"/>
      <c r="SNG44" s="87"/>
      <c r="SNH44" s="87"/>
      <c r="SNI44" s="87"/>
      <c r="SNJ44" s="87"/>
      <c r="SNK44" s="87"/>
      <c r="SNL44" s="87"/>
      <c r="SNM44" s="87"/>
      <c r="SNN44" s="87"/>
      <c r="SNO44" s="87"/>
      <c r="SNP44" s="87"/>
      <c r="SNQ44" s="87"/>
      <c r="SNR44" s="87"/>
      <c r="SNS44" s="87"/>
      <c r="SNT44" s="87"/>
      <c r="SNU44" s="87"/>
      <c r="SNV44" s="87"/>
      <c r="SNW44" s="87"/>
      <c r="SNX44" s="87"/>
      <c r="SNY44" s="87"/>
      <c r="SNZ44" s="87"/>
      <c r="SOA44" s="87"/>
      <c r="SOB44" s="87"/>
      <c r="SOC44" s="87"/>
      <c r="SOD44" s="87"/>
      <c r="SOE44" s="87"/>
      <c r="SOF44" s="87"/>
      <c r="SOG44" s="87"/>
      <c r="SOH44" s="87"/>
      <c r="SOI44" s="87"/>
      <c r="SOJ44" s="87"/>
      <c r="SOK44" s="87"/>
      <c r="SOL44" s="87"/>
      <c r="SOM44" s="87"/>
      <c r="SON44" s="87"/>
      <c r="SOO44" s="87"/>
      <c r="SOP44" s="87"/>
      <c r="SOQ44" s="87"/>
      <c r="SOR44" s="87"/>
      <c r="SOS44" s="87"/>
      <c r="SOT44" s="87"/>
      <c r="SOU44" s="87"/>
      <c r="SOV44" s="87"/>
      <c r="SOW44" s="87"/>
      <c r="SOX44" s="87"/>
      <c r="SOY44" s="87"/>
      <c r="SOZ44" s="87"/>
      <c r="SPA44" s="87"/>
      <c r="SPB44" s="87"/>
      <c r="SPC44" s="87"/>
      <c r="SPD44" s="87"/>
      <c r="SPE44" s="87"/>
      <c r="SPF44" s="87"/>
      <c r="SPG44" s="87"/>
      <c r="SPH44" s="87"/>
      <c r="SPI44" s="87"/>
      <c r="SPJ44" s="87"/>
      <c r="SPK44" s="87"/>
      <c r="SPL44" s="87"/>
      <c r="SPM44" s="87"/>
      <c r="SPN44" s="87"/>
      <c r="SPO44" s="87"/>
      <c r="SPP44" s="87"/>
      <c r="SPQ44" s="87"/>
      <c r="SPR44" s="87"/>
      <c r="SPS44" s="87"/>
      <c r="SPT44" s="87"/>
      <c r="SPU44" s="87"/>
      <c r="SPV44" s="87"/>
      <c r="SPW44" s="87"/>
      <c r="SPX44" s="87"/>
      <c r="SPY44" s="87"/>
      <c r="SPZ44" s="87"/>
      <c r="SQA44" s="87"/>
      <c r="SQB44" s="87"/>
      <c r="SQC44" s="87"/>
      <c r="SQD44" s="87"/>
      <c r="SQE44" s="87"/>
      <c r="SQF44" s="87"/>
      <c r="SQG44" s="87"/>
      <c r="SQH44" s="87"/>
      <c r="SQI44" s="87"/>
      <c r="SQJ44" s="87"/>
      <c r="SQK44" s="87"/>
      <c r="SQL44" s="87"/>
      <c r="SQM44" s="87"/>
      <c r="SQN44" s="87"/>
      <c r="SQO44" s="87"/>
      <c r="SQP44" s="87"/>
      <c r="SQQ44" s="87"/>
      <c r="SQR44" s="87"/>
      <c r="SQS44" s="87"/>
      <c r="SQT44" s="87"/>
      <c r="SQU44" s="87"/>
      <c r="SQV44" s="87"/>
      <c r="SQW44" s="87"/>
      <c r="SQX44" s="87"/>
      <c r="SQY44" s="87"/>
      <c r="SQZ44" s="87"/>
      <c r="SRA44" s="87"/>
      <c r="SRB44" s="87"/>
      <c r="SRC44" s="87"/>
      <c r="SRD44" s="87"/>
      <c r="SRE44" s="87"/>
      <c r="SRF44" s="87"/>
      <c r="SRG44" s="87"/>
      <c r="SRH44" s="87"/>
      <c r="SRI44" s="87"/>
      <c r="SRJ44" s="87"/>
      <c r="SRK44" s="87"/>
      <c r="SRL44" s="87"/>
      <c r="SRM44" s="87"/>
      <c r="SRN44" s="87"/>
      <c r="SRO44" s="87"/>
      <c r="SRP44" s="87"/>
      <c r="SRQ44" s="87"/>
      <c r="SRR44" s="87"/>
      <c r="SRS44" s="87"/>
      <c r="SRT44" s="87"/>
      <c r="SRU44" s="87"/>
      <c r="SRV44" s="87"/>
      <c r="SRW44" s="87"/>
      <c r="SRX44" s="87"/>
      <c r="SRY44" s="87"/>
      <c r="SRZ44" s="87"/>
      <c r="SSA44" s="87"/>
      <c r="SSB44" s="87"/>
      <c r="SSC44" s="87"/>
      <c r="SSD44" s="87"/>
      <c r="SSE44" s="87"/>
      <c r="SSF44" s="87"/>
      <c r="SSG44" s="87"/>
      <c r="SSH44" s="87"/>
      <c r="SSI44" s="87"/>
      <c r="SSJ44" s="87"/>
      <c r="SSK44" s="87"/>
      <c r="SSL44" s="87"/>
      <c r="SSM44" s="87"/>
      <c r="SSN44" s="87"/>
      <c r="SSO44" s="87"/>
      <c r="SSP44" s="87"/>
      <c r="SSQ44" s="87"/>
      <c r="SSR44" s="87"/>
      <c r="SSS44" s="87"/>
      <c r="SST44" s="87"/>
      <c r="SSU44" s="87"/>
      <c r="SSV44" s="87"/>
      <c r="SSW44" s="87"/>
      <c r="SSX44" s="87"/>
      <c r="SSY44" s="87"/>
      <c r="SSZ44" s="87"/>
      <c r="STA44" s="87"/>
      <c r="STB44" s="87"/>
      <c r="STC44" s="87"/>
      <c r="STD44" s="87"/>
      <c r="STE44" s="87"/>
      <c r="STF44" s="87"/>
      <c r="STG44" s="87"/>
      <c r="STH44" s="87"/>
      <c r="STI44" s="87"/>
      <c r="STJ44" s="87"/>
      <c r="STK44" s="87"/>
      <c r="STL44" s="87"/>
      <c r="STM44" s="87"/>
      <c r="STN44" s="87"/>
      <c r="STO44" s="87"/>
      <c r="STP44" s="87"/>
      <c r="STQ44" s="87"/>
      <c r="STR44" s="87"/>
      <c r="STS44" s="87"/>
      <c r="STT44" s="87"/>
      <c r="STU44" s="87"/>
      <c r="STV44" s="87"/>
      <c r="STW44" s="87"/>
      <c r="STX44" s="87"/>
      <c r="STY44" s="87"/>
      <c r="STZ44" s="87"/>
      <c r="SUA44" s="87"/>
      <c r="SUB44" s="87"/>
      <c r="SUC44" s="87"/>
      <c r="SUD44" s="87"/>
      <c r="SUE44" s="87"/>
      <c r="SUF44" s="87"/>
      <c r="SUG44" s="87"/>
      <c r="SUH44" s="87"/>
      <c r="SUI44" s="87"/>
      <c r="SUJ44" s="87"/>
      <c r="SUK44" s="87"/>
      <c r="SUL44" s="87"/>
      <c r="SUM44" s="87"/>
      <c r="SUN44" s="87"/>
      <c r="SUO44" s="87"/>
      <c r="SUP44" s="87"/>
      <c r="SUQ44" s="87"/>
      <c r="SUR44" s="87"/>
      <c r="SUS44" s="87"/>
      <c r="SUT44" s="87"/>
      <c r="SUU44" s="87"/>
      <c r="SUV44" s="87"/>
      <c r="SUW44" s="87"/>
      <c r="SUX44" s="87"/>
      <c r="SUY44" s="87"/>
      <c r="SUZ44" s="87"/>
      <c r="SVA44" s="87"/>
      <c r="SVB44" s="87"/>
      <c r="SVC44" s="87"/>
      <c r="SVD44" s="87"/>
      <c r="SVE44" s="87"/>
      <c r="SVF44" s="87"/>
      <c r="SVG44" s="87"/>
      <c r="SVH44" s="87"/>
      <c r="SVI44" s="87"/>
      <c r="SVJ44" s="87"/>
      <c r="SVK44" s="87"/>
      <c r="SVL44" s="87"/>
      <c r="SVM44" s="87"/>
      <c r="SVN44" s="87"/>
      <c r="SVO44" s="87"/>
      <c r="SVP44" s="87"/>
      <c r="SVQ44" s="87"/>
      <c r="SVR44" s="87"/>
      <c r="SVS44" s="87"/>
      <c r="SVT44" s="87"/>
      <c r="SVU44" s="87"/>
      <c r="SVV44" s="87"/>
      <c r="SVW44" s="87"/>
      <c r="SVX44" s="87"/>
      <c r="SVY44" s="87"/>
      <c r="SVZ44" s="87"/>
      <c r="SWA44" s="87"/>
      <c r="SWB44" s="87"/>
      <c r="SWC44" s="87"/>
      <c r="SWD44" s="87"/>
      <c r="SWE44" s="87"/>
      <c r="SWF44" s="87"/>
      <c r="SWG44" s="87"/>
      <c r="SWH44" s="87"/>
      <c r="SWI44" s="87"/>
      <c r="SWJ44" s="87"/>
      <c r="SWK44" s="87"/>
      <c r="SWL44" s="87"/>
      <c r="SWM44" s="87"/>
      <c r="SWN44" s="87"/>
      <c r="SWO44" s="87"/>
      <c r="SWP44" s="87"/>
      <c r="SWQ44" s="87"/>
      <c r="SWR44" s="87"/>
      <c r="SWS44" s="87"/>
      <c r="SWT44" s="87"/>
      <c r="SWU44" s="87"/>
      <c r="SWV44" s="87"/>
      <c r="SWW44" s="87"/>
      <c r="SWX44" s="87"/>
      <c r="SWY44" s="87"/>
      <c r="SWZ44" s="87"/>
      <c r="SXA44" s="87"/>
      <c r="SXB44" s="87"/>
      <c r="SXC44" s="87"/>
      <c r="SXD44" s="87"/>
      <c r="SXE44" s="87"/>
      <c r="SXF44" s="87"/>
      <c r="SXG44" s="87"/>
      <c r="SXH44" s="87"/>
      <c r="SXI44" s="87"/>
      <c r="SXJ44" s="87"/>
      <c r="SXK44" s="87"/>
      <c r="SXL44" s="87"/>
      <c r="SXM44" s="87"/>
      <c r="SXN44" s="87"/>
      <c r="SXO44" s="87"/>
      <c r="SXP44" s="87"/>
      <c r="SXQ44" s="87"/>
      <c r="SXR44" s="87"/>
      <c r="SXS44" s="87"/>
      <c r="SXT44" s="87"/>
      <c r="SXU44" s="87"/>
      <c r="SXV44" s="87"/>
      <c r="SXW44" s="87"/>
      <c r="SXX44" s="87"/>
      <c r="SXY44" s="87"/>
      <c r="SXZ44" s="87"/>
      <c r="SYA44" s="87"/>
      <c r="SYB44" s="87"/>
      <c r="SYC44" s="87"/>
      <c r="SYD44" s="87"/>
      <c r="SYE44" s="87"/>
      <c r="SYF44" s="87"/>
      <c r="SYG44" s="87"/>
      <c r="SYH44" s="87"/>
      <c r="SYI44" s="87"/>
      <c r="SYJ44" s="87"/>
      <c r="SYK44" s="87"/>
      <c r="SYL44" s="87"/>
      <c r="SYM44" s="87"/>
      <c r="SYN44" s="87"/>
      <c r="SYO44" s="87"/>
      <c r="SYP44" s="87"/>
      <c r="SYQ44" s="87"/>
      <c r="SYR44" s="87"/>
      <c r="SYS44" s="87"/>
      <c r="SYT44" s="87"/>
      <c r="SYU44" s="87"/>
      <c r="SYV44" s="87"/>
      <c r="SYW44" s="87"/>
      <c r="SYX44" s="87"/>
      <c r="SYY44" s="87"/>
      <c r="SYZ44" s="87"/>
      <c r="SZA44" s="87"/>
      <c r="SZB44" s="87"/>
      <c r="SZC44" s="87"/>
      <c r="SZD44" s="87"/>
      <c r="SZE44" s="87"/>
      <c r="SZF44" s="87"/>
      <c r="SZG44" s="87"/>
      <c r="SZH44" s="87"/>
      <c r="SZI44" s="87"/>
      <c r="SZJ44" s="87"/>
      <c r="SZK44" s="87"/>
      <c r="SZL44" s="87"/>
      <c r="SZM44" s="87"/>
      <c r="SZN44" s="87"/>
      <c r="SZO44" s="87"/>
      <c r="SZP44" s="87"/>
      <c r="SZQ44" s="87"/>
      <c r="SZR44" s="87"/>
      <c r="SZS44" s="87"/>
      <c r="SZT44" s="87"/>
      <c r="SZU44" s="87"/>
      <c r="SZV44" s="87"/>
      <c r="SZW44" s="87"/>
      <c r="SZX44" s="87"/>
      <c r="SZY44" s="87"/>
      <c r="SZZ44" s="87"/>
      <c r="TAA44" s="87"/>
      <c r="TAB44" s="87"/>
      <c r="TAC44" s="87"/>
      <c r="TAD44" s="87"/>
      <c r="TAE44" s="87"/>
      <c r="TAF44" s="87"/>
      <c r="TAG44" s="87"/>
      <c r="TAH44" s="87"/>
      <c r="TAI44" s="87"/>
      <c r="TAJ44" s="87"/>
      <c r="TAK44" s="87"/>
      <c r="TAL44" s="87"/>
      <c r="TAM44" s="87"/>
      <c r="TAN44" s="87"/>
      <c r="TAO44" s="87"/>
      <c r="TAP44" s="87"/>
      <c r="TAQ44" s="87"/>
      <c r="TAR44" s="87"/>
      <c r="TAS44" s="87"/>
      <c r="TAT44" s="87"/>
      <c r="TAU44" s="87"/>
      <c r="TAV44" s="87"/>
      <c r="TAW44" s="87"/>
      <c r="TAX44" s="87"/>
      <c r="TAY44" s="87"/>
      <c r="TAZ44" s="87"/>
      <c r="TBA44" s="87"/>
      <c r="TBB44" s="87"/>
      <c r="TBC44" s="87"/>
      <c r="TBD44" s="87"/>
      <c r="TBE44" s="87"/>
      <c r="TBF44" s="87"/>
      <c r="TBG44" s="87"/>
      <c r="TBH44" s="87"/>
      <c r="TBI44" s="87"/>
      <c r="TBJ44" s="87"/>
      <c r="TBK44" s="87"/>
      <c r="TBL44" s="87"/>
      <c r="TBM44" s="87"/>
      <c r="TBN44" s="87"/>
      <c r="TBO44" s="87"/>
      <c r="TBP44" s="87"/>
      <c r="TBQ44" s="87"/>
      <c r="TBR44" s="87"/>
      <c r="TBS44" s="87"/>
      <c r="TBT44" s="87"/>
      <c r="TBU44" s="87"/>
      <c r="TBV44" s="87"/>
      <c r="TBW44" s="87"/>
      <c r="TBX44" s="87"/>
      <c r="TBY44" s="87"/>
      <c r="TBZ44" s="87"/>
      <c r="TCA44" s="87"/>
      <c r="TCB44" s="87"/>
      <c r="TCC44" s="87"/>
      <c r="TCD44" s="87"/>
      <c r="TCE44" s="87"/>
      <c r="TCF44" s="87"/>
      <c r="TCG44" s="87"/>
      <c r="TCH44" s="87"/>
      <c r="TCI44" s="87"/>
      <c r="TCJ44" s="87"/>
      <c r="TCK44" s="87"/>
      <c r="TCL44" s="87"/>
      <c r="TCM44" s="87"/>
      <c r="TCN44" s="87"/>
      <c r="TCO44" s="87"/>
      <c r="TCP44" s="87"/>
      <c r="TCQ44" s="87"/>
      <c r="TCR44" s="87"/>
      <c r="TCS44" s="87"/>
      <c r="TCT44" s="87"/>
      <c r="TCU44" s="87"/>
      <c r="TCV44" s="87"/>
      <c r="TCW44" s="87"/>
      <c r="TCX44" s="87"/>
      <c r="TCY44" s="87"/>
      <c r="TCZ44" s="87"/>
      <c r="TDA44" s="87"/>
      <c r="TDB44" s="87"/>
      <c r="TDC44" s="87"/>
      <c r="TDD44" s="87"/>
      <c r="TDE44" s="87"/>
      <c r="TDF44" s="87"/>
      <c r="TDG44" s="87"/>
      <c r="TDH44" s="87"/>
      <c r="TDI44" s="87"/>
      <c r="TDJ44" s="87"/>
      <c r="TDK44" s="87"/>
      <c r="TDL44" s="87"/>
      <c r="TDM44" s="87"/>
      <c r="TDN44" s="87"/>
      <c r="TDO44" s="87"/>
      <c r="TDP44" s="87"/>
      <c r="TDQ44" s="87"/>
      <c r="TDR44" s="87"/>
      <c r="TDS44" s="87"/>
      <c r="TDT44" s="87"/>
      <c r="TDU44" s="87"/>
      <c r="TDV44" s="87"/>
      <c r="TDW44" s="87"/>
      <c r="TDX44" s="87"/>
      <c r="TDY44" s="87"/>
      <c r="TDZ44" s="87"/>
      <c r="TEA44" s="87"/>
      <c r="TEB44" s="87"/>
      <c r="TEC44" s="87"/>
      <c r="TED44" s="87"/>
      <c r="TEE44" s="87"/>
      <c r="TEF44" s="87"/>
      <c r="TEG44" s="87"/>
      <c r="TEH44" s="87"/>
      <c r="TEI44" s="87"/>
      <c r="TEJ44" s="87"/>
      <c r="TEK44" s="87"/>
      <c r="TEL44" s="87"/>
      <c r="TEM44" s="87"/>
      <c r="TEN44" s="87"/>
      <c r="TEO44" s="87"/>
      <c r="TEP44" s="87"/>
      <c r="TEQ44" s="87"/>
      <c r="TER44" s="87"/>
      <c r="TES44" s="87"/>
      <c r="TET44" s="87"/>
      <c r="TEU44" s="87"/>
      <c r="TEV44" s="87"/>
      <c r="TEW44" s="87"/>
      <c r="TEX44" s="87"/>
      <c r="TEY44" s="87"/>
      <c r="TEZ44" s="87"/>
      <c r="TFA44" s="87"/>
      <c r="TFB44" s="87"/>
      <c r="TFC44" s="87"/>
      <c r="TFD44" s="87"/>
      <c r="TFE44" s="87"/>
      <c r="TFF44" s="87"/>
      <c r="TFG44" s="87"/>
      <c r="TFH44" s="87"/>
      <c r="TFI44" s="87"/>
      <c r="TFJ44" s="87"/>
      <c r="TFK44" s="87"/>
      <c r="TFL44" s="87"/>
      <c r="TFM44" s="87"/>
      <c r="TFN44" s="87"/>
      <c r="TFO44" s="87"/>
      <c r="TFP44" s="87"/>
      <c r="TFQ44" s="87"/>
      <c r="TFR44" s="87"/>
      <c r="TFS44" s="87"/>
      <c r="TFT44" s="87"/>
      <c r="TFU44" s="87"/>
      <c r="TFV44" s="87"/>
      <c r="TFW44" s="87"/>
      <c r="TFX44" s="87"/>
      <c r="TFY44" s="87"/>
      <c r="TFZ44" s="87"/>
      <c r="TGA44" s="87"/>
      <c r="TGB44" s="87"/>
      <c r="TGC44" s="87"/>
      <c r="TGD44" s="87"/>
      <c r="TGE44" s="87"/>
      <c r="TGF44" s="87"/>
      <c r="TGG44" s="87"/>
      <c r="TGH44" s="87"/>
      <c r="TGI44" s="87"/>
      <c r="TGJ44" s="87"/>
      <c r="TGK44" s="87"/>
      <c r="TGL44" s="87"/>
      <c r="TGM44" s="87"/>
      <c r="TGN44" s="87"/>
      <c r="TGO44" s="87"/>
      <c r="TGP44" s="87"/>
      <c r="TGQ44" s="87"/>
      <c r="TGR44" s="87"/>
      <c r="TGS44" s="87"/>
      <c r="TGT44" s="87"/>
      <c r="TGU44" s="87"/>
      <c r="TGV44" s="87"/>
      <c r="TGW44" s="87"/>
      <c r="TGX44" s="87"/>
      <c r="TGY44" s="87"/>
      <c r="TGZ44" s="87"/>
      <c r="THA44" s="87"/>
      <c r="THB44" s="87"/>
      <c r="THC44" s="87"/>
      <c r="THD44" s="87"/>
      <c r="THE44" s="87"/>
      <c r="THF44" s="87"/>
      <c r="THG44" s="87"/>
      <c r="THH44" s="87"/>
      <c r="THI44" s="87"/>
      <c r="THJ44" s="87"/>
      <c r="THK44" s="87"/>
      <c r="THL44" s="87"/>
      <c r="THM44" s="87"/>
      <c r="THN44" s="87"/>
      <c r="THO44" s="87"/>
      <c r="THP44" s="87"/>
      <c r="THQ44" s="87"/>
      <c r="THR44" s="87"/>
      <c r="THS44" s="87"/>
      <c r="THT44" s="87"/>
      <c r="THU44" s="87"/>
      <c r="THV44" s="87"/>
      <c r="THW44" s="87"/>
      <c r="THX44" s="87"/>
      <c r="THY44" s="87"/>
      <c r="THZ44" s="87"/>
      <c r="TIA44" s="87"/>
      <c r="TIB44" s="87"/>
      <c r="TIC44" s="87"/>
      <c r="TID44" s="87"/>
      <c r="TIE44" s="87"/>
      <c r="TIF44" s="87"/>
      <c r="TIG44" s="87"/>
      <c r="TIH44" s="87"/>
      <c r="TII44" s="87"/>
      <c r="TIJ44" s="87"/>
      <c r="TIK44" s="87"/>
      <c r="TIL44" s="87"/>
      <c r="TIM44" s="87"/>
      <c r="TIN44" s="87"/>
      <c r="TIO44" s="87"/>
      <c r="TIP44" s="87"/>
      <c r="TIQ44" s="87"/>
      <c r="TIR44" s="87"/>
      <c r="TIS44" s="87"/>
      <c r="TIT44" s="87"/>
      <c r="TIU44" s="87"/>
      <c r="TIV44" s="87"/>
      <c r="TIW44" s="87"/>
      <c r="TIX44" s="87"/>
      <c r="TIY44" s="87"/>
      <c r="TIZ44" s="87"/>
      <c r="TJA44" s="87"/>
      <c r="TJB44" s="87"/>
      <c r="TJC44" s="87"/>
      <c r="TJD44" s="87"/>
      <c r="TJE44" s="87"/>
      <c r="TJF44" s="87"/>
      <c r="TJG44" s="87"/>
      <c r="TJH44" s="87"/>
      <c r="TJI44" s="87"/>
      <c r="TJJ44" s="87"/>
      <c r="TJK44" s="87"/>
      <c r="TJL44" s="87"/>
      <c r="TJM44" s="87"/>
      <c r="TJN44" s="87"/>
      <c r="TJO44" s="87"/>
      <c r="TJP44" s="87"/>
      <c r="TJQ44" s="87"/>
      <c r="TJR44" s="87"/>
      <c r="TJS44" s="87"/>
      <c r="TJT44" s="87"/>
      <c r="TJU44" s="87"/>
      <c r="TJV44" s="87"/>
      <c r="TJW44" s="87"/>
      <c r="TJX44" s="87"/>
      <c r="TJY44" s="87"/>
      <c r="TJZ44" s="87"/>
      <c r="TKA44" s="87"/>
      <c r="TKB44" s="87"/>
      <c r="TKC44" s="87"/>
      <c r="TKD44" s="87"/>
      <c r="TKE44" s="87"/>
      <c r="TKF44" s="87"/>
      <c r="TKG44" s="87"/>
      <c r="TKH44" s="87"/>
      <c r="TKI44" s="87"/>
      <c r="TKJ44" s="87"/>
      <c r="TKK44" s="87"/>
      <c r="TKL44" s="87"/>
      <c r="TKM44" s="87"/>
      <c r="TKN44" s="87"/>
      <c r="TKO44" s="87"/>
      <c r="TKP44" s="87"/>
      <c r="TKQ44" s="87"/>
      <c r="TKR44" s="87"/>
      <c r="TKS44" s="87"/>
      <c r="TKT44" s="87"/>
      <c r="TKU44" s="87"/>
      <c r="TKV44" s="87"/>
      <c r="TKW44" s="87"/>
      <c r="TKX44" s="87"/>
      <c r="TKY44" s="87"/>
      <c r="TKZ44" s="87"/>
      <c r="TLA44" s="87"/>
      <c r="TLB44" s="87"/>
      <c r="TLC44" s="87"/>
      <c r="TLD44" s="87"/>
      <c r="TLE44" s="87"/>
      <c r="TLF44" s="87"/>
      <c r="TLG44" s="87"/>
      <c r="TLH44" s="87"/>
      <c r="TLI44" s="87"/>
      <c r="TLJ44" s="87"/>
      <c r="TLK44" s="87"/>
      <c r="TLL44" s="87"/>
      <c r="TLM44" s="87"/>
      <c r="TLN44" s="87"/>
      <c r="TLO44" s="87"/>
      <c r="TLP44" s="87"/>
      <c r="TLQ44" s="87"/>
      <c r="TLR44" s="87"/>
      <c r="TLS44" s="87"/>
      <c r="TLT44" s="87"/>
      <c r="TLU44" s="87"/>
      <c r="TLV44" s="87"/>
      <c r="TLW44" s="87"/>
      <c r="TLX44" s="87"/>
      <c r="TLY44" s="87"/>
      <c r="TLZ44" s="87"/>
      <c r="TMA44" s="87"/>
      <c r="TMB44" s="87"/>
      <c r="TMC44" s="87"/>
      <c r="TMD44" s="87"/>
      <c r="TME44" s="87"/>
      <c r="TMF44" s="87"/>
      <c r="TMG44" s="87"/>
      <c r="TMH44" s="87"/>
      <c r="TMI44" s="87"/>
      <c r="TMJ44" s="87"/>
      <c r="TMK44" s="87"/>
      <c r="TML44" s="87"/>
      <c r="TMM44" s="87"/>
      <c r="TMN44" s="87"/>
      <c r="TMO44" s="87"/>
      <c r="TMP44" s="87"/>
      <c r="TMQ44" s="87"/>
      <c r="TMR44" s="87"/>
      <c r="TMS44" s="87"/>
      <c r="TMT44" s="87"/>
      <c r="TMU44" s="87"/>
      <c r="TMV44" s="87"/>
      <c r="TMW44" s="87"/>
      <c r="TMX44" s="87"/>
      <c r="TMY44" s="87"/>
      <c r="TMZ44" s="87"/>
      <c r="TNA44" s="87"/>
      <c r="TNB44" s="87"/>
      <c r="TNC44" s="87"/>
      <c r="TND44" s="87"/>
      <c r="TNE44" s="87"/>
      <c r="TNF44" s="87"/>
      <c r="TNG44" s="87"/>
      <c r="TNH44" s="87"/>
      <c r="TNI44" s="87"/>
      <c r="TNJ44" s="87"/>
      <c r="TNK44" s="87"/>
      <c r="TNL44" s="87"/>
      <c r="TNM44" s="87"/>
      <c r="TNN44" s="87"/>
      <c r="TNO44" s="87"/>
      <c r="TNP44" s="87"/>
      <c r="TNQ44" s="87"/>
      <c r="TNR44" s="87"/>
      <c r="TNS44" s="87"/>
      <c r="TNT44" s="87"/>
      <c r="TNU44" s="87"/>
      <c r="TNV44" s="87"/>
      <c r="TNW44" s="87"/>
      <c r="TNX44" s="87"/>
      <c r="TNY44" s="87"/>
      <c r="TNZ44" s="87"/>
      <c r="TOA44" s="87"/>
      <c r="TOB44" s="87"/>
      <c r="TOC44" s="87"/>
      <c r="TOD44" s="87"/>
      <c r="TOE44" s="87"/>
      <c r="TOF44" s="87"/>
      <c r="TOG44" s="87"/>
      <c r="TOH44" s="87"/>
      <c r="TOI44" s="87"/>
      <c r="TOJ44" s="87"/>
      <c r="TOK44" s="87"/>
      <c r="TOL44" s="87"/>
      <c r="TOM44" s="87"/>
      <c r="TON44" s="87"/>
      <c r="TOO44" s="87"/>
      <c r="TOP44" s="87"/>
      <c r="TOQ44" s="87"/>
      <c r="TOR44" s="87"/>
      <c r="TOS44" s="87"/>
      <c r="TOT44" s="87"/>
      <c r="TOU44" s="87"/>
      <c r="TOV44" s="87"/>
      <c r="TOW44" s="87"/>
      <c r="TOX44" s="87"/>
      <c r="TOY44" s="87"/>
      <c r="TOZ44" s="87"/>
      <c r="TPA44" s="87"/>
      <c r="TPB44" s="87"/>
      <c r="TPC44" s="87"/>
      <c r="TPD44" s="87"/>
      <c r="TPE44" s="87"/>
      <c r="TPF44" s="87"/>
      <c r="TPG44" s="87"/>
      <c r="TPH44" s="87"/>
      <c r="TPI44" s="87"/>
      <c r="TPJ44" s="87"/>
      <c r="TPK44" s="87"/>
      <c r="TPL44" s="87"/>
      <c r="TPM44" s="87"/>
      <c r="TPN44" s="87"/>
      <c r="TPO44" s="87"/>
      <c r="TPP44" s="87"/>
      <c r="TPQ44" s="87"/>
      <c r="TPR44" s="87"/>
      <c r="TPS44" s="87"/>
      <c r="TPT44" s="87"/>
      <c r="TPU44" s="87"/>
      <c r="TPV44" s="87"/>
      <c r="TPW44" s="87"/>
      <c r="TPX44" s="87"/>
      <c r="TPY44" s="87"/>
      <c r="TPZ44" s="87"/>
      <c r="TQA44" s="87"/>
      <c r="TQB44" s="87"/>
      <c r="TQC44" s="87"/>
      <c r="TQD44" s="87"/>
      <c r="TQE44" s="87"/>
      <c r="TQF44" s="87"/>
      <c r="TQG44" s="87"/>
      <c r="TQH44" s="87"/>
      <c r="TQI44" s="87"/>
      <c r="TQJ44" s="87"/>
      <c r="TQK44" s="87"/>
      <c r="TQL44" s="87"/>
      <c r="TQM44" s="87"/>
      <c r="TQN44" s="87"/>
      <c r="TQO44" s="87"/>
      <c r="TQP44" s="87"/>
      <c r="TQQ44" s="87"/>
      <c r="TQR44" s="87"/>
      <c r="TQS44" s="87"/>
      <c r="TQT44" s="87"/>
      <c r="TQU44" s="87"/>
      <c r="TQV44" s="87"/>
      <c r="TQW44" s="87"/>
      <c r="TQX44" s="87"/>
      <c r="TQY44" s="87"/>
      <c r="TQZ44" s="87"/>
      <c r="TRA44" s="87"/>
      <c r="TRB44" s="87"/>
      <c r="TRC44" s="87"/>
      <c r="TRD44" s="87"/>
      <c r="TRE44" s="87"/>
      <c r="TRF44" s="87"/>
      <c r="TRG44" s="87"/>
      <c r="TRH44" s="87"/>
      <c r="TRI44" s="87"/>
      <c r="TRJ44" s="87"/>
      <c r="TRK44" s="87"/>
      <c r="TRL44" s="87"/>
      <c r="TRM44" s="87"/>
      <c r="TRN44" s="87"/>
      <c r="TRO44" s="87"/>
      <c r="TRP44" s="87"/>
      <c r="TRQ44" s="87"/>
      <c r="TRR44" s="87"/>
      <c r="TRS44" s="87"/>
      <c r="TRT44" s="87"/>
      <c r="TRU44" s="87"/>
      <c r="TRV44" s="87"/>
      <c r="TRW44" s="87"/>
      <c r="TRX44" s="87"/>
      <c r="TRY44" s="87"/>
      <c r="TRZ44" s="87"/>
      <c r="TSA44" s="87"/>
      <c r="TSB44" s="87"/>
      <c r="TSC44" s="87"/>
      <c r="TSD44" s="87"/>
      <c r="TSE44" s="87"/>
      <c r="TSF44" s="87"/>
      <c r="TSG44" s="87"/>
      <c r="TSH44" s="87"/>
      <c r="TSI44" s="87"/>
      <c r="TSJ44" s="87"/>
      <c r="TSK44" s="87"/>
      <c r="TSL44" s="87"/>
      <c r="TSM44" s="87"/>
      <c r="TSN44" s="87"/>
      <c r="TSO44" s="87"/>
      <c r="TSP44" s="87"/>
      <c r="TSQ44" s="87"/>
      <c r="TSR44" s="87"/>
      <c r="TSS44" s="87"/>
      <c r="TST44" s="87"/>
      <c r="TSU44" s="87"/>
      <c r="TSV44" s="87"/>
      <c r="TSW44" s="87"/>
      <c r="TSX44" s="87"/>
      <c r="TSY44" s="87"/>
      <c r="TSZ44" s="87"/>
      <c r="TTA44" s="87"/>
      <c r="TTB44" s="87"/>
      <c r="TTC44" s="87"/>
      <c r="TTD44" s="87"/>
      <c r="TTE44" s="87"/>
      <c r="TTF44" s="87"/>
      <c r="TTG44" s="87"/>
      <c r="TTH44" s="87"/>
      <c r="TTI44" s="87"/>
      <c r="TTJ44" s="87"/>
      <c r="TTK44" s="87"/>
      <c r="TTL44" s="87"/>
      <c r="TTM44" s="87"/>
      <c r="TTN44" s="87"/>
      <c r="TTO44" s="87"/>
      <c r="TTP44" s="87"/>
      <c r="TTQ44" s="87"/>
      <c r="TTR44" s="87"/>
      <c r="TTS44" s="87"/>
      <c r="TTT44" s="87"/>
      <c r="TTU44" s="87"/>
      <c r="TTV44" s="87"/>
      <c r="TTW44" s="87"/>
      <c r="TTX44" s="87"/>
      <c r="TTY44" s="87"/>
      <c r="TTZ44" s="87"/>
      <c r="TUA44" s="87"/>
      <c r="TUB44" s="87"/>
      <c r="TUC44" s="87"/>
      <c r="TUD44" s="87"/>
      <c r="TUE44" s="87"/>
      <c r="TUF44" s="87"/>
      <c r="TUG44" s="87"/>
      <c r="TUH44" s="87"/>
      <c r="TUI44" s="87"/>
      <c r="TUJ44" s="87"/>
      <c r="TUK44" s="87"/>
      <c r="TUL44" s="87"/>
      <c r="TUM44" s="87"/>
      <c r="TUN44" s="87"/>
      <c r="TUO44" s="87"/>
      <c r="TUP44" s="87"/>
      <c r="TUQ44" s="87"/>
      <c r="TUR44" s="87"/>
      <c r="TUS44" s="87"/>
      <c r="TUT44" s="87"/>
      <c r="TUU44" s="87"/>
      <c r="TUV44" s="87"/>
      <c r="TUW44" s="87"/>
      <c r="TUX44" s="87"/>
      <c r="TUY44" s="87"/>
      <c r="TUZ44" s="87"/>
      <c r="TVA44" s="87"/>
      <c r="TVB44" s="87"/>
      <c r="TVC44" s="87"/>
      <c r="TVD44" s="87"/>
      <c r="TVE44" s="87"/>
      <c r="TVF44" s="87"/>
      <c r="TVG44" s="87"/>
      <c r="TVH44" s="87"/>
      <c r="TVI44" s="87"/>
      <c r="TVJ44" s="87"/>
      <c r="TVK44" s="87"/>
      <c r="TVL44" s="87"/>
      <c r="TVM44" s="87"/>
      <c r="TVN44" s="87"/>
      <c r="TVO44" s="87"/>
      <c r="TVP44" s="87"/>
      <c r="TVQ44" s="87"/>
      <c r="TVR44" s="87"/>
      <c r="TVS44" s="87"/>
      <c r="TVT44" s="87"/>
      <c r="TVU44" s="87"/>
      <c r="TVV44" s="87"/>
      <c r="TVW44" s="87"/>
      <c r="TVX44" s="87"/>
      <c r="TVY44" s="87"/>
      <c r="TVZ44" s="87"/>
      <c r="TWA44" s="87"/>
      <c r="TWB44" s="87"/>
      <c r="TWC44" s="87"/>
      <c r="TWD44" s="87"/>
      <c r="TWE44" s="87"/>
      <c r="TWF44" s="87"/>
      <c r="TWG44" s="87"/>
      <c r="TWH44" s="87"/>
      <c r="TWI44" s="87"/>
      <c r="TWJ44" s="87"/>
      <c r="TWK44" s="87"/>
      <c r="TWL44" s="87"/>
      <c r="TWM44" s="87"/>
      <c r="TWN44" s="87"/>
      <c r="TWO44" s="87"/>
      <c r="TWP44" s="87"/>
      <c r="TWQ44" s="87"/>
      <c r="TWR44" s="87"/>
      <c r="TWS44" s="87"/>
      <c r="TWT44" s="87"/>
      <c r="TWU44" s="87"/>
      <c r="TWV44" s="87"/>
      <c r="TWW44" s="87"/>
      <c r="TWX44" s="87"/>
      <c r="TWY44" s="87"/>
      <c r="TWZ44" s="87"/>
      <c r="TXA44" s="87"/>
      <c r="TXB44" s="87"/>
      <c r="TXC44" s="87"/>
      <c r="TXD44" s="87"/>
      <c r="TXE44" s="87"/>
      <c r="TXF44" s="87"/>
      <c r="TXG44" s="87"/>
      <c r="TXH44" s="87"/>
      <c r="TXI44" s="87"/>
      <c r="TXJ44" s="87"/>
      <c r="TXK44" s="87"/>
      <c r="TXL44" s="87"/>
      <c r="TXM44" s="87"/>
      <c r="TXN44" s="87"/>
      <c r="TXO44" s="87"/>
      <c r="TXP44" s="87"/>
      <c r="TXQ44" s="87"/>
      <c r="TXR44" s="87"/>
      <c r="TXS44" s="87"/>
      <c r="TXT44" s="87"/>
      <c r="TXU44" s="87"/>
      <c r="TXV44" s="87"/>
      <c r="TXW44" s="87"/>
      <c r="TXX44" s="87"/>
      <c r="TXY44" s="87"/>
      <c r="TXZ44" s="87"/>
      <c r="TYA44" s="87"/>
      <c r="TYB44" s="87"/>
      <c r="TYC44" s="87"/>
      <c r="TYD44" s="87"/>
      <c r="TYE44" s="87"/>
      <c r="TYF44" s="87"/>
      <c r="TYG44" s="87"/>
      <c r="TYH44" s="87"/>
      <c r="TYI44" s="87"/>
      <c r="TYJ44" s="87"/>
      <c r="TYK44" s="87"/>
      <c r="TYL44" s="87"/>
      <c r="TYM44" s="87"/>
      <c r="TYN44" s="87"/>
      <c r="TYO44" s="87"/>
      <c r="TYP44" s="87"/>
      <c r="TYQ44" s="87"/>
      <c r="TYR44" s="87"/>
      <c r="TYS44" s="87"/>
      <c r="TYT44" s="87"/>
      <c r="TYU44" s="87"/>
      <c r="TYV44" s="87"/>
      <c r="TYW44" s="87"/>
      <c r="TYX44" s="87"/>
      <c r="TYY44" s="87"/>
      <c r="TYZ44" s="87"/>
      <c r="TZA44" s="87"/>
      <c r="TZB44" s="87"/>
      <c r="TZC44" s="87"/>
      <c r="TZD44" s="87"/>
      <c r="TZE44" s="87"/>
      <c r="TZF44" s="87"/>
      <c r="TZG44" s="87"/>
      <c r="TZH44" s="87"/>
      <c r="TZI44" s="87"/>
      <c r="TZJ44" s="87"/>
      <c r="TZK44" s="87"/>
      <c r="TZL44" s="87"/>
      <c r="TZM44" s="87"/>
      <c r="TZN44" s="87"/>
      <c r="TZO44" s="87"/>
      <c r="TZP44" s="87"/>
      <c r="TZQ44" s="87"/>
      <c r="TZR44" s="87"/>
      <c r="TZS44" s="87"/>
      <c r="TZT44" s="87"/>
      <c r="TZU44" s="87"/>
      <c r="TZV44" s="87"/>
      <c r="TZW44" s="87"/>
      <c r="TZX44" s="87"/>
      <c r="TZY44" s="87"/>
      <c r="TZZ44" s="87"/>
      <c r="UAA44" s="87"/>
      <c r="UAB44" s="87"/>
      <c r="UAC44" s="87"/>
      <c r="UAD44" s="87"/>
      <c r="UAE44" s="87"/>
      <c r="UAF44" s="87"/>
      <c r="UAG44" s="87"/>
      <c r="UAH44" s="87"/>
      <c r="UAI44" s="87"/>
      <c r="UAJ44" s="87"/>
      <c r="UAK44" s="87"/>
      <c r="UAL44" s="87"/>
      <c r="UAM44" s="87"/>
      <c r="UAN44" s="87"/>
      <c r="UAO44" s="87"/>
      <c r="UAP44" s="87"/>
      <c r="UAQ44" s="87"/>
      <c r="UAR44" s="87"/>
      <c r="UAS44" s="87"/>
      <c r="UAT44" s="87"/>
      <c r="UAU44" s="87"/>
      <c r="UAV44" s="87"/>
      <c r="UAW44" s="87"/>
      <c r="UAX44" s="87"/>
      <c r="UAY44" s="87"/>
      <c r="UAZ44" s="87"/>
      <c r="UBA44" s="87"/>
      <c r="UBB44" s="87"/>
      <c r="UBC44" s="87"/>
      <c r="UBD44" s="87"/>
      <c r="UBE44" s="87"/>
      <c r="UBF44" s="87"/>
      <c r="UBG44" s="87"/>
      <c r="UBH44" s="87"/>
      <c r="UBI44" s="87"/>
      <c r="UBJ44" s="87"/>
      <c r="UBK44" s="87"/>
      <c r="UBL44" s="87"/>
      <c r="UBM44" s="87"/>
      <c r="UBN44" s="87"/>
      <c r="UBO44" s="87"/>
      <c r="UBP44" s="87"/>
      <c r="UBQ44" s="87"/>
      <c r="UBR44" s="87"/>
      <c r="UBS44" s="87"/>
      <c r="UBT44" s="87"/>
      <c r="UBU44" s="87"/>
      <c r="UBV44" s="87"/>
      <c r="UBW44" s="87"/>
      <c r="UBX44" s="87"/>
      <c r="UBY44" s="87"/>
      <c r="UBZ44" s="87"/>
      <c r="UCA44" s="87"/>
      <c r="UCB44" s="87"/>
      <c r="UCC44" s="87"/>
      <c r="UCD44" s="87"/>
      <c r="UCE44" s="87"/>
      <c r="UCF44" s="87"/>
      <c r="UCG44" s="87"/>
      <c r="UCH44" s="87"/>
      <c r="UCI44" s="87"/>
      <c r="UCJ44" s="87"/>
      <c r="UCK44" s="87"/>
      <c r="UCL44" s="87"/>
      <c r="UCM44" s="87"/>
      <c r="UCN44" s="87"/>
      <c r="UCO44" s="87"/>
      <c r="UCP44" s="87"/>
      <c r="UCQ44" s="87"/>
      <c r="UCR44" s="87"/>
      <c r="UCS44" s="87"/>
      <c r="UCT44" s="87"/>
      <c r="UCU44" s="87"/>
      <c r="UCV44" s="87"/>
      <c r="UCW44" s="87"/>
      <c r="UCX44" s="87"/>
      <c r="UCY44" s="87"/>
      <c r="UCZ44" s="87"/>
      <c r="UDA44" s="87"/>
      <c r="UDB44" s="87"/>
      <c r="UDC44" s="87"/>
      <c r="UDD44" s="87"/>
      <c r="UDE44" s="87"/>
      <c r="UDF44" s="87"/>
      <c r="UDG44" s="87"/>
      <c r="UDH44" s="87"/>
      <c r="UDI44" s="87"/>
      <c r="UDJ44" s="87"/>
      <c r="UDK44" s="87"/>
      <c r="UDL44" s="87"/>
      <c r="UDM44" s="87"/>
      <c r="UDN44" s="87"/>
      <c r="UDO44" s="87"/>
      <c r="UDP44" s="87"/>
      <c r="UDQ44" s="87"/>
      <c r="UDR44" s="87"/>
      <c r="UDS44" s="87"/>
      <c r="UDT44" s="87"/>
      <c r="UDU44" s="87"/>
      <c r="UDV44" s="87"/>
      <c r="UDW44" s="87"/>
      <c r="UDX44" s="87"/>
      <c r="UDY44" s="87"/>
      <c r="UDZ44" s="87"/>
      <c r="UEA44" s="87"/>
      <c r="UEB44" s="87"/>
      <c r="UEC44" s="87"/>
      <c r="UED44" s="87"/>
      <c r="UEE44" s="87"/>
      <c r="UEF44" s="87"/>
      <c r="UEG44" s="87"/>
      <c r="UEH44" s="87"/>
      <c r="UEI44" s="87"/>
      <c r="UEJ44" s="87"/>
      <c r="UEK44" s="87"/>
      <c r="UEL44" s="87"/>
      <c r="UEM44" s="87"/>
      <c r="UEN44" s="87"/>
      <c r="UEO44" s="87"/>
      <c r="UEP44" s="87"/>
      <c r="UEQ44" s="87"/>
      <c r="UER44" s="87"/>
      <c r="UES44" s="87"/>
      <c r="UET44" s="87"/>
      <c r="UEU44" s="87"/>
      <c r="UEV44" s="87"/>
      <c r="UEW44" s="87"/>
      <c r="UEX44" s="87"/>
      <c r="UEY44" s="87"/>
      <c r="UEZ44" s="87"/>
      <c r="UFA44" s="87"/>
      <c r="UFB44" s="87"/>
      <c r="UFC44" s="87"/>
      <c r="UFD44" s="87"/>
      <c r="UFE44" s="87"/>
      <c r="UFF44" s="87"/>
      <c r="UFG44" s="87"/>
      <c r="UFH44" s="87"/>
      <c r="UFI44" s="87"/>
      <c r="UFJ44" s="87"/>
      <c r="UFK44" s="87"/>
      <c r="UFL44" s="87"/>
      <c r="UFM44" s="87"/>
      <c r="UFN44" s="87"/>
      <c r="UFO44" s="87"/>
      <c r="UFP44" s="87"/>
      <c r="UFQ44" s="87"/>
      <c r="UFR44" s="87"/>
      <c r="UFS44" s="87"/>
      <c r="UFT44" s="87"/>
      <c r="UFU44" s="87"/>
      <c r="UFV44" s="87"/>
      <c r="UFW44" s="87"/>
      <c r="UFX44" s="87"/>
      <c r="UFY44" s="87"/>
      <c r="UFZ44" s="87"/>
      <c r="UGA44" s="87"/>
      <c r="UGB44" s="87"/>
      <c r="UGC44" s="87"/>
      <c r="UGD44" s="87"/>
      <c r="UGE44" s="87"/>
      <c r="UGF44" s="87"/>
      <c r="UGG44" s="87"/>
      <c r="UGH44" s="87"/>
      <c r="UGI44" s="87"/>
      <c r="UGJ44" s="87"/>
      <c r="UGK44" s="87"/>
      <c r="UGL44" s="87"/>
      <c r="UGM44" s="87"/>
      <c r="UGN44" s="87"/>
      <c r="UGO44" s="87"/>
      <c r="UGP44" s="87"/>
      <c r="UGQ44" s="87"/>
      <c r="UGR44" s="87"/>
      <c r="UGS44" s="87"/>
      <c r="UGT44" s="87"/>
      <c r="UGU44" s="87"/>
      <c r="UGV44" s="87"/>
      <c r="UGW44" s="87"/>
      <c r="UGX44" s="87"/>
      <c r="UGY44" s="87"/>
      <c r="UGZ44" s="87"/>
      <c r="UHA44" s="87"/>
      <c r="UHB44" s="87"/>
      <c r="UHC44" s="87"/>
      <c r="UHD44" s="87"/>
      <c r="UHE44" s="87"/>
      <c r="UHF44" s="87"/>
      <c r="UHG44" s="87"/>
      <c r="UHH44" s="87"/>
      <c r="UHI44" s="87"/>
      <c r="UHJ44" s="87"/>
      <c r="UHK44" s="87"/>
      <c r="UHL44" s="87"/>
      <c r="UHM44" s="87"/>
      <c r="UHN44" s="87"/>
      <c r="UHO44" s="87"/>
      <c r="UHP44" s="87"/>
      <c r="UHQ44" s="87"/>
      <c r="UHR44" s="87"/>
      <c r="UHS44" s="87"/>
      <c r="UHT44" s="87"/>
      <c r="UHU44" s="87"/>
      <c r="UHV44" s="87"/>
      <c r="UHW44" s="87"/>
      <c r="UHX44" s="87"/>
      <c r="UHY44" s="87"/>
      <c r="UHZ44" s="87"/>
      <c r="UIA44" s="87"/>
      <c r="UIB44" s="87"/>
      <c r="UIC44" s="87"/>
      <c r="UID44" s="87"/>
      <c r="UIE44" s="87"/>
      <c r="UIF44" s="87"/>
      <c r="UIG44" s="87"/>
      <c r="UIH44" s="87"/>
      <c r="UII44" s="87"/>
      <c r="UIJ44" s="87"/>
      <c r="UIK44" s="87"/>
      <c r="UIL44" s="87"/>
      <c r="UIM44" s="87"/>
      <c r="UIN44" s="87"/>
      <c r="UIO44" s="87"/>
      <c r="UIP44" s="87"/>
      <c r="UIQ44" s="87"/>
      <c r="UIR44" s="87"/>
      <c r="UIS44" s="87"/>
      <c r="UIT44" s="87"/>
      <c r="UIU44" s="87"/>
      <c r="UIV44" s="87"/>
      <c r="UIW44" s="87"/>
      <c r="UIX44" s="87"/>
      <c r="UIY44" s="87"/>
      <c r="UIZ44" s="87"/>
      <c r="UJA44" s="87"/>
      <c r="UJB44" s="87"/>
      <c r="UJC44" s="87"/>
      <c r="UJD44" s="87"/>
      <c r="UJE44" s="87"/>
      <c r="UJF44" s="87"/>
      <c r="UJG44" s="87"/>
      <c r="UJH44" s="87"/>
      <c r="UJI44" s="87"/>
      <c r="UJJ44" s="87"/>
      <c r="UJK44" s="87"/>
      <c r="UJL44" s="87"/>
      <c r="UJM44" s="87"/>
      <c r="UJN44" s="87"/>
      <c r="UJO44" s="87"/>
      <c r="UJP44" s="87"/>
      <c r="UJQ44" s="87"/>
      <c r="UJR44" s="87"/>
      <c r="UJS44" s="87"/>
      <c r="UJT44" s="87"/>
      <c r="UJU44" s="87"/>
      <c r="UJV44" s="87"/>
      <c r="UJW44" s="87"/>
      <c r="UJX44" s="87"/>
      <c r="UJY44" s="87"/>
      <c r="UJZ44" s="87"/>
      <c r="UKA44" s="87"/>
      <c r="UKB44" s="87"/>
      <c r="UKC44" s="87"/>
      <c r="UKD44" s="87"/>
      <c r="UKE44" s="87"/>
      <c r="UKF44" s="87"/>
      <c r="UKG44" s="87"/>
      <c r="UKH44" s="87"/>
      <c r="UKI44" s="87"/>
      <c r="UKJ44" s="87"/>
      <c r="UKK44" s="87"/>
      <c r="UKL44" s="87"/>
      <c r="UKM44" s="87"/>
      <c r="UKN44" s="87"/>
      <c r="UKO44" s="87"/>
      <c r="UKP44" s="87"/>
      <c r="UKQ44" s="87"/>
      <c r="UKR44" s="87"/>
      <c r="UKS44" s="87"/>
      <c r="UKT44" s="87"/>
      <c r="UKU44" s="87"/>
      <c r="UKV44" s="87"/>
      <c r="UKW44" s="87"/>
      <c r="UKX44" s="87"/>
      <c r="UKY44" s="87"/>
      <c r="UKZ44" s="87"/>
      <c r="ULA44" s="87"/>
      <c r="ULB44" s="87"/>
      <c r="ULC44" s="87"/>
      <c r="ULD44" s="87"/>
      <c r="ULE44" s="87"/>
      <c r="ULF44" s="87"/>
      <c r="ULG44" s="87"/>
      <c r="ULH44" s="87"/>
      <c r="ULI44" s="87"/>
      <c r="ULJ44" s="87"/>
      <c r="ULK44" s="87"/>
      <c r="ULL44" s="87"/>
      <c r="ULM44" s="87"/>
      <c r="ULN44" s="87"/>
      <c r="ULO44" s="87"/>
      <c r="ULP44" s="87"/>
      <c r="ULQ44" s="87"/>
      <c r="ULR44" s="87"/>
      <c r="ULS44" s="87"/>
      <c r="ULT44" s="87"/>
      <c r="ULU44" s="87"/>
      <c r="ULV44" s="87"/>
      <c r="ULW44" s="87"/>
      <c r="ULX44" s="87"/>
      <c r="ULY44" s="87"/>
      <c r="ULZ44" s="87"/>
      <c r="UMA44" s="87"/>
      <c r="UMB44" s="87"/>
      <c r="UMC44" s="87"/>
      <c r="UMD44" s="87"/>
      <c r="UME44" s="87"/>
      <c r="UMF44" s="87"/>
      <c r="UMG44" s="87"/>
      <c r="UMH44" s="87"/>
      <c r="UMI44" s="87"/>
      <c r="UMJ44" s="87"/>
      <c r="UMK44" s="87"/>
      <c r="UML44" s="87"/>
      <c r="UMM44" s="87"/>
      <c r="UMN44" s="87"/>
      <c r="UMO44" s="87"/>
      <c r="UMP44" s="87"/>
      <c r="UMQ44" s="87"/>
      <c r="UMR44" s="87"/>
      <c r="UMS44" s="87"/>
      <c r="UMT44" s="87"/>
      <c r="UMU44" s="87"/>
      <c r="UMV44" s="87"/>
      <c r="UMW44" s="87"/>
      <c r="UMX44" s="87"/>
      <c r="UMY44" s="87"/>
      <c r="UMZ44" s="87"/>
      <c r="UNA44" s="87"/>
      <c r="UNB44" s="87"/>
      <c r="UNC44" s="87"/>
      <c r="UND44" s="87"/>
      <c r="UNE44" s="87"/>
      <c r="UNF44" s="87"/>
      <c r="UNG44" s="87"/>
      <c r="UNH44" s="87"/>
      <c r="UNI44" s="87"/>
      <c r="UNJ44" s="87"/>
      <c r="UNK44" s="87"/>
      <c r="UNL44" s="87"/>
      <c r="UNM44" s="87"/>
      <c r="UNN44" s="87"/>
      <c r="UNO44" s="87"/>
      <c r="UNP44" s="87"/>
      <c r="UNQ44" s="87"/>
      <c r="UNR44" s="87"/>
      <c r="UNS44" s="87"/>
      <c r="UNT44" s="87"/>
      <c r="UNU44" s="87"/>
      <c r="UNV44" s="87"/>
      <c r="UNW44" s="87"/>
      <c r="UNX44" s="87"/>
      <c r="UNY44" s="87"/>
      <c r="UNZ44" s="87"/>
      <c r="UOA44" s="87"/>
      <c r="UOB44" s="87"/>
      <c r="UOC44" s="87"/>
      <c r="UOD44" s="87"/>
      <c r="UOE44" s="87"/>
      <c r="UOF44" s="87"/>
      <c r="UOG44" s="87"/>
      <c r="UOH44" s="87"/>
      <c r="UOI44" s="87"/>
      <c r="UOJ44" s="87"/>
      <c r="UOK44" s="87"/>
      <c r="UOL44" s="87"/>
      <c r="UOM44" s="87"/>
      <c r="UON44" s="87"/>
      <c r="UOO44" s="87"/>
      <c r="UOP44" s="87"/>
      <c r="UOQ44" s="87"/>
      <c r="UOR44" s="87"/>
      <c r="UOS44" s="87"/>
      <c r="UOT44" s="87"/>
      <c r="UOU44" s="87"/>
      <c r="UOV44" s="87"/>
      <c r="UOW44" s="87"/>
      <c r="UOX44" s="87"/>
      <c r="UOY44" s="87"/>
      <c r="UOZ44" s="87"/>
      <c r="UPA44" s="87"/>
      <c r="UPB44" s="87"/>
      <c r="UPC44" s="87"/>
      <c r="UPD44" s="87"/>
      <c r="UPE44" s="87"/>
      <c r="UPF44" s="87"/>
      <c r="UPG44" s="87"/>
      <c r="UPH44" s="87"/>
      <c r="UPI44" s="87"/>
      <c r="UPJ44" s="87"/>
      <c r="UPK44" s="87"/>
      <c r="UPL44" s="87"/>
      <c r="UPM44" s="87"/>
      <c r="UPN44" s="87"/>
      <c r="UPO44" s="87"/>
      <c r="UPP44" s="87"/>
      <c r="UPQ44" s="87"/>
      <c r="UPR44" s="87"/>
      <c r="UPS44" s="87"/>
      <c r="UPT44" s="87"/>
      <c r="UPU44" s="87"/>
      <c r="UPV44" s="87"/>
      <c r="UPW44" s="87"/>
      <c r="UPX44" s="87"/>
      <c r="UPY44" s="87"/>
      <c r="UPZ44" s="87"/>
      <c r="UQA44" s="87"/>
      <c r="UQB44" s="87"/>
      <c r="UQC44" s="87"/>
      <c r="UQD44" s="87"/>
      <c r="UQE44" s="87"/>
      <c r="UQF44" s="87"/>
      <c r="UQG44" s="87"/>
      <c r="UQH44" s="87"/>
      <c r="UQI44" s="87"/>
      <c r="UQJ44" s="87"/>
      <c r="UQK44" s="87"/>
      <c r="UQL44" s="87"/>
      <c r="UQM44" s="87"/>
      <c r="UQN44" s="87"/>
      <c r="UQO44" s="87"/>
      <c r="UQP44" s="87"/>
      <c r="UQQ44" s="87"/>
      <c r="UQR44" s="87"/>
      <c r="UQS44" s="87"/>
      <c r="UQT44" s="87"/>
      <c r="UQU44" s="87"/>
      <c r="UQV44" s="87"/>
      <c r="UQW44" s="87"/>
      <c r="UQX44" s="87"/>
      <c r="UQY44" s="87"/>
      <c r="UQZ44" s="87"/>
      <c r="URA44" s="87"/>
      <c r="URB44" s="87"/>
      <c r="URC44" s="87"/>
      <c r="URD44" s="87"/>
      <c r="URE44" s="87"/>
      <c r="URF44" s="87"/>
      <c r="URG44" s="87"/>
      <c r="URH44" s="87"/>
      <c r="URI44" s="87"/>
      <c r="URJ44" s="87"/>
      <c r="URK44" s="87"/>
      <c r="URL44" s="87"/>
      <c r="URM44" s="87"/>
      <c r="URN44" s="87"/>
      <c r="URO44" s="87"/>
      <c r="URP44" s="87"/>
      <c r="URQ44" s="87"/>
      <c r="URR44" s="87"/>
      <c r="URS44" s="87"/>
      <c r="URT44" s="87"/>
      <c r="URU44" s="87"/>
      <c r="URV44" s="87"/>
      <c r="URW44" s="87"/>
      <c r="URX44" s="87"/>
      <c r="URY44" s="87"/>
      <c r="URZ44" s="87"/>
      <c r="USA44" s="87"/>
      <c r="USB44" s="87"/>
      <c r="USC44" s="87"/>
      <c r="USD44" s="87"/>
      <c r="USE44" s="87"/>
      <c r="USF44" s="87"/>
      <c r="USG44" s="87"/>
      <c r="USH44" s="87"/>
      <c r="USI44" s="87"/>
      <c r="USJ44" s="87"/>
      <c r="USK44" s="87"/>
      <c r="USL44" s="87"/>
      <c r="USM44" s="87"/>
      <c r="USN44" s="87"/>
      <c r="USO44" s="87"/>
      <c r="USP44" s="87"/>
      <c r="USQ44" s="87"/>
      <c r="USR44" s="87"/>
      <c r="USS44" s="87"/>
      <c r="UST44" s="87"/>
      <c r="USU44" s="87"/>
      <c r="USV44" s="87"/>
      <c r="USW44" s="87"/>
      <c r="USX44" s="87"/>
      <c r="USY44" s="87"/>
      <c r="USZ44" s="87"/>
      <c r="UTA44" s="87"/>
      <c r="UTB44" s="87"/>
      <c r="UTC44" s="87"/>
      <c r="UTD44" s="87"/>
      <c r="UTE44" s="87"/>
      <c r="UTF44" s="87"/>
      <c r="UTG44" s="87"/>
      <c r="UTH44" s="87"/>
      <c r="UTI44" s="87"/>
      <c r="UTJ44" s="87"/>
      <c r="UTK44" s="87"/>
      <c r="UTL44" s="87"/>
      <c r="UTM44" s="87"/>
      <c r="UTN44" s="87"/>
      <c r="UTO44" s="87"/>
      <c r="UTP44" s="87"/>
      <c r="UTQ44" s="87"/>
      <c r="UTR44" s="87"/>
      <c r="UTS44" s="87"/>
      <c r="UTT44" s="87"/>
      <c r="UTU44" s="87"/>
      <c r="UTV44" s="87"/>
      <c r="UTW44" s="87"/>
      <c r="UTX44" s="87"/>
      <c r="UTY44" s="87"/>
      <c r="UTZ44" s="87"/>
      <c r="UUA44" s="87"/>
      <c r="UUB44" s="87"/>
      <c r="UUC44" s="87"/>
      <c r="UUD44" s="87"/>
      <c r="UUE44" s="87"/>
      <c r="UUF44" s="87"/>
      <c r="UUG44" s="87"/>
      <c r="UUH44" s="87"/>
      <c r="UUI44" s="87"/>
      <c r="UUJ44" s="87"/>
      <c r="UUK44" s="87"/>
      <c r="UUL44" s="87"/>
      <c r="UUM44" s="87"/>
      <c r="UUN44" s="87"/>
      <c r="UUO44" s="87"/>
      <c r="UUP44" s="87"/>
      <c r="UUQ44" s="87"/>
      <c r="UUR44" s="87"/>
      <c r="UUS44" s="87"/>
      <c r="UUT44" s="87"/>
      <c r="UUU44" s="87"/>
      <c r="UUV44" s="87"/>
      <c r="UUW44" s="87"/>
      <c r="UUX44" s="87"/>
      <c r="UUY44" s="87"/>
      <c r="UUZ44" s="87"/>
      <c r="UVA44" s="87"/>
      <c r="UVB44" s="87"/>
      <c r="UVC44" s="87"/>
      <c r="UVD44" s="87"/>
      <c r="UVE44" s="87"/>
      <c r="UVF44" s="87"/>
      <c r="UVG44" s="87"/>
      <c r="UVH44" s="87"/>
      <c r="UVI44" s="87"/>
      <c r="UVJ44" s="87"/>
      <c r="UVK44" s="87"/>
      <c r="UVL44" s="87"/>
      <c r="UVM44" s="87"/>
      <c r="UVN44" s="87"/>
      <c r="UVO44" s="87"/>
      <c r="UVP44" s="87"/>
      <c r="UVQ44" s="87"/>
      <c r="UVR44" s="87"/>
      <c r="UVS44" s="87"/>
      <c r="UVT44" s="87"/>
      <c r="UVU44" s="87"/>
      <c r="UVV44" s="87"/>
      <c r="UVW44" s="87"/>
      <c r="UVX44" s="87"/>
      <c r="UVY44" s="87"/>
      <c r="UVZ44" s="87"/>
      <c r="UWA44" s="87"/>
      <c r="UWB44" s="87"/>
      <c r="UWC44" s="87"/>
      <c r="UWD44" s="87"/>
      <c r="UWE44" s="87"/>
      <c r="UWF44" s="87"/>
      <c r="UWG44" s="87"/>
      <c r="UWH44" s="87"/>
      <c r="UWI44" s="87"/>
      <c r="UWJ44" s="87"/>
      <c r="UWK44" s="87"/>
      <c r="UWL44" s="87"/>
      <c r="UWM44" s="87"/>
      <c r="UWN44" s="87"/>
      <c r="UWO44" s="87"/>
      <c r="UWP44" s="87"/>
      <c r="UWQ44" s="87"/>
      <c r="UWR44" s="87"/>
      <c r="UWS44" s="87"/>
      <c r="UWT44" s="87"/>
      <c r="UWU44" s="87"/>
      <c r="UWV44" s="87"/>
      <c r="UWW44" s="87"/>
      <c r="UWX44" s="87"/>
      <c r="UWY44" s="87"/>
      <c r="UWZ44" s="87"/>
      <c r="UXA44" s="87"/>
      <c r="UXB44" s="87"/>
      <c r="UXC44" s="87"/>
      <c r="UXD44" s="87"/>
      <c r="UXE44" s="87"/>
      <c r="UXF44" s="87"/>
      <c r="UXG44" s="87"/>
      <c r="UXH44" s="87"/>
      <c r="UXI44" s="87"/>
      <c r="UXJ44" s="87"/>
      <c r="UXK44" s="87"/>
      <c r="UXL44" s="87"/>
      <c r="UXM44" s="87"/>
      <c r="UXN44" s="87"/>
      <c r="UXO44" s="87"/>
      <c r="UXP44" s="87"/>
      <c r="UXQ44" s="87"/>
      <c r="UXR44" s="87"/>
      <c r="UXS44" s="87"/>
      <c r="UXT44" s="87"/>
      <c r="UXU44" s="87"/>
      <c r="UXV44" s="87"/>
      <c r="UXW44" s="87"/>
      <c r="UXX44" s="87"/>
      <c r="UXY44" s="87"/>
      <c r="UXZ44" s="87"/>
      <c r="UYA44" s="87"/>
      <c r="UYB44" s="87"/>
      <c r="UYC44" s="87"/>
      <c r="UYD44" s="87"/>
      <c r="UYE44" s="87"/>
      <c r="UYF44" s="87"/>
      <c r="UYG44" s="87"/>
      <c r="UYH44" s="87"/>
      <c r="UYI44" s="87"/>
      <c r="UYJ44" s="87"/>
      <c r="UYK44" s="87"/>
      <c r="UYL44" s="87"/>
      <c r="UYM44" s="87"/>
      <c r="UYN44" s="87"/>
      <c r="UYO44" s="87"/>
      <c r="UYP44" s="87"/>
      <c r="UYQ44" s="87"/>
      <c r="UYR44" s="87"/>
      <c r="UYS44" s="87"/>
      <c r="UYT44" s="87"/>
      <c r="UYU44" s="87"/>
      <c r="UYV44" s="87"/>
      <c r="UYW44" s="87"/>
      <c r="UYX44" s="87"/>
      <c r="UYY44" s="87"/>
      <c r="UYZ44" s="87"/>
      <c r="UZA44" s="87"/>
      <c r="UZB44" s="87"/>
      <c r="UZC44" s="87"/>
      <c r="UZD44" s="87"/>
      <c r="UZE44" s="87"/>
      <c r="UZF44" s="87"/>
      <c r="UZG44" s="87"/>
      <c r="UZH44" s="87"/>
      <c r="UZI44" s="87"/>
      <c r="UZJ44" s="87"/>
      <c r="UZK44" s="87"/>
      <c r="UZL44" s="87"/>
      <c r="UZM44" s="87"/>
      <c r="UZN44" s="87"/>
      <c r="UZO44" s="87"/>
      <c r="UZP44" s="87"/>
      <c r="UZQ44" s="87"/>
      <c r="UZR44" s="87"/>
      <c r="UZS44" s="87"/>
      <c r="UZT44" s="87"/>
      <c r="UZU44" s="87"/>
      <c r="UZV44" s="87"/>
      <c r="UZW44" s="87"/>
      <c r="UZX44" s="87"/>
      <c r="UZY44" s="87"/>
      <c r="UZZ44" s="87"/>
      <c r="VAA44" s="87"/>
      <c r="VAB44" s="87"/>
      <c r="VAC44" s="87"/>
      <c r="VAD44" s="87"/>
      <c r="VAE44" s="87"/>
      <c r="VAF44" s="87"/>
      <c r="VAG44" s="87"/>
      <c r="VAH44" s="87"/>
      <c r="VAI44" s="87"/>
      <c r="VAJ44" s="87"/>
      <c r="VAK44" s="87"/>
      <c r="VAL44" s="87"/>
      <c r="VAM44" s="87"/>
      <c r="VAN44" s="87"/>
      <c r="VAO44" s="87"/>
      <c r="VAP44" s="87"/>
      <c r="VAQ44" s="87"/>
      <c r="VAR44" s="87"/>
      <c r="VAS44" s="87"/>
      <c r="VAT44" s="87"/>
      <c r="VAU44" s="87"/>
      <c r="VAV44" s="87"/>
      <c r="VAW44" s="87"/>
      <c r="VAX44" s="87"/>
      <c r="VAY44" s="87"/>
      <c r="VAZ44" s="87"/>
      <c r="VBA44" s="87"/>
      <c r="VBB44" s="87"/>
      <c r="VBC44" s="87"/>
      <c r="VBD44" s="87"/>
      <c r="VBE44" s="87"/>
      <c r="VBF44" s="87"/>
      <c r="VBG44" s="87"/>
      <c r="VBH44" s="87"/>
      <c r="VBI44" s="87"/>
      <c r="VBJ44" s="87"/>
      <c r="VBK44" s="87"/>
      <c r="VBL44" s="87"/>
      <c r="VBM44" s="87"/>
      <c r="VBN44" s="87"/>
      <c r="VBO44" s="87"/>
      <c r="VBP44" s="87"/>
      <c r="VBQ44" s="87"/>
      <c r="VBR44" s="87"/>
      <c r="VBS44" s="87"/>
      <c r="VBT44" s="87"/>
      <c r="VBU44" s="87"/>
      <c r="VBV44" s="87"/>
      <c r="VBW44" s="87"/>
      <c r="VBX44" s="87"/>
      <c r="VBY44" s="87"/>
      <c r="VBZ44" s="87"/>
      <c r="VCA44" s="87"/>
      <c r="VCB44" s="87"/>
      <c r="VCC44" s="87"/>
      <c r="VCD44" s="87"/>
      <c r="VCE44" s="87"/>
      <c r="VCF44" s="87"/>
      <c r="VCG44" s="87"/>
      <c r="VCH44" s="87"/>
      <c r="VCI44" s="87"/>
      <c r="VCJ44" s="87"/>
      <c r="VCK44" s="87"/>
      <c r="VCL44" s="87"/>
      <c r="VCM44" s="87"/>
      <c r="VCN44" s="87"/>
      <c r="VCO44" s="87"/>
      <c r="VCP44" s="87"/>
      <c r="VCQ44" s="87"/>
      <c r="VCR44" s="87"/>
      <c r="VCS44" s="87"/>
      <c r="VCT44" s="87"/>
      <c r="VCU44" s="87"/>
      <c r="VCV44" s="87"/>
      <c r="VCW44" s="87"/>
      <c r="VCX44" s="87"/>
      <c r="VCY44" s="87"/>
      <c r="VCZ44" s="87"/>
      <c r="VDA44" s="87"/>
      <c r="VDB44" s="87"/>
      <c r="VDC44" s="87"/>
      <c r="VDD44" s="87"/>
      <c r="VDE44" s="87"/>
      <c r="VDF44" s="87"/>
      <c r="VDG44" s="87"/>
      <c r="VDH44" s="87"/>
      <c r="VDI44" s="87"/>
      <c r="VDJ44" s="87"/>
      <c r="VDK44" s="87"/>
      <c r="VDL44" s="87"/>
      <c r="VDM44" s="87"/>
      <c r="VDN44" s="87"/>
      <c r="VDO44" s="87"/>
      <c r="VDP44" s="87"/>
      <c r="VDQ44" s="87"/>
      <c r="VDR44" s="87"/>
      <c r="VDS44" s="87"/>
      <c r="VDT44" s="87"/>
      <c r="VDU44" s="87"/>
      <c r="VDV44" s="87"/>
      <c r="VDW44" s="87"/>
      <c r="VDX44" s="87"/>
      <c r="VDY44" s="87"/>
      <c r="VDZ44" s="87"/>
      <c r="VEA44" s="87"/>
      <c r="VEB44" s="87"/>
      <c r="VEC44" s="87"/>
      <c r="VED44" s="87"/>
      <c r="VEE44" s="87"/>
      <c r="VEF44" s="87"/>
      <c r="VEG44" s="87"/>
      <c r="VEH44" s="87"/>
      <c r="VEI44" s="87"/>
      <c r="VEJ44" s="87"/>
      <c r="VEK44" s="87"/>
      <c r="VEL44" s="87"/>
      <c r="VEM44" s="87"/>
      <c r="VEN44" s="87"/>
      <c r="VEO44" s="87"/>
      <c r="VEP44" s="87"/>
      <c r="VEQ44" s="87"/>
      <c r="VER44" s="87"/>
      <c r="VES44" s="87"/>
      <c r="VET44" s="87"/>
      <c r="VEU44" s="87"/>
      <c r="VEV44" s="87"/>
      <c r="VEW44" s="87"/>
      <c r="VEX44" s="87"/>
      <c r="VEY44" s="87"/>
      <c r="VEZ44" s="87"/>
      <c r="VFA44" s="87"/>
      <c r="VFB44" s="87"/>
      <c r="VFC44" s="87"/>
      <c r="VFD44" s="87"/>
      <c r="VFE44" s="87"/>
      <c r="VFF44" s="87"/>
      <c r="VFG44" s="87"/>
      <c r="VFH44" s="87"/>
      <c r="VFI44" s="87"/>
      <c r="VFJ44" s="87"/>
      <c r="VFK44" s="87"/>
      <c r="VFL44" s="87"/>
      <c r="VFM44" s="87"/>
      <c r="VFN44" s="87"/>
      <c r="VFO44" s="87"/>
      <c r="VFP44" s="87"/>
      <c r="VFQ44" s="87"/>
      <c r="VFR44" s="87"/>
      <c r="VFS44" s="87"/>
      <c r="VFT44" s="87"/>
      <c r="VFU44" s="87"/>
      <c r="VFV44" s="87"/>
      <c r="VFW44" s="87"/>
      <c r="VFX44" s="87"/>
      <c r="VFY44" s="87"/>
      <c r="VFZ44" s="87"/>
      <c r="VGA44" s="87"/>
      <c r="VGB44" s="87"/>
      <c r="VGC44" s="87"/>
      <c r="VGD44" s="87"/>
      <c r="VGE44" s="87"/>
      <c r="VGF44" s="87"/>
      <c r="VGG44" s="87"/>
      <c r="VGH44" s="87"/>
      <c r="VGI44" s="87"/>
      <c r="VGJ44" s="87"/>
      <c r="VGK44" s="87"/>
      <c r="VGL44" s="87"/>
      <c r="VGM44" s="87"/>
      <c r="VGN44" s="87"/>
      <c r="VGO44" s="87"/>
      <c r="VGP44" s="87"/>
      <c r="VGQ44" s="87"/>
      <c r="VGR44" s="87"/>
      <c r="VGS44" s="87"/>
      <c r="VGT44" s="87"/>
      <c r="VGU44" s="87"/>
      <c r="VGV44" s="87"/>
      <c r="VGW44" s="87"/>
      <c r="VGX44" s="87"/>
      <c r="VGY44" s="87"/>
      <c r="VGZ44" s="87"/>
      <c r="VHA44" s="87"/>
      <c r="VHB44" s="87"/>
      <c r="VHC44" s="87"/>
      <c r="VHD44" s="87"/>
      <c r="VHE44" s="87"/>
      <c r="VHF44" s="87"/>
      <c r="VHG44" s="87"/>
      <c r="VHH44" s="87"/>
      <c r="VHI44" s="87"/>
      <c r="VHJ44" s="87"/>
      <c r="VHK44" s="87"/>
      <c r="VHL44" s="87"/>
      <c r="VHM44" s="87"/>
      <c r="VHN44" s="87"/>
      <c r="VHO44" s="87"/>
      <c r="VHP44" s="87"/>
      <c r="VHQ44" s="87"/>
      <c r="VHR44" s="87"/>
      <c r="VHS44" s="87"/>
      <c r="VHT44" s="87"/>
      <c r="VHU44" s="87"/>
      <c r="VHV44" s="87"/>
      <c r="VHW44" s="87"/>
      <c r="VHX44" s="87"/>
      <c r="VHY44" s="87"/>
      <c r="VHZ44" s="87"/>
      <c r="VIA44" s="87"/>
      <c r="VIB44" s="87"/>
      <c r="VIC44" s="87"/>
      <c r="VID44" s="87"/>
      <c r="VIE44" s="87"/>
      <c r="VIF44" s="87"/>
      <c r="VIG44" s="87"/>
      <c r="VIH44" s="87"/>
      <c r="VII44" s="87"/>
      <c r="VIJ44" s="87"/>
      <c r="VIK44" s="87"/>
      <c r="VIL44" s="87"/>
      <c r="VIM44" s="87"/>
      <c r="VIN44" s="87"/>
      <c r="VIO44" s="87"/>
      <c r="VIP44" s="87"/>
      <c r="VIQ44" s="87"/>
      <c r="VIR44" s="87"/>
      <c r="VIS44" s="87"/>
      <c r="VIT44" s="87"/>
      <c r="VIU44" s="87"/>
      <c r="VIV44" s="87"/>
      <c r="VIW44" s="87"/>
      <c r="VIX44" s="87"/>
      <c r="VIY44" s="87"/>
      <c r="VIZ44" s="87"/>
      <c r="VJA44" s="87"/>
      <c r="VJB44" s="87"/>
      <c r="VJC44" s="87"/>
      <c r="VJD44" s="87"/>
      <c r="VJE44" s="87"/>
      <c r="VJF44" s="87"/>
      <c r="VJG44" s="87"/>
      <c r="VJH44" s="87"/>
      <c r="VJI44" s="87"/>
      <c r="VJJ44" s="87"/>
      <c r="VJK44" s="87"/>
      <c r="VJL44" s="87"/>
      <c r="VJM44" s="87"/>
      <c r="VJN44" s="87"/>
      <c r="VJO44" s="87"/>
      <c r="VJP44" s="87"/>
      <c r="VJQ44" s="87"/>
      <c r="VJR44" s="87"/>
      <c r="VJS44" s="87"/>
      <c r="VJT44" s="87"/>
      <c r="VJU44" s="87"/>
      <c r="VJV44" s="87"/>
      <c r="VJW44" s="87"/>
      <c r="VJX44" s="87"/>
      <c r="VJY44" s="87"/>
      <c r="VJZ44" s="87"/>
      <c r="VKA44" s="87"/>
      <c r="VKB44" s="87"/>
      <c r="VKC44" s="87"/>
      <c r="VKD44" s="87"/>
      <c r="VKE44" s="87"/>
      <c r="VKF44" s="87"/>
      <c r="VKG44" s="87"/>
      <c r="VKH44" s="87"/>
      <c r="VKI44" s="87"/>
      <c r="VKJ44" s="87"/>
      <c r="VKK44" s="87"/>
      <c r="VKL44" s="87"/>
      <c r="VKM44" s="87"/>
      <c r="VKN44" s="87"/>
      <c r="VKO44" s="87"/>
      <c r="VKP44" s="87"/>
      <c r="VKQ44" s="87"/>
      <c r="VKR44" s="87"/>
      <c r="VKS44" s="87"/>
      <c r="VKT44" s="87"/>
      <c r="VKU44" s="87"/>
      <c r="VKV44" s="87"/>
      <c r="VKW44" s="87"/>
      <c r="VKX44" s="87"/>
      <c r="VKY44" s="87"/>
      <c r="VKZ44" s="87"/>
      <c r="VLA44" s="87"/>
      <c r="VLB44" s="87"/>
      <c r="VLC44" s="87"/>
      <c r="VLD44" s="87"/>
      <c r="VLE44" s="87"/>
      <c r="VLF44" s="87"/>
      <c r="VLG44" s="87"/>
      <c r="VLH44" s="87"/>
      <c r="VLI44" s="87"/>
      <c r="VLJ44" s="87"/>
      <c r="VLK44" s="87"/>
      <c r="VLL44" s="87"/>
      <c r="VLM44" s="87"/>
      <c r="VLN44" s="87"/>
      <c r="VLO44" s="87"/>
      <c r="VLP44" s="87"/>
      <c r="VLQ44" s="87"/>
      <c r="VLR44" s="87"/>
      <c r="VLS44" s="87"/>
      <c r="VLT44" s="87"/>
      <c r="VLU44" s="87"/>
      <c r="VLV44" s="87"/>
      <c r="VLW44" s="87"/>
      <c r="VLX44" s="87"/>
      <c r="VLY44" s="87"/>
      <c r="VLZ44" s="87"/>
      <c r="VMA44" s="87"/>
      <c r="VMB44" s="87"/>
      <c r="VMC44" s="87"/>
      <c r="VMD44" s="87"/>
      <c r="VME44" s="87"/>
      <c r="VMF44" s="87"/>
      <c r="VMG44" s="87"/>
      <c r="VMH44" s="87"/>
      <c r="VMI44" s="87"/>
      <c r="VMJ44" s="87"/>
      <c r="VMK44" s="87"/>
      <c r="VML44" s="87"/>
      <c r="VMM44" s="87"/>
      <c r="VMN44" s="87"/>
      <c r="VMO44" s="87"/>
      <c r="VMP44" s="87"/>
      <c r="VMQ44" s="87"/>
      <c r="VMR44" s="87"/>
      <c r="VMS44" s="87"/>
      <c r="VMT44" s="87"/>
      <c r="VMU44" s="87"/>
      <c r="VMV44" s="87"/>
      <c r="VMW44" s="87"/>
      <c r="VMX44" s="87"/>
      <c r="VMY44" s="87"/>
      <c r="VMZ44" s="87"/>
      <c r="VNA44" s="87"/>
      <c r="VNB44" s="87"/>
      <c r="VNC44" s="87"/>
      <c r="VND44" s="87"/>
      <c r="VNE44" s="87"/>
      <c r="VNF44" s="87"/>
      <c r="VNG44" s="87"/>
      <c r="VNH44" s="87"/>
      <c r="VNI44" s="87"/>
      <c r="VNJ44" s="87"/>
      <c r="VNK44" s="87"/>
      <c r="VNL44" s="87"/>
      <c r="VNM44" s="87"/>
      <c r="VNN44" s="87"/>
      <c r="VNO44" s="87"/>
      <c r="VNP44" s="87"/>
      <c r="VNQ44" s="87"/>
      <c r="VNR44" s="87"/>
      <c r="VNS44" s="87"/>
      <c r="VNT44" s="87"/>
      <c r="VNU44" s="87"/>
      <c r="VNV44" s="87"/>
      <c r="VNW44" s="87"/>
      <c r="VNX44" s="87"/>
      <c r="VNY44" s="87"/>
      <c r="VNZ44" s="87"/>
      <c r="VOA44" s="87"/>
      <c r="VOB44" s="87"/>
      <c r="VOC44" s="87"/>
      <c r="VOD44" s="87"/>
      <c r="VOE44" s="87"/>
      <c r="VOF44" s="87"/>
      <c r="VOG44" s="87"/>
      <c r="VOH44" s="87"/>
      <c r="VOI44" s="87"/>
      <c r="VOJ44" s="87"/>
      <c r="VOK44" s="87"/>
      <c r="VOL44" s="87"/>
      <c r="VOM44" s="87"/>
      <c r="VON44" s="87"/>
      <c r="VOO44" s="87"/>
      <c r="VOP44" s="87"/>
      <c r="VOQ44" s="87"/>
      <c r="VOR44" s="87"/>
      <c r="VOS44" s="87"/>
      <c r="VOT44" s="87"/>
      <c r="VOU44" s="87"/>
      <c r="VOV44" s="87"/>
      <c r="VOW44" s="87"/>
      <c r="VOX44" s="87"/>
      <c r="VOY44" s="87"/>
      <c r="VOZ44" s="87"/>
      <c r="VPA44" s="87"/>
      <c r="VPB44" s="87"/>
      <c r="VPC44" s="87"/>
      <c r="VPD44" s="87"/>
      <c r="VPE44" s="87"/>
      <c r="VPF44" s="87"/>
      <c r="VPG44" s="87"/>
      <c r="VPH44" s="87"/>
      <c r="VPI44" s="87"/>
      <c r="VPJ44" s="87"/>
      <c r="VPK44" s="87"/>
      <c r="VPL44" s="87"/>
      <c r="VPM44" s="87"/>
      <c r="VPN44" s="87"/>
      <c r="VPO44" s="87"/>
      <c r="VPP44" s="87"/>
      <c r="VPQ44" s="87"/>
      <c r="VPR44" s="87"/>
      <c r="VPS44" s="87"/>
      <c r="VPT44" s="87"/>
      <c r="VPU44" s="87"/>
      <c r="VPV44" s="87"/>
      <c r="VPW44" s="87"/>
      <c r="VPX44" s="87"/>
      <c r="VPY44" s="87"/>
      <c r="VPZ44" s="87"/>
      <c r="VQA44" s="87"/>
      <c r="VQB44" s="87"/>
      <c r="VQC44" s="87"/>
      <c r="VQD44" s="87"/>
      <c r="VQE44" s="87"/>
      <c r="VQF44" s="87"/>
      <c r="VQG44" s="87"/>
      <c r="VQH44" s="87"/>
      <c r="VQI44" s="87"/>
      <c r="VQJ44" s="87"/>
      <c r="VQK44" s="87"/>
      <c r="VQL44" s="87"/>
      <c r="VQM44" s="87"/>
      <c r="VQN44" s="87"/>
      <c r="VQO44" s="87"/>
      <c r="VQP44" s="87"/>
      <c r="VQQ44" s="87"/>
      <c r="VQR44" s="87"/>
      <c r="VQS44" s="87"/>
      <c r="VQT44" s="87"/>
      <c r="VQU44" s="87"/>
      <c r="VQV44" s="87"/>
      <c r="VQW44" s="87"/>
      <c r="VQX44" s="87"/>
      <c r="VQY44" s="87"/>
      <c r="VQZ44" s="87"/>
      <c r="VRA44" s="87"/>
      <c r="VRB44" s="87"/>
      <c r="VRC44" s="87"/>
      <c r="VRD44" s="87"/>
      <c r="VRE44" s="87"/>
      <c r="VRF44" s="87"/>
      <c r="VRG44" s="87"/>
      <c r="VRH44" s="87"/>
      <c r="VRI44" s="87"/>
      <c r="VRJ44" s="87"/>
      <c r="VRK44" s="87"/>
      <c r="VRL44" s="87"/>
      <c r="VRM44" s="87"/>
      <c r="VRN44" s="87"/>
      <c r="VRO44" s="87"/>
      <c r="VRP44" s="87"/>
      <c r="VRQ44" s="87"/>
      <c r="VRR44" s="87"/>
      <c r="VRS44" s="87"/>
      <c r="VRT44" s="87"/>
      <c r="VRU44" s="87"/>
      <c r="VRV44" s="87"/>
      <c r="VRW44" s="87"/>
      <c r="VRX44" s="87"/>
      <c r="VRY44" s="87"/>
      <c r="VRZ44" s="87"/>
      <c r="VSA44" s="87"/>
      <c r="VSB44" s="87"/>
      <c r="VSC44" s="87"/>
      <c r="VSD44" s="87"/>
      <c r="VSE44" s="87"/>
      <c r="VSF44" s="87"/>
      <c r="VSG44" s="87"/>
      <c r="VSH44" s="87"/>
      <c r="VSI44" s="87"/>
      <c r="VSJ44" s="87"/>
      <c r="VSK44" s="87"/>
      <c r="VSL44" s="87"/>
      <c r="VSM44" s="87"/>
      <c r="VSN44" s="87"/>
      <c r="VSO44" s="87"/>
      <c r="VSP44" s="87"/>
      <c r="VSQ44" s="87"/>
      <c r="VSR44" s="87"/>
      <c r="VSS44" s="87"/>
      <c r="VST44" s="87"/>
      <c r="VSU44" s="87"/>
      <c r="VSV44" s="87"/>
      <c r="VSW44" s="87"/>
      <c r="VSX44" s="87"/>
      <c r="VSY44" s="87"/>
      <c r="VSZ44" s="87"/>
      <c r="VTA44" s="87"/>
      <c r="VTB44" s="87"/>
      <c r="VTC44" s="87"/>
      <c r="VTD44" s="87"/>
      <c r="VTE44" s="87"/>
      <c r="VTF44" s="87"/>
      <c r="VTG44" s="87"/>
      <c r="VTH44" s="87"/>
      <c r="VTI44" s="87"/>
      <c r="VTJ44" s="87"/>
      <c r="VTK44" s="87"/>
      <c r="VTL44" s="87"/>
      <c r="VTM44" s="87"/>
      <c r="VTN44" s="87"/>
      <c r="VTO44" s="87"/>
      <c r="VTP44" s="87"/>
      <c r="VTQ44" s="87"/>
      <c r="VTR44" s="87"/>
      <c r="VTS44" s="87"/>
      <c r="VTT44" s="87"/>
      <c r="VTU44" s="87"/>
      <c r="VTV44" s="87"/>
      <c r="VTW44" s="87"/>
      <c r="VTX44" s="87"/>
      <c r="VTY44" s="87"/>
      <c r="VTZ44" s="87"/>
      <c r="VUA44" s="87"/>
      <c r="VUB44" s="87"/>
      <c r="VUC44" s="87"/>
      <c r="VUD44" s="87"/>
      <c r="VUE44" s="87"/>
      <c r="VUF44" s="87"/>
      <c r="VUG44" s="87"/>
      <c r="VUH44" s="87"/>
      <c r="VUI44" s="87"/>
      <c r="VUJ44" s="87"/>
      <c r="VUK44" s="87"/>
      <c r="VUL44" s="87"/>
      <c r="VUM44" s="87"/>
      <c r="VUN44" s="87"/>
      <c r="VUO44" s="87"/>
      <c r="VUP44" s="87"/>
      <c r="VUQ44" s="87"/>
      <c r="VUR44" s="87"/>
      <c r="VUS44" s="87"/>
      <c r="VUT44" s="87"/>
      <c r="VUU44" s="87"/>
      <c r="VUV44" s="87"/>
      <c r="VUW44" s="87"/>
      <c r="VUX44" s="87"/>
      <c r="VUY44" s="87"/>
      <c r="VUZ44" s="87"/>
      <c r="VVA44" s="87"/>
      <c r="VVB44" s="87"/>
      <c r="VVC44" s="87"/>
      <c r="VVD44" s="87"/>
      <c r="VVE44" s="87"/>
      <c r="VVF44" s="87"/>
      <c r="VVG44" s="87"/>
      <c r="VVH44" s="87"/>
      <c r="VVI44" s="87"/>
      <c r="VVJ44" s="87"/>
      <c r="VVK44" s="87"/>
      <c r="VVL44" s="87"/>
      <c r="VVM44" s="87"/>
      <c r="VVN44" s="87"/>
      <c r="VVO44" s="87"/>
      <c r="VVP44" s="87"/>
      <c r="VVQ44" s="87"/>
      <c r="VVR44" s="87"/>
      <c r="VVS44" s="87"/>
      <c r="VVT44" s="87"/>
      <c r="VVU44" s="87"/>
      <c r="VVV44" s="87"/>
      <c r="VVW44" s="87"/>
      <c r="VVX44" s="87"/>
      <c r="VVY44" s="87"/>
      <c r="VVZ44" s="87"/>
      <c r="VWA44" s="87"/>
      <c r="VWB44" s="87"/>
      <c r="VWC44" s="87"/>
      <c r="VWD44" s="87"/>
      <c r="VWE44" s="87"/>
      <c r="VWF44" s="87"/>
      <c r="VWG44" s="87"/>
      <c r="VWH44" s="87"/>
      <c r="VWI44" s="87"/>
      <c r="VWJ44" s="87"/>
      <c r="VWK44" s="87"/>
      <c r="VWL44" s="87"/>
      <c r="VWM44" s="87"/>
      <c r="VWN44" s="87"/>
      <c r="VWO44" s="87"/>
      <c r="VWP44" s="87"/>
      <c r="VWQ44" s="87"/>
      <c r="VWR44" s="87"/>
      <c r="VWS44" s="87"/>
      <c r="VWT44" s="87"/>
      <c r="VWU44" s="87"/>
      <c r="VWV44" s="87"/>
      <c r="VWW44" s="87"/>
      <c r="VWX44" s="87"/>
      <c r="VWY44" s="87"/>
      <c r="VWZ44" s="87"/>
      <c r="VXA44" s="87"/>
      <c r="VXB44" s="87"/>
      <c r="VXC44" s="87"/>
      <c r="VXD44" s="87"/>
      <c r="VXE44" s="87"/>
      <c r="VXF44" s="87"/>
      <c r="VXG44" s="87"/>
      <c r="VXH44" s="87"/>
      <c r="VXI44" s="87"/>
      <c r="VXJ44" s="87"/>
      <c r="VXK44" s="87"/>
      <c r="VXL44" s="87"/>
      <c r="VXM44" s="87"/>
      <c r="VXN44" s="87"/>
      <c r="VXO44" s="87"/>
      <c r="VXP44" s="87"/>
      <c r="VXQ44" s="87"/>
      <c r="VXR44" s="87"/>
      <c r="VXS44" s="87"/>
      <c r="VXT44" s="87"/>
      <c r="VXU44" s="87"/>
      <c r="VXV44" s="87"/>
      <c r="VXW44" s="87"/>
      <c r="VXX44" s="87"/>
      <c r="VXY44" s="87"/>
      <c r="VXZ44" s="87"/>
      <c r="VYA44" s="87"/>
      <c r="VYB44" s="87"/>
      <c r="VYC44" s="87"/>
      <c r="VYD44" s="87"/>
      <c r="VYE44" s="87"/>
      <c r="VYF44" s="87"/>
      <c r="VYG44" s="87"/>
      <c r="VYH44" s="87"/>
      <c r="VYI44" s="87"/>
      <c r="VYJ44" s="87"/>
      <c r="VYK44" s="87"/>
      <c r="VYL44" s="87"/>
      <c r="VYM44" s="87"/>
      <c r="VYN44" s="87"/>
      <c r="VYO44" s="87"/>
      <c r="VYP44" s="87"/>
      <c r="VYQ44" s="87"/>
      <c r="VYR44" s="87"/>
      <c r="VYS44" s="87"/>
      <c r="VYT44" s="87"/>
      <c r="VYU44" s="87"/>
      <c r="VYV44" s="87"/>
      <c r="VYW44" s="87"/>
      <c r="VYX44" s="87"/>
      <c r="VYY44" s="87"/>
      <c r="VYZ44" s="87"/>
      <c r="VZA44" s="87"/>
      <c r="VZB44" s="87"/>
      <c r="VZC44" s="87"/>
      <c r="VZD44" s="87"/>
      <c r="VZE44" s="87"/>
      <c r="VZF44" s="87"/>
      <c r="VZG44" s="87"/>
      <c r="VZH44" s="87"/>
      <c r="VZI44" s="87"/>
      <c r="VZJ44" s="87"/>
      <c r="VZK44" s="87"/>
      <c r="VZL44" s="87"/>
      <c r="VZM44" s="87"/>
      <c r="VZN44" s="87"/>
      <c r="VZO44" s="87"/>
      <c r="VZP44" s="87"/>
      <c r="VZQ44" s="87"/>
      <c r="VZR44" s="87"/>
      <c r="VZS44" s="87"/>
      <c r="VZT44" s="87"/>
      <c r="VZU44" s="87"/>
      <c r="VZV44" s="87"/>
      <c r="VZW44" s="87"/>
      <c r="VZX44" s="87"/>
      <c r="VZY44" s="87"/>
      <c r="VZZ44" s="87"/>
      <c r="WAA44" s="87"/>
      <c r="WAB44" s="87"/>
      <c r="WAC44" s="87"/>
      <c r="WAD44" s="87"/>
      <c r="WAE44" s="87"/>
      <c r="WAF44" s="87"/>
      <c r="WAG44" s="87"/>
      <c r="WAH44" s="87"/>
      <c r="WAI44" s="87"/>
      <c r="WAJ44" s="87"/>
      <c r="WAK44" s="87"/>
      <c r="WAL44" s="87"/>
      <c r="WAM44" s="87"/>
      <c r="WAN44" s="87"/>
      <c r="WAO44" s="87"/>
      <c r="WAP44" s="87"/>
      <c r="WAQ44" s="87"/>
      <c r="WAR44" s="87"/>
      <c r="WAS44" s="87"/>
      <c r="WAT44" s="87"/>
      <c r="WAU44" s="87"/>
      <c r="WAV44" s="87"/>
      <c r="WAW44" s="87"/>
      <c r="WAX44" s="87"/>
      <c r="WAY44" s="87"/>
      <c r="WAZ44" s="87"/>
      <c r="WBA44" s="87"/>
      <c r="WBB44" s="87"/>
      <c r="WBC44" s="87"/>
      <c r="WBD44" s="87"/>
      <c r="WBE44" s="87"/>
      <c r="WBF44" s="87"/>
      <c r="WBG44" s="87"/>
      <c r="WBH44" s="87"/>
      <c r="WBI44" s="87"/>
      <c r="WBJ44" s="87"/>
      <c r="WBK44" s="87"/>
      <c r="WBL44" s="87"/>
      <c r="WBM44" s="87"/>
      <c r="WBN44" s="87"/>
      <c r="WBO44" s="87"/>
      <c r="WBP44" s="87"/>
      <c r="WBQ44" s="87"/>
      <c r="WBR44" s="87"/>
      <c r="WBS44" s="87"/>
      <c r="WBT44" s="87"/>
      <c r="WBU44" s="87"/>
      <c r="WBV44" s="87"/>
      <c r="WBW44" s="87"/>
      <c r="WBX44" s="87"/>
      <c r="WBY44" s="87"/>
      <c r="WBZ44" s="87"/>
      <c r="WCA44" s="87"/>
      <c r="WCB44" s="87"/>
      <c r="WCC44" s="87"/>
      <c r="WCD44" s="87"/>
      <c r="WCE44" s="87"/>
      <c r="WCF44" s="87"/>
      <c r="WCG44" s="87"/>
      <c r="WCH44" s="87"/>
      <c r="WCI44" s="87"/>
      <c r="WCJ44" s="87"/>
      <c r="WCK44" s="87"/>
      <c r="WCL44" s="87"/>
      <c r="WCM44" s="87"/>
      <c r="WCN44" s="87"/>
      <c r="WCO44" s="87"/>
      <c r="WCP44" s="87"/>
      <c r="WCQ44" s="87"/>
      <c r="WCR44" s="87"/>
      <c r="WCS44" s="87"/>
      <c r="WCT44" s="87"/>
      <c r="WCU44" s="87"/>
      <c r="WCV44" s="87"/>
      <c r="WCW44" s="87"/>
      <c r="WCX44" s="87"/>
      <c r="WCY44" s="87"/>
      <c r="WCZ44" s="87"/>
      <c r="WDA44" s="87"/>
      <c r="WDB44" s="87"/>
      <c r="WDC44" s="87"/>
      <c r="WDD44" s="87"/>
      <c r="WDE44" s="87"/>
      <c r="WDF44" s="87"/>
      <c r="WDG44" s="87"/>
      <c r="WDH44" s="87"/>
      <c r="WDI44" s="87"/>
      <c r="WDJ44" s="87"/>
      <c r="WDK44" s="87"/>
      <c r="WDL44" s="87"/>
      <c r="WDM44" s="87"/>
      <c r="WDN44" s="87"/>
      <c r="WDO44" s="87"/>
      <c r="WDP44" s="87"/>
      <c r="WDQ44" s="87"/>
      <c r="WDR44" s="87"/>
      <c r="WDS44" s="87"/>
      <c r="WDT44" s="87"/>
      <c r="WDU44" s="87"/>
      <c r="WDV44" s="87"/>
      <c r="WDW44" s="87"/>
      <c r="WDX44" s="87"/>
      <c r="WDY44" s="87"/>
      <c r="WDZ44" s="87"/>
      <c r="WEA44" s="87"/>
      <c r="WEB44" s="87"/>
      <c r="WEC44" s="87"/>
      <c r="WED44" s="87"/>
      <c r="WEE44" s="87"/>
      <c r="WEF44" s="87"/>
      <c r="WEG44" s="87"/>
      <c r="WEH44" s="87"/>
      <c r="WEI44" s="87"/>
      <c r="WEJ44" s="87"/>
      <c r="WEK44" s="87"/>
      <c r="WEL44" s="87"/>
      <c r="WEM44" s="87"/>
      <c r="WEN44" s="87"/>
      <c r="WEO44" s="87"/>
      <c r="WEP44" s="87"/>
      <c r="WEQ44" s="87"/>
      <c r="WER44" s="87"/>
      <c r="WES44" s="87"/>
      <c r="WET44" s="87"/>
      <c r="WEU44" s="87"/>
      <c r="WEV44" s="87"/>
      <c r="WEW44" s="87"/>
      <c r="WEX44" s="87"/>
      <c r="WEY44" s="87"/>
      <c r="WEZ44" s="87"/>
      <c r="WFA44" s="87"/>
      <c r="WFB44" s="87"/>
      <c r="WFC44" s="87"/>
      <c r="WFD44" s="87"/>
      <c r="WFE44" s="87"/>
      <c r="WFF44" s="87"/>
      <c r="WFG44" s="87"/>
      <c r="WFH44" s="87"/>
      <c r="WFI44" s="87"/>
      <c r="WFJ44" s="87"/>
      <c r="WFK44" s="87"/>
      <c r="WFL44" s="87"/>
      <c r="WFM44" s="87"/>
      <c r="WFN44" s="87"/>
      <c r="WFO44" s="87"/>
      <c r="WFP44" s="87"/>
      <c r="WFQ44" s="87"/>
      <c r="WFR44" s="87"/>
      <c r="WFS44" s="87"/>
      <c r="WFT44" s="87"/>
      <c r="WFU44" s="87"/>
      <c r="WFV44" s="87"/>
      <c r="WFW44" s="87"/>
      <c r="WFX44" s="87"/>
      <c r="WFY44" s="87"/>
      <c r="WFZ44" s="87"/>
      <c r="WGA44" s="87"/>
      <c r="WGB44" s="87"/>
      <c r="WGC44" s="87"/>
      <c r="WGD44" s="87"/>
      <c r="WGE44" s="87"/>
      <c r="WGF44" s="87"/>
      <c r="WGG44" s="87"/>
      <c r="WGH44" s="87"/>
      <c r="WGI44" s="87"/>
      <c r="WGJ44" s="87"/>
      <c r="WGK44" s="87"/>
      <c r="WGL44" s="87"/>
      <c r="WGM44" s="87"/>
      <c r="WGN44" s="87"/>
      <c r="WGO44" s="87"/>
      <c r="WGP44" s="87"/>
      <c r="WGQ44" s="87"/>
      <c r="WGR44" s="87"/>
      <c r="WGS44" s="87"/>
      <c r="WGT44" s="87"/>
      <c r="WGU44" s="87"/>
      <c r="WGV44" s="87"/>
      <c r="WGW44" s="87"/>
      <c r="WGX44" s="87"/>
      <c r="WGY44" s="87"/>
      <c r="WGZ44" s="87"/>
      <c r="WHA44" s="87"/>
      <c r="WHB44" s="87"/>
      <c r="WHC44" s="87"/>
      <c r="WHD44" s="87"/>
      <c r="WHE44" s="87"/>
      <c r="WHF44" s="87"/>
      <c r="WHG44" s="87"/>
      <c r="WHH44" s="87"/>
      <c r="WHI44" s="87"/>
      <c r="WHJ44" s="87"/>
      <c r="WHK44" s="87"/>
      <c r="WHL44" s="87"/>
      <c r="WHM44" s="87"/>
      <c r="WHN44" s="87"/>
      <c r="WHO44" s="87"/>
      <c r="WHP44" s="87"/>
      <c r="WHQ44" s="87"/>
      <c r="WHR44" s="87"/>
      <c r="WHS44" s="87"/>
      <c r="WHT44" s="87"/>
      <c r="WHU44" s="87"/>
      <c r="WHV44" s="87"/>
      <c r="WHW44" s="87"/>
      <c r="WHX44" s="87"/>
      <c r="WHY44" s="87"/>
      <c r="WHZ44" s="87"/>
      <c r="WIA44" s="87"/>
      <c r="WIB44" s="87"/>
      <c r="WIC44" s="87"/>
      <c r="WID44" s="87"/>
      <c r="WIE44" s="87"/>
      <c r="WIF44" s="87"/>
      <c r="WIG44" s="87"/>
      <c r="WIH44" s="87"/>
      <c r="WII44" s="87"/>
      <c r="WIJ44" s="87"/>
      <c r="WIK44" s="87"/>
      <c r="WIL44" s="87"/>
      <c r="WIM44" s="87"/>
      <c r="WIN44" s="87"/>
      <c r="WIO44" s="87"/>
      <c r="WIP44" s="87"/>
      <c r="WIQ44" s="87"/>
      <c r="WIR44" s="87"/>
      <c r="WIS44" s="87"/>
      <c r="WIT44" s="87"/>
      <c r="WIU44" s="87"/>
      <c r="WIV44" s="87"/>
      <c r="WIW44" s="87"/>
      <c r="WIX44" s="87"/>
      <c r="WIY44" s="87"/>
      <c r="WIZ44" s="87"/>
      <c r="WJA44" s="87"/>
      <c r="WJB44" s="87"/>
      <c r="WJC44" s="87"/>
      <c r="WJD44" s="87"/>
      <c r="WJE44" s="87"/>
      <c r="WJF44" s="87"/>
      <c r="WJG44" s="87"/>
      <c r="WJH44" s="87"/>
      <c r="WJI44" s="87"/>
      <c r="WJJ44" s="87"/>
      <c r="WJK44" s="87"/>
      <c r="WJL44" s="87"/>
      <c r="WJM44" s="87"/>
      <c r="WJN44" s="87"/>
      <c r="WJO44" s="87"/>
      <c r="WJP44" s="87"/>
      <c r="WJQ44" s="87"/>
      <c r="WJR44" s="87"/>
      <c r="WJS44" s="87"/>
      <c r="WJT44" s="87"/>
      <c r="WJU44" s="87"/>
      <c r="WJV44" s="87"/>
      <c r="WJW44" s="87"/>
      <c r="WJX44" s="87"/>
      <c r="WJY44" s="87"/>
      <c r="WJZ44" s="87"/>
      <c r="WKA44" s="87"/>
      <c r="WKB44" s="87"/>
      <c r="WKC44" s="87"/>
      <c r="WKD44" s="87"/>
      <c r="WKE44" s="87"/>
      <c r="WKF44" s="87"/>
      <c r="WKG44" s="87"/>
      <c r="WKH44" s="87"/>
      <c r="WKI44" s="87"/>
      <c r="WKJ44" s="87"/>
      <c r="WKK44" s="87"/>
      <c r="WKL44" s="87"/>
      <c r="WKM44" s="87"/>
      <c r="WKN44" s="87"/>
      <c r="WKO44" s="87"/>
      <c r="WKP44" s="87"/>
      <c r="WKQ44" s="87"/>
      <c r="WKR44" s="87"/>
      <c r="WKS44" s="87"/>
      <c r="WKT44" s="87"/>
      <c r="WKU44" s="87"/>
      <c r="WKV44" s="87"/>
      <c r="WKW44" s="87"/>
      <c r="WKX44" s="87"/>
      <c r="WKY44" s="87"/>
      <c r="WKZ44" s="87"/>
      <c r="WLA44" s="87"/>
      <c r="WLB44" s="87"/>
      <c r="WLC44" s="87"/>
      <c r="WLD44" s="87"/>
      <c r="WLE44" s="87"/>
      <c r="WLF44" s="87"/>
      <c r="WLG44" s="87"/>
      <c r="WLH44" s="87"/>
      <c r="WLI44" s="87"/>
      <c r="WLJ44" s="87"/>
      <c r="WLK44" s="87"/>
      <c r="WLL44" s="87"/>
      <c r="WLM44" s="87"/>
      <c r="WLN44" s="87"/>
      <c r="WLO44" s="87"/>
      <c r="WLP44" s="87"/>
      <c r="WLQ44" s="87"/>
      <c r="WLR44" s="87"/>
      <c r="WLS44" s="87"/>
      <c r="WLT44" s="87"/>
      <c r="WLU44" s="87"/>
      <c r="WLV44" s="87"/>
      <c r="WLW44" s="87"/>
      <c r="WLX44" s="87"/>
      <c r="WLY44" s="87"/>
      <c r="WLZ44" s="87"/>
      <c r="WMA44" s="87"/>
      <c r="WMB44" s="87"/>
      <c r="WMC44" s="87"/>
      <c r="WMD44" s="87"/>
      <c r="WME44" s="87"/>
      <c r="WMF44" s="87"/>
      <c r="WMG44" s="87"/>
      <c r="WMH44" s="87"/>
      <c r="WMI44" s="87"/>
      <c r="WMJ44" s="87"/>
      <c r="WMK44" s="87"/>
      <c r="WML44" s="87"/>
      <c r="WMM44" s="87"/>
      <c r="WMN44" s="87"/>
      <c r="WMO44" s="87"/>
      <c r="WMP44" s="87"/>
      <c r="WMQ44" s="87"/>
      <c r="WMR44" s="87"/>
      <c r="WMS44" s="87"/>
      <c r="WMT44" s="87"/>
      <c r="WMU44" s="87"/>
      <c r="WMV44" s="87"/>
      <c r="WMW44" s="87"/>
      <c r="WMX44" s="87"/>
      <c r="WMY44" s="87"/>
      <c r="WMZ44" s="87"/>
      <c r="WNA44" s="87"/>
      <c r="WNB44" s="87"/>
      <c r="WNC44" s="87"/>
      <c r="WND44" s="87"/>
      <c r="WNE44" s="87"/>
      <c r="WNF44" s="87"/>
      <c r="WNG44" s="87"/>
      <c r="WNH44" s="87"/>
      <c r="WNI44" s="87"/>
      <c r="WNJ44" s="87"/>
      <c r="WNK44" s="87"/>
      <c r="WNL44" s="87"/>
      <c r="WNM44" s="87"/>
      <c r="WNN44" s="87"/>
      <c r="WNO44" s="87"/>
      <c r="WNP44" s="87"/>
      <c r="WNQ44" s="87"/>
      <c r="WNR44" s="87"/>
      <c r="WNS44" s="87"/>
      <c r="WNT44" s="87"/>
      <c r="WNU44" s="87"/>
      <c r="WNV44" s="87"/>
      <c r="WNW44" s="87"/>
      <c r="WNX44" s="87"/>
      <c r="WNY44" s="87"/>
      <c r="WNZ44" s="87"/>
      <c r="WOA44" s="87"/>
      <c r="WOB44" s="87"/>
      <c r="WOC44" s="87"/>
      <c r="WOD44" s="87"/>
      <c r="WOE44" s="87"/>
      <c r="WOF44" s="87"/>
      <c r="WOG44" s="87"/>
      <c r="WOH44" s="87"/>
      <c r="WOI44" s="87"/>
      <c r="WOJ44" s="87"/>
      <c r="WOK44" s="87"/>
      <c r="WOL44" s="87"/>
      <c r="WOM44" s="87"/>
      <c r="WON44" s="87"/>
      <c r="WOO44" s="87"/>
      <c r="WOP44" s="87"/>
      <c r="WOQ44" s="87"/>
      <c r="WOR44" s="87"/>
      <c r="WOS44" s="87"/>
      <c r="WOT44" s="87"/>
      <c r="WOU44" s="87"/>
      <c r="WOV44" s="87"/>
      <c r="WOW44" s="87"/>
      <c r="WOX44" s="87"/>
      <c r="WOY44" s="87"/>
      <c r="WOZ44" s="87"/>
      <c r="WPA44" s="87"/>
      <c r="WPB44" s="87"/>
      <c r="WPC44" s="87"/>
      <c r="WPD44" s="87"/>
      <c r="WPE44" s="87"/>
      <c r="WPF44" s="87"/>
      <c r="WPG44" s="87"/>
      <c r="WPH44" s="87"/>
      <c r="WPI44" s="87"/>
      <c r="WPJ44" s="87"/>
      <c r="WPK44" s="87"/>
      <c r="WPL44" s="87"/>
      <c r="WPM44" s="87"/>
      <c r="WPN44" s="87"/>
      <c r="WPO44" s="87"/>
      <c r="WPP44" s="87"/>
      <c r="WPQ44" s="87"/>
      <c r="WPR44" s="87"/>
      <c r="WPS44" s="87"/>
      <c r="WPT44" s="87"/>
      <c r="WPU44" s="87"/>
      <c r="WPV44" s="87"/>
      <c r="WPW44" s="87"/>
      <c r="WPX44" s="87"/>
      <c r="WPY44" s="87"/>
      <c r="WPZ44" s="87"/>
      <c r="WQA44" s="87"/>
      <c r="WQB44" s="87"/>
      <c r="WQC44" s="87"/>
      <c r="WQD44" s="87"/>
      <c r="WQE44" s="87"/>
      <c r="WQF44" s="87"/>
      <c r="WQG44" s="87"/>
      <c r="WQH44" s="87"/>
      <c r="WQI44" s="87"/>
      <c r="WQJ44" s="87"/>
      <c r="WQK44" s="87"/>
      <c r="WQL44" s="87"/>
      <c r="WQM44" s="87"/>
      <c r="WQN44" s="87"/>
      <c r="WQO44" s="87"/>
      <c r="WQP44" s="87"/>
      <c r="WQQ44" s="87"/>
      <c r="WQR44" s="87"/>
      <c r="WQS44" s="87"/>
      <c r="WQT44" s="87"/>
      <c r="WQU44" s="87"/>
      <c r="WQV44" s="87"/>
      <c r="WQW44" s="87"/>
      <c r="WQX44" s="87"/>
      <c r="WQY44" s="87"/>
      <c r="WQZ44" s="87"/>
      <c r="WRA44" s="87"/>
      <c r="WRB44" s="87"/>
      <c r="WRC44" s="87"/>
      <c r="WRD44" s="87"/>
      <c r="WRE44" s="87"/>
      <c r="WRF44" s="87"/>
      <c r="WRG44" s="87"/>
      <c r="WRH44" s="87"/>
      <c r="WRI44" s="87"/>
      <c r="WRJ44" s="87"/>
      <c r="WRK44" s="87"/>
      <c r="WRL44" s="87"/>
      <c r="WRM44" s="87"/>
      <c r="WRN44" s="87"/>
      <c r="WRO44" s="87"/>
      <c r="WRP44" s="87"/>
      <c r="WRQ44" s="87"/>
      <c r="WRR44" s="87"/>
      <c r="WRS44" s="87"/>
      <c r="WRT44" s="87"/>
      <c r="WRU44" s="87"/>
      <c r="WRV44" s="87"/>
      <c r="WRW44" s="87"/>
      <c r="WRX44" s="87"/>
      <c r="WRY44" s="87"/>
      <c r="WRZ44" s="87"/>
      <c r="WSA44" s="87"/>
      <c r="WSB44" s="87"/>
      <c r="WSC44" s="87"/>
      <c r="WSD44" s="87"/>
      <c r="WSE44" s="87"/>
      <c r="WSF44" s="87"/>
      <c r="WSG44" s="87"/>
      <c r="WSH44" s="87"/>
      <c r="WSI44" s="87"/>
      <c r="WSJ44" s="87"/>
      <c r="WSK44" s="87"/>
      <c r="WSL44" s="87"/>
      <c r="WSM44" s="87"/>
      <c r="WSN44" s="87"/>
      <c r="WSO44" s="87"/>
      <c r="WSP44" s="87"/>
      <c r="WSQ44" s="87"/>
      <c r="WSR44" s="87"/>
      <c r="WSS44" s="87"/>
      <c r="WST44" s="87"/>
      <c r="WSU44" s="87"/>
      <c r="WSV44" s="87"/>
      <c r="WSW44" s="87"/>
      <c r="WSX44" s="87"/>
      <c r="WSY44" s="87"/>
      <c r="WSZ44" s="87"/>
      <c r="WTA44" s="87"/>
      <c r="WTB44" s="87"/>
      <c r="WTC44" s="87"/>
      <c r="WTD44" s="87"/>
      <c r="WTE44" s="87"/>
      <c r="WTF44" s="87"/>
      <c r="WTG44" s="87"/>
      <c r="WTH44" s="87"/>
      <c r="WTI44" s="87"/>
      <c r="WTJ44" s="87"/>
      <c r="WTK44" s="87"/>
      <c r="WTL44" s="87"/>
      <c r="WTM44" s="87"/>
      <c r="WTN44" s="87"/>
      <c r="WTO44" s="87"/>
      <c r="WTP44" s="87"/>
      <c r="WTQ44" s="87"/>
      <c r="WTR44" s="87"/>
      <c r="WTS44" s="87"/>
      <c r="WTT44" s="87"/>
      <c r="WTU44" s="87"/>
      <c r="WTV44" s="87"/>
      <c r="WTW44" s="87"/>
      <c r="WTX44" s="87"/>
      <c r="WTY44" s="87"/>
      <c r="WTZ44" s="87"/>
      <c r="WUA44" s="87"/>
      <c r="WUB44" s="87"/>
      <c r="WUC44" s="87"/>
      <c r="WUD44" s="87"/>
      <c r="WUE44" s="87"/>
      <c r="WUF44" s="87"/>
      <c r="WUG44" s="87"/>
      <c r="WUH44" s="87"/>
      <c r="WUI44" s="87"/>
      <c r="WUJ44" s="87"/>
      <c r="WUK44" s="87"/>
      <c r="WUL44" s="87"/>
      <c r="WUM44" s="87"/>
      <c r="WUN44" s="87"/>
      <c r="WUO44" s="87"/>
      <c r="WUP44" s="87"/>
      <c r="WUQ44" s="87"/>
      <c r="WUR44" s="87"/>
      <c r="WUS44" s="87"/>
      <c r="WUT44" s="87"/>
      <c r="WUU44" s="87"/>
      <c r="WUV44" s="87"/>
      <c r="WUW44" s="87"/>
      <c r="WUX44" s="87"/>
      <c r="WUY44" s="87"/>
      <c r="WUZ44" s="87"/>
      <c r="WVA44" s="87"/>
      <c r="WVB44" s="87"/>
      <c r="WVC44" s="87"/>
      <c r="WVD44" s="87"/>
      <c r="WVE44" s="87"/>
      <c r="WVF44" s="87"/>
      <c r="WVG44" s="87"/>
      <c r="WVH44" s="87"/>
      <c r="WVI44" s="87"/>
      <c r="WVJ44" s="87"/>
      <c r="WVK44" s="87"/>
      <c r="WVL44" s="87"/>
      <c r="WVM44" s="87"/>
      <c r="WVN44" s="87"/>
      <c r="WVO44" s="87"/>
      <c r="WVP44" s="87"/>
      <c r="WVQ44" s="87"/>
      <c r="WVR44" s="87"/>
      <c r="WVS44" s="87"/>
      <c r="WVT44" s="87"/>
      <c r="WVU44" s="87"/>
      <c r="WVV44" s="87"/>
      <c r="WVW44" s="87"/>
      <c r="WVX44" s="87"/>
      <c r="WVY44" s="87"/>
      <c r="WVZ44" s="87"/>
      <c r="WWA44" s="87"/>
      <c r="WWB44" s="87"/>
      <c r="WWC44" s="87"/>
      <c r="WWD44" s="87"/>
      <c r="WWE44" s="87"/>
      <c r="WWF44" s="87"/>
      <c r="WWG44" s="87"/>
      <c r="WWH44" s="87"/>
      <c r="WWI44" s="87"/>
      <c r="WWJ44" s="87"/>
      <c r="WWK44" s="87"/>
      <c r="WWL44" s="87"/>
      <c r="WWM44" s="87"/>
      <c r="WWN44" s="87"/>
      <c r="WWO44" s="87"/>
      <c r="WWP44" s="87"/>
      <c r="WWQ44" s="87"/>
      <c r="WWR44" s="87"/>
      <c r="WWS44" s="87"/>
      <c r="WWT44" s="87"/>
      <c r="WWU44" s="87"/>
      <c r="WWV44" s="87"/>
      <c r="WWW44" s="87"/>
      <c r="WWX44" s="87"/>
      <c r="WWY44" s="87"/>
      <c r="WWZ44" s="87"/>
      <c r="WXA44" s="87"/>
      <c r="WXB44" s="87"/>
      <c r="WXC44" s="87"/>
      <c r="WXD44" s="87"/>
      <c r="WXE44" s="87"/>
      <c r="WXF44" s="87"/>
      <c r="WXG44" s="87"/>
      <c r="WXH44" s="87"/>
      <c r="WXI44" s="87"/>
      <c r="WXJ44" s="87"/>
      <c r="WXK44" s="87"/>
      <c r="WXL44" s="87"/>
      <c r="WXM44" s="87"/>
      <c r="WXN44" s="87"/>
      <c r="WXO44" s="87"/>
      <c r="WXP44" s="87"/>
      <c r="WXQ44" s="87"/>
      <c r="WXR44" s="87"/>
      <c r="WXS44" s="87"/>
      <c r="WXT44" s="87"/>
      <c r="WXU44" s="87"/>
      <c r="WXV44" s="87"/>
      <c r="WXW44" s="87"/>
      <c r="WXX44" s="87"/>
      <c r="WXY44" s="87"/>
      <c r="WXZ44" s="87"/>
      <c r="WYA44" s="87"/>
      <c r="WYB44" s="87"/>
      <c r="WYC44" s="87"/>
      <c r="WYD44" s="87"/>
      <c r="WYE44" s="87"/>
      <c r="WYF44" s="87"/>
      <c r="WYG44" s="87"/>
      <c r="WYH44" s="87"/>
      <c r="WYI44" s="87"/>
      <c r="WYJ44" s="87"/>
      <c r="WYK44" s="87"/>
      <c r="WYL44" s="87"/>
      <c r="WYM44" s="87"/>
      <c r="WYN44" s="87"/>
      <c r="WYO44" s="87"/>
      <c r="WYP44" s="87"/>
      <c r="WYQ44" s="87"/>
      <c r="WYR44" s="87"/>
      <c r="WYS44" s="87"/>
      <c r="WYT44" s="87"/>
      <c r="WYU44" s="87"/>
      <c r="WYV44" s="87"/>
      <c r="WYW44" s="87"/>
      <c r="WYX44" s="87"/>
      <c r="WYY44" s="87"/>
      <c r="WYZ44" s="87"/>
      <c r="WZA44" s="87"/>
      <c r="WZB44" s="87"/>
      <c r="WZC44" s="87"/>
      <c r="WZD44" s="87"/>
      <c r="WZE44" s="87"/>
      <c r="WZF44" s="87"/>
      <c r="WZG44" s="87"/>
      <c r="WZH44" s="87"/>
      <c r="WZI44" s="87"/>
      <c r="WZJ44" s="87"/>
      <c r="WZK44" s="87"/>
      <c r="WZL44" s="87"/>
      <c r="WZM44" s="87"/>
      <c r="WZN44" s="87"/>
      <c r="WZO44" s="87"/>
      <c r="WZP44" s="87"/>
      <c r="WZQ44" s="87"/>
      <c r="WZR44" s="87"/>
      <c r="WZS44" s="87"/>
      <c r="WZT44" s="87"/>
      <c r="WZU44" s="87"/>
      <c r="WZV44" s="87"/>
      <c r="WZW44" s="87"/>
      <c r="WZX44" s="87"/>
      <c r="WZY44" s="87"/>
      <c r="WZZ44" s="87"/>
      <c r="XAA44" s="87"/>
      <c r="XAB44" s="87"/>
      <c r="XAC44" s="87"/>
      <c r="XAD44" s="87"/>
      <c r="XAE44" s="87"/>
      <c r="XAF44" s="87"/>
      <c r="XAG44" s="87"/>
      <c r="XAH44" s="87"/>
      <c r="XAI44" s="87"/>
      <c r="XAJ44" s="87"/>
      <c r="XAK44" s="87"/>
      <c r="XAL44" s="87"/>
      <c r="XAM44" s="87"/>
      <c r="XAN44" s="87"/>
      <c r="XAO44" s="87"/>
      <c r="XAP44" s="87"/>
      <c r="XAQ44" s="87"/>
      <c r="XAR44" s="87"/>
      <c r="XAS44" s="87"/>
      <c r="XAT44" s="87"/>
      <c r="XAU44" s="87"/>
      <c r="XAV44" s="87"/>
      <c r="XAW44" s="87"/>
      <c r="XAX44" s="87"/>
      <c r="XAY44" s="87"/>
      <c r="XAZ44" s="87"/>
      <c r="XBA44" s="87"/>
      <c r="XBB44" s="87"/>
      <c r="XBC44" s="87"/>
      <c r="XBD44" s="87"/>
      <c r="XBE44" s="87"/>
      <c r="XBF44" s="87"/>
      <c r="XBG44" s="87"/>
      <c r="XBH44" s="87"/>
      <c r="XBI44" s="87"/>
      <c r="XBJ44" s="87"/>
      <c r="XBK44" s="87"/>
      <c r="XBL44" s="87"/>
      <c r="XBM44" s="87"/>
      <c r="XBN44" s="87"/>
      <c r="XBO44" s="87"/>
      <c r="XBP44" s="87"/>
      <c r="XBQ44" s="87"/>
      <c r="XBR44" s="87"/>
      <c r="XBS44" s="87"/>
      <c r="XBT44" s="87"/>
      <c r="XBU44" s="87"/>
      <c r="XBV44" s="87"/>
      <c r="XBW44" s="87"/>
      <c r="XBX44" s="87"/>
      <c r="XBY44" s="87"/>
      <c r="XBZ44" s="87"/>
      <c r="XCA44" s="87"/>
      <c r="XCB44" s="87"/>
      <c r="XCC44" s="87"/>
      <c r="XCD44" s="87"/>
      <c r="XCE44" s="87"/>
      <c r="XCF44" s="87"/>
      <c r="XCG44" s="87"/>
      <c r="XCH44" s="87"/>
      <c r="XCI44" s="87"/>
      <c r="XCJ44" s="87"/>
      <c r="XCK44" s="87"/>
      <c r="XCL44" s="87"/>
      <c r="XCM44" s="87"/>
      <c r="XCN44" s="87"/>
      <c r="XCO44" s="87"/>
      <c r="XCP44" s="87"/>
      <c r="XCQ44" s="87"/>
      <c r="XCR44" s="87"/>
      <c r="XCS44" s="87"/>
      <c r="XCT44" s="87"/>
      <c r="XCU44" s="87"/>
      <c r="XCV44" s="87"/>
    </row>
    <row r="45" spans="1:16324" ht="14.5">
      <c r="A45" s="102">
        <v>12</v>
      </c>
      <c r="B45" s="94">
        <v>100</v>
      </c>
      <c r="C45" s="103" t="s">
        <v>1072</v>
      </c>
      <c r="D45" s="100" t="s">
        <v>1070</v>
      </c>
      <c r="E45" s="95">
        <v>220</v>
      </c>
      <c r="F45" s="19" t="s">
        <v>890</v>
      </c>
      <c r="G45" s="96">
        <v>1.5</v>
      </c>
      <c r="H45" s="96">
        <f t="shared" ref="H45" si="300">IF(E45&lt;=230,(G45)/((E45/1000)*J45*(B45/100)),(G45)/(1.732*(E45/1000)*J45*(B45/100)))</f>
        <v>6.8181818181818183</v>
      </c>
      <c r="I45" s="95">
        <v>1</v>
      </c>
      <c r="J45" s="96">
        <v>1</v>
      </c>
      <c r="K45" s="96">
        <f t="shared" ref="K45" si="301">ROUND(SQRT(1-(J45)^2)/J45,2)</f>
        <v>0</v>
      </c>
      <c r="L45" s="97">
        <f t="shared" ref="L45" si="302">I45*G45</f>
        <v>1.5</v>
      </c>
      <c r="M45" s="97">
        <f t="shared" ref="M45" si="303">I45*G45*K45</f>
        <v>0</v>
      </c>
      <c r="N45" s="97">
        <f t="shared" ref="N45" si="304">1*G45^2</f>
        <v>2.25</v>
      </c>
      <c r="O45" s="97"/>
      <c r="P45" s="97"/>
      <c r="Q45" s="97"/>
      <c r="R45" s="97"/>
      <c r="S45" s="97"/>
      <c r="T45" s="97"/>
      <c r="U45" s="86">
        <f>16</f>
        <v>16</v>
      </c>
      <c r="V45" s="86">
        <f t="shared" ref="V45" si="305">7*H45</f>
        <v>47.727272727272727</v>
      </c>
      <c r="W45" s="116" t="s">
        <v>875</v>
      </c>
      <c r="X45" s="87" t="s">
        <v>301</v>
      </c>
      <c r="Y45" s="87">
        <f t="shared" ref="Y45" si="306">IF(U45&lt;=6,6,IF(U45&lt;=10,10,IF(U45&lt;=16,16,IF(U45&lt;=20,20,IF(U45&lt;=25,25,IF(U45&lt;=32,32,IF(U45&lt;=40,40,IF(U45&lt;=50,50,IF(U45&lt;=63,63,"др.выкл")))))))))</f>
        <v>16</v>
      </c>
      <c r="Z45" s="87" t="str">
        <f>INDEX(автоматы!$B$3:$D$11,MATCH(Y45,автоматы!$A$3:$A$11,0),MATCH(X45,кол_пол,0))</f>
        <v>EZ9F34216</v>
      </c>
      <c r="AA45" s="87">
        <f t="shared" ref="AA45" si="307">IF(U45&lt;=0.16,0.16,IF(U45&lt;=0.25,0.25,IF(U45&lt;=0.4,0.4,IF(U45&lt;=0.63,0.63,IF(U45&lt;=1,1,IF(U45&lt;=1.6,1.6,IF(U45&lt;=2.5,2.5,IF(U45&lt;=4,4,IF(U45&lt;=6.3,6.3,IF(U45&lt;=10,10,IF(U45&lt;=14,14,IF(U45&lt;=18,18,IF(U45&lt;=23,23,IF(U45&lt;=25,25,IF(U45&lt;=32,32,"др.авт")))))))))))))))</f>
        <v>18</v>
      </c>
      <c r="AB45" s="87" t="str">
        <f>VLOOKUP(AA45,автоматы!$H$3:$I$17,2,0)</f>
        <v>GZ1 E20</v>
      </c>
      <c r="AC45" s="87">
        <f t="shared" ref="AC45" si="308">IF(U45&lt;=20,20,IF(U45&lt;=25,25,IF(U45&lt;=32,32,IF(U45&lt;=40,40,IF(U45&lt;=50,50,IF(U45&lt;=63,63,IF(U45&lt;=80,80,IF(U45&lt;=100,100,IF(U45&lt;=125,125,IF(U45&lt;=160,160,IF(U45&lt;=200,200,IF(U45&lt;=250,250,IF(U45&lt;=300,300,IF(U45&lt;=320,320,IF(U45&lt;=400,400,IF(U45&lt;=500,500,IF(U45&lt;=630,630,"др.авт")))))))))))))))))</f>
        <v>20</v>
      </c>
      <c r="AD45" s="87" t="str">
        <f>VLOOKUP(AC45,автоматы!$N$3:$O$19,2,0)</f>
        <v>LZMB1-A20-I</v>
      </c>
      <c r="AE45" s="88">
        <f t="shared" ref="AE45" si="309">IF(U45&lt;=6,6,IF(U45&lt;=10,10,IF(U45&lt;=16,16,IF(U45&lt;=20,20,IF(U45&lt;=25,25,IF(U45&lt;=32,32,IF(U45&lt;=40,40,IF(U45&lt;=50,50,IF(U45&lt;=63,63,"др.выкл")))))))))</f>
        <v>16</v>
      </c>
      <c r="AF45" s="87" t="str">
        <f>INDEX(автоматы!$T$2:$V$15,MATCH(AE45,автоматы!$S$2:$S$15,0),MATCH(X45,автоматы!$T$1:$V$1,0))</f>
        <v>iC60N C16 2P</v>
      </c>
      <c r="AG45" s="87">
        <f t="shared" ref="AG45" si="310">IF(U45&lt;=6,6,IF(U45&lt;=10,10,IF(U45&lt;=16,16,IF(U45&lt;=20,20,IF(U45&lt;=25,25,IF(U45&lt;=32,32,IF(U45&lt;=40,40,"др.выкл")))))))</f>
        <v>16</v>
      </c>
      <c r="AH45" s="87" t="str">
        <f>VLOOKUP(AG45,автоматы!$Z$3:$AA$9,2,0)</f>
        <v>A9D31616</v>
      </c>
      <c r="AI45" s="2">
        <f t="shared" ref="AI45" si="311">IF(U45&lt;=15,15,IF(U45&lt;=16,16,IF(U45&lt;=20,20,IF(U45&lt;=25,25,IF(U45&lt;=32,32,IF(U45&lt;=40,40,IF(U45&lt;=45,45,IF(U45&lt;=50,50,IF(U45&lt;=60,60,IF(U45&lt;=63,63,IF(U45&lt;=75,75,IF(U45&lt;=80,80,IF(U45&lt;=100,100,IF(U45&lt;=125,125,IF(U45&lt;=150,150,IF(U45&lt;=160,160,IF(U45&lt;=175,175,IF(U45&lt;=200,200,IF(U45&lt;=225,225,IF(U45&lt;=250,250,IF(U45&lt;=320,320,IF(U45&lt;=350,350,IF(U45&lt;=400,400,"др.выкл")))))))))))))))))))))))</f>
        <v>16</v>
      </c>
      <c r="AJ45" t="str">
        <f>VLOOKUP(AI45,автоматы!$AE$3:$AF$26,2,0)</f>
        <v>EZC100F3016</v>
      </c>
      <c r="AK45" s="3">
        <f t="shared" ref="AK45" si="312">IF(U45&lt;=0.16,0.16,IF(U45&lt;=0.25,0.25,IF(U45&lt;=0.4,0.4,IF(U45&lt;=0.63,0.63,IF(U45&lt;=1,1,IF(U45&lt;=1.6,1.6,IF(U45&lt;=2.5,2.5,IF(U45&lt;=4,4,IF(U45&lt;=6.3,6.3,IF(U45&lt;=10,10,IF(U45&lt;=14,14,IF(U45&lt;=18,18,IF(U45&lt;=23,23,IF(U45&lt;=25,25,IF(U45&lt;=32,32,"др.авт")))))))))))))))</f>
        <v>18</v>
      </c>
      <c r="AL45" t="str">
        <f>VLOOKUP(AK45,DEKraft!$I$2:$J$16,2,0)</f>
        <v>21231DEK</v>
      </c>
      <c r="AM45">
        <f t="shared" ref="AM45" si="313">IF(U45&lt;=0.16,0.16,IF(U45&lt;=0.25,0.25,IF(U45&lt;=0.4,0.4,IF(U45&lt;=0.63,0.63,IF(U45&lt;=1,1,IF(U45&lt;=1.6,1.6,IF(U45&lt;=2.5,2.5,IF(U45&lt;=4,4,IF(U45&lt;=6.3,6.3,IF(U45&lt;=10,10,IF(U45&lt;=14,14,IF(U45&lt;=18,18,IF(U45&lt;=23,23,IF(U45&lt;=25,25,IF(U45&lt;=32,32,"др.авт")))))))))))))))</f>
        <v>18</v>
      </c>
      <c r="AN45" t="str">
        <f>VLOOKUP(AM45,systeme!$A$33:$B$47,2,0)</f>
        <v>GM2ME20</v>
      </c>
      <c r="AO45">
        <f t="shared" ref="AO45" si="314">IF(U45&lt;=0.16,0.16,IF(U45&lt;=0.25,0.25,IF(U45&lt;=0.4,0.4,IF(U45&lt;=0.63,0.63,IF(U45&lt;=1,1,IF(U45&lt;=1.6,1.6,IF(U45&lt;=2.5,2.5,IF(U45&lt;=4,4,IF(U45&lt;=6.3,6.3,IF(U45&lt;=10,10,IF(U45&lt;=14,14,IF(U45&lt;=18,18,IF(U45&lt;=23,23,IF(U45&lt;=25,25,IF(U45&lt;=32,32,"др.авт")))))))))))))))</f>
        <v>18</v>
      </c>
      <c r="AP45">
        <f>VLOOKUP(AO45,chint!$A$34:$B$48,2,0)</f>
        <v>495083</v>
      </c>
      <c r="AQ45" s="3">
        <f t="shared" ref="AQ45" si="315">IF(U45&lt;=6,6,IF(U45&lt;=10,10,IF(U45&lt;=16,16,IF(U45&lt;=20,20,IF(U45&lt;=25,25,IF(U45&lt;=32,32,IF(U45&lt;=40,40,IF(U45&lt;=50,50,IF(U45&lt;=63,63,"др.выкл")))))))))</f>
        <v>16</v>
      </c>
      <c r="AR45" t="str">
        <f>INDEX(DEKraft!$B$2:$D$13,MATCH(AQ45,DEKraft!$A$2:$A$13,0),MATCH(X45,DEKraft!$B$1:$D$1,0))</f>
        <v>13165DEK</v>
      </c>
      <c r="AS45" t="str">
        <f>INDEX(DEKraft!$B$21:$D$32,MATCH(AQ45,DEKraft!$A$21:$A$32,0),MATCH(X45,DEKraft!$B$20:$D$20,0))</f>
        <v>12289DEK</v>
      </c>
      <c r="AT45" t="str">
        <f>INDEX(systeme!$B$2:$D$10,MATCH(AQ45,systeme!$A$2:$A$10,0),MATCH(X45,systeme!$B$1:$D$1,0))</f>
        <v>C9F36216</v>
      </c>
      <c r="AU45">
        <f>INDEX(chint!$B$2:$D$10,MATCH(AQ45,chint!$A$2:$A$10,0),MATCH(X45,chint!$B$1:$D$1,0))</f>
        <v>179658</v>
      </c>
      <c r="AV45" s="3">
        <f t="shared" ref="AV45" si="316">IF(U45&lt;=6,6,IF(U45&lt;=10,10,IF(U45&lt;=16,16,IF(U45&lt;=20,20,IF(U45&lt;=25,25,IF(U45&lt;=32,32,IF(U45&lt;=40,40,"др.выкл")))))))</f>
        <v>16</v>
      </c>
      <c r="AW45" t="str">
        <f>VLOOKUP(AV45,DEKraft!$A$41:$B$47,2,0)</f>
        <v>16204DEK</v>
      </c>
      <c r="AX45">
        <f t="shared" ref="AX45" si="317">IF(U45&lt;=10,10,IF(U45&lt;=16,16,IF(U45&lt;=20,20,IF(U45&lt;=25,25,IF(U45&lt;=32,32,IF(U45&lt;=40,40,"др.выкл"))))))</f>
        <v>16</v>
      </c>
      <c r="AY45" t="str">
        <f>VLOOKUP(AX45,systeme!$G$2:$H$7,2,0)</f>
        <v>C9D36616</v>
      </c>
      <c r="AZ45">
        <f t="shared" ref="AZ45" si="318">IF(U45&lt;=6,6,IF(U45&lt;=10,10,IF(U45&lt;=16,16,IF(U45&lt;=20,20,IF(U45&lt;=25,25,IF(U45&lt;=32,32,IF(U45&lt;=40,40,"др.выкл")))))))</f>
        <v>16</v>
      </c>
      <c r="BA45">
        <f>VLOOKUP(AV45,chint!$G$2:$H$8,2,0)</f>
        <v>689002</v>
      </c>
      <c r="BB45" s="3">
        <f t="shared" ref="BB45" si="319">IF(U45&lt;=25,25,IF(U45&lt;=32,32,IF(U45&lt;=40,40,IF(U45&lt;=50,50,IF(U45&lt;=63,63,IF(U45&lt;=80,80,IF(U45&lt;=100,100,IF(U45&lt;=125,125,IF(U45&lt;=140,140,IF(U45&lt;=160,160,IF(U45&lt;=200,200,IF(U45&lt;=250,250,IF(U45&lt;=320,320,IF(U45&lt;=400,400,IF(U45&lt;=500,500,IF(U45&lt;=630,630,"др.выкл"))))))))))))))))</f>
        <v>25</v>
      </c>
      <c r="BC45" t="str">
        <f>VLOOKUP(BB45,DEKraft!$I$21:$J$36,2,0)</f>
        <v>28100DEK</v>
      </c>
      <c r="BD45">
        <f t="shared" ref="BD45" si="320">IF(U45&lt;=16,16,IF(U45&lt;=25,25,IF(U45&lt;=32,32,IF(U45&lt;=40,40,IF(U45&lt;=50,50,IF(U45&lt;=63,63,IF(U45&lt;=80,80,IF(U45&lt;=100,100,IF(U45&lt;=125,125,IF(U45&lt;=160,160,IF(U45&lt;=200,200,IF(U45&lt;=250,250,IF(U45&lt;=400,400,IF(U45&lt;=500,500,IF(U45&lt;=600,600,"др.авт")))))))))))))))</f>
        <v>16</v>
      </c>
      <c r="BE45" t="str">
        <f>VLOOKUP(BD45,systeme!$A$16:$B$30,2,0)</f>
        <v>SPC100F016L3DF</v>
      </c>
      <c r="BF45">
        <f t="shared" ref="BF45" si="321">IF(U45&lt;=16,16,IF(U45&lt;=25,25,IF(U45&lt;=32,32,IF(U45&lt;=40,40,IF(U45&lt;=50,50,IF(U45&lt;=63,63,IF(U45&lt;=80,80,IF(U45&lt;=100,100,IF(U45&lt;=125,125,IF(U45&lt;=160,160,IF(U45&lt;=200,200,IF(U45&lt;=225,225,IF(U45&lt;=250,250,IF(U45&lt;=315,315,IF(U45&lt;=350,350,IF(U45&lt;=400,400,IF(U45&lt;=500,500,IF(U45&lt;=630,630,"др.выкл"))))))))))))))))))</f>
        <v>16</v>
      </c>
      <c r="BG45" s="4">
        <f>VLOOKUP(BF45,chint!$A$14:$B$31,2,0)</f>
        <v>271581</v>
      </c>
      <c r="BH45">
        <f t="shared" ref="BH45" si="322">IF(U45&lt;=6,6,IF(U45&lt;=10,10,IF(U45&lt;=16,16,IF(U45&lt;=20,20,IF(U45&lt;=25,25,IF(U45&lt;=32,32,IF(U45&lt;=40,40,IF(U45&lt;=50,50,IF(U45&lt;=63,63,"др.выкл")))))))))</f>
        <v>16</v>
      </c>
      <c r="BI45" t="str">
        <f>INDEX(КЭАЗ!$B$2:$E$14,MATCH(BH45,КЭАЗ!$A$2:$A$14,0),MATCH(X45,КЭАЗ!$B$1:$D$1,0))</f>
        <v>kea.341920</v>
      </c>
      <c r="BJ45">
        <f t="shared" ref="BJ45" si="323">IF(U45&lt;=6,6,IF(U45&lt;=10,10,IF(U45&lt;=16,16,IF(U45&lt;=20,20,IF(U45&lt;=25,25,IF(U45&lt;=32,32,IF(U45&lt;=40,40,IF(U45&lt;=50,50,IF(U45&lt;=63,63,IF(U45&lt;=80,80,IF(U45&lt;=100,100,IF(U45&lt;=125,125,"др.выкл"))))))))))))</f>
        <v>16</v>
      </c>
      <c r="BK45" t="str">
        <f>INDEX(hy!$B$2:$D$18,MATCH(BJ45,hy!$A$2:$A$18,0),MATCH(X45,hy!$B$1:$D$1,0))</f>
        <v>HGD63M 2PMCS0000C 00016</v>
      </c>
      <c r="BL45" t="str">
        <f>VLOOKUP(BJ45,hy!$G$2:$H$15,2,0)</f>
        <v>HRO63M 1NG4С0000C00016G</v>
      </c>
      <c r="BM45">
        <f t="shared" ref="BM45" si="324">IF(U45&lt;=0.16,0.16,IF(U45&lt;=0.25,0.25,IF(U45&lt;=0.4,0.4,IF(U45&lt;=0.63,0.63,IF(U45&lt;=1,1,IF(U45&lt;=1.6,1.6,IF(U45&lt;=2.5,2.5,IF(U45&lt;=4,4,IF(U45&lt;=6.3,6.3,IF(U45&lt;=10,10,IF(U45&lt;=14,14,IF(U45&lt;=18,18,IF(U45&lt;=23,23,IF(U45&lt;=25,25,IF(U45&lt;=32,32,"др.авт")))))))))))))))</f>
        <v>18</v>
      </c>
      <c r="BN45" t="str">
        <f>VLOOKUP(BM45,hy!$A$41:$B$55,2,0)</f>
        <v>MMS32K 0018</v>
      </c>
      <c r="BO45">
        <f t="shared" ref="BO45" si="325">IF(U45&lt;=100,100,IF(U45&lt;=125,125,IF(U45&lt;=150,150,IF(U45&lt;=160,160,IF(U45&lt;=175,175,IF(U45&lt;=200,200,IF(U45&lt;=225,225,IF(U45&lt;=250,250,IF(U45&lt;=300,300,IF(U45&lt;=350,350,IF(U45&lt;=400,400,IF(U45&lt;=500,500,IF(U45&lt;=630,630,IF(U45&lt;=700,700,IF(U45&lt;=800,800,"др.выкл")))))))))))))))</f>
        <v>100</v>
      </c>
      <c r="BP45" t="str">
        <f>VLOOKUP(BO45,hy!$A$21:$B$35,2,0)</f>
        <v>HGP100S-G 3PT4S0000C 00100H</v>
      </c>
      <c r="BQ45" s="89">
        <f>IF($W45=автоматы!$D$45,Z45,IF($W45=автоматы!$D$46,AF45,IF($W45=автоматы!$D$47,AH45,IF($W45=автоматы!$D$48,AB45,IF($W45=автоматы!$D$49,AJ45,IF($W45=автоматы!$D$50,AD45,IF($W45=автоматы!$D$51,BI45,IF($W45=автоматы!$D$52,AR45,IF($W45=автоматы!$D$53,AS45,IF($W45=автоматы!$D$54,AW45,IF($W45=автоматы!$D$55,AL45,IF($W45=автоматы!$D$56,BC45,IF($W45=автоматы!$D$57,AT45,IF($W45=автоматы!$D$58,AY45,IF($W45=автоматы!$D$59,AN45,IF($W45=автоматы!$D$60,BE45,IF($W45=автоматы!$D$61,AU45,IF($W45=автоматы!$D$62,BA45,IF($W45=автоматы!$D$63,AP45,IF($W45=автоматы!$D$64,BG45,IF($W45=автоматы!$D$65,BK45,IF($W45=автоматы!$D$66,BL45,IF($W45=автоматы!$D$67,BN45,IF($W45=автоматы!$D$68,BP45,"др"))))))))))))))))))))))))</f>
        <v>689002</v>
      </c>
      <c r="BR45" s="89">
        <f>IF($W45=автоматы!$D$45,Y45,IF($W45=автоматы!$D$46,AE45,IF($W45=автоматы!$D$47,AG45,IF($W45=автоматы!$D$48,AA45,IF($W45=автоматы!$D$49,AI45,IF($W45=автоматы!$D$50,AC45,IF($W45=автоматы!$D$51,BH45,IF($W45=автоматы!$D$52,AQ45,IF($W45=автоматы!$D$53,AQ45,IF($W45=автоматы!$D$54,AV45,IF($W45=автоматы!$D$55,AK45,IF($W45=автоматы!$D$56,BB45,IF($W45=автоматы!$D$57,AQ45,IF($W45=автоматы!$D$58,AX45,IF($W45=автоматы!$D$59,AM45,IF($W45=автоматы!$D$60,BD45,IF($W45=автоматы!$D$61,AQ45,IF($W45=автоматы!$D$62,AZ45,IF($W45=автоматы!$D$63,AO45,IF($W45=автоматы!$D$64,BF45,IF($W45=автоматы!$D$65,BJ45,IF($W45=автоматы!$D$66,BJ45,IF($W45=автоматы!$D$67,BM45,IF($W45=автоматы!$D$68,BO45,"др"))))))))))))))))))))))))</f>
        <v>16</v>
      </c>
      <c r="BS45" s="89" t="str">
        <f>CONCATENATE(IF($W45=автоматы!$A$1,Y45,IF($W45=автоматы!$H$1,VLOOKUP(AA45,автоматы!$H$3:$K$17,3,0),IF($W45=автоматы!$N$1,VLOOKUP(AC45,автоматы!$N$3:$Q$19,3,0),IF($W45=автоматы!$S$17,AE45,IF($W45=автоматы!$Z$1,AG45,IF($W45=автоматы!$AE$1,AI45,"др"))))))," А")</f>
        <v>др А</v>
      </c>
      <c r="BT45" s="89" t="str">
        <f>IF($W45=автоматы!$A$1,Y45*10,IF($W45=автоматы!$H$1,VLOOKUP(AA45,автоматы!$H$3:$K$17,4,0),IF($W45=автоматы!$N$1,VLOOKUP(AC45,автоматы!$N$3:$Q$19,4,0),IF($W45=автоматы!$S$17,AE45*10,IF($W45=автоматы!$Z$1,AG45*10,IF($W45=автоматы!$AE$1,AI45*10,"др"))))))</f>
        <v>др</v>
      </c>
      <c r="BU45" s="85"/>
      <c r="BV45" s="90" t="s">
        <v>147</v>
      </c>
      <c r="BW45" s="90">
        <v>1</v>
      </c>
      <c r="BX45" s="91">
        <v>3</v>
      </c>
      <c r="BY45" s="92">
        <v>1.5</v>
      </c>
      <c r="BZ45" s="91">
        <f>HLOOKUP(BV45,каталог!$CG$1:$CO$22,MATCH(BY45,каталог!$CF$1:$CF$22,0),0)*BW45</f>
        <v>19</v>
      </c>
      <c r="CA45" s="87" t="str">
        <f t="shared" ref="CA45" si="326">CONCATENATE("н",C45,"")</f>
        <v>нВН</v>
      </c>
      <c r="CB45" s="87" t="str">
        <f t="shared" ref="CB45" si="327">CONCATENATE(BV45," ",BX45,"x",BY45)</f>
        <v>ВВГнг(А)-LS 3x1,5</v>
      </c>
      <c r="CC45" s="87"/>
      <c r="CD45" s="87"/>
      <c r="CE45" s="87"/>
      <c r="CF45" s="87"/>
      <c r="CG45" s="87"/>
      <c r="CH45" s="87"/>
      <c r="CI45" s="87"/>
      <c r="CJ45" s="87"/>
      <c r="CK45" s="87"/>
      <c r="CL45" s="87"/>
      <c r="CM45" s="87"/>
      <c r="CN45" s="87"/>
      <c r="CO45" s="87"/>
      <c r="CP45" s="87"/>
      <c r="CQ45" s="87"/>
      <c r="CR45" s="87"/>
      <c r="CS45" s="87"/>
      <c r="CT45" s="87"/>
      <c r="CU45" s="87"/>
      <c r="CV45" s="87"/>
      <c r="CW45" s="87"/>
      <c r="CX45" s="87"/>
      <c r="CY45" s="87"/>
      <c r="CZ45" s="87"/>
      <c r="DA45" s="87"/>
      <c r="DB45" s="87"/>
      <c r="DC45" s="87"/>
      <c r="DD45" s="87"/>
      <c r="DE45" s="87"/>
      <c r="DF45" s="87"/>
      <c r="DG45" s="87"/>
      <c r="DH45" s="87"/>
      <c r="DI45" s="87"/>
      <c r="DJ45" s="87"/>
      <c r="DK45" s="87"/>
      <c r="DL45" s="87"/>
      <c r="DM45" s="87"/>
      <c r="DN45" s="87"/>
      <c r="DO45" s="87"/>
      <c r="DP45" s="87"/>
      <c r="DQ45" s="87"/>
      <c r="DR45" s="87"/>
      <c r="DS45" s="87"/>
      <c r="DT45" s="87"/>
      <c r="DU45" s="87"/>
      <c r="DV45" s="87"/>
      <c r="DW45" s="87"/>
      <c r="DX45" s="87"/>
      <c r="DY45" s="87"/>
      <c r="DZ45" s="87"/>
      <c r="EA45" s="87"/>
      <c r="EB45" s="87"/>
      <c r="EC45" s="87"/>
      <c r="ED45" s="87"/>
      <c r="EE45" s="87"/>
      <c r="EF45" s="87"/>
      <c r="EG45" s="87"/>
      <c r="EH45" s="87"/>
      <c r="EI45" s="87"/>
      <c r="EJ45" s="87"/>
      <c r="EK45" s="87"/>
      <c r="EL45" s="87"/>
      <c r="EM45" s="87"/>
      <c r="EN45" s="87"/>
      <c r="EO45" s="87"/>
      <c r="EP45" s="87"/>
      <c r="EQ45" s="87"/>
      <c r="ER45" s="87"/>
      <c r="ES45" s="87"/>
      <c r="ET45" s="87"/>
      <c r="EU45" s="87"/>
      <c r="EV45" s="87"/>
      <c r="EW45" s="87"/>
      <c r="EX45" s="87"/>
      <c r="EY45" s="87"/>
      <c r="EZ45" s="87"/>
      <c r="FA45" s="87"/>
      <c r="FB45" s="87"/>
      <c r="FC45" s="87"/>
      <c r="FD45" s="87"/>
      <c r="FE45" s="87"/>
      <c r="FF45" s="87"/>
      <c r="FG45" s="87"/>
      <c r="FH45" s="87"/>
      <c r="FI45" s="87"/>
      <c r="FJ45" s="87"/>
      <c r="FK45" s="87"/>
      <c r="FL45" s="87"/>
      <c r="FM45" s="87"/>
      <c r="FN45" s="87"/>
      <c r="FO45" s="87"/>
      <c r="FP45" s="87"/>
      <c r="FQ45" s="87"/>
      <c r="FR45" s="87"/>
      <c r="FS45" s="87"/>
      <c r="FT45" s="87"/>
      <c r="FU45" s="87"/>
      <c r="FV45" s="87"/>
      <c r="FW45" s="87"/>
      <c r="FX45" s="87"/>
      <c r="FY45" s="87"/>
      <c r="FZ45" s="87"/>
      <c r="GA45" s="87"/>
      <c r="GB45" s="87"/>
      <c r="GC45" s="87"/>
      <c r="GD45" s="87"/>
      <c r="GE45" s="87"/>
      <c r="GF45" s="87"/>
      <c r="GG45" s="87"/>
      <c r="GH45" s="87"/>
      <c r="GI45" s="87"/>
      <c r="GJ45" s="87"/>
      <c r="GK45" s="87"/>
      <c r="GL45" s="87"/>
      <c r="GM45" s="87"/>
      <c r="GN45" s="87"/>
      <c r="GO45" s="87"/>
      <c r="GP45" s="87"/>
      <c r="GQ45" s="87"/>
      <c r="GR45" s="87"/>
      <c r="GS45" s="87"/>
      <c r="GT45" s="87"/>
      <c r="GU45" s="87"/>
      <c r="GV45" s="87"/>
      <c r="GW45" s="87"/>
      <c r="GX45" s="87"/>
      <c r="GY45" s="87"/>
      <c r="GZ45" s="87"/>
      <c r="HA45" s="87"/>
      <c r="HB45" s="87"/>
      <c r="HC45" s="87"/>
      <c r="HD45" s="87"/>
      <c r="HE45" s="87"/>
      <c r="HF45" s="87"/>
      <c r="HG45" s="87"/>
      <c r="HH45" s="87"/>
      <c r="HI45" s="87"/>
      <c r="HJ45" s="87"/>
      <c r="HK45" s="87"/>
      <c r="HL45" s="87"/>
      <c r="HM45" s="87"/>
      <c r="HN45" s="87"/>
      <c r="HO45" s="87"/>
      <c r="HP45" s="87"/>
      <c r="HQ45" s="87"/>
      <c r="HR45" s="87"/>
      <c r="HS45" s="87"/>
      <c r="HT45" s="87"/>
      <c r="HU45" s="87"/>
      <c r="HV45" s="87"/>
      <c r="HW45" s="87"/>
      <c r="HX45" s="87"/>
      <c r="HY45" s="87"/>
      <c r="HZ45" s="87"/>
      <c r="IA45" s="87"/>
      <c r="IB45" s="87"/>
      <c r="IC45" s="87"/>
      <c r="ID45" s="87"/>
      <c r="IE45" s="87"/>
      <c r="IF45" s="87"/>
      <c r="IG45" s="87"/>
      <c r="IH45" s="87"/>
      <c r="II45" s="87"/>
      <c r="IJ45" s="87"/>
      <c r="IK45" s="87"/>
      <c r="IL45" s="87"/>
      <c r="IM45" s="87"/>
      <c r="IN45" s="87"/>
      <c r="IO45" s="87"/>
      <c r="IP45" s="87"/>
      <c r="IQ45" s="87"/>
      <c r="IR45" s="87"/>
      <c r="IS45" s="87"/>
      <c r="IT45" s="87"/>
      <c r="IU45" s="87"/>
      <c r="IV45" s="87"/>
      <c r="IW45" s="87"/>
      <c r="IX45" s="87"/>
      <c r="IY45" s="87"/>
      <c r="IZ45" s="87"/>
      <c r="JA45" s="87"/>
      <c r="JB45" s="87"/>
      <c r="JC45" s="87"/>
      <c r="JD45" s="87"/>
      <c r="JE45" s="87"/>
      <c r="JF45" s="87"/>
      <c r="JG45" s="87"/>
      <c r="JH45" s="87"/>
      <c r="JI45" s="87"/>
      <c r="JJ45" s="87"/>
      <c r="JK45" s="87"/>
      <c r="JL45" s="87"/>
      <c r="JM45" s="87"/>
      <c r="JN45" s="87"/>
      <c r="JO45" s="87"/>
      <c r="JP45" s="87"/>
      <c r="JQ45" s="87"/>
      <c r="JR45" s="87"/>
      <c r="JS45" s="87"/>
      <c r="JT45" s="87"/>
      <c r="JU45" s="87"/>
      <c r="JV45" s="87"/>
      <c r="JW45" s="87"/>
      <c r="JX45" s="87"/>
      <c r="JY45" s="87"/>
      <c r="JZ45" s="87"/>
      <c r="KA45" s="87"/>
      <c r="KB45" s="87"/>
      <c r="KC45" s="87"/>
      <c r="KD45" s="87"/>
      <c r="KE45" s="87"/>
      <c r="KF45" s="87"/>
      <c r="KG45" s="87"/>
      <c r="KH45" s="87"/>
      <c r="KI45" s="87"/>
      <c r="KJ45" s="87"/>
      <c r="KK45" s="87"/>
      <c r="KL45" s="87"/>
      <c r="KM45" s="87"/>
      <c r="KN45" s="87"/>
      <c r="KO45" s="87"/>
      <c r="KP45" s="87"/>
      <c r="KQ45" s="87"/>
      <c r="KR45" s="87"/>
      <c r="KS45" s="87"/>
      <c r="KT45" s="87"/>
      <c r="KU45" s="87"/>
      <c r="KV45" s="87"/>
      <c r="KW45" s="87"/>
      <c r="KX45" s="87"/>
      <c r="KY45" s="87"/>
      <c r="KZ45" s="87"/>
      <c r="LA45" s="87"/>
      <c r="LB45" s="87"/>
      <c r="LC45" s="87"/>
      <c r="LD45" s="87"/>
      <c r="LE45" s="87"/>
      <c r="LF45" s="87"/>
      <c r="LG45" s="87"/>
      <c r="LH45" s="87"/>
      <c r="LI45" s="87"/>
      <c r="LJ45" s="87"/>
      <c r="LK45" s="87"/>
      <c r="LL45" s="87"/>
      <c r="LM45" s="87"/>
      <c r="LN45" s="87"/>
      <c r="LO45" s="87"/>
      <c r="LP45" s="87"/>
      <c r="LQ45" s="87"/>
      <c r="LR45" s="87"/>
      <c r="LS45" s="87"/>
      <c r="LT45" s="87"/>
      <c r="LU45" s="87"/>
      <c r="LV45" s="87"/>
      <c r="LW45" s="87"/>
      <c r="LX45" s="87"/>
      <c r="LY45" s="87"/>
      <c r="LZ45" s="87"/>
      <c r="MA45" s="87"/>
      <c r="MB45" s="87"/>
      <c r="MC45" s="87"/>
      <c r="MD45" s="87"/>
      <c r="ME45" s="87"/>
      <c r="MF45" s="87"/>
      <c r="MG45" s="87"/>
      <c r="MH45" s="87"/>
      <c r="MI45" s="87"/>
      <c r="MJ45" s="87"/>
      <c r="MK45" s="87"/>
      <c r="ML45" s="87"/>
      <c r="MM45" s="87"/>
      <c r="MN45" s="87"/>
      <c r="MO45" s="87"/>
      <c r="MP45" s="87"/>
      <c r="MQ45" s="87"/>
      <c r="MR45" s="87"/>
      <c r="MS45" s="87"/>
      <c r="MT45" s="87"/>
      <c r="MU45" s="87"/>
      <c r="MV45" s="87"/>
      <c r="MW45" s="87"/>
      <c r="MX45" s="87"/>
      <c r="MY45" s="87"/>
      <c r="MZ45" s="87"/>
      <c r="NA45" s="87"/>
      <c r="NB45" s="87"/>
      <c r="NC45" s="87"/>
      <c r="ND45" s="87"/>
      <c r="NE45" s="87"/>
      <c r="NF45" s="87"/>
      <c r="NG45" s="87"/>
      <c r="NH45" s="87"/>
      <c r="NI45" s="87"/>
      <c r="NJ45" s="87"/>
      <c r="NK45" s="87"/>
      <c r="NL45" s="87"/>
      <c r="NM45" s="87"/>
      <c r="NN45" s="87"/>
      <c r="NO45" s="87"/>
      <c r="NP45" s="87"/>
      <c r="NQ45" s="87"/>
      <c r="NR45" s="87"/>
      <c r="NS45" s="87"/>
      <c r="NT45" s="87"/>
      <c r="NU45" s="87"/>
      <c r="NV45" s="87"/>
      <c r="NW45" s="87"/>
      <c r="NX45" s="87"/>
      <c r="NY45" s="87"/>
      <c r="NZ45" s="87"/>
      <c r="OA45" s="87"/>
      <c r="OB45" s="87"/>
      <c r="OC45" s="87"/>
      <c r="OD45" s="87"/>
      <c r="OE45" s="87"/>
      <c r="OF45" s="87"/>
      <c r="OG45" s="87"/>
      <c r="OH45" s="87"/>
      <c r="OI45" s="87"/>
      <c r="OJ45" s="87"/>
      <c r="OK45" s="87"/>
      <c r="OL45" s="87"/>
      <c r="OM45" s="87"/>
      <c r="ON45" s="87"/>
      <c r="OO45" s="87"/>
      <c r="OP45" s="87"/>
      <c r="OQ45" s="87"/>
      <c r="OR45" s="87"/>
      <c r="OS45" s="87"/>
      <c r="OT45" s="87"/>
      <c r="OU45" s="87"/>
      <c r="OV45" s="87"/>
      <c r="OW45" s="87"/>
      <c r="OX45" s="87"/>
      <c r="OY45" s="87"/>
      <c r="OZ45" s="87"/>
      <c r="PA45" s="87"/>
      <c r="PB45" s="87"/>
      <c r="PC45" s="87"/>
      <c r="PD45" s="87"/>
      <c r="PE45" s="87"/>
      <c r="PF45" s="87"/>
      <c r="PG45" s="87"/>
      <c r="PH45" s="87"/>
      <c r="PI45" s="87"/>
      <c r="PJ45" s="87"/>
      <c r="PK45" s="87"/>
      <c r="PL45" s="87"/>
      <c r="PM45" s="87"/>
      <c r="PN45" s="87"/>
      <c r="PO45" s="87"/>
      <c r="PP45" s="87"/>
      <c r="PQ45" s="87"/>
      <c r="PR45" s="87"/>
      <c r="PS45" s="87"/>
      <c r="PT45" s="87"/>
      <c r="PU45" s="87"/>
      <c r="PV45" s="87"/>
      <c r="PW45" s="87"/>
      <c r="PX45" s="87"/>
      <c r="PY45" s="87"/>
      <c r="PZ45" s="87"/>
      <c r="QA45" s="87"/>
      <c r="QB45" s="87"/>
      <c r="QC45" s="87"/>
      <c r="QD45" s="87"/>
      <c r="QE45" s="87"/>
      <c r="QF45" s="87"/>
      <c r="QG45" s="87"/>
      <c r="QH45" s="87"/>
      <c r="QI45" s="87"/>
      <c r="QJ45" s="87"/>
      <c r="QK45" s="87"/>
      <c r="QL45" s="87"/>
      <c r="QM45" s="87"/>
      <c r="QN45" s="87"/>
      <c r="QO45" s="87"/>
      <c r="QP45" s="87"/>
      <c r="QQ45" s="87"/>
      <c r="QR45" s="87"/>
      <c r="QS45" s="87"/>
      <c r="QT45" s="87"/>
      <c r="QU45" s="87"/>
      <c r="QV45" s="87"/>
      <c r="QW45" s="87"/>
      <c r="QX45" s="87"/>
      <c r="QY45" s="87"/>
      <c r="QZ45" s="87"/>
      <c r="RA45" s="87"/>
      <c r="RB45" s="87"/>
      <c r="RC45" s="87"/>
      <c r="RD45" s="87"/>
      <c r="RE45" s="87"/>
      <c r="RF45" s="87"/>
      <c r="RG45" s="87"/>
      <c r="RH45" s="87"/>
      <c r="RI45" s="87"/>
      <c r="RJ45" s="87"/>
      <c r="RK45" s="87"/>
      <c r="RL45" s="87"/>
      <c r="RM45" s="87"/>
      <c r="RN45" s="87"/>
      <c r="RO45" s="87"/>
      <c r="RP45" s="87"/>
      <c r="RQ45" s="87"/>
      <c r="RR45" s="87"/>
      <c r="RS45" s="87"/>
      <c r="RT45" s="87"/>
      <c r="RU45" s="87"/>
      <c r="RV45" s="87"/>
      <c r="RW45" s="87"/>
      <c r="RX45" s="87"/>
      <c r="RY45" s="87"/>
      <c r="RZ45" s="87"/>
      <c r="SA45" s="87"/>
      <c r="SB45" s="87"/>
      <c r="SC45" s="87"/>
      <c r="SD45" s="87"/>
      <c r="SE45" s="87"/>
      <c r="SF45" s="87"/>
      <c r="SG45" s="87"/>
      <c r="SH45" s="87"/>
      <c r="SI45" s="87"/>
      <c r="SJ45" s="87"/>
      <c r="SK45" s="87"/>
      <c r="SL45" s="87"/>
      <c r="SM45" s="87"/>
      <c r="SN45" s="87"/>
      <c r="SO45" s="87"/>
      <c r="SP45" s="87"/>
      <c r="SQ45" s="87"/>
      <c r="SR45" s="87"/>
      <c r="SS45" s="87"/>
      <c r="ST45" s="87"/>
      <c r="SU45" s="87"/>
      <c r="SV45" s="87"/>
      <c r="SW45" s="87"/>
      <c r="SX45" s="87"/>
      <c r="SY45" s="87"/>
      <c r="SZ45" s="87"/>
      <c r="TA45" s="87"/>
      <c r="TB45" s="87"/>
      <c r="TC45" s="87"/>
      <c r="TD45" s="87"/>
      <c r="TE45" s="87"/>
      <c r="TF45" s="87"/>
      <c r="TG45" s="87"/>
      <c r="TH45" s="87"/>
      <c r="TI45" s="87"/>
      <c r="TJ45" s="87"/>
      <c r="TK45" s="87"/>
      <c r="TL45" s="87"/>
      <c r="TM45" s="87"/>
      <c r="TN45" s="87"/>
      <c r="TO45" s="87"/>
      <c r="TP45" s="87"/>
      <c r="TQ45" s="87"/>
      <c r="TR45" s="87"/>
      <c r="TS45" s="87"/>
      <c r="TT45" s="87"/>
      <c r="TU45" s="87"/>
      <c r="TV45" s="87"/>
      <c r="TW45" s="87"/>
      <c r="TX45" s="87"/>
      <c r="TY45" s="87"/>
      <c r="TZ45" s="87"/>
      <c r="UA45" s="87"/>
      <c r="UB45" s="87"/>
      <c r="UC45" s="87"/>
      <c r="UD45" s="87"/>
      <c r="UE45" s="87"/>
      <c r="UF45" s="87"/>
      <c r="UG45" s="87"/>
      <c r="UH45" s="87"/>
      <c r="UI45" s="87"/>
      <c r="UJ45" s="87"/>
      <c r="UK45" s="87"/>
      <c r="UL45" s="87"/>
      <c r="UM45" s="87"/>
      <c r="UN45" s="87"/>
      <c r="UO45" s="87"/>
      <c r="UP45" s="87"/>
      <c r="UQ45" s="87"/>
      <c r="UR45" s="87"/>
      <c r="US45" s="87"/>
      <c r="UT45" s="87"/>
      <c r="UU45" s="87"/>
      <c r="UV45" s="87"/>
      <c r="UW45" s="87"/>
      <c r="UX45" s="87"/>
      <c r="UY45" s="87"/>
      <c r="UZ45" s="87"/>
      <c r="VA45" s="87"/>
      <c r="VB45" s="87"/>
      <c r="VC45" s="87"/>
      <c r="VD45" s="87"/>
      <c r="VE45" s="87"/>
      <c r="VF45" s="87"/>
      <c r="VG45" s="87"/>
      <c r="VH45" s="87"/>
      <c r="VI45" s="87"/>
      <c r="VJ45" s="87"/>
      <c r="VK45" s="87"/>
      <c r="VL45" s="87"/>
      <c r="VM45" s="87"/>
      <c r="VN45" s="87"/>
      <c r="VO45" s="87"/>
      <c r="VP45" s="87"/>
      <c r="VQ45" s="87"/>
      <c r="VR45" s="87"/>
      <c r="VS45" s="87"/>
      <c r="VT45" s="87"/>
      <c r="VU45" s="87"/>
      <c r="VV45" s="87"/>
      <c r="VW45" s="87"/>
      <c r="VX45" s="87"/>
      <c r="VY45" s="87"/>
      <c r="VZ45" s="87"/>
      <c r="WA45" s="87"/>
      <c r="WB45" s="87"/>
      <c r="WC45" s="87"/>
      <c r="WD45" s="87"/>
      <c r="WE45" s="87"/>
      <c r="WF45" s="87"/>
      <c r="WG45" s="87"/>
      <c r="WH45" s="87"/>
      <c r="WI45" s="87"/>
      <c r="WJ45" s="87"/>
      <c r="WK45" s="87"/>
      <c r="WL45" s="87"/>
      <c r="WM45" s="87"/>
      <c r="WN45" s="87"/>
      <c r="WO45" s="87"/>
      <c r="WP45" s="87"/>
      <c r="WQ45" s="87"/>
      <c r="WR45" s="87"/>
      <c r="WS45" s="87"/>
      <c r="WT45" s="87"/>
      <c r="WU45" s="87"/>
      <c r="WV45" s="87"/>
      <c r="WW45" s="87"/>
      <c r="WX45" s="87"/>
      <c r="WY45" s="87"/>
      <c r="WZ45" s="87"/>
      <c r="XA45" s="87"/>
      <c r="XB45" s="87"/>
      <c r="XC45" s="87"/>
      <c r="XD45" s="87"/>
      <c r="XE45" s="87"/>
      <c r="XF45" s="87"/>
      <c r="XG45" s="87"/>
      <c r="XH45" s="87"/>
      <c r="XI45" s="87"/>
      <c r="XJ45" s="87"/>
      <c r="XK45" s="87"/>
      <c r="XL45" s="87"/>
      <c r="XM45" s="87"/>
      <c r="XN45" s="87"/>
      <c r="XO45" s="87"/>
      <c r="XP45" s="87"/>
      <c r="XQ45" s="87"/>
      <c r="XR45" s="87"/>
      <c r="XS45" s="87"/>
      <c r="XT45" s="87"/>
      <c r="XU45" s="87"/>
      <c r="XV45" s="87"/>
      <c r="XW45" s="87"/>
      <c r="XX45" s="87"/>
      <c r="XY45" s="87"/>
      <c r="XZ45" s="87"/>
      <c r="YA45" s="87"/>
      <c r="YB45" s="87"/>
      <c r="YC45" s="87"/>
      <c r="YD45" s="87"/>
      <c r="YE45" s="87"/>
      <c r="YF45" s="87"/>
      <c r="YG45" s="87"/>
      <c r="YH45" s="87"/>
      <c r="YI45" s="87"/>
      <c r="YJ45" s="87"/>
      <c r="YK45" s="87"/>
      <c r="YL45" s="87"/>
      <c r="YM45" s="87"/>
      <c r="YN45" s="87"/>
      <c r="YO45" s="87"/>
      <c r="YP45" s="87"/>
      <c r="YQ45" s="87"/>
      <c r="YR45" s="87"/>
      <c r="YS45" s="87"/>
      <c r="YT45" s="87"/>
      <c r="YU45" s="87"/>
      <c r="YV45" s="87"/>
      <c r="YW45" s="87"/>
      <c r="YX45" s="87"/>
      <c r="YY45" s="87"/>
      <c r="YZ45" s="87"/>
      <c r="ZA45" s="87"/>
      <c r="ZB45" s="87"/>
      <c r="ZC45" s="87"/>
      <c r="ZD45" s="87"/>
      <c r="ZE45" s="87"/>
      <c r="ZF45" s="87"/>
      <c r="ZG45" s="87"/>
      <c r="ZH45" s="87"/>
      <c r="ZI45" s="87"/>
      <c r="ZJ45" s="87"/>
      <c r="ZK45" s="87"/>
      <c r="ZL45" s="87"/>
      <c r="ZM45" s="87"/>
      <c r="ZN45" s="87"/>
      <c r="ZO45" s="87"/>
      <c r="ZP45" s="87"/>
      <c r="ZQ45" s="87"/>
      <c r="ZR45" s="87"/>
      <c r="ZS45" s="87"/>
      <c r="ZT45" s="87"/>
      <c r="ZU45" s="87"/>
      <c r="ZV45" s="87"/>
      <c r="ZW45" s="87"/>
      <c r="ZX45" s="87"/>
      <c r="ZY45" s="87"/>
      <c r="ZZ45" s="87"/>
      <c r="AAA45" s="87"/>
      <c r="AAB45" s="87"/>
      <c r="AAC45" s="87"/>
      <c r="AAD45" s="87"/>
      <c r="AAE45" s="87"/>
      <c r="AAF45" s="87"/>
      <c r="AAG45" s="87"/>
      <c r="AAH45" s="87"/>
      <c r="AAI45" s="87"/>
      <c r="AAJ45" s="87"/>
      <c r="AAK45" s="87"/>
      <c r="AAL45" s="87"/>
      <c r="AAM45" s="87"/>
      <c r="AAN45" s="87"/>
      <c r="AAO45" s="87"/>
      <c r="AAP45" s="87"/>
      <c r="AAQ45" s="87"/>
      <c r="AAR45" s="87"/>
      <c r="AAS45" s="87"/>
      <c r="AAT45" s="87"/>
      <c r="AAU45" s="87"/>
      <c r="AAV45" s="87"/>
      <c r="AAW45" s="87"/>
      <c r="AAX45" s="87"/>
      <c r="AAY45" s="87"/>
      <c r="AAZ45" s="87"/>
      <c r="ABA45" s="87"/>
      <c r="ABB45" s="87"/>
      <c r="ABC45" s="87"/>
      <c r="ABD45" s="87"/>
      <c r="ABE45" s="87"/>
      <c r="ABF45" s="87"/>
      <c r="ABG45" s="87"/>
      <c r="ABH45" s="87"/>
      <c r="ABI45" s="87"/>
      <c r="ABJ45" s="87"/>
      <c r="ABK45" s="87"/>
      <c r="ABL45" s="87"/>
      <c r="ABM45" s="87"/>
      <c r="ABN45" s="87"/>
      <c r="ABO45" s="87"/>
      <c r="ABP45" s="87"/>
      <c r="ABQ45" s="87"/>
      <c r="ABR45" s="87"/>
      <c r="ABS45" s="87"/>
      <c r="ABT45" s="87"/>
      <c r="ABU45" s="87"/>
      <c r="ABV45" s="87"/>
      <c r="ABW45" s="87"/>
      <c r="ABX45" s="87"/>
      <c r="ABY45" s="87"/>
      <c r="ABZ45" s="87"/>
      <c r="ACA45" s="87"/>
      <c r="ACB45" s="87"/>
      <c r="ACC45" s="87"/>
      <c r="ACD45" s="87"/>
      <c r="ACE45" s="87"/>
      <c r="ACF45" s="87"/>
      <c r="ACG45" s="87"/>
      <c r="ACH45" s="87"/>
      <c r="ACI45" s="87"/>
      <c r="ACJ45" s="87"/>
      <c r="ACK45" s="87"/>
      <c r="ACL45" s="87"/>
      <c r="ACM45" s="87"/>
      <c r="ACN45" s="87"/>
      <c r="ACO45" s="87"/>
      <c r="ACP45" s="87"/>
      <c r="ACQ45" s="87"/>
      <c r="ACR45" s="87"/>
      <c r="ACS45" s="87"/>
      <c r="ACT45" s="87"/>
      <c r="ACU45" s="87"/>
      <c r="ACV45" s="87"/>
      <c r="ACW45" s="87"/>
      <c r="ACX45" s="87"/>
      <c r="ACY45" s="87"/>
      <c r="ACZ45" s="87"/>
      <c r="ADA45" s="87"/>
      <c r="ADB45" s="87"/>
      <c r="ADC45" s="87"/>
      <c r="ADD45" s="87"/>
      <c r="ADE45" s="87"/>
      <c r="ADF45" s="87"/>
      <c r="ADG45" s="87"/>
      <c r="ADH45" s="87"/>
      <c r="ADI45" s="87"/>
      <c r="ADJ45" s="87"/>
      <c r="ADK45" s="87"/>
      <c r="ADL45" s="87"/>
      <c r="ADM45" s="87"/>
      <c r="ADN45" s="87"/>
      <c r="ADO45" s="87"/>
      <c r="ADP45" s="87"/>
      <c r="ADQ45" s="87"/>
      <c r="ADR45" s="87"/>
      <c r="ADS45" s="87"/>
      <c r="ADT45" s="87"/>
      <c r="ADU45" s="87"/>
      <c r="ADV45" s="87"/>
      <c r="ADW45" s="87"/>
      <c r="ADX45" s="87"/>
      <c r="ADY45" s="87"/>
      <c r="ADZ45" s="87"/>
      <c r="AEA45" s="87"/>
      <c r="AEB45" s="87"/>
      <c r="AEC45" s="87"/>
      <c r="AED45" s="87"/>
      <c r="AEE45" s="87"/>
      <c r="AEF45" s="87"/>
      <c r="AEG45" s="87"/>
      <c r="AEH45" s="87"/>
      <c r="AEI45" s="87"/>
      <c r="AEJ45" s="87"/>
      <c r="AEK45" s="87"/>
      <c r="AEL45" s="87"/>
      <c r="AEM45" s="87"/>
      <c r="AEN45" s="87"/>
      <c r="AEO45" s="87"/>
      <c r="AEP45" s="87"/>
      <c r="AEQ45" s="87"/>
      <c r="AER45" s="87"/>
      <c r="AES45" s="87"/>
      <c r="AET45" s="87"/>
      <c r="AEU45" s="87"/>
      <c r="AEV45" s="87"/>
      <c r="AEW45" s="87"/>
      <c r="AEX45" s="87"/>
      <c r="AEY45" s="87"/>
      <c r="AEZ45" s="87"/>
      <c r="AFA45" s="87"/>
      <c r="AFB45" s="87"/>
      <c r="AFC45" s="87"/>
      <c r="AFD45" s="87"/>
      <c r="AFE45" s="87"/>
      <c r="AFF45" s="87"/>
      <c r="AFG45" s="87"/>
      <c r="AFH45" s="87"/>
      <c r="AFI45" s="87"/>
      <c r="AFJ45" s="87"/>
      <c r="AFK45" s="87"/>
      <c r="AFL45" s="87"/>
      <c r="AFM45" s="87"/>
      <c r="AFN45" s="87"/>
      <c r="AFO45" s="87"/>
      <c r="AFP45" s="87"/>
      <c r="AFQ45" s="87"/>
      <c r="AFR45" s="87"/>
      <c r="AFS45" s="87"/>
      <c r="AFT45" s="87"/>
      <c r="AFU45" s="87"/>
      <c r="AFV45" s="87"/>
      <c r="AFW45" s="87"/>
      <c r="AFX45" s="87"/>
      <c r="AFY45" s="87"/>
      <c r="AFZ45" s="87"/>
      <c r="AGA45" s="87"/>
      <c r="AGB45" s="87"/>
      <c r="AGC45" s="87"/>
      <c r="AGD45" s="87"/>
      <c r="AGE45" s="87"/>
      <c r="AGF45" s="87"/>
      <c r="AGG45" s="87"/>
      <c r="AGH45" s="87"/>
      <c r="AGI45" s="87"/>
      <c r="AGJ45" s="87"/>
      <c r="AGK45" s="87"/>
      <c r="AGL45" s="87"/>
      <c r="AGM45" s="87"/>
      <c r="AGN45" s="87"/>
      <c r="AGO45" s="87"/>
      <c r="AGP45" s="87"/>
      <c r="AGQ45" s="87"/>
      <c r="AGR45" s="87"/>
      <c r="AGS45" s="87"/>
      <c r="AGT45" s="87"/>
      <c r="AGU45" s="87"/>
      <c r="AGV45" s="87"/>
      <c r="AGW45" s="87"/>
      <c r="AGX45" s="87"/>
      <c r="AGY45" s="87"/>
      <c r="AGZ45" s="87"/>
      <c r="AHA45" s="87"/>
      <c r="AHB45" s="87"/>
      <c r="AHC45" s="87"/>
      <c r="AHD45" s="87"/>
      <c r="AHE45" s="87"/>
      <c r="AHF45" s="87"/>
      <c r="AHG45" s="87"/>
      <c r="AHH45" s="87"/>
      <c r="AHI45" s="87"/>
      <c r="AHJ45" s="87"/>
      <c r="AHK45" s="87"/>
      <c r="AHL45" s="87"/>
      <c r="AHM45" s="87"/>
      <c r="AHN45" s="87"/>
      <c r="AHO45" s="87"/>
      <c r="AHP45" s="87"/>
      <c r="AHQ45" s="87"/>
      <c r="AHR45" s="87"/>
      <c r="AHS45" s="87"/>
      <c r="AHT45" s="87"/>
      <c r="AHU45" s="87"/>
      <c r="AHV45" s="87"/>
      <c r="AHW45" s="87"/>
      <c r="AHX45" s="87"/>
      <c r="AHY45" s="87"/>
      <c r="AHZ45" s="87"/>
      <c r="AIA45" s="87"/>
      <c r="AIB45" s="87"/>
      <c r="AIC45" s="87"/>
      <c r="AID45" s="87"/>
      <c r="AIE45" s="87"/>
      <c r="AIF45" s="87"/>
      <c r="AIG45" s="87"/>
      <c r="AIH45" s="87"/>
      <c r="AII45" s="87"/>
      <c r="AIJ45" s="87"/>
      <c r="AIK45" s="87"/>
      <c r="AIL45" s="87"/>
      <c r="AIM45" s="87"/>
      <c r="AIN45" s="87"/>
      <c r="AIO45" s="87"/>
      <c r="AIP45" s="87"/>
      <c r="AIQ45" s="87"/>
      <c r="AIR45" s="87"/>
      <c r="AIS45" s="87"/>
      <c r="AIT45" s="87"/>
      <c r="AIU45" s="87"/>
      <c r="AIV45" s="87"/>
      <c r="AIW45" s="87"/>
      <c r="AIX45" s="87"/>
      <c r="AIY45" s="87"/>
      <c r="AIZ45" s="87"/>
      <c r="AJA45" s="87"/>
      <c r="AJB45" s="87"/>
      <c r="AJC45" s="87"/>
      <c r="AJD45" s="87"/>
      <c r="AJE45" s="87"/>
      <c r="AJF45" s="87"/>
      <c r="AJG45" s="87"/>
      <c r="AJH45" s="87"/>
      <c r="AJI45" s="87"/>
      <c r="AJJ45" s="87"/>
      <c r="AJK45" s="87"/>
      <c r="AJL45" s="87"/>
      <c r="AJM45" s="87"/>
      <c r="AJN45" s="87"/>
      <c r="AJO45" s="87"/>
      <c r="AJP45" s="87"/>
      <c r="AJQ45" s="87"/>
      <c r="AJR45" s="87"/>
      <c r="AJS45" s="87"/>
      <c r="AJT45" s="87"/>
      <c r="AJU45" s="87"/>
      <c r="AJV45" s="87"/>
      <c r="AJW45" s="87"/>
      <c r="AJX45" s="87"/>
      <c r="AJY45" s="87"/>
      <c r="AJZ45" s="87"/>
      <c r="AKA45" s="87"/>
      <c r="AKB45" s="87"/>
      <c r="AKC45" s="87"/>
      <c r="AKD45" s="87"/>
      <c r="AKE45" s="87"/>
      <c r="AKF45" s="87"/>
      <c r="AKG45" s="87"/>
      <c r="AKH45" s="87"/>
      <c r="AKI45" s="87"/>
      <c r="AKJ45" s="87"/>
      <c r="AKK45" s="87"/>
      <c r="AKL45" s="87"/>
      <c r="AKM45" s="87"/>
      <c r="AKN45" s="87"/>
      <c r="AKO45" s="87"/>
      <c r="AKP45" s="87"/>
      <c r="AKQ45" s="87"/>
      <c r="AKR45" s="87"/>
      <c r="AKS45" s="87"/>
      <c r="AKT45" s="87"/>
      <c r="AKU45" s="87"/>
      <c r="AKV45" s="87"/>
      <c r="AKW45" s="87"/>
      <c r="AKX45" s="87"/>
      <c r="AKY45" s="87"/>
      <c r="AKZ45" s="87"/>
      <c r="ALA45" s="87"/>
      <c r="ALB45" s="87"/>
      <c r="ALC45" s="87"/>
      <c r="ALD45" s="87"/>
      <c r="ALE45" s="87"/>
      <c r="ALF45" s="87"/>
      <c r="ALG45" s="87"/>
      <c r="ALH45" s="87"/>
      <c r="ALI45" s="87"/>
      <c r="ALJ45" s="87"/>
      <c r="ALK45" s="87"/>
      <c r="ALL45" s="87"/>
      <c r="ALM45" s="87"/>
      <c r="ALN45" s="87"/>
      <c r="ALO45" s="87"/>
      <c r="ALP45" s="87"/>
      <c r="ALQ45" s="87"/>
      <c r="ALR45" s="87"/>
      <c r="ALS45" s="87"/>
      <c r="ALT45" s="87"/>
      <c r="ALU45" s="87"/>
      <c r="ALV45" s="87"/>
      <c r="ALW45" s="87"/>
      <c r="ALX45" s="87"/>
      <c r="ALY45" s="87"/>
      <c r="ALZ45" s="87"/>
      <c r="AMA45" s="87"/>
      <c r="AMB45" s="87"/>
      <c r="AMC45" s="87"/>
      <c r="AMD45" s="87"/>
      <c r="AME45" s="87"/>
      <c r="AMF45" s="87"/>
      <c r="AMG45" s="87"/>
      <c r="AMH45" s="87"/>
      <c r="AMI45" s="87"/>
      <c r="AMJ45" s="87"/>
      <c r="AMK45" s="87"/>
      <c r="AML45" s="87"/>
      <c r="AMM45" s="87"/>
      <c r="AMN45" s="87"/>
      <c r="AMO45" s="87"/>
      <c r="AMP45" s="87"/>
      <c r="AMQ45" s="87"/>
      <c r="AMR45" s="87"/>
      <c r="AMS45" s="87"/>
      <c r="AMT45" s="87"/>
      <c r="AMU45" s="87"/>
      <c r="AMV45" s="87"/>
      <c r="AMW45" s="87"/>
      <c r="AMX45" s="87"/>
      <c r="AMY45" s="87"/>
      <c r="AMZ45" s="87"/>
      <c r="ANA45" s="87"/>
      <c r="ANB45" s="87"/>
      <c r="ANC45" s="87"/>
      <c r="AND45" s="87"/>
      <c r="ANE45" s="87"/>
      <c r="ANF45" s="87"/>
      <c r="ANG45" s="87"/>
      <c r="ANH45" s="87"/>
      <c r="ANI45" s="87"/>
      <c r="ANJ45" s="87"/>
      <c r="ANK45" s="87"/>
      <c r="ANL45" s="87"/>
      <c r="ANM45" s="87"/>
      <c r="ANN45" s="87"/>
      <c r="ANO45" s="87"/>
      <c r="ANP45" s="87"/>
      <c r="ANQ45" s="87"/>
      <c r="ANR45" s="87"/>
      <c r="ANS45" s="87"/>
      <c r="ANT45" s="87"/>
      <c r="ANU45" s="87"/>
      <c r="ANV45" s="87"/>
      <c r="ANW45" s="87"/>
      <c r="ANX45" s="87"/>
      <c r="ANY45" s="87"/>
      <c r="ANZ45" s="87"/>
      <c r="AOA45" s="87"/>
      <c r="AOB45" s="87"/>
      <c r="AOC45" s="87"/>
      <c r="AOD45" s="87"/>
      <c r="AOE45" s="87"/>
      <c r="AOF45" s="87"/>
      <c r="AOG45" s="87"/>
      <c r="AOH45" s="87"/>
      <c r="AOI45" s="87"/>
      <c r="AOJ45" s="87"/>
      <c r="AOK45" s="87"/>
      <c r="AOL45" s="87"/>
      <c r="AOM45" s="87"/>
      <c r="AON45" s="87"/>
      <c r="AOO45" s="87"/>
      <c r="AOP45" s="87"/>
      <c r="AOQ45" s="87"/>
      <c r="AOR45" s="87"/>
      <c r="AOS45" s="87"/>
      <c r="AOT45" s="87"/>
      <c r="AOU45" s="87"/>
      <c r="AOV45" s="87"/>
      <c r="AOW45" s="87"/>
      <c r="AOX45" s="87"/>
      <c r="AOY45" s="87"/>
      <c r="AOZ45" s="87"/>
      <c r="APA45" s="87"/>
      <c r="APB45" s="87"/>
      <c r="APC45" s="87"/>
      <c r="APD45" s="87"/>
      <c r="APE45" s="87"/>
      <c r="APF45" s="87"/>
      <c r="APG45" s="87"/>
      <c r="APH45" s="87"/>
      <c r="API45" s="87"/>
      <c r="APJ45" s="87"/>
      <c r="APK45" s="87"/>
      <c r="APL45" s="87"/>
      <c r="APM45" s="87"/>
      <c r="APN45" s="87"/>
      <c r="APO45" s="87"/>
      <c r="APP45" s="87"/>
      <c r="APQ45" s="87"/>
      <c r="APR45" s="87"/>
      <c r="APS45" s="87"/>
      <c r="APT45" s="87"/>
      <c r="APU45" s="87"/>
      <c r="APV45" s="87"/>
      <c r="APW45" s="87"/>
      <c r="APX45" s="87"/>
      <c r="APY45" s="87"/>
      <c r="APZ45" s="87"/>
      <c r="AQA45" s="87"/>
      <c r="AQB45" s="87"/>
      <c r="AQC45" s="87"/>
      <c r="AQD45" s="87"/>
      <c r="AQE45" s="87"/>
      <c r="AQF45" s="87"/>
      <c r="AQG45" s="87"/>
      <c r="AQH45" s="87"/>
      <c r="AQI45" s="87"/>
      <c r="AQJ45" s="87"/>
      <c r="AQK45" s="87"/>
      <c r="AQL45" s="87"/>
      <c r="AQM45" s="87"/>
      <c r="AQN45" s="87"/>
      <c r="AQO45" s="87"/>
      <c r="AQP45" s="87"/>
      <c r="AQQ45" s="87"/>
      <c r="AQR45" s="87"/>
      <c r="AQS45" s="87"/>
      <c r="AQT45" s="87"/>
      <c r="AQU45" s="87"/>
      <c r="AQV45" s="87"/>
      <c r="AQW45" s="87"/>
      <c r="AQX45" s="87"/>
      <c r="AQY45" s="87"/>
      <c r="AQZ45" s="87"/>
      <c r="ARA45" s="87"/>
      <c r="ARB45" s="87"/>
      <c r="ARC45" s="87"/>
      <c r="ARD45" s="87"/>
      <c r="ARE45" s="87"/>
      <c r="ARF45" s="87"/>
      <c r="ARG45" s="87"/>
      <c r="ARH45" s="87"/>
      <c r="ARI45" s="87"/>
      <c r="ARJ45" s="87"/>
      <c r="ARK45" s="87"/>
      <c r="ARL45" s="87"/>
      <c r="ARM45" s="87"/>
      <c r="ARN45" s="87"/>
      <c r="ARO45" s="87"/>
      <c r="ARP45" s="87"/>
      <c r="ARQ45" s="87"/>
      <c r="ARR45" s="87"/>
      <c r="ARS45" s="87"/>
      <c r="ART45" s="87"/>
      <c r="ARU45" s="87"/>
      <c r="ARV45" s="87"/>
      <c r="ARW45" s="87"/>
      <c r="ARX45" s="87"/>
      <c r="ARY45" s="87"/>
      <c r="ARZ45" s="87"/>
      <c r="ASA45" s="87"/>
      <c r="ASB45" s="87"/>
      <c r="ASC45" s="87"/>
      <c r="ASD45" s="87"/>
      <c r="ASE45" s="87"/>
      <c r="ASF45" s="87"/>
      <c r="ASG45" s="87"/>
      <c r="ASH45" s="87"/>
      <c r="ASI45" s="87"/>
      <c r="ASJ45" s="87"/>
      <c r="ASK45" s="87"/>
      <c r="ASL45" s="87"/>
      <c r="ASM45" s="87"/>
      <c r="ASN45" s="87"/>
      <c r="ASO45" s="87"/>
      <c r="ASP45" s="87"/>
      <c r="ASQ45" s="87"/>
      <c r="ASR45" s="87"/>
      <c r="ASS45" s="87"/>
      <c r="AST45" s="87"/>
      <c r="ASU45" s="87"/>
      <c r="ASV45" s="87"/>
      <c r="ASW45" s="87"/>
      <c r="ASX45" s="87"/>
      <c r="ASY45" s="87"/>
      <c r="ASZ45" s="87"/>
      <c r="ATA45" s="87"/>
      <c r="ATB45" s="87"/>
      <c r="ATC45" s="87"/>
      <c r="ATD45" s="87"/>
      <c r="ATE45" s="87"/>
      <c r="ATF45" s="87"/>
      <c r="ATG45" s="87"/>
      <c r="ATH45" s="87"/>
      <c r="ATI45" s="87"/>
      <c r="ATJ45" s="87"/>
      <c r="ATK45" s="87"/>
      <c r="ATL45" s="87"/>
      <c r="ATM45" s="87"/>
      <c r="ATN45" s="87"/>
      <c r="ATO45" s="87"/>
      <c r="ATP45" s="87"/>
      <c r="ATQ45" s="87"/>
      <c r="ATR45" s="87"/>
      <c r="ATS45" s="87"/>
      <c r="ATT45" s="87"/>
      <c r="ATU45" s="87"/>
      <c r="ATV45" s="87"/>
      <c r="ATW45" s="87"/>
      <c r="ATX45" s="87"/>
      <c r="ATY45" s="87"/>
      <c r="ATZ45" s="87"/>
      <c r="AUA45" s="87"/>
      <c r="AUB45" s="87"/>
      <c r="AUC45" s="87"/>
      <c r="AUD45" s="87"/>
      <c r="AUE45" s="87"/>
      <c r="AUF45" s="87"/>
      <c r="AUG45" s="87"/>
      <c r="AUH45" s="87"/>
      <c r="AUI45" s="87"/>
      <c r="AUJ45" s="87"/>
      <c r="AUK45" s="87"/>
      <c r="AUL45" s="87"/>
      <c r="AUM45" s="87"/>
      <c r="AUN45" s="87"/>
      <c r="AUO45" s="87"/>
      <c r="AUP45" s="87"/>
      <c r="AUQ45" s="87"/>
      <c r="AUR45" s="87"/>
      <c r="AUS45" s="87"/>
      <c r="AUT45" s="87"/>
      <c r="AUU45" s="87"/>
      <c r="AUV45" s="87"/>
      <c r="AUW45" s="87"/>
      <c r="AUX45" s="87"/>
      <c r="AUY45" s="87"/>
      <c r="AUZ45" s="87"/>
      <c r="AVA45" s="87"/>
      <c r="AVB45" s="87"/>
      <c r="AVC45" s="87"/>
      <c r="AVD45" s="87"/>
      <c r="AVE45" s="87"/>
      <c r="AVF45" s="87"/>
      <c r="AVG45" s="87"/>
      <c r="AVH45" s="87"/>
      <c r="AVI45" s="87"/>
      <c r="AVJ45" s="87"/>
      <c r="AVK45" s="87"/>
      <c r="AVL45" s="87"/>
      <c r="AVM45" s="87"/>
      <c r="AVN45" s="87"/>
      <c r="AVO45" s="87"/>
      <c r="AVP45" s="87"/>
      <c r="AVQ45" s="87"/>
      <c r="AVR45" s="87"/>
      <c r="AVS45" s="87"/>
      <c r="AVT45" s="87"/>
      <c r="AVU45" s="87"/>
      <c r="AVV45" s="87"/>
      <c r="AVW45" s="87"/>
      <c r="AVX45" s="87"/>
      <c r="AVY45" s="87"/>
      <c r="AVZ45" s="87"/>
      <c r="AWA45" s="87"/>
      <c r="AWB45" s="87"/>
      <c r="AWC45" s="87"/>
      <c r="AWD45" s="87"/>
      <c r="AWE45" s="87"/>
      <c r="AWF45" s="87"/>
      <c r="AWG45" s="87"/>
      <c r="AWH45" s="87"/>
      <c r="AWI45" s="87"/>
      <c r="AWJ45" s="87"/>
      <c r="AWK45" s="87"/>
      <c r="AWL45" s="87"/>
      <c r="AWM45" s="87"/>
      <c r="AWN45" s="87"/>
      <c r="AWO45" s="87"/>
      <c r="AWP45" s="87"/>
      <c r="AWQ45" s="87"/>
      <c r="AWR45" s="87"/>
      <c r="AWS45" s="87"/>
      <c r="AWT45" s="87"/>
      <c r="AWU45" s="87"/>
      <c r="AWV45" s="87"/>
      <c r="AWW45" s="87"/>
      <c r="AWX45" s="87"/>
      <c r="AWY45" s="87"/>
      <c r="AWZ45" s="87"/>
      <c r="AXA45" s="87"/>
      <c r="AXB45" s="87"/>
      <c r="AXC45" s="87"/>
      <c r="AXD45" s="87"/>
      <c r="AXE45" s="87"/>
      <c r="AXF45" s="87"/>
      <c r="AXG45" s="87"/>
      <c r="AXH45" s="87"/>
      <c r="AXI45" s="87"/>
      <c r="AXJ45" s="87"/>
      <c r="AXK45" s="87"/>
      <c r="AXL45" s="87"/>
      <c r="AXM45" s="87"/>
      <c r="AXN45" s="87"/>
      <c r="AXO45" s="87"/>
      <c r="AXP45" s="87"/>
      <c r="AXQ45" s="87"/>
      <c r="AXR45" s="87"/>
      <c r="AXS45" s="87"/>
      <c r="AXT45" s="87"/>
      <c r="AXU45" s="87"/>
      <c r="AXV45" s="87"/>
      <c r="AXW45" s="87"/>
      <c r="AXX45" s="87"/>
      <c r="AXY45" s="87"/>
      <c r="AXZ45" s="87"/>
      <c r="AYA45" s="87"/>
      <c r="AYB45" s="87"/>
      <c r="AYC45" s="87"/>
      <c r="AYD45" s="87"/>
      <c r="AYE45" s="87"/>
      <c r="AYF45" s="87"/>
      <c r="AYG45" s="87"/>
      <c r="AYH45" s="87"/>
      <c r="AYI45" s="87"/>
      <c r="AYJ45" s="87"/>
      <c r="AYK45" s="87"/>
      <c r="AYL45" s="87"/>
      <c r="AYM45" s="87"/>
      <c r="AYN45" s="87"/>
      <c r="AYO45" s="87"/>
      <c r="AYP45" s="87"/>
      <c r="AYQ45" s="87"/>
      <c r="AYR45" s="87"/>
      <c r="AYS45" s="87"/>
      <c r="AYT45" s="87"/>
      <c r="AYU45" s="87"/>
      <c r="AYV45" s="87"/>
      <c r="AYW45" s="87"/>
      <c r="AYX45" s="87"/>
      <c r="AYY45" s="87"/>
      <c r="AYZ45" s="87"/>
      <c r="AZA45" s="87"/>
      <c r="AZB45" s="87"/>
      <c r="AZC45" s="87"/>
      <c r="AZD45" s="87"/>
      <c r="AZE45" s="87"/>
      <c r="AZF45" s="87"/>
      <c r="AZG45" s="87"/>
      <c r="AZH45" s="87"/>
      <c r="AZI45" s="87"/>
      <c r="AZJ45" s="87"/>
      <c r="AZK45" s="87"/>
      <c r="AZL45" s="87"/>
      <c r="AZM45" s="87"/>
      <c r="AZN45" s="87"/>
      <c r="AZO45" s="87"/>
      <c r="AZP45" s="87"/>
      <c r="AZQ45" s="87"/>
      <c r="AZR45" s="87"/>
      <c r="AZS45" s="87"/>
      <c r="AZT45" s="87"/>
      <c r="AZU45" s="87"/>
      <c r="AZV45" s="87"/>
      <c r="AZW45" s="87"/>
      <c r="AZX45" s="87"/>
      <c r="AZY45" s="87"/>
      <c r="AZZ45" s="87"/>
      <c r="BAA45" s="87"/>
      <c r="BAB45" s="87"/>
      <c r="BAC45" s="87"/>
      <c r="BAD45" s="87"/>
      <c r="BAE45" s="87"/>
      <c r="BAF45" s="87"/>
      <c r="BAG45" s="87"/>
      <c r="BAH45" s="87"/>
      <c r="BAI45" s="87"/>
      <c r="BAJ45" s="87"/>
      <c r="BAK45" s="87"/>
      <c r="BAL45" s="87"/>
      <c r="BAM45" s="87"/>
      <c r="BAN45" s="87"/>
      <c r="BAO45" s="87"/>
      <c r="BAP45" s="87"/>
      <c r="BAQ45" s="87"/>
      <c r="BAR45" s="87"/>
      <c r="BAS45" s="87"/>
      <c r="BAT45" s="87"/>
      <c r="BAU45" s="87"/>
      <c r="BAV45" s="87"/>
      <c r="BAW45" s="87"/>
      <c r="BAX45" s="87"/>
      <c r="BAY45" s="87"/>
      <c r="BAZ45" s="87"/>
      <c r="BBA45" s="87"/>
      <c r="BBB45" s="87"/>
      <c r="BBC45" s="87"/>
      <c r="BBD45" s="87"/>
      <c r="BBE45" s="87"/>
      <c r="BBF45" s="87"/>
      <c r="BBG45" s="87"/>
      <c r="BBH45" s="87"/>
      <c r="BBI45" s="87"/>
      <c r="BBJ45" s="87"/>
      <c r="BBK45" s="87"/>
      <c r="BBL45" s="87"/>
      <c r="BBM45" s="87"/>
      <c r="BBN45" s="87"/>
      <c r="BBO45" s="87"/>
      <c r="BBP45" s="87"/>
      <c r="BBQ45" s="87"/>
      <c r="BBR45" s="87"/>
      <c r="BBS45" s="87"/>
      <c r="BBT45" s="87"/>
      <c r="BBU45" s="87"/>
      <c r="BBV45" s="87"/>
      <c r="BBW45" s="87"/>
      <c r="BBX45" s="87"/>
      <c r="BBY45" s="87"/>
      <c r="BBZ45" s="87"/>
      <c r="BCA45" s="87"/>
      <c r="BCB45" s="87"/>
      <c r="BCC45" s="87"/>
      <c r="BCD45" s="87"/>
      <c r="BCE45" s="87"/>
      <c r="BCF45" s="87"/>
      <c r="BCG45" s="87"/>
      <c r="BCH45" s="87"/>
      <c r="BCI45" s="87"/>
      <c r="BCJ45" s="87"/>
      <c r="BCK45" s="87"/>
      <c r="BCL45" s="87"/>
      <c r="BCM45" s="87"/>
      <c r="BCN45" s="87"/>
      <c r="BCO45" s="87"/>
      <c r="BCP45" s="87"/>
      <c r="BCQ45" s="87"/>
      <c r="BCR45" s="87"/>
      <c r="BCS45" s="87"/>
      <c r="BCT45" s="87"/>
      <c r="BCU45" s="87"/>
      <c r="BCV45" s="87"/>
      <c r="BCW45" s="87"/>
      <c r="BCX45" s="87"/>
      <c r="BCY45" s="87"/>
      <c r="BCZ45" s="87"/>
      <c r="BDA45" s="87"/>
      <c r="BDB45" s="87"/>
      <c r="BDC45" s="87"/>
      <c r="BDD45" s="87"/>
      <c r="BDE45" s="87"/>
      <c r="BDF45" s="87"/>
      <c r="BDG45" s="87"/>
      <c r="BDH45" s="87"/>
      <c r="BDI45" s="87"/>
      <c r="BDJ45" s="87"/>
      <c r="BDK45" s="87"/>
      <c r="BDL45" s="87"/>
      <c r="BDM45" s="87"/>
      <c r="BDN45" s="87"/>
      <c r="BDO45" s="87"/>
      <c r="BDP45" s="87"/>
      <c r="BDQ45" s="87"/>
      <c r="BDR45" s="87"/>
      <c r="BDS45" s="87"/>
      <c r="BDT45" s="87"/>
      <c r="BDU45" s="87"/>
      <c r="BDV45" s="87"/>
      <c r="BDW45" s="87"/>
      <c r="BDX45" s="87"/>
      <c r="BDY45" s="87"/>
      <c r="BDZ45" s="87"/>
      <c r="BEA45" s="87"/>
      <c r="BEB45" s="87"/>
      <c r="BEC45" s="87"/>
      <c r="BED45" s="87"/>
      <c r="BEE45" s="87"/>
      <c r="BEF45" s="87"/>
      <c r="BEG45" s="87"/>
      <c r="BEH45" s="87"/>
      <c r="BEI45" s="87"/>
      <c r="BEJ45" s="87"/>
      <c r="BEK45" s="87"/>
      <c r="BEL45" s="87"/>
      <c r="BEM45" s="87"/>
      <c r="BEN45" s="87"/>
      <c r="BEO45" s="87"/>
      <c r="BEP45" s="87"/>
      <c r="BEQ45" s="87"/>
      <c r="BER45" s="87"/>
      <c r="BES45" s="87"/>
      <c r="BET45" s="87"/>
      <c r="BEU45" s="87"/>
      <c r="BEV45" s="87"/>
      <c r="BEW45" s="87"/>
      <c r="BEX45" s="87"/>
      <c r="BEY45" s="87"/>
      <c r="BEZ45" s="87"/>
      <c r="BFA45" s="87"/>
      <c r="BFB45" s="87"/>
      <c r="BFC45" s="87"/>
      <c r="BFD45" s="87"/>
      <c r="BFE45" s="87"/>
      <c r="BFF45" s="87"/>
      <c r="BFG45" s="87"/>
      <c r="BFH45" s="87"/>
      <c r="BFI45" s="87"/>
      <c r="BFJ45" s="87"/>
      <c r="BFK45" s="87"/>
      <c r="BFL45" s="87"/>
      <c r="BFM45" s="87"/>
      <c r="BFN45" s="87"/>
      <c r="BFO45" s="87"/>
      <c r="BFP45" s="87"/>
      <c r="BFQ45" s="87"/>
      <c r="BFR45" s="87"/>
      <c r="BFS45" s="87"/>
      <c r="BFT45" s="87"/>
      <c r="BFU45" s="87"/>
      <c r="BFV45" s="87"/>
      <c r="BFW45" s="87"/>
      <c r="BFX45" s="87"/>
      <c r="BFY45" s="87"/>
      <c r="BFZ45" s="87"/>
      <c r="BGA45" s="87"/>
      <c r="BGB45" s="87"/>
      <c r="BGC45" s="87"/>
      <c r="BGD45" s="87"/>
      <c r="BGE45" s="87"/>
      <c r="BGF45" s="87"/>
      <c r="BGG45" s="87"/>
      <c r="BGH45" s="87"/>
      <c r="BGI45" s="87"/>
      <c r="BGJ45" s="87"/>
      <c r="BGK45" s="87"/>
      <c r="BGL45" s="87"/>
      <c r="BGM45" s="87"/>
      <c r="BGN45" s="87"/>
      <c r="BGO45" s="87"/>
      <c r="BGP45" s="87"/>
      <c r="BGQ45" s="87"/>
      <c r="BGR45" s="87"/>
      <c r="BGS45" s="87"/>
      <c r="BGT45" s="87"/>
      <c r="BGU45" s="87"/>
      <c r="BGV45" s="87"/>
      <c r="BGW45" s="87"/>
      <c r="BGX45" s="87"/>
      <c r="BGY45" s="87"/>
      <c r="BGZ45" s="87"/>
      <c r="BHA45" s="87"/>
      <c r="BHB45" s="87"/>
      <c r="BHC45" s="87"/>
      <c r="BHD45" s="87"/>
      <c r="BHE45" s="87"/>
      <c r="BHF45" s="87"/>
      <c r="BHG45" s="87"/>
      <c r="BHH45" s="87"/>
      <c r="BHI45" s="87"/>
      <c r="BHJ45" s="87"/>
      <c r="BHK45" s="87"/>
      <c r="BHL45" s="87"/>
      <c r="BHM45" s="87"/>
      <c r="BHN45" s="87"/>
      <c r="BHO45" s="87"/>
      <c r="BHP45" s="87"/>
      <c r="BHQ45" s="87"/>
      <c r="BHR45" s="87"/>
      <c r="BHS45" s="87"/>
      <c r="BHT45" s="87"/>
      <c r="BHU45" s="87"/>
      <c r="BHV45" s="87"/>
      <c r="BHW45" s="87"/>
      <c r="BHX45" s="87"/>
      <c r="BHY45" s="87"/>
      <c r="BHZ45" s="87"/>
      <c r="BIA45" s="87"/>
      <c r="BIB45" s="87"/>
      <c r="BIC45" s="87"/>
      <c r="BID45" s="87"/>
      <c r="BIE45" s="87"/>
      <c r="BIF45" s="87"/>
      <c r="BIG45" s="87"/>
      <c r="BIH45" s="87"/>
      <c r="BII45" s="87"/>
      <c r="BIJ45" s="87"/>
      <c r="BIK45" s="87"/>
      <c r="BIL45" s="87"/>
      <c r="BIM45" s="87"/>
      <c r="BIN45" s="87"/>
      <c r="BIO45" s="87"/>
      <c r="BIP45" s="87"/>
      <c r="BIQ45" s="87"/>
      <c r="BIR45" s="87"/>
      <c r="BIS45" s="87"/>
      <c r="BIT45" s="87"/>
      <c r="BIU45" s="87"/>
      <c r="BIV45" s="87"/>
      <c r="BIW45" s="87"/>
      <c r="BIX45" s="87"/>
      <c r="BIY45" s="87"/>
      <c r="BIZ45" s="87"/>
      <c r="BJA45" s="87"/>
      <c r="BJB45" s="87"/>
      <c r="BJC45" s="87"/>
      <c r="BJD45" s="87"/>
      <c r="BJE45" s="87"/>
      <c r="BJF45" s="87"/>
      <c r="BJG45" s="87"/>
      <c r="BJH45" s="87"/>
      <c r="BJI45" s="87"/>
      <c r="BJJ45" s="87"/>
      <c r="BJK45" s="87"/>
      <c r="BJL45" s="87"/>
      <c r="BJM45" s="87"/>
      <c r="BJN45" s="87"/>
      <c r="BJO45" s="87"/>
      <c r="BJP45" s="87"/>
      <c r="BJQ45" s="87"/>
      <c r="BJR45" s="87"/>
      <c r="BJS45" s="87"/>
      <c r="BJT45" s="87"/>
      <c r="BJU45" s="87"/>
      <c r="BJV45" s="87"/>
      <c r="BJW45" s="87"/>
      <c r="BJX45" s="87"/>
      <c r="BJY45" s="87"/>
      <c r="BJZ45" s="87"/>
      <c r="BKA45" s="87"/>
      <c r="BKB45" s="87"/>
      <c r="BKC45" s="87"/>
      <c r="BKD45" s="87"/>
      <c r="BKE45" s="87"/>
      <c r="BKF45" s="87"/>
      <c r="BKG45" s="87"/>
      <c r="BKH45" s="87"/>
      <c r="BKI45" s="87"/>
      <c r="BKJ45" s="87"/>
      <c r="BKK45" s="87"/>
      <c r="BKL45" s="87"/>
      <c r="BKM45" s="87"/>
      <c r="BKN45" s="87"/>
      <c r="BKO45" s="87"/>
      <c r="BKP45" s="87"/>
      <c r="BKQ45" s="87"/>
      <c r="BKR45" s="87"/>
      <c r="BKS45" s="87"/>
      <c r="BKT45" s="87"/>
      <c r="BKU45" s="87"/>
      <c r="BKV45" s="87"/>
      <c r="BKW45" s="87"/>
      <c r="BKX45" s="87"/>
      <c r="BKY45" s="87"/>
      <c r="BKZ45" s="87"/>
      <c r="BLA45" s="87"/>
      <c r="BLB45" s="87"/>
      <c r="BLC45" s="87"/>
      <c r="BLD45" s="87"/>
      <c r="BLE45" s="87"/>
      <c r="BLF45" s="87"/>
      <c r="BLG45" s="87"/>
      <c r="BLH45" s="87"/>
      <c r="BLI45" s="87"/>
      <c r="BLJ45" s="87"/>
      <c r="BLK45" s="87"/>
      <c r="BLL45" s="87"/>
      <c r="BLM45" s="87"/>
      <c r="BLN45" s="87"/>
      <c r="BLO45" s="87"/>
      <c r="BLP45" s="87"/>
      <c r="BLQ45" s="87"/>
      <c r="BLR45" s="87"/>
      <c r="BLS45" s="87"/>
      <c r="BLT45" s="87"/>
      <c r="BLU45" s="87"/>
      <c r="BLV45" s="87"/>
      <c r="BLW45" s="87"/>
      <c r="BLX45" s="87"/>
      <c r="BLY45" s="87"/>
      <c r="BLZ45" s="87"/>
      <c r="BMA45" s="87"/>
      <c r="BMB45" s="87"/>
      <c r="BMC45" s="87"/>
      <c r="BMD45" s="87"/>
      <c r="BME45" s="87"/>
      <c r="BMF45" s="87"/>
      <c r="BMG45" s="87"/>
      <c r="BMH45" s="87"/>
      <c r="BMI45" s="87"/>
      <c r="BMJ45" s="87"/>
      <c r="BMK45" s="87"/>
      <c r="BML45" s="87"/>
      <c r="BMM45" s="87"/>
      <c r="BMN45" s="87"/>
      <c r="BMO45" s="87"/>
      <c r="BMP45" s="87"/>
      <c r="BMQ45" s="87"/>
      <c r="BMR45" s="87"/>
      <c r="BMS45" s="87"/>
      <c r="BMT45" s="87"/>
      <c r="BMU45" s="87"/>
      <c r="BMV45" s="87"/>
      <c r="BMW45" s="87"/>
      <c r="BMX45" s="87"/>
      <c r="BMY45" s="87"/>
      <c r="BMZ45" s="87"/>
      <c r="BNA45" s="87"/>
      <c r="BNB45" s="87"/>
      <c r="BNC45" s="87"/>
      <c r="BND45" s="87"/>
      <c r="BNE45" s="87"/>
      <c r="BNF45" s="87"/>
      <c r="BNG45" s="87"/>
      <c r="BNH45" s="87"/>
      <c r="BNI45" s="87"/>
      <c r="BNJ45" s="87"/>
      <c r="BNK45" s="87"/>
      <c r="BNL45" s="87"/>
      <c r="BNM45" s="87"/>
      <c r="BNN45" s="87"/>
      <c r="BNO45" s="87"/>
      <c r="BNP45" s="87"/>
      <c r="BNQ45" s="87"/>
      <c r="BNR45" s="87"/>
      <c r="BNS45" s="87"/>
      <c r="BNT45" s="87"/>
      <c r="BNU45" s="87"/>
      <c r="BNV45" s="87"/>
      <c r="BNW45" s="87"/>
      <c r="BNX45" s="87"/>
      <c r="BNY45" s="87"/>
      <c r="BNZ45" s="87"/>
      <c r="BOA45" s="87"/>
      <c r="BOB45" s="87"/>
      <c r="BOC45" s="87"/>
      <c r="BOD45" s="87"/>
      <c r="BOE45" s="87"/>
      <c r="BOF45" s="87"/>
      <c r="BOG45" s="87"/>
      <c r="BOH45" s="87"/>
      <c r="BOI45" s="87"/>
      <c r="BOJ45" s="87"/>
      <c r="BOK45" s="87"/>
      <c r="BOL45" s="87"/>
      <c r="BOM45" s="87"/>
      <c r="BON45" s="87"/>
      <c r="BOO45" s="87"/>
      <c r="BOP45" s="87"/>
      <c r="BOQ45" s="87"/>
      <c r="BOR45" s="87"/>
      <c r="BOS45" s="87"/>
      <c r="BOT45" s="87"/>
      <c r="BOU45" s="87"/>
      <c r="BOV45" s="87"/>
      <c r="BOW45" s="87"/>
      <c r="BOX45" s="87"/>
      <c r="BOY45" s="87"/>
      <c r="BOZ45" s="87"/>
      <c r="BPA45" s="87"/>
      <c r="BPB45" s="87"/>
      <c r="BPC45" s="87"/>
      <c r="BPD45" s="87"/>
      <c r="BPE45" s="87"/>
      <c r="BPF45" s="87"/>
      <c r="BPG45" s="87"/>
      <c r="BPH45" s="87"/>
      <c r="BPI45" s="87"/>
      <c r="BPJ45" s="87"/>
      <c r="BPK45" s="87"/>
      <c r="BPL45" s="87"/>
      <c r="BPM45" s="87"/>
      <c r="BPN45" s="87"/>
      <c r="BPO45" s="87"/>
      <c r="BPP45" s="87"/>
      <c r="BPQ45" s="87"/>
      <c r="BPR45" s="87"/>
      <c r="BPS45" s="87"/>
      <c r="BPT45" s="87"/>
      <c r="BPU45" s="87"/>
      <c r="BPV45" s="87"/>
      <c r="BPW45" s="87"/>
      <c r="BPX45" s="87"/>
      <c r="BPY45" s="87"/>
      <c r="BPZ45" s="87"/>
      <c r="BQA45" s="87"/>
      <c r="BQB45" s="87"/>
      <c r="BQC45" s="87"/>
      <c r="BQD45" s="87"/>
      <c r="BQE45" s="87"/>
      <c r="BQF45" s="87"/>
      <c r="BQG45" s="87"/>
      <c r="BQH45" s="87"/>
      <c r="BQI45" s="87"/>
      <c r="BQJ45" s="87"/>
      <c r="BQK45" s="87"/>
      <c r="BQL45" s="87"/>
      <c r="BQM45" s="87"/>
      <c r="BQN45" s="87"/>
      <c r="BQO45" s="87"/>
      <c r="BQP45" s="87"/>
      <c r="BQQ45" s="87"/>
      <c r="BQR45" s="87"/>
      <c r="BQS45" s="87"/>
      <c r="BQT45" s="87"/>
      <c r="BQU45" s="87"/>
      <c r="BQV45" s="87"/>
      <c r="BQW45" s="87"/>
      <c r="BQX45" s="87"/>
      <c r="BQY45" s="87"/>
      <c r="BQZ45" s="87"/>
      <c r="BRA45" s="87"/>
      <c r="BRB45" s="87"/>
      <c r="BRC45" s="87"/>
      <c r="BRD45" s="87"/>
      <c r="BRE45" s="87"/>
      <c r="BRF45" s="87"/>
      <c r="BRG45" s="87"/>
      <c r="BRH45" s="87"/>
      <c r="BRI45" s="87"/>
      <c r="BRJ45" s="87"/>
      <c r="BRK45" s="87"/>
      <c r="BRL45" s="87"/>
      <c r="BRM45" s="87"/>
      <c r="BRN45" s="87"/>
      <c r="BRO45" s="87"/>
      <c r="BRP45" s="87"/>
      <c r="BRQ45" s="87"/>
      <c r="BRR45" s="87"/>
      <c r="BRS45" s="87"/>
      <c r="BRT45" s="87"/>
      <c r="BRU45" s="87"/>
      <c r="BRV45" s="87"/>
      <c r="BRW45" s="87"/>
      <c r="BRX45" s="87"/>
      <c r="BRY45" s="87"/>
      <c r="BRZ45" s="87"/>
      <c r="BSA45" s="87"/>
      <c r="BSB45" s="87"/>
      <c r="BSC45" s="87"/>
      <c r="BSD45" s="87"/>
      <c r="BSE45" s="87"/>
      <c r="BSF45" s="87"/>
      <c r="BSG45" s="87"/>
      <c r="BSH45" s="87"/>
      <c r="BSI45" s="87"/>
      <c r="BSJ45" s="87"/>
      <c r="BSK45" s="87"/>
      <c r="BSL45" s="87"/>
      <c r="BSM45" s="87"/>
      <c r="BSN45" s="87"/>
      <c r="BSO45" s="87"/>
      <c r="BSP45" s="87"/>
      <c r="BSQ45" s="87"/>
      <c r="BSR45" s="87"/>
      <c r="BSS45" s="87"/>
      <c r="BST45" s="87"/>
      <c r="BSU45" s="87"/>
      <c r="BSV45" s="87"/>
      <c r="BSW45" s="87"/>
      <c r="BSX45" s="87"/>
      <c r="BSY45" s="87"/>
      <c r="BSZ45" s="87"/>
      <c r="BTA45" s="87"/>
      <c r="BTB45" s="87"/>
      <c r="BTC45" s="87"/>
      <c r="BTD45" s="87"/>
      <c r="BTE45" s="87"/>
      <c r="BTF45" s="87"/>
      <c r="BTG45" s="87"/>
      <c r="BTH45" s="87"/>
      <c r="BTI45" s="87"/>
      <c r="BTJ45" s="87"/>
      <c r="BTK45" s="87"/>
      <c r="BTL45" s="87"/>
      <c r="BTM45" s="87"/>
      <c r="BTN45" s="87"/>
      <c r="BTO45" s="87"/>
      <c r="BTP45" s="87"/>
      <c r="BTQ45" s="87"/>
      <c r="BTR45" s="87"/>
      <c r="BTS45" s="87"/>
      <c r="BTT45" s="87"/>
      <c r="BTU45" s="87"/>
      <c r="BTV45" s="87"/>
      <c r="BTW45" s="87"/>
      <c r="BTX45" s="87"/>
      <c r="BTY45" s="87"/>
      <c r="BTZ45" s="87"/>
      <c r="BUA45" s="87"/>
      <c r="BUB45" s="87"/>
      <c r="BUC45" s="87"/>
      <c r="BUD45" s="87"/>
      <c r="BUE45" s="87"/>
      <c r="BUF45" s="87"/>
      <c r="BUG45" s="87"/>
      <c r="BUH45" s="87"/>
      <c r="BUI45" s="87"/>
      <c r="BUJ45" s="87"/>
      <c r="BUK45" s="87"/>
      <c r="BUL45" s="87"/>
      <c r="BUM45" s="87"/>
      <c r="BUN45" s="87"/>
      <c r="BUO45" s="87"/>
      <c r="BUP45" s="87"/>
      <c r="BUQ45" s="87"/>
      <c r="BUR45" s="87"/>
      <c r="BUS45" s="87"/>
      <c r="BUT45" s="87"/>
      <c r="BUU45" s="87"/>
      <c r="BUV45" s="87"/>
      <c r="BUW45" s="87"/>
      <c r="BUX45" s="87"/>
      <c r="BUY45" s="87"/>
      <c r="BUZ45" s="87"/>
      <c r="BVA45" s="87"/>
      <c r="BVB45" s="87"/>
      <c r="BVC45" s="87"/>
      <c r="BVD45" s="87"/>
      <c r="BVE45" s="87"/>
      <c r="BVF45" s="87"/>
      <c r="BVG45" s="87"/>
      <c r="BVH45" s="87"/>
      <c r="BVI45" s="87"/>
      <c r="BVJ45" s="87"/>
      <c r="BVK45" s="87"/>
      <c r="BVL45" s="87"/>
      <c r="BVM45" s="87"/>
      <c r="BVN45" s="87"/>
      <c r="BVO45" s="87"/>
      <c r="BVP45" s="87"/>
      <c r="BVQ45" s="87"/>
      <c r="BVR45" s="87"/>
      <c r="BVS45" s="87"/>
      <c r="BVT45" s="87"/>
      <c r="BVU45" s="87"/>
      <c r="BVV45" s="87"/>
      <c r="BVW45" s="87"/>
      <c r="BVX45" s="87"/>
      <c r="BVY45" s="87"/>
      <c r="BVZ45" s="87"/>
      <c r="BWA45" s="87"/>
      <c r="BWB45" s="87"/>
      <c r="BWC45" s="87"/>
      <c r="BWD45" s="87"/>
      <c r="BWE45" s="87"/>
      <c r="BWF45" s="87"/>
      <c r="BWG45" s="87"/>
      <c r="BWH45" s="87"/>
      <c r="BWI45" s="87"/>
      <c r="BWJ45" s="87"/>
      <c r="BWK45" s="87"/>
      <c r="BWL45" s="87"/>
      <c r="BWM45" s="87"/>
      <c r="BWN45" s="87"/>
      <c r="BWO45" s="87"/>
      <c r="BWP45" s="87"/>
      <c r="BWQ45" s="87"/>
      <c r="BWR45" s="87"/>
      <c r="BWS45" s="87"/>
      <c r="BWT45" s="87"/>
      <c r="BWU45" s="87"/>
      <c r="BWV45" s="87"/>
      <c r="BWW45" s="87"/>
      <c r="BWX45" s="87"/>
      <c r="BWY45" s="87"/>
      <c r="BWZ45" s="87"/>
      <c r="BXA45" s="87"/>
      <c r="BXB45" s="87"/>
      <c r="BXC45" s="87"/>
      <c r="BXD45" s="87"/>
      <c r="BXE45" s="87"/>
      <c r="BXF45" s="87"/>
      <c r="BXG45" s="87"/>
      <c r="BXH45" s="87"/>
      <c r="BXI45" s="87"/>
      <c r="BXJ45" s="87"/>
      <c r="BXK45" s="87"/>
      <c r="BXL45" s="87"/>
      <c r="BXM45" s="87"/>
      <c r="BXN45" s="87"/>
      <c r="BXO45" s="87"/>
      <c r="BXP45" s="87"/>
      <c r="BXQ45" s="87"/>
      <c r="BXR45" s="87"/>
      <c r="BXS45" s="87"/>
      <c r="BXT45" s="87"/>
      <c r="BXU45" s="87"/>
      <c r="BXV45" s="87"/>
      <c r="BXW45" s="87"/>
      <c r="BXX45" s="87"/>
      <c r="BXY45" s="87"/>
      <c r="BXZ45" s="87"/>
      <c r="BYA45" s="87"/>
      <c r="BYB45" s="87"/>
      <c r="BYC45" s="87"/>
      <c r="BYD45" s="87"/>
      <c r="BYE45" s="87"/>
      <c r="BYF45" s="87"/>
      <c r="BYG45" s="87"/>
      <c r="BYH45" s="87"/>
      <c r="BYI45" s="87"/>
      <c r="BYJ45" s="87"/>
      <c r="BYK45" s="87"/>
      <c r="BYL45" s="87"/>
      <c r="BYM45" s="87"/>
      <c r="BYN45" s="87"/>
      <c r="BYO45" s="87"/>
      <c r="BYP45" s="87"/>
      <c r="BYQ45" s="87"/>
      <c r="BYR45" s="87"/>
      <c r="BYS45" s="87"/>
      <c r="BYT45" s="87"/>
      <c r="BYU45" s="87"/>
      <c r="BYV45" s="87"/>
      <c r="BYW45" s="87"/>
      <c r="BYX45" s="87"/>
      <c r="BYY45" s="87"/>
      <c r="BYZ45" s="87"/>
      <c r="BZA45" s="87"/>
      <c r="BZB45" s="87"/>
      <c r="BZC45" s="87"/>
      <c r="BZD45" s="87"/>
      <c r="BZE45" s="87"/>
      <c r="BZF45" s="87"/>
      <c r="BZG45" s="87"/>
      <c r="BZH45" s="87"/>
      <c r="BZI45" s="87"/>
      <c r="BZJ45" s="87"/>
      <c r="BZK45" s="87"/>
      <c r="BZL45" s="87"/>
      <c r="BZM45" s="87"/>
      <c r="BZN45" s="87"/>
      <c r="BZO45" s="87"/>
      <c r="BZP45" s="87"/>
      <c r="BZQ45" s="87"/>
      <c r="BZR45" s="87"/>
      <c r="BZS45" s="87"/>
      <c r="BZT45" s="87"/>
      <c r="BZU45" s="87"/>
      <c r="BZV45" s="87"/>
      <c r="BZW45" s="87"/>
      <c r="BZX45" s="87"/>
      <c r="BZY45" s="87"/>
      <c r="BZZ45" s="87"/>
      <c r="CAA45" s="87"/>
      <c r="CAB45" s="87"/>
      <c r="CAC45" s="87"/>
      <c r="CAD45" s="87"/>
      <c r="CAE45" s="87"/>
      <c r="CAF45" s="87"/>
      <c r="CAG45" s="87"/>
      <c r="CAH45" s="87"/>
      <c r="CAI45" s="87"/>
      <c r="CAJ45" s="87"/>
      <c r="CAK45" s="87"/>
      <c r="CAL45" s="87"/>
      <c r="CAM45" s="87"/>
      <c r="CAN45" s="87"/>
      <c r="CAO45" s="87"/>
      <c r="CAP45" s="87"/>
      <c r="CAQ45" s="87"/>
      <c r="CAR45" s="87"/>
      <c r="CAS45" s="87"/>
      <c r="CAT45" s="87"/>
      <c r="CAU45" s="87"/>
      <c r="CAV45" s="87"/>
      <c r="CAW45" s="87"/>
      <c r="CAX45" s="87"/>
      <c r="CAY45" s="87"/>
      <c r="CAZ45" s="87"/>
      <c r="CBA45" s="87"/>
      <c r="CBB45" s="87"/>
      <c r="CBC45" s="87"/>
      <c r="CBD45" s="87"/>
      <c r="CBE45" s="87"/>
      <c r="CBF45" s="87"/>
      <c r="CBG45" s="87"/>
      <c r="CBH45" s="87"/>
      <c r="CBI45" s="87"/>
      <c r="CBJ45" s="87"/>
      <c r="CBK45" s="87"/>
      <c r="CBL45" s="87"/>
      <c r="CBM45" s="87"/>
      <c r="CBN45" s="87"/>
      <c r="CBO45" s="87"/>
      <c r="CBP45" s="87"/>
      <c r="CBQ45" s="87"/>
      <c r="CBR45" s="87"/>
      <c r="CBS45" s="87"/>
      <c r="CBT45" s="87"/>
      <c r="CBU45" s="87"/>
      <c r="CBV45" s="87"/>
      <c r="CBW45" s="87"/>
      <c r="CBX45" s="87"/>
      <c r="CBY45" s="87"/>
      <c r="CBZ45" s="87"/>
      <c r="CCA45" s="87"/>
      <c r="CCB45" s="87"/>
      <c r="CCC45" s="87"/>
      <c r="CCD45" s="87"/>
      <c r="CCE45" s="87"/>
      <c r="CCF45" s="87"/>
      <c r="CCG45" s="87"/>
      <c r="CCH45" s="87"/>
      <c r="CCI45" s="87"/>
      <c r="CCJ45" s="87"/>
      <c r="CCK45" s="87"/>
      <c r="CCL45" s="87"/>
      <c r="CCM45" s="87"/>
      <c r="CCN45" s="87"/>
      <c r="CCO45" s="87"/>
      <c r="CCP45" s="87"/>
      <c r="CCQ45" s="87"/>
      <c r="CCR45" s="87"/>
      <c r="CCS45" s="87"/>
      <c r="CCT45" s="87"/>
      <c r="CCU45" s="87"/>
      <c r="CCV45" s="87"/>
      <c r="CCW45" s="87"/>
      <c r="CCX45" s="87"/>
      <c r="CCY45" s="87"/>
      <c r="CCZ45" s="87"/>
      <c r="CDA45" s="87"/>
      <c r="CDB45" s="87"/>
      <c r="CDC45" s="87"/>
      <c r="CDD45" s="87"/>
      <c r="CDE45" s="87"/>
      <c r="CDF45" s="87"/>
      <c r="CDG45" s="87"/>
      <c r="CDH45" s="87"/>
      <c r="CDI45" s="87"/>
      <c r="CDJ45" s="87"/>
      <c r="CDK45" s="87"/>
      <c r="CDL45" s="87"/>
      <c r="CDM45" s="87"/>
      <c r="CDN45" s="87"/>
      <c r="CDO45" s="87"/>
      <c r="CDP45" s="87"/>
      <c r="CDQ45" s="87"/>
      <c r="CDR45" s="87"/>
      <c r="CDS45" s="87"/>
      <c r="CDT45" s="87"/>
      <c r="CDU45" s="87"/>
      <c r="CDV45" s="87"/>
      <c r="CDW45" s="87"/>
      <c r="CDX45" s="87"/>
      <c r="CDY45" s="87"/>
      <c r="CDZ45" s="87"/>
      <c r="CEA45" s="87"/>
      <c r="CEB45" s="87"/>
      <c r="CEC45" s="87"/>
      <c r="CED45" s="87"/>
      <c r="CEE45" s="87"/>
      <c r="CEF45" s="87"/>
      <c r="CEG45" s="87"/>
      <c r="CEH45" s="87"/>
      <c r="CEI45" s="87"/>
      <c r="CEJ45" s="87"/>
      <c r="CEK45" s="87"/>
      <c r="CEL45" s="87"/>
      <c r="CEM45" s="87"/>
      <c r="CEN45" s="87"/>
      <c r="CEO45" s="87"/>
      <c r="CEP45" s="87"/>
      <c r="CEQ45" s="87"/>
      <c r="CER45" s="87"/>
      <c r="CES45" s="87"/>
      <c r="CET45" s="87"/>
      <c r="CEU45" s="87"/>
      <c r="CEV45" s="87"/>
      <c r="CEW45" s="87"/>
      <c r="CEX45" s="87"/>
      <c r="CEY45" s="87"/>
      <c r="CEZ45" s="87"/>
      <c r="CFA45" s="87"/>
      <c r="CFB45" s="87"/>
      <c r="CFC45" s="87"/>
      <c r="CFD45" s="87"/>
      <c r="CFE45" s="87"/>
      <c r="CFF45" s="87"/>
      <c r="CFG45" s="87"/>
      <c r="CFH45" s="87"/>
      <c r="CFI45" s="87"/>
      <c r="CFJ45" s="87"/>
      <c r="CFK45" s="87"/>
      <c r="CFL45" s="87"/>
      <c r="CFM45" s="87"/>
      <c r="CFN45" s="87"/>
      <c r="CFO45" s="87"/>
      <c r="CFP45" s="87"/>
      <c r="CFQ45" s="87"/>
      <c r="CFR45" s="87"/>
      <c r="CFS45" s="87"/>
      <c r="CFT45" s="87"/>
      <c r="CFU45" s="87"/>
      <c r="CFV45" s="87"/>
      <c r="CFW45" s="87"/>
      <c r="CFX45" s="87"/>
      <c r="CFY45" s="87"/>
      <c r="CFZ45" s="87"/>
      <c r="CGA45" s="87"/>
      <c r="CGB45" s="87"/>
      <c r="CGC45" s="87"/>
      <c r="CGD45" s="87"/>
      <c r="CGE45" s="87"/>
      <c r="CGF45" s="87"/>
      <c r="CGG45" s="87"/>
      <c r="CGH45" s="87"/>
      <c r="CGI45" s="87"/>
      <c r="CGJ45" s="87"/>
      <c r="CGK45" s="87"/>
      <c r="CGL45" s="87"/>
      <c r="CGM45" s="87"/>
      <c r="CGN45" s="87"/>
      <c r="CGO45" s="87"/>
      <c r="CGP45" s="87"/>
      <c r="CGQ45" s="87"/>
      <c r="CGR45" s="87"/>
      <c r="CGS45" s="87"/>
      <c r="CGT45" s="87"/>
      <c r="CGU45" s="87"/>
      <c r="CGV45" s="87"/>
      <c r="CGW45" s="87"/>
      <c r="CGX45" s="87"/>
      <c r="CGY45" s="87"/>
      <c r="CGZ45" s="87"/>
      <c r="CHA45" s="87"/>
      <c r="CHB45" s="87"/>
      <c r="CHC45" s="87"/>
      <c r="CHD45" s="87"/>
      <c r="CHE45" s="87"/>
      <c r="CHF45" s="87"/>
      <c r="CHG45" s="87"/>
      <c r="CHH45" s="87"/>
      <c r="CHI45" s="87"/>
      <c r="CHJ45" s="87"/>
      <c r="CHK45" s="87"/>
      <c r="CHL45" s="87"/>
      <c r="CHM45" s="87"/>
      <c r="CHN45" s="87"/>
      <c r="CHO45" s="87"/>
      <c r="CHP45" s="87"/>
      <c r="CHQ45" s="87"/>
      <c r="CHR45" s="87"/>
      <c r="CHS45" s="87"/>
      <c r="CHT45" s="87"/>
      <c r="CHU45" s="87"/>
      <c r="CHV45" s="87"/>
      <c r="CHW45" s="87"/>
      <c r="CHX45" s="87"/>
      <c r="CHY45" s="87"/>
      <c r="CHZ45" s="87"/>
      <c r="CIA45" s="87"/>
      <c r="CIB45" s="87"/>
      <c r="CIC45" s="87"/>
      <c r="CID45" s="87"/>
      <c r="CIE45" s="87"/>
      <c r="CIF45" s="87"/>
      <c r="CIG45" s="87"/>
      <c r="CIH45" s="87"/>
      <c r="CII45" s="87"/>
      <c r="CIJ45" s="87"/>
      <c r="CIK45" s="87"/>
      <c r="CIL45" s="87"/>
      <c r="CIM45" s="87"/>
      <c r="CIN45" s="87"/>
      <c r="CIO45" s="87"/>
      <c r="CIP45" s="87"/>
      <c r="CIQ45" s="87"/>
      <c r="CIR45" s="87"/>
      <c r="CIS45" s="87"/>
      <c r="CIT45" s="87"/>
      <c r="CIU45" s="87"/>
      <c r="CIV45" s="87"/>
      <c r="CIW45" s="87"/>
      <c r="CIX45" s="87"/>
      <c r="CIY45" s="87"/>
      <c r="CIZ45" s="87"/>
      <c r="CJA45" s="87"/>
      <c r="CJB45" s="87"/>
      <c r="CJC45" s="87"/>
      <c r="CJD45" s="87"/>
      <c r="CJE45" s="87"/>
      <c r="CJF45" s="87"/>
      <c r="CJG45" s="87"/>
      <c r="CJH45" s="87"/>
      <c r="CJI45" s="87"/>
      <c r="CJJ45" s="87"/>
      <c r="CJK45" s="87"/>
      <c r="CJL45" s="87"/>
      <c r="CJM45" s="87"/>
      <c r="CJN45" s="87"/>
      <c r="CJO45" s="87"/>
      <c r="CJP45" s="87"/>
      <c r="CJQ45" s="87"/>
      <c r="CJR45" s="87"/>
      <c r="CJS45" s="87"/>
      <c r="CJT45" s="87"/>
      <c r="CJU45" s="87"/>
      <c r="CJV45" s="87"/>
      <c r="CJW45" s="87"/>
      <c r="CJX45" s="87"/>
      <c r="CJY45" s="87"/>
      <c r="CJZ45" s="87"/>
      <c r="CKA45" s="87"/>
      <c r="CKB45" s="87"/>
      <c r="CKC45" s="87"/>
      <c r="CKD45" s="87"/>
      <c r="CKE45" s="87"/>
      <c r="CKF45" s="87"/>
      <c r="CKG45" s="87"/>
      <c r="CKH45" s="87"/>
      <c r="CKI45" s="87"/>
      <c r="CKJ45" s="87"/>
      <c r="CKK45" s="87"/>
      <c r="CKL45" s="87"/>
      <c r="CKM45" s="87"/>
      <c r="CKN45" s="87"/>
      <c r="CKO45" s="87"/>
      <c r="CKP45" s="87"/>
      <c r="CKQ45" s="87"/>
      <c r="CKR45" s="87"/>
      <c r="CKS45" s="87"/>
      <c r="CKT45" s="87"/>
      <c r="CKU45" s="87"/>
      <c r="CKV45" s="87"/>
      <c r="CKW45" s="87"/>
      <c r="CKX45" s="87"/>
      <c r="CKY45" s="87"/>
      <c r="CKZ45" s="87"/>
      <c r="CLA45" s="87"/>
      <c r="CLB45" s="87"/>
      <c r="CLC45" s="87"/>
      <c r="CLD45" s="87"/>
      <c r="CLE45" s="87"/>
      <c r="CLF45" s="87"/>
      <c r="CLG45" s="87"/>
      <c r="CLH45" s="87"/>
      <c r="CLI45" s="87"/>
      <c r="CLJ45" s="87"/>
      <c r="CLK45" s="87"/>
      <c r="CLL45" s="87"/>
      <c r="CLM45" s="87"/>
      <c r="CLN45" s="87"/>
      <c r="CLO45" s="87"/>
      <c r="CLP45" s="87"/>
      <c r="CLQ45" s="87"/>
      <c r="CLR45" s="87"/>
      <c r="CLS45" s="87"/>
      <c r="CLT45" s="87"/>
      <c r="CLU45" s="87"/>
      <c r="CLV45" s="87"/>
      <c r="CLW45" s="87"/>
      <c r="CLX45" s="87"/>
      <c r="CLY45" s="87"/>
      <c r="CLZ45" s="87"/>
      <c r="CMA45" s="87"/>
      <c r="CMB45" s="87"/>
      <c r="CMC45" s="87"/>
      <c r="CMD45" s="87"/>
      <c r="CME45" s="87"/>
      <c r="CMF45" s="87"/>
      <c r="CMG45" s="87"/>
      <c r="CMH45" s="87"/>
      <c r="CMI45" s="87"/>
      <c r="CMJ45" s="87"/>
      <c r="CMK45" s="87"/>
      <c r="CML45" s="87"/>
      <c r="CMM45" s="87"/>
      <c r="CMN45" s="87"/>
      <c r="CMO45" s="87"/>
      <c r="CMP45" s="87"/>
      <c r="CMQ45" s="87"/>
      <c r="CMR45" s="87"/>
      <c r="CMS45" s="87"/>
      <c r="CMT45" s="87"/>
      <c r="CMU45" s="87"/>
      <c r="CMV45" s="87"/>
      <c r="CMW45" s="87"/>
      <c r="CMX45" s="87"/>
      <c r="CMY45" s="87"/>
      <c r="CMZ45" s="87"/>
      <c r="CNA45" s="87"/>
      <c r="CNB45" s="87"/>
      <c r="CNC45" s="87"/>
      <c r="CND45" s="87"/>
      <c r="CNE45" s="87"/>
      <c r="CNF45" s="87"/>
      <c r="CNG45" s="87"/>
      <c r="CNH45" s="87"/>
      <c r="CNI45" s="87"/>
      <c r="CNJ45" s="87"/>
      <c r="CNK45" s="87"/>
      <c r="CNL45" s="87"/>
      <c r="CNM45" s="87"/>
      <c r="CNN45" s="87"/>
      <c r="CNO45" s="87"/>
      <c r="CNP45" s="87"/>
      <c r="CNQ45" s="87"/>
      <c r="CNR45" s="87"/>
      <c r="CNS45" s="87"/>
      <c r="CNT45" s="87"/>
      <c r="CNU45" s="87"/>
      <c r="CNV45" s="87"/>
      <c r="CNW45" s="87"/>
      <c r="CNX45" s="87"/>
      <c r="CNY45" s="87"/>
      <c r="CNZ45" s="87"/>
      <c r="COA45" s="87"/>
      <c r="COB45" s="87"/>
      <c r="COC45" s="87"/>
      <c r="COD45" s="87"/>
      <c r="COE45" s="87"/>
      <c r="COF45" s="87"/>
      <c r="COG45" s="87"/>
      <c r="COH45" s="87"/>
      <c r="COI45" s="87"/>
      <c r="COJ45" s="87"/>
      <c r="COK45" s="87"/>
      <c r="COL45" s="87"/>
      <c r="COM45" s="87"/>
      <c r="CON45" s="87"/>
      <c r="COO45" s="87"/>
      <c r="COP45" s="87"/>
      <c r="COQ45" s="87"/>
      <c r="COR45" s="87"/>
      <c r="COS45" s="87"/>
      <c r="COT45" s="87"/>
      <c r="COU45" s="87"/>
      <c r="COV45" s="87"/>
      <c r="COW45" s="87"/>
      <c r="COX45" s="87"/>
      <c r="COY45" s="87"/>
      <c r="COZ45" s="87"/>
      <c r="CPA45" s="87"/>
      <c r="CPB45" s="87"/>
      <c r="CPC45" s="87"/>
      <c r="CPD45" s="87"/>
      <c r="CPE45" s="87"/>
      <c r="CPF45" s="87"/>
      <c r="CPG45" s="87"/>
      <c r="CPH45" s="87"/>
      <c r="CPI45" s="87"/>
      <c r="CPJ45" s="87"/>
      <c r="CPK45" s="87"/>
      <c r="CPL45" s="87"/>
      <c r="CPM45" s="87"/>
      <c r="CPN45" s="87"/>
      <c r="CPO45" s="87"/>
      <c r="CPP45" s="87"/>
      <c r="CPQ45" s="87"/>
      <c r="CPR45" s="87"/>
      <c r="CPS45" s="87"/>
      <c r="CPT45" s="87"/>
      <c r="CPU45" s="87"/>
      <c r="CPV45" s="87"/>
      <c r="CPW45" s="87"/>
      <c r="CPX45" s="87"/>
      <c r="CPY45" s="87"/>
      <c r="CPZ45" s="87"/>
      <c r="CQA45" s="87"/>
      <c r="CQB45" s="87"/>
      <c r="CQC45" s="87"/>
      <c r="CQD45" s="87"/>
      <c r="CQE45" s="87"/>
      <c r="CQF45" s="87"/>
      <c r="CQG45" s="87"/>
      <c r="CQH45" s="87"/>
      <c r="CQI45" s="87"/>
      <c r="CQJ45" s="87"/>
      <c r="CQK45" s="87"/>
      <c r="CQL45" s="87"/>
      <c r="CQM45" s="87"/>
      <c r="CQN45" s="87"/>
      <c r="CQO45" s="87"/>
      <c r="CQP45" s="87"/>
      <c r="CQQ45" s="87"/>
      <c r="CQR45" s="87"/>
      <c r="CQS45" s="87"/>
      <c r="CQT45" s="87"/>
      <c r="CQU45" s="87"/>
      <c r="CQV45" s="87"/>
      <c r="CQW45" s="87"/>
      <c r="CQX45" s="87"/>
      <c r="CQY45" s="87"/>
      <c r="CQZ45" s="87"/>
      <c r="CRA45" s="87"/>
      <c r="CRB45" s="87"/>
      <c r="CRC45" s="87"/>
      <c r="CRD45" s="87"/>
      <c r="CRE45" s="87"/>
      <c r="CRF45" s="87"/>
      <c r="CRG45" s="87"/>
      <c r="CRH45" s="87"/>
      <c r="CRI45" s="87"/>
      <c r="CRJ45" s="87"/>
      <c r="CRK45" s="87"/>
      <c r="CRL45" s="87"/>
      <c r="CRM45" s="87"/>
      <c r="CRN45" s="87"/>
      <c r="CRO45" s="87"/>
      <c r="CRP45" s="87"/>
      <c r="CRQ45" s="87"/>
      <c r="CRR45" s="87"/>
      <c r="CRS45" s="87"/>
      <c r="CRT45" s="87"/>
      <c r="CRU45" s="87"/>
      <c r="CRV45" s="87"/>
      <c r="CRW45" s="87"/>
      <c r="CRX45" s="87"/>
      <c r="CRY45" s="87"/>
      <c r="CRZ45" s="87"/>
      <c r="CSA45" s="87"/>
      <c r="CSB45" s="87"/>
      <c r="CSC45" s="87"/>
      <c r="CSD45" s="87"/>
      <c r="CSE45" s="87"/>
      <c r="CSF45" s="87"/>
      <c r="CSG45" s="87"/>
      <c r="CSH45" s="87"/>
      <c r="CSI45" s="87"/>
      <c r="CSJ45" s="87"/>
      <c r="CSK45" s="87"/>
      <c r="CSL45" s="87"/>
      <c r="CSM45" s="87"/>
      <c r="CSN45" s="87"/>
      <c r="CSO45" s="87"/>
      <c r="CSP45" s="87"/>
      <c r="CSQ45" s="87"/>
      <c r="CSR45" s="87"/>
      <c r="CSS45" s="87"/>
      <c r="CST45" s="87"/>
      <c r="CSU45" s="87"/>
      <c r="CSV45" s="87"/>
      <c r="CSW45" s="87"/>
      <c r="CSX45" s="87"/>
      <c r="CSY45" s="87"/>
      <c r="CSZ45" s="87"/>
      <c r="CTA45" s="87"/>
      <c r="CTB45" s="87"/>
      <c r="CTC45" s="87"/>
      <c r="CTD45" s="87"/>
      <c r="CTE45" s="87"/>
      <c r="CTF45" s="87"/>
      <c r="CTG45" s="87"/>
      <c r="CTH45" s="87"/>
      <c r="CTI45" s="87"/>
      <c r="CTJ45" s="87"/>
      <c r="CTK45" s="87"/>
      <c r="CTL45" s="87"/>
      <c r="CTM45" s="87"/>
      <c r="CTN45" s="87"/>
      <c r="CTO45" s="87"/>
      <c r="CTP45" s="87"/>
      <c r="CTQ45" s="87"/>
      <c r="CTR45" s="87"/>
      <c r="CTS45" s="87"/>
      <c r="CTT45" s="87"/>
      <c r="CTU45" s="87"/>
      <c r="CTV45" s="87"/>
      <c r="CTW45" s="87"/>
      <c r="CTX45" s="87"/>
      <c r="CTY45" s="87"/>
      <c r="CTZ45" s="87"/>
      <c r="CUA45" s="87"/>
      <c r="CUB45" s="87"/>
      <c r="CUC45" s="87"/>
      <c r="CUD45" s="87"/>
      <c r="CUE45" s="87"/>
      <c r="CUF45" s="87"/>
      <c r="CUG45" s="87"/>
      <c r="CUH45" s="87"/>
      <c r="CUI45" s="87"/>
      <c r="CUJ45" s="87"/>
      <c r="CUK45" s="87"/>
      <c r="CUL45" s="87"/>
      <c r="CUM45" s="87"/>
      <c r="CUN45" s="87"/>
      <c r="CUO45" s="87"/>
      <c r="CUP45" s="87"/>
      <c r="CUQ45" s="87"/>
      <c r="CUR45" s="87"/>
      <c r="CUS45" s="87"/>
      <c r="CUT45" s="87"/>
      <c r="CUU45" s="87"/>
      <c r="CUV45" s="87"/>
      <c r="CUW45" s="87"/>
      <c r="CUX45" s="87"/>
      <c r="CUY45" s="87"/>
      <c r="CUZ45" s="87"/>
      <c r="CVA45" s="87"/>
      <c r="CVB45" s="87"/>
      <c r="CVC45" s="87"/>
      <c r="CVD45" s="87"/>
      <c r="CVE45" s="87"/>
      <c r="CVF45" s="87"/>
      <c r="CVG45" s="87"/>
      <c r="CVH45" s="87"/>
      <c r="CVI45" s="87"/>
      <c r="CVJ45" s="87"/>
      <c r="CVK45" s="87"/>
      <c r="CVL45" s="87"/>
      <c r="CVM45" s="87"/>
      <c r="CVN45" s="87"/>
      <c r="CVO45" s="87"/>
      <c r="CVP45" s="87"/>
      <c r="CVQ45" s="87"/>
      <c r="CVR45" s="87"/>
      <c r="CVS45" s="87"/>
      <c r="CVT45" s="87"/>
      <c r="CVU45" s="87"/>
      <c r="CVV45" s="87"/>
      <c r="CVW45" s="87"/>
      <c r="CVX45" s="87"/>
      <c r="CVY45" s="87"/>
      <c r="CVZ45" s="87"/>
      <c r="CWA45" s="87"/>
      <c r="CWB45" s="87"/>
      <c r="CWC45" s="87"/>
      <c r="CWD45" s="87"/>
      <c r="CWE45" s="87"/>
      <c r="CWF45" s="87"/>
      <c r="CWG45" s="87"/>
      <c r="CWH45" s="87"/>
      <c r="CWI45" s="87"/>
      <c r="CWJ45" s="87"/>
      <c r="CWK45" s="87"/>
      <c r="CWL45" s="87"/>
      <c r="CWM45" s="87"/>
      <c r="CWN45" s="87"/>
      <c r="CWO45" s="87"/>
      <c r="CWP45" s="87"/>
      <c r="CWQ45" s="87"/>
      <c r="CWR45" s="87"/>
      <c r="CWS45" s="87"/>
      <c r="CWT45" s="87"/>
      <c r="CWU45" s="87"/>
      <c r="CWV45" s="87"/>
      <c r="CWW45" s="87"/>
      <c r="CWX45" s="87"/>
      <c r="CWY45" s="87"/>
      <c r="CWZ45" s="87"/>
      <c r="CXA45" s="87"/>
      <c r="CXB45" s="87"/>
      <c r="CXC45" s="87"/>
      <c r="CXD45" s="87"/>
      <c r="CXE45" s="87"/>
      <c r="CXF45" s="87"/>
      <c r="CXG45" s="87"/>
      <c r="CXH45" s="87"/>
      <c r="CXI45" s="87"/>
      <c r="CXJ45" s="87"/>
      <c r="CXK45" s="87"/>
      <c r="CXL45" s="87"/>
      <c r="CXM45" s="87"/>
      <c r="CXN45" s="87"/>
      <c r="CXO45" s="87"/>
      <c r="CXP45" s="87"/>
      <c r="CXQ45" s="87"/>
      <c r="CXR45" s="87"/>
      <c r="CXS45" s="87"/>
      <c r="CXT45" s="87"/>
      <c r="CXU45" s="87"/>
      <c r="CXV45" s="87"/>
      <c r="CXW45" s="87"/>
      <c r="CXX45" s="87"/>
      <c r="CXY45" s="87"/>
      <c r="CXZ45" s="87"/>
      <c r="CYA45" s="87"/>
      <c r="CYB45" s="87"/>
      <c r="CYC45" s="87"/>
      <c r="CYD45" s="87"/>
      <c r="CYE45" s="87"/>
      <c r="CYF45" s="87"/>
      <c r="CYG45" s="87"/>
      <c r="CYH45" s="87"/>
      <c r="CYI45" s="87"/>
      <c r="CYJ45" s="87"/>
      <c r="CYK45" s="87"/>
      <c r="CYL45" s="87"/>
      <c r="CYM45" s="87"/>
      <c r="CYN45" s="87"/>
      <c r="CYO45" s="87"/>
      <c r="CYP45" s="87"/>
      <c r="CYQ45" s="87"/>
      <c r="CYR45" s="87"/>
      <c r="CYS45" s="87"/>
      <c r="CYT45" s="87"/>
      <c r="CYU45" s="87"/>
      <c r="CYV45" s="87"/>
      <c r="CYW45" s="87"/>
      <c r="CYX45" s="87"/>
      <c r="CYY45" s="87"/>
      <c r="CYZ45" s="87"/>
      <c r="CZA45" s="87"/>
      <c r="CZB45" s="87"/>
      <c r="CZC45" s="87"/>
      <c r="CZD45" s="87"/>
      <c r="CZE45" s="87"/>
      <c r="CZF45" s="87"/>
      <c r="CZG45" s="87"/>
      <c r="CZH45" s="87"/>
      <c r="CZI45" s="87"/>
      <c r="CZJ45" s="87"/>
      <c r="CZK45" s="87"/>
      <c r="CZL45" s="87"/>
      <c r="CZM45" s="87"/>
      <c r="CZN45" s="87"/>
      <c r="CZO45" s="87"/>
      <c r="CZP45" s="87"/>
      <c r="CZQ45" s="87"/>
      <c r="CZR45" s="87"/>
      <c r="CZS45" s="87"/>
      <c r="CZT45" s="87"/>
      <c r="CZU45" s="87"/>
      <c r="CZV45" s="87"/>
      <c r="CZW45" s="87"/>
      <c r="CZX45" s="87"/>
      <c r="CZY45" s="87"/>
      <c r="CZZ45" s="87"/>
      <c r="DAA45" s="87"/>
      <c r="DAB45" s="87"/>
      <c r="DAC45" s="87"/>
      <c r="DAD45" s="87"/>
      <c r="DAE45" s="87"/>
      <c r="DAF45" s="87"/>
      <c r="DAG45" s="87"/>
      <c r="DAH45" s="87"/>
      <c r="DAI45" s="87"/>
      <c r="DAJ45" s="87"/>
      <c r="DAK45" s="87"/>
      <c r="DAL45" s="87"/>
      <c r="DAM45" s="87"/>
      <c r="DAN45" s="87"/>
      <c r="DAO45" s="87"/>
      <c r="DAP45" s="87"/>
      <c r="DAQ45" s="87"/>
      <c r="DAR45" s="87"/>
      <c r="DAS45" s="87"/>
      <c r="DAT45" s="87"/>
      <c r="DAU45" s="87"/>
      <c r="DAV45" s="87"/>
      <c r="DAW45" s="87"/>
      <c r="DAX45" s="87"/>
      <c r="DAY45" s="87"/>
      <c r="DAZ45" s="87"/>
      <c r="DBA45" s="87"/>
      <c r="DBB45" s="87"/>
      <c r="DBC45" s="87"/>
      <c r="DBD45" s="87"/>
      <c r="DBE45" s="87"/>
      <c r="DBF45" s="87"/>
      <c r="DBG45" s="87"/>
      <c r="DBH45" s="87"/>
      <c r="DBI45" s="87"/>
      <c r="DBJ45" s="87"/>
      <c r="DBK45" s="87"/>
      <c r="DBL45" s="87"/>
      <c r="DBM45" s="87"/>
      <c r="DBN45" s="87"/>
      <c r="DBO45" s="87"/>
      <c r="DBP45" s="87"/>
      <c r="DBQ45" s="87"/>
      <c r="DBR45" s="87"/>
      <c r="DBS45" s="87"/>
      <c r="DBT45" s="87"/>
      <c r="DBU45" s="87"/>
      <c r="DBV45" s="87"/>
      <c r="DBW45" s="87"/>
      <c r="DBX45" s="87"/>
      <c r="DBY45" s="87"/>
      <c r="DBZ45" s="87"/>
      <c r="DCA45" s="87"/>
      <c r="DCB45" s="87"/>
      <c r="DCC45" s="87"/>
      <c r="DCD45" s="87"/>
      <c r="DCE45" s="87"/>
      <c r="DCF45" s="87"/>
      <c r="DCG45" s="87"/>
      <c r="DCH45" s="87"/>
      <c r="DCI45" s="87"/>
      <c r="DCJ45" s="87"/>
      <c r="DCK45" s="87"/>
      <c r="DCL45" s="87"/>
      <c r="DCM45" s="87"/>
      <c r="DCN45" s="87"/>
      <c r="DCO45" s="87"/>
      <c r="DCP45" s="87"/>
      <c r="DCQ45" s="87"/>
      <c r="DCR45" s="87"/>
      <c r="DCS45" s="87"/>
      <c r="DCT45" s="87"/>
      <c r="DCU45" s="87"/>
      <c r="DCV45" s="87"/>
      <c r="DCW45" s="87"/>
      <c r="DCX45" s="87"/>
      <c r="DCY45" s="87"/>
      <c r="DCZ45" s="87"/>
      <c r="DDA45" s="87"/>
      <c r="DDB45" s="87"/>
      <c r="DDC45" s="87"/>
      <c r="DDD45" s="87"/>
      <c r="DDE45" s="87"/>
      <c r="DDF45" s="87"/>
      <c r="DDG45" s="87"/>
      <c r="DDH45" s="87"/>
      <c r="DDI45" s="87"/>
      <c r="DDJ45" s="87"/>
      <c r="DDK45" s="87"/>
      <c r="DDL45" s="87"/>
      <c r="DDM45" s="87"/>
      <c r="DDN45" s="87"/>
      <c r="DDO45" s="87"/>
      <c r="DDP45" s="87"/>
      <c r="DDQ45" s="87"/>
      <c r="DDR45" s="87"/>
      <c r="DDS45" s="87"/>
      <c r="DDT45" s="87"/>
      <c r="DDU45" s="87"/>
      <c r="DDV45" s="87"/>
      <c r="DDW45" s="87"/>
      <c r="DDX45" s="87"/>
      <c r="DDY45" s="87"/>
      <c r="DDZ45" s="87"/>
      <c r="DEA45" s="87"/>
      <c r="DEB45" s="87"/>
      <c r="DEC45" s="87"/>
      <c r="DED45" s="87"/>
      <c r="DEE45" s="87"/>
      <c r="DEF45" s="87"/>
      <c r="DEG45" s="87"/>
      <c r="DEH45" s="87"/>
      <c r="DEI45" s="87"/>
      <c r="DEJ45" s="87"/>
      <c r="DEK45" s="87"/>
      <c r="DEL45" s="87"/>
      <c r="DEM45" s="87"/>
      <c r="DEN45" s="87"/>
      <c r="DEO45" s="87"/>
      <c r="DEP45" s="87"/>
      <c r="DEQ45" s="87"/>
      <c r="DER45" s="87"/>
      <c r="DES45" s="87"/>
      <c r="DET45" s="87"/>
      <c r="DEU45" s="87"/>
      <c r="DEV45" s="87"/>
      <c r="DEW45" s="87"/>
      <c r="DEX45" s="87"/>
      <c r="DEY45" s="87"/>
      <c r="DEZ45" s="87"/>
      <c r="DFA45" s="87"/>
      <c r="DFB45" s="87"/>
      <c r="DFC45" s="87"/>
      <c r="DFD45" s="87"/>
      <c r="DFE45" s="87"/>
      <c r="DFF45" s="87"/>
      <c r="DFG45" s="87"/>
      <c r="DFH45" s="87"/>
      <c r="DFI45" s="87"/>
      <c r="DFJ45" s="87"/>
      <c r="DFK45" s="87"/>
      <c r="DFL45" s="87"/>
      <c r="DFM45" s="87"/>
      <c r="DFN45" s="87"/>
      <c r="DFO45" s="87"/>
      <c r="DFP45" s="87"/>
      <c r="DFQ45" s="87"/>
      <c r="DFR45" s="87"/>
      <c r="DFS45" s="87"/>
      <c r="DFT45" s="87"/>
      <c r="DFU45" s="87"/>
      <c r="DFV45" s="87"/>
      <c r="DFW45" s="87"/>
      <c r="DFX45" s="87"/>
      <c r="DFY45" s="87"/>
      <c r="DFZ45" s="87"/>
      <c r="DGA45" s="87"/>
      <c r="DGB45" s="87"/>
      <c r="DGC45" s="87"/>
      <c r="DGD45" s="87"/>
      <c r="DGE45" s="87"/>
      <c r="DGF45" s="87"/>
      <c r="DGG45" s="87"/>
      <c r="DGH45" s="87"/>
      <c r="DGI45" s="87"/>
      <c r="DGJ45" s="87"/>
      <c r="DGK45" s="87"/>
      <c r="DGL45" s="87"/>
      <c r="DGM45" s="87"/>
      <c r="DGN45" s="87"/>
      <c r="DGO45" s="87"/>
      <c r="DGP45" s="87"/>
      <c r="DGQ45" s="87"/>
      <c r="DGR45" s="87"/>
      <c r="DGS45" s="87"/>
      <c r="DGT45" s="87"/>
      <c r="DGU45" s="87"/>
      <c r="DGV45" s="87"/>
      <c r="DGW45" s="87"/>
      <c r="DGX45" s="87"/>
      <c r="DGY45" s="87"/>
      <c r="DGZ45" s="87"/>
      <c r="DHA45" s="87"/>
      <c r="DHB45" s="87"/>
      <c r="DHC45" s="87"/>
      <c r="DHD45" s="87"/>
      <c r="DHE45" s="87"/>
      <c r="DHF45" s="87"/>
      <c r="DHG45" s="87"/>
      <c r="DHH45" s="87"/>
      <c r="DHI45" s="87"/>
      <c r="DHJ45" s="87"/>
      <c r="DHK45" s="87"/>
      <c r="DHL45" s="87"/>
      <c r="DHM45" s="87"/>
      <c r="DHN45" s="87"/>
      <c r="DHO45" s="87"/>
      <c r="DHP45" s="87"/>
      <c r="DHQ45" s="87"/>
      <c r="DHR45" s="87"/>
      <c r="DHS45" s="87"/>
      <c r="DHT45" s="87"/>
      <c r="DHU45" s="87"/>
      <c r="DHV45" s="87"/>
      <c r="DHW45" s="87"/>
      <c r="DHX45" s="87"/>
      <c r="DHY45" s="87"/>
      <c r="DHZ45" s="87"/>
      <c r="DIA45" s="87"/>
      <c r="DIB45" s="87"/>
      <c r="DIC45" s="87"/>
      <c r="DID45" s="87"/>
      <c r="DIE45" s="87"/>
      <c r="DIF45" s="87"/>
      <c r="DIG45" s="87"/>
      <c r="DIH45" s="87"/>
      <c r="DII45" s="87"/>
      <c r="DIJ45" s="87"/>
      <c r="DIK45" s="87"/>
      <c r="DIL45" s="87"/>
      <c r="DIM45" s="87"/>
      <c r="DIN45" s="87"/>
      <c r="DIO45" s="87"/>
      <c r="DIP45" s="87"/>
      <c r="DIQ45" s="87"/>
      <c r="DIR45" s="87"/>
      <c r="DIS45" s="87"/>
      <c r="DIT45" s="87"/>
      <c r="DIU45" s="87"/>
      <c r="DIV45" s="87"/>
      <c r="DIW45" s="87"/>
      <c r="DIX45" s="87"/>
      <c r="DIY45" s="87"/>
      <c r="DIZ45" s="87"/>
      <c r="DJA45" s="87"/>
      <c r="DJB45" s="87"/>
      <c r="DJC45" s="87"/>
      <c r="DJD45" s="87"/>
      <c r="DJE45" s="87"/>
      <c r="DJF45" s="87"/>
      <c r="DJG45" s="87"/>
      <c r="DJH45" s="87"/>
      <c r="DJI45" s="87"/>
      <c r="DJJ45" s="87"/>
      <c r="DJK45" s="87"/>
      <c r="DJL45" s="87"/>
      <c r="DJM45" s="87"/>
      <c r="DJN45" s="87"/>
      <c r="DJO45" s="87"/>
      <c r="DJP45" s="87"/>
      <c r="DJQ45" s="87"/>
      <c r="DJR45" s="87"/>
      <c r="DJS45" s="87"/>
      <c r="DJT45" s="87"/>
      <c r="DJU45" s="87"/>
      <c r="DJV45" s="87"/>
      <c r="DJW45" s="87"/>
      <c r="DJX45" s="87"/>
      <c r="DJY45" s="87"/>
      <c r="DJZ45" s="87"/>
      <c r="DKA45" s="87"/>
      <c r="DKB45" s="87"/>
      <c r="DKC45" s="87"/>
      <c r="DKD45" s="87"/>
      <c r="DKE45" s="87"/>
      <c r="DKF45" s="87"/>
      <c r="DKG45" s="87"/>
      <c r="DKH45" s="87"/>
      <c r="DKI45" s="87"/>
      <c r="DKJ45" s="87"/>
      <c r="DKK45" s="87"/>
      <c r="DKL45" s="87"/>
      <c r="DKM45" s="87"/>
      <c r="DKN45" s="87"/>
      <c r="DKO45" s="87"/>
      <c r="DKP45" s="87"/>
      <c r="DKQ45" s="87"/>
      <c r="DKR45" s="87"/>
      <c r="DKS45" s="87"/>
      <c r="DKT45" s="87"/>
      <c r="DKU45" s="87"/>
      <c r="DKV45" s="87"/>
      <c r="DKW45" s="87"/>
      <c r="DKX45" s="87"/>
      <c r="DKY45" s="87"/>
      <c r="DKZ45" s="87"/>
      <c r="DLA45" s="87"/>
      <c r="DLB45" s="87"/>
      <c r="DLC45" s="87"/>
      <c r="DLD45" s="87"/>
      <c r="DLE45" s="87"/>
      <c r="DLF45" s="87"/>
      <c r="DLG45" s="87"/>
      <c r="DLH45" s="87"/>
      <c r="DLI45" s="87"/>
      <c r="DLJ45" s="87"/>
      <c r="DLK45" s="87"/>
      <c r="DLL45" s="87"/>
      <c r="DLM45" s="87"/>
      <c r="DLN45" s="87"/>
      <c r="DLO45" s="87"/>
      <c r="DLP45" s="87"/>
      <c r="DLQ45" s="87"/>
      <c r="DLR45" s="87"/>
      <c r="DLS45" s="87"/>
      <c r="DLT45" s="87"/>
      <c r="DLU45" s="87"/>
      <c r="DLV45" s="87"/>
      <c r="DLW45" s="87"/>
      <c r="DLX45" s="87"/>
      <c r="DLY45" s="87"/>
      <c r="DLZ45" s="87"/>
      <c r="DMA45" s="87"/>
      <c r="DMB45" s="87"/>
      <c r="DMC45" s="87"/>
      <c r="DMD45" s="87"/>
      <c r="DME45" s="87"/>
      <c r="DMF45" s="87"/>
      <c r="DMG45" s="87"/>
      <c r="DMH45" s="87"/>
      <c r="DMI45" s="87"/>
      <c r="DMJ45" s="87"/>
      <c r="DMK45" s="87"/>
      <c r="DML45" s="87"/>
      <c r="DMM45" s="87"/>
      <c r="DMN45" s="87"/>
      <c r="DMO45" s="87"/>
      <c r="DMP45" s="87"/>
      <c r="DMQ45" s="87"/>
      <c r="DMR45" s="87"/>
      <c r="DMS45" s="87"/>
      <c r="DMT45" s="87"/>
      <c r="DMU45" s="87"/>
      <c r="DMV45" s="87"/>
      <c r="DMW45" s="87"/>
      <c r="DMX45" s="87"/>
      <c r="DMY45" s="87"/>
      <c r="DMZ45" s="87"/>
      <c r="DNA45" s="87"/>
      <c r="DNB45" s="87"/>
      <c r="DNC45" s="87"/>
      <c r="DND45" s="87"/>
      <c r="DNE45" s="87"/>
      <c r="DNF45" s="87"/>
      <c r="DNG45" s="87"/>
      <c r="DNH45" s="87"/>
      <c r="DNI45" s="87"/>
      <c r="DNJ45" s="87"/>
      <c r="DNK45" s="87"/>
      <c r="DNL45" s="87"/>
      <c r="DNM45" s="87"/>
      <c r="DNN45" s="87"/>
      <c r="DNO45" s="87"/>
      <c r="DNP45" s="87"/>
      <c r="DNQ45" s="87"/>
      <c r="DNR45" s="87"/>
      <c r="DNS45" s="87"/>
      <c r="DNT45" s="87"/>
      <c r="DNU45" s="87"/>
      <c r="DNV45" s="87"/>
      <c r="DNW45" s="87"/>
      <c r="DNX45" s="87"/>
      <c r="DNY45" s="87"/>
      <c r="DNZ45" s="87"/>
      <c r="DOA45" s="87"/>
      <c r="DOB45" s="87"/>
      <c r="DOC45" s="87"/>
      <c r="DOD45" s="87"/>
      <c r="DOE45" s="87"/>
      <c r="DOF45" s="87"/>
      <c r="DOG45" s="87"/>
      <c r="DOH45" s="87"/>
      <c r="DOI45" s="87"/>
      <c r="DOJ45" s="87"/>
      <c r="DOK45" s="87"/>
      <c r="DOL45" s="87"/>
      <c r="DOM45" s="87"/>
      <c r="DON45" s="87"/>
      <c r="DOO45" s="87"/>
      <c r="DOP45" s="87"/>
      <c r="DOQ45" s="87"/>
      <c r="DOR45" s="87"/>
      <c r="DOS45" s="87"/>
      <c r="DOT45" s="87"/>
      <c r="DOU45" s="87"/>
      <c r="DOV45" s="87"/>
      <c r="DOW45" s="87"/>
      <c r="DOX45" s="87"/>
      <c r="DOY45" s="87"/>
      <c r="DOZ45" s="87"/>
      <c r="DPA45" s="87"/>
      <c r="DPB45" s="87"/>
      <c r="DPC45" s="87"/>
      <c r="DPD45" s="87"/>
      <c r="DPE45" s="87"/>
      <c r="DPF45" s="87"/>
      <c r="DPG45" s="87"/>
      <c r="DPH45" s="87"/>
      <c r="DPI45" s="87"/>
      <c r="DPJ45" s="87"/>
      <c r="DPK45" s="87"/>
      <c r="DPL45" s="87"/>
      <c r="DPM45" s="87"/>
      <c r="DPN45" s="87"/>
      <c r="DPO45" s="87"/>
      <c r="DPP45" s="87"/>
      <c r="DPQ45" s="87"/>
      <c r="DPR45" s="87"/>
      <c r="DPS45" s="87"/>
      <c r="DPT45" s="87"/>
      <c r="DPU45" s="87"/>
      <c r="DPV45" s="87"/>
      <c r="DPW45" s="87"/>
      <c r="DPX45" s="87"/>
      <c r="DPY45" s="87"/>
      <c r="DPZ45" s="87"/>
      <c r="DQA45" s="87"/>
      <c r="DQB45" s="87"/>
      <c r="DQC45" s="87"/>
      <c r="DQD45" s="87"/>
      <c r="DQE45" s="87"/>
      <c r="DQF45" s="87"/>
      <c r="DQG45" s="87"/>
      <c r="DQH45" s="87"/>
      <c r="DQI45" s="87"/>
      <c r="DQJ45" s="87"/>
      <c r="DQK45" s="87"/>
      <c r="DQL45" s="87"/>
      <c r="DQM45" s="87"/>
      <c r="DQN45" s="87"/>
      <c r="DQO45" s="87"/>
      <c r="DQP45" s="87"/>
      <c r="DQQ45" s="87"/>
      <c r="DQR45" s="87"/>
      <c r="DQS45" s="87"/>
      <c r="DQT45" s="87"/>
      <c r="DQU45" s="87"/>
      <c r="DQV45" s="87"/>
      <c r="DQW45" s="87"/>
      <c r="DQX45" s="87"/>
      <c r="DQY45" s="87"/>
      <c r="DQZ45" s="87"/>
      <c r="DRA45" s="87"/>
      <c r="DRB45" s="87"/>
      <c r="DRC45" s="87"/>
      <c r="DRD45" s="87"/>
      <c r="DRE45" s="87"/>
      <c r="DRF45" s="87"/>
      <c r="DRG45" s="87"/>
      <c r="DRH45" s="87"/>
      <c r="DRI45" s="87"/>
      <c r="DRJ45" s="87"/>
      <c r="DRK45" s="87"/>
      <c r="DRL45" s="87"/>
      <c r="DRM45" s="87"/>
      <c r="DRN45" s="87"/>
      <c r="DRO45" s="87"/>
      <c r="DRP45" s="87"/>
      <c r="DRQ45" s="87"/>
      <c r="DRR45" s="87"/>
      <c r="DRS45" s="87"/>
      <c r="DRT45" s="87"/>
      <c r="DRU45" s="87"/>
      <c r="DRV45" s="87"/>
      <c r="DRW45" s="87"/>
      <c r="DRX45" s="87"/>
      <c r="DRY45" s="87"/>
      <c r="DRZ45" s="87"/>
      <c r="DSA45" s="87"/>
      <c r="DSB45" s="87"/>
      <c r="DSC45" s="87"/>
      <c r="DSD45" s="87"/>
      <c r="DSE45" s="87"/>
      <c r="DSF45" s="87"/>
      <c r="DSG45" s="87"/>
      <c r="DSH45" s="87"/>
      <c r="DSI45" s="87"/>
      <c r="DSJ45" s="87"/>
      <c r="DSK45" s="87"/>
      <c r="DSL45" s="87"/>
      <c r="DSM45" s="87"/>
      <c r="DSN45" s="87"/>
      <c r="DSO45" s="87"/>
      <c r="DSP45" s="87"/>
      <c r="DSQ45" s="87"/>
      <c r="DSR45" s="87"/>
      <c r="DSS45" s="87"/>
      <c r="DST45" s="87"/>
      <c r="DSU45" s="87"/>
      <c r="DSV45" s="87"/>
      <c r="DSW45" s="87"/>
      <c r="DSX45" s="87"/>
      <c r="DSY45" s="87"/>
      <c r="DSZ45" s="87"/>
      <c r="DTA45" s="87"/>
      <c r="DTB45" s="87"/>
      <c r="DTC45" s="87"/>
      <c r="DTD45" s="87"/>
      <c r="DTE45" s="87"/>
      <c r="DTF45" s="87"/>
      <c r="DTG45" s="87"/>
      <c r="DTH45" s="87"/>
      <c r="DTI45" s="87"/>
      <c r="DTJ45" s="87"/>
      <c r="DTK45" s="87"/>
      <c r="DTL45" s="87"/>
      <c r="DTM45" s="87"/>
      <c r="DTN45" s="87"/>
      <c r="DTO45" s="87"/>
      <c r="DTP45" s="87"/>
      <c r="DTQ45" s="87"/>
      <c r="DTR45" s="87"/>
      <c r="DTS45" s="87"/>
      <c r="DTT45" s="87"/>
      <c r="DTU45" s="87"/>
      <c r="DTV45" s="87"/>
      <c r="DTW45" s="87"/>
      <c r="DTX45" s="87"/>
      <c r="DTY45" s="87"/>
      <c r="DTZ45" s="87"/>
      <c r="DUA45" s="87"/>
      <c r="DUB45" s="87"/>
      <c r="DUC45" s="87"/>
      <c r="DUD45" s="87"/>
      <c r="DUE45" s="87"/>
      <c r="DUF45" s="87"/>
      <c r="DUG45" s="87"/>
      <c r="DUH45" s="87"/>
      <c r="DUI45" s="87"/>
      <c r="DUJ45" s="87"/>
      <c r="DUK45" s="87"/>
      <c r="DUL45" s="87"/>
      <c r="DUM45" s="87"/>
      <c r="DUN45" s="87"/>
      <c r="DUO45" s="87"/>
      <c r="DUP45" s="87"/>
      <c r="DUQ45" s="87"/>
      <c r="DUR45" s="87"/>
      <c r="DUS45" s="87"/>
      <c r="DUT45" s="87"/>
      <c r="DUU45" s="87"/>
      <c r="DUV45" s="87"/>
      <c r="DUW45" s="87"/>
      <c r="DUX45" s="87"/>
      <c r="DUY45" s="87"/>
      <c r="DUZ45" s="87"/>
      <c r="DVA45" s="87"/>
      <c r="DVB45" s="87"/>
      <c r="DVC45" s="87"/>
      <c r="DVD45" s="87"/>
      <c r="DVE45" s="87"/>
      <c r="DVF45" s="87"/>
      <c r="DVG45" s="87"/>
      <c r="DVH45" s="87"/>
      <c r="DVI45" s="87"/>
      <c r="DVJ45" s="87"/>
      <c r="DVK45" s="87"/>
      <c r="DVL45" s="87"/>
      <c r="DVM45" s="87"/>
      <c r="DVN45" s="87"/>
      <c r="DVO45" s="87"/>
      <c r="DVP45" s="87"/>
      <c r="DVQ45" s="87"/>
      <c r="DVR45" s="87"/>
      <c r="DVS45" s="87"/>
      <c r="DVT45" s="87"/>
      <c r="DVU45" s="87"/>
      <c r="DVV45" s="87"/>
      <c r="DVW45" s="87"/>
      <c r="DVX45" s="87"/>
      <c r="DVY45" s="87"/>
      <c r="DVZ45" s="87"/>
      <c r="DWA45" s="87"/>
      <c r="DWB45" s="87"/>
      <c r="DWC45" s="87"/>
      <c r="DWD45" s="87"/>
      <c r="DWE45" s="87"/>
      <c r="DWF45" s="87"/>
      <c r="DWG45" s="87"/>
      <c r="DWH45" s="87"/>
      <c r="DWI45" s="87"/>
      <c r="DWJ45" s="87"/>
      <c r="DWK45" s="87"/>
      <c r="DWL45" s="87"/>
      <c r="DWM45" s="87"/>
      <c r="DWN45" s="87"/>
      <c r="DWO45" s="87"/>
      <c r="DWP45" s="87"/>
      <c r="DWQ45" s="87"/>
      <c r="DWR45" s="87"/>
      <c r="DWS45" s="87"/>
      <c r="DWT45" s="87"/>
      <c r="DWU45" s="87"/>
      <c r="DWV45" s="87"/>
      <c r="DWW45" s="87"/>
      <c r="DWX45" s="87"/>
      <c r="DWY45" s="87"/>
      <c r="DWZ45" s="87"/>
      <c r="DXA45" s="87"/>
      <c r="DXB45" s="87"/>
      <c r="DXC45" s="87"/>
      <c r="DXD45" s="87"/>
      <c r="DXE45" s="87"/>
      <c r="DXF45" s="87"/>
      <c r="DXG45" s="87"/>
      <c r="DXH45" s="87"/>
      <c r="DXI45" s="87"/>
      <c r="DXJ45" s="87"/>
      <c r="DXK45" s="87"/>
      <c r="DXL45" s="87"/>
      <c r="DXM45" s="87"/>
      <c r="DXN45" s="87"/>
      <c r="DXO45" s="87"/>
      <c r="DXP45" s="87"/>
      <c r="DXQ45" s="87"/>
      <c r="DXR45" s="87"/>
      <c r="DXS45" s="87"/>
      <c r="DXT45" s="87"/>
      <c r="DXU45" s="87"/>
      <c r="DXV45" s="87"/>
      <c r="DXW45" s="87"/>
      <c r="DXX45" s="87"/>
      <c r="DXY45" s="87"/>
      <c r="DXZ45" s="87"/>
      <c r="DYA45" s="87"/>
      <c r="DYB45" s="87"/>
      <c r="DYC45" s="87"/>
      <c r="DYD45" s="87"/>
      <c r="DYE45" s="87"/>
      <c r="DYF45" s="87"/>
      <c r="DYG45" s="87"/>
      <c r="DYH45" s="87"/>
      <c r="DYI45" s="87"/>
      <c r="DYJ45" s="87"/>
      <c r="DYK45" s="87"/>
      <c r="DYL45" s="87"/>
      <c r="DYM45" s="87"/>
      <c r="DYN45" s="87"/>
      <c r="DYO45" s="87"/>
      <c r="DYP45" s="87"/>
      <c r="DYQ45" s="87"/>
      <c r="DYR45" s="87"/>
      <c r="DYS45" s="87"/>
      <c r="DYT45" s="87"/>
      <c r="DYU45" s="87"/>
      <c r="DYV45" s="87"/>
      <c r="DYW45" s="87"/>
      <c r="DYX45" s="87"/>
      <c r="DYY45" s="87"/>
      <c r="DYZ45" s="87"/>
      <c r="DZA45" s="87"/>
      <c r="DZB45" s="87"/>
      <c r="DZC45" s="87"/>
      <c r="DZD45" s="87"/>
      <c r="DZE45" s="87"/>
      <c r="DZF45" s="87"/>
      <c r="DZG45" s="87"/>
      <c r="DZH45" s="87"/>
      <c r="DZI45" s="87"/>
      <c r="DZJ45" s="87"/>
      <c r="DZK45" s="87"/>
      <c r="DZL45" s="87"/>
      <c r="DZM45" s="87"/>
      <c r="DZN45" s="87"/>
      <c r="DZO45" s="87"/>
      <c r="DZP45" s="87"/>
      <c r="DZQ45" s="87"/>
      <c r="DZR45" s="87"/>
      <c r="DZS45" s="87"/>
      <c r="DZT45" s="87"/>
      <c r="DZU45" s="87"/>
      <c r="DZV45" s="87"/>
      <c r="DZW45" s="87"/>
      <c r="DZX45" s="87"/>
      <c r="DZY45" s="87"/>
      <c r="DZZ45" s="87"/>
      <c r="EAA45" s="87"/>
      <c r="EAB45" s="87"/>
      <c r="EAC45" s="87"/>
      <c r="EAD45" s="87"/>
      <c r="EAE45" s="87"/>
      <c r="EAF45" s="87"/>
      <c r="EAG45" s="87"/>
      <c r="EAH45" s="87"/>
      <c r="EAI45" s="87"/>
      <c r="EAJ45" s="87"/>
      <c r="EAK45" s="87"/>
      <c r="EAL45" s="87"/>
      <c r="EAM45" s="87"/>
      <c r="EAN45" s="87"/>
      <c r="EAO45" s="87"/>
      <c r="EAP45" s="87"/>
      <c r="EAQ45" s="87"/>
      <c r="EAR45" s="87"/>
      <c r="EAS45" s="87"/>
      <c r="EAT45" s="87"/>
      <c r="EAU45" s="87"/>
      <c r="EAV45" s="87"/>
      <c r="EAW45" s="87"/>
      <c r="EAX45" s="87"/>
      <c r="EAY45" s="87"/>
      <c r="EAZ45" s="87"/>
      <c r="EBA45" s="87"/>
      <c r="EBB45" s="87"/>
      <c r="EBC45" s="87"/>
      <c r="EBD45" s="87"/>
      <c r="EBE45" s="87"/>
      <c r="EBF45" s="87"/>
      <c r="EBG45" s="87"/>
      <c r="EBH45" s="87"/>
      <c r="EBI45" s="87"/>
      <c r="EBJ45" s="87"/>
      <c r="EBK45" s="87"/>
      <c r="EBL45" s="87"/>
      <c r="EBM45" s="87"/>
      <c r="EBN45" s="87"/>
      <c r="EBO45" s="87"/>
      <c r="EBP45" s="87"/>
      <c r="EBQ45" s="87"/>
      <c r="EBR45" s="87"/>
      <c r="EBS45" s="87"/>
      <c r="EBT45" s="87"/>
      <c r="EBU45" s="87"/>
      <c r="EBV45" s="87"/>
      <c r="EBW45" s="87"/>
      <c r="EBX45" s="87"/>
      <c r="EBY45" s="87"/>
      <c r="EBZ45" s="87"/>
      <c r="ECA45" s="87"/>
      <c r="ECB45" s="87"/>
      <c r="ECC45" s="87"/>
      <c r="ECD45" s="87"/>
      <c r="ECE45" s="87"/>
      <c r="ECF45" s="87"/>
      <c r="ECG45" s="87"/>
      <c r="ECH45" s="87"/>
      <c r="ECI45" s="87"/>
      <c r="ECJ45" s="87"/>
      <c r="ECK45" s="87"/>
      <c r="ECL45" s="87"/>
      <c r="ECM45" s="87"/>
      <c r="ECN45" s="87"/>
      <c r="ECO45" s="87"/>
      <c r="ECP45" s="87"/>
      <c r="ECQ45" s="87"/>
      <c r="ECR45" s="87"/>
      <c r="ECS45" s="87"/>
      <c r="ECT45" s="87"/>
      <c r="ECU45" s="87"/>
      <c r="ECV45" s="87"/>
      <c r="ECW45" s="87"/>
      <c r="ECX45" s="87"/>
      <c r="ECY45" s="87"/>
      <c r="ECZ45" s="87"/>
      <c r="EDA45" s="87"/>
      <c r="EDB45" s="87"/>
      <c r="EDC45" s="87"/>
      <c r="EDD45" s="87"/>
      <c r="EDE45" s="87"/>
      <c r="EDF45" s="87"/>
      <c r="EDG45" s="87"/>
      <c r="EDH45" s="87"/>
      <c r="EDI45" s="87"/>
      <c r="EDJ45" s="87"/>
      <c r="EDK45" s="87"/>
      <c r="EDL45" s="87"/>
      <c r="EDM45" s="87"/>
      <c r="EDN45" s="87"/>
      <c r="EDO45" s="87"/>
      <c r="EDP45" s="87"/>
      <c r="EDQ45" s="87"/>
      <c r="EDR45" s="87"/>
      <c r="EDS45" s="87"/>
      <c r="EDT45" s="87"/>
      <c r="EDU45" s="87"/>
      <c r="EDV45" s="87"/>
      <c r="EDW45" s="87"/>
      <c r="EDX45" s="87"/>
      <c r="EDY45" s="87"/>
      <c r="EDZ45" s="87"/>
      <c r="EEA45" s="87"/>
      <c r="EEB45" s="87"/>
      <c r="EEC45" s="87"/>
      <c r="EED45" s="87"/>
      <c r="EEE45" s="87"/>
      <c r="EEF45" s="87"/>
      <c r="EEG45" s="87"/>
      <c r="EEH45" s="87"/>
      <c r="EEI45" s="87"/>
      <c r="EEJ45" s="87"/>
      <c r="EEK45" s="87"/>
      <c r="EEL45" s="87"/>
      <c r="EEM45" s="87"/>
      <c r="EEN45" s="87"/>
      <c r="EEO45" s="87"/>
      <c r="EEP45" s="87"/>
      <c r="EEQ45" s="87"/>
      <c r="EER45" s="87"/>
      <c r="EES45" s="87"/>
      <c r="EET45" s="87"/>
      <c r="EEU45" s="87"/>
      <c r="EEV45" s="87"/>
      <c r="EEW45" s="87"/>
      <c r="EEX45" s="87"/>
      <c r="EEY45" s="87"/>
      <c r="EEZ45" s="87"/>
      <c r="EFA45" s="87"/>
      <c r="EFB45" s="87"/>
      <c r="EFC45" s="87"/>
      <c r="EFD45" s="87"/>
      <c r="EFE45" s="87"/>
      <c r="EFF45" s="87"/>
      <c r="EFG45" s="87"/>
      <c r="EFH45" s="87"/>
      <c r="EFI45" s="87"/>
      <c r="EFJ45" s="87"/>
      <c r="EFK45" s="87"/>
      <c r="EFL45" s="87"/>
      <c r="EFM45" s="87"/>
      <c r="EFN45" s="87"/>
      <c r="EFO45" s="87"/>
      <c r="EFP45" s="87"/>
      <c r="EFQ45" s="87"/>
      <c r="EFR45" s="87"/>
      <c r="EFS45" s="87"/>
      <c r="EFT45" s="87"/>
      <c r="EFU45" s="87"/>
      <c r="EFV45" s="87"/>
      <c r="EFW45" s="87"/>
      <c r="EFX45" s="87"/>
      <c r="EFY45" s="87"/>
      <c r="EFZ45" s="87"/>
      <c r="EGA45" s="87"/>
      <c r="EGB45" s="87"/>
      <c r="EGC45" s="87"/>
      <c r="EGD45" s="87"/>
      <c r="EGE45" s="87"/>
      <c r="EGF45" s="87"/>
      <c r="EGG45" s="87"/>
      <c r="EGH45" s="87"/>
      <c r="EGI45" s="87"/>
      <c r="EGJ45" s="87"/>
      <c r="EGK45" s="87"/>
      <c r="EGL45" s="87"/>
      <c r="EGM45" s="87"/>
      <c r="EGN45" s="87"/>
      <c r="EGO45" s="87"/>
      <c r="EGP45" s="87"/>
      <c r="EGQ45" s="87"/>
      <c r="EGR45" s="87"/>
      <c r="EGS45" s="87"/>
      <c r="EGT45" s="87"/>
      <c r="EGU45" s="87"/>
      <c r="EGV45" s="87"/>
      <c r="EGW45" s="87"/>
      <c r="EGX45" s="87"/>
      <c r="EGY45" s="87"/>
      <c r="EGZ45" s="87"/>
      <c r="EHA45" s="87"/>
      <c r="EHB45" s="87"/>
      <c r="EHC45" s="87"/>
      <c r="EHD45" s="87"/>
      <c r="EHE45" s="87"/>
      <c r="EHF45" s="87"/>
      <c r="EHG45" s="87"/>
      <c r="EHH45" s="87"/>
      <c r="EHI45" s="87"/>
      <c r="EHJ45" s="87"/>
      <c r="EHK45" s="87"/>
      <c r="EHL45" s="87"/>
      <c r="EHM45" s="87"/>
      <c r="EHN45" s="87"/>
      <c r="EHO45" s="87"/>
      <c r="EHP45" s="87"/>
      <c r="EHQ45" s="87"/>
      <c r="EHR45" s="87"/>
      <c r="EHS45" s="87"/>
      <c r="EHT45" s="87"/>
      <c r="EHU45" s="87"/>
      <c r="EHV45" s="87"/>
      <c r="EHW45" s="87"/>
      <c r="EHX45" s="87"/>
      <c r="EHY45" s="87"/>
      <c r="EHZ45" s="87"/>
      <c r="EIA45" s="87"/>
      <c r="EIB45" s="87"/>
      <c r="EIC45" s="87"/>
      <c r="EID45" s="87"/>
      <c r="EIE45" s="87"/>
      <c r="EIF45" s="87"/>
      <c r="EIG45" s="87"/>
      <c r="EIH45" s="87"/>
      <c r="EII45" s="87"/>
      <c r="EIJ45" s="87"/>
      <c r="EIK45" s="87"/>
      <c r="EIL45" s="87"/>
      <c r="EIM45" s="87"/>
      <c r="EIN45" s="87"/>
      <c r="EIO45" s="87"/>
      <c r="EIP45" s="87"/>
      <c r="EIQ45" s="87"/>
      <c r="EIR45" s="87"/>
      <c r="EIS45" s="87"/>
      <c r="EIT45" s="87"/>
      <c r="EIU45" s="87"/>
      <c r="EIV45" s="87"/>
      <c r="EIW45" s="87"/>
      <c r="EIX45" s="87"/>
      <c r="EIY45" s="87"/>
      <c r="EIZ45" s="87"/>
      <c r="EJA45" s="87"/>
      <c r="EJB45" s="87"/>
      <c r="EJC45" s="87"/>
      <c r="EJD45" s="87"/>
      <c r="EJE45" s="87"/>
      <c r="EJF45" s="87"/>
      <c r="EJG45" s="87"/>
      <c r="EJH45" s="87"/>
      <c r="EJI45" s="87"/>
      <c r="EJJ45" s="87"/>
      <c r="EJK45" s="87"/>
      <c r="EJL45" s="87"/>
      <c r="EJM45" s="87"/>
      <c r="EJN45" s="87"/>
      <c r="EJO45" s="87"/>
      <c r="EJP45" s="87"/>
      <c r="EJQ45" s="87"/>
      <c r="EJR45" s="87"/>
      <c r="EJS45" s="87"/>
      <c r="EJT45" s="87"/>
      <c r="EJU45" s="87"/>
      <c r="EJV45" s="87"/>
      <c r="EJW45" s="87"/>
      <c r="EJX45" s="87"/>
      <c r="EJY45" s="87"/>
      <c r="EJZ45" s="87"/>
      <c r="EKA45" s="87"/>
      <c r="EKB45" s="87"/>
      <c r="EKC45" s="87"/>
      <c r="EKD45" s="87"/>
      <c r="EKE45" s="87"/>
      <c r="EKF45" s="87"/>
      <c r="EKG45" s="87"/>
      <c r="EKH45" s="87"/>
      <c r="EKI45" s="87"/>
      <c r="EKJ45" s="87"/>
      <c r="EKK45" s="87"/>
      <c r="EKL45" s="87"/>
      <c r="EKM45" s="87"/>
      <c r="EKN45" s="87"/>
      <c r="EKO45" s="87"/>
      <c r="EKP45" s="87"/>
      <c r="EKQ45" s="87"/>
      <c r="EKR45" s="87"/>
      <c r="EKS45" s="87"/>
      <c r="EKT45" s="87"/>
      <c r="EKU45" s="87"/>
      <c r="EKV45" s="87"/>
      <c r="EKW45" s="87"/>
      <c r="EKX45" s="87"/>
      <c r="EKY45" s="87"/>
      <c r="EKZ45" s="87"/>
      <c r="ELA45" s="87"/>
      <c r="ELB45" s="87"/>
      <c r="ELC45" s="87"/>
      <c r="ELD45" s="87"/>
      <c r="ELE45" s="87"/>
      <c r="ELF45" s="87"/>
      <c r="ELG45" s="87"/>
      <c r="ELH45" s="87"/>
      <c r="ELI45" s="87"/>
      <c r="ELJ45" s="87"/>
      <c r="ELK45" s="87"/>
      <c r="ELL45" s="87"/>
      <c r="ELM45" s="87"/>
      <c r="ELN45" s="87"/>
      <c r="ELO45" s="87"/>
      <c r="ELP45" s="87"/>
      <c r="ELQ45" s="87"/>
      <c r="ELR45" s="87"/>
      <c r="ELS45" s="87"/>
      <c r="ELT45" s="87"/>
      <c r="ELU45" s="87"/>
      <c r="ELV45" s="87"/>
      <c r="ELW45" s="87"/>
      <c r="ELX45" s="87"/>
      <c r="ELY45" s="87"/>
      <c r="ELZ45" s="87"/>
      <c r="EMA45" s="87"/>
      <c r="EMB45" s="87"/>
      <c r="EMC45" s="87"/>
      <c r="EMD45" s="87"/>
      <c r="EME45" s="87"/>
      <c r="EMF45" s="87"/>
      <c r="EMG45" s="87"/>
      <c r="EMH45" s="87"/>
      <c r="EMI45" s="87"/>
      <c r="EMJ45" s="87"/>
      <c r="EMK45" s="87"/>
      <c r="EML45" s="87"/>
      <c r="EMM45" s="87"/>
      <c r="EMN45" s="87"/>
      <c r="EMO45" s="87"/>
      <c r="EMP45" s="87"/>
      <c r="EMQ45" s="87"/>
      <c r="EMR45" s="87"/>
      <c r="EMS45" s="87"/>
      <c r="EMT45" s="87"/>
      <c r="EMU45" s="87"/>
      <c r="EMV45" s="87"/>
      <c r="EMW45" s="87"/>
      <c r="EMX45" s="87"/>
      <c r="EMY45" s="87"/>
      <c r="EMZ45" s="87"/>
      <c r="ENA45" s="87"/>
      <c r="ENB45" s="87"/>
      <c r="ENC45" s="87"/>
      <c r="END45" s="87"/>
      <c r="ENE45" s="87"/>
      <c r="ENF45" s="87"/>
      <c r="ENG45" s="87"/>
      <c r="ENH45" s="87"/>
      <c r="ENI45" s="87"/>
      <c r="ENJ45" s="87"/>
      <c r="ENK45" s="87"/>
      <c r="ENL45" s="87"/>
      <c r="ENM45" s="87"/>
      <c r="ENN45" s="87"/>
      <c r="ENO45" s="87"/>
      <c r="ENP45" s="87"/>
      <c r="ENQ45" s="87"/>
      <c r="ENR45" s="87"/>
      <c r="ENS45" s="87"/>
      <c r="ENT45" s="87"/>
      <c r="ENU45" s="87"/>
      <c r="ENV45" s="87"/>
      <c r="ENW45" s="87"/>
      <c r="ENX45" s="87"/>
      <c r="ENY45" s="87"/>
      <c r="ENZ45" s="87"/>
      <c r="EOA45" s="87"/>
      <c r="EOB45" s="87"/>
      <c r="EOC45" s="87"/>
      <c r="EOD45" s="87"/>
      <c r="EOE45" s="87"/>
      <c r="EOF45" s="87"/>
      <c r="EOG45" s="87"/>
      <c r="EOH45" s="87"/>
      <c r="EOI45" s="87"/>
      <c r="EOJ45" s="87"/>
      <c r="EOK45" s="87"/>
      <c r="EOL45" s="87"/>
      <c r="EOM45" s="87"/>
      <c r="EON45" s="87"/>
      <c r="EOO45" s="87"/>
      <c r="EOP45" s="87"/>
      <c r="EOQ45" s="87"/>
      <c r="EOR45" s="87"/>
      <c r="EOS45" s="87"/>
      <c r="EOT45" s="87"/>
      <c r="EOU45" s="87"/>
      <c r="EOV45" s="87"/>
      <c r="EOW45" s="87"/>
      <c r="EOX45" s="87"/>
      <c r="EOY45" s="87"/>
      <c r="EOZ45" s="87"/>
      <c r="EPA45" s="87"/>
      <c r="EPB45" s="87"/>
      <c r="EPC45" s="87"/>
      <c r="EPD45" s="87"/>
      <c r="EPE45" s="87"/>
      <c r="EPF45" s="87"/>
      <c r="EPG45" s="87"/>
      <c r="EPH45" s="87"/>
      <c r="EPI45" s="87"/>
      <c r="EPJ45" s="87"/>
      <c r="EPK45" s="87"/>
      <c r="EPL45" s="87"/>
      <c r="EPM45" s="87"/>
      <c r="EPN45" s="87"/>
      <c r="EPO45" s="87"/>
      <c r="EPP45" s="87"/>
      <c r="EPQ45" s="87"/>
      <c r="EPR45" s="87"/>
      <c r="EPS45" s="87"/>
      <c r="EPT45" s="87"/>
      <c r="EPU45" s="87"/>
      <c r="EPV45" s="87"/>
      <c r="EPW45" s="87"/>
      <c r="EPX45" s="87"/>
      <c r="EPY45" s="87"/>
      <c r="EPZ45" s="87"/>
      <c r="EQA45" s="87"/>
      <c r="EQB45" s="87"/>
      <c r="EQC45" s="87"/>
      <c r="EQD45" s="87"/>
      <c r="EQE45" s="87"/>
      <c r="EQF45" s="87"/>
      <c r="EQG45" s="87"/>
      <c r="EQH45" s="87"/>
      <c r="EQI45" s="87"/>
      <c r="EQJ45" s="87"/>
      <c r="EQK45" s="87"/>
      <c r="EQL45" s="87"/>
      <c r="EQM45" s="87"/>
      <c r="EQN45" s="87"/>
      <c r="EQO45" s="87"/>
      <c r="EQP45" s="87"/>
      <c r="EQQ45" s="87"/>
      <c r="EQR45" s="87"/>
      <c r="EQS45" s="87"/>
      <c r="EQT45" s="87"/>
      <c r="EQU45" s="87"/>
      <c r="EQV45" s="87"/>
      <c r="EQW45" s="87"/>
      <c r="EQX45" s="87"/>
      <c r="EQY45" s="87"/>
      <c r="EQZ45" s="87"/>
      <c r="ERA45" s="87"/>
      <c r="ERB45" s="87"/>
      <c r="ERC45" s="87"/>
      <c r="ERD45" s="87"/>
      <c r="ERE45" s="87"/>
      <c r="ERF45" s="87"/>
      <c r="ERG45" s="87"/>
      <c r="ERH45" s="87"/>
      <c r="ERI45" s="87"/>
      <c r="ERJ45" s="87"/>
      <c r="ERK45" s="87"/>
      <c r="ERL45" s="87"/>
      <c r="ERM45" s="87"/>
      <c r="ERN45" s="87"/>
      <c r="ERO45" s="87"/>
      <c r="ERP45" s="87"/>
      <c r="ERQ45" s="87"/>
      <c r="ERR45" s="87"/>
      <c r="ERS45" s="87"/>
      <c r="ERT45" s="87"/>
      <c r="ERU45" s="87"/>
      <c r="ERV45" s="87"/>
      <c r="ERW45" s="87"/>
      <c r="ERX45" s="87"/>
      <c r="ERY45" s="87"/>
      <c r="ERZ45" s="87"/>
      <c r="ESA45" s="87"/>
      <c r="ESB45" s="87"/>
      <c r="ESC45" s="87"/>
      <c r="ESD45" s="87"/>
      <c r="ESE45" s="87"/>
      <c r="ESF45" s="87"/>
      <c r="ESG45" s="87"/>
      <c r="ESH45" s="87"/>
      <c r="ESI45" s="87"/>
      <c r="ESJ45" s="87"/>
      <c r="ESK45" s="87"/>
      <c r="ESL45" s="87"/>
      <c r="ESM45" s="87"/>
      <c r="ESN45" s="87"/>
      <c r="ESO45" s="87"/>
      <c r="ESP45" s="87"/>
      <c r="ESQ45" s="87"/>
      <c r="ESR45" s="87"/>
      <c r="ESS45" s="87"/>
      <c r="EST45" s="87"/>
      <c r="ESU45" s="87"/>
      <c r="ESV45" s="87"/>
      <c r="ESW45" s="87"/>
      <c r="ESX45" s="87"/>
      <c r="ESY45" s="87"/>
      <c r="ESZ45" s="87"/>
      <c r="ETA45" s="87"/>
      <c r="ETB45" s="87"/>
      <c r="ETC45" s="87"/>
      <c r="ETD45" s="87"/>
      <c r="ETE45" s="87"/>
      <c r="ETF45" s="87"/>
      <c r="ETG45" s="87"/>
      <c r="ETH45" s="87"/>
      <c r="ETI45" s="87"/>
      <c r="ETJ45" s="87"/>
      <c r="ETK45" s="87"/>
      <c r="ETL45" s="87"/>
      <c r="ETM45" s="87"/>
      <c r="ETN45" s="87"/>
      <c r="ETO45" s="87"/>
      <c r="ETP45" s="87"/>
      <c r="ETQ45" s="87"/>
      <c r="ETR45" s="87"/>
      <c r="ETS45" s="87"/>
      <c r="ETT45" s="87"/>
      <c r="ETU45" s="87"/>
      <c r="ETV45" s="87"/>
      <c r="ETW45" s="87"/>
      <c r="ETX45" s="87"/>
      <c r="ETY45" s="87"/>
      <c r="ETZ45" s="87"/>
      <c r="EUA45" s="87"/>
      <c r="EUB45" s="87"/>
      <c r="EUC45" s="87"/>
      <c r="EUD45" s="87"/>
      <c r="EUE45" s="87"/>
      <c r="EUF45" s="87"/>
      <c r="EUG45" s="87"/>
      <c r="EUH45" s="87"/>
      <c r="EUI45" s="87"/>
      <c r="EUJ45" s="87"/>
      <c r="EUK45" s="87"/>
      <c r="EUL45" s="87"/>
      <c r="EUM45" s="87"/>
      <c r="EUN45" s="87"/>
      <c r="EUO45" s="87"/>
      <c r="EUP45" s="87"/>
      <c r="EUQ45" s="87"/>
      <c r="EUR45" s="87"/>
      <c r="EUS45" s="87"/>
      <c r="EUT45" s="87"/>
      <c r="EUU45" s="87"/>
      <c r="EUV45" s="87"/>
      <c r="EUW45" s="87"/>
      <c r="EUX45" s="87"/>
      <c r="EUY45" s="87"/>
      <c r="EUZ45" s="87"/>
      <c r="EVA45" s="87"/>
      <c r="EVB45" s="87"/>
      <c r="EVC45" s="87"/>
      <c r="EVD45" s="87"/>
      <c r="EVE45" s="87"/>
      <c r="EVF45" s="87"/>
      <c r="EVG45" s="87"/>
      <c r="EVH45" s="87"/>
      <c r="EVI45" s="87"/>
      <c r="EVJ45" s="87"/>
      <c r="EVK45" s="87"/>
      <c r="EVL45" s="87"/>
      <c r="EVM45" s="87"/>
      <c r="EVN45" s="87"/>
      <c r="EVO45" s="87"/>
      <c r="EVP45" s="87"/>
      <c r="EVQ45" s="87"/>
      <c r="EVR45" s="87"/>
      <c r="EVS45" s="87"/>
      <c r="EVT45" s="87"/>
      <c r="EVU45" s="87"/>
      <c r="EVV45" s="87"/>
      <c r="EVW45" s="87"/>
      <c r="EVX45" s="87"/>
      <c r="EVY45" s="87"/>
      <c r="EVZ45" s="87"/>
      <c r="EWA45" s="87"/>
      <c r="EWB45" s="87"/>
      <c r="EWC45" s="87"/>
      <c r="EWD45" s="87"/>
      <c r="EWE45" s="87"/>
      <c r="EWF45" s="87"/>
      <c r="EWG45" s="87"/>
      <c r="EWH45" s="87"/>
      <c r="EWI45" s="87"/>
      <c r="EWJ45" s="87"/>
      <c r="EWK45" s="87"/>
      <c r="EWL45" s="87"/>
      <c r="EWM45" s="87"/>
      <c r="EWN45" s="87"/>
      <c r="EWO45" s="87"/>
      <c r="EWP45" s="87"/>
      <c r="EWQ45" s="87"/>
      <c r="EWR45" s="87"/>
      <c r="EWS45" s="87"/>
      <c r="EWT45" s="87"/>
      <c r="EWU45" s="87"/>
      <c r="EWV45" s="87"/>
      <c r="EWW45" s="87"/>
      <c r="EWX45" s="87"/>
      <c r="EWY45" s="87"/>
      <c r="EWZ45" s="87"/>
      <c r="EXA45" s="87"/>
      <c r="EXB45" s="87"/>
      <c r="EXC45" s="87"/>
      <c r="EXD45" s="87"/>
      <c r="EXE45" s="87"/>
      <c r="EXF45" s="87"/>
      <c r="EXG45" s="87"/>
      <c r="EXH45" s="87"/>
      <c r="EXI45" s="87"/>
      <c r="EXJ45" s="87"/>
      <c r="EXK45" s="87"/>
      <c r="EXL45" s="87"/>
      <c r="EXM45" s="87"/>
      <c r="EXN45" s="87"/>
      <c r="EXO45" s="87"/>
      <c r="EXP45" s="87"/>
      <c r="EXQ45" s="87"/>
      <c r="EXR45" s="87"/>
      <c r="EXS45" s="87"/>
      <c r="EXT45" s="87"/>
      <c r="EXU45" s="87"/>
      <c r="EXV45" s="87"/>
      <c r="EXW45" s="87"/>
      <c r="EXX45" s="87"/>
      <c r="EXY45" s="87"/>
      <c r="EXZ45" s="87"/>
      <c r="EYA45" s="87"/>
      <c r="EYB45" s="87"/>
      <c r="EYC45" s="87"/>
      <c r="EYD45" s="87"/>
      <c r="EYE45" s="87"/>
      <c r="EYF45" s="87"/>
      <c r="EYG45" s="87"/>
      <c r="EYH45" s="87"/>
      <c r="EYI45" s="87"/>
      <c r="EYJ45" s="87"/>
      <c r="EYK45" s="87"/>
      <c r="EYL45" s="87"/>
      <c r="EYM45" s="87"/>
      <c r="EYN45" s="87"/>
      <c r="EYO45" s="87"/>
      <c r="EYP45" s="87"/>
      <c r="EYQ45" s="87"/>
      <c r="EYR45" s="87"/>
      <c r="EYS45" s="87"/>
      <c r="EYT45" s="87"/>
      <c r="EYU45" s="87"/>
      <c r="EYV45" s="87"/>
      <c r="EYW45" s="87"/>
      <c r="EYX45" s="87"/>
      <c r="EYY45" s="87"/>
      <c r="EYZ45" s="87"/>
      <c r="EZA45" s="87"/>
      <c r="EZB45" s="87"/>
      <c r="EZC45" s="87"/>
      <c r="EZD45" s="87"/>
      <c r="EZE45" s="87"/>
      <c r="EZF45" s="87"/>
      <c r="EZG45" s="87"/>
      <c r="EZH45" s="87"/>
      <c r="EZI45" s="87"/>
      <c r="EZJ45" s="87"/>
      <c r="EZK45" s="87"/>
      <c r="EZL45" s="87"/>
      <c r="EZM45" s="87"/>
      <c r="EZN45" s="87"/>
      <c r="EZO45" s="87"/>
      <c r="EZP45" s="87"/>
      <c r="EZQ45" s="87"/>
      <c r="EZR45" s="87"/>
      <c r="EZS45" s="87"/>
      <c r="EZT45" s="87"/>
      <c r="EZU45" s="87"/>
      <c r="EZV45" s="87"/>
      <c r="EZW45" s="87"/>
      <c r="EZX45" s="87"/>
      <c r="EZY45" s="87"/>
      <c r="EZZ45" s="87"/>
      <c r="FAA45" s="87"/>
      <c r="FAB45" s="87"/>
      <c r="FAC45" s="87"/>
      <c r="FAD45" s="87"/>
      <c r="FAE45" s="87"/>
      <c r="FAF45" s="87"/>
      <c r="FAG45" s="87"/>
      <c r="FAH45" s="87"/>
      <c r="FAI45" s="87"/>
      <c r="FAJ45" s="87"/>
      <c r="FAK45" s="87"/>
      <c r="FAL45" s="87"/>
      <c r="FAM45" s="87"/>
      <c r="FAN45" s="87"/>
      <c r="FAO45" s="87"/>
      <c r="FAP45" s="87"/>
      <c r="FAQ45" s="87"/>
      <c r="FAR45" s="87"/>
      <c r="FAS45" s="87"/>
      <c r="FAT45" s="87"/>
      <c r="FAU45" s="87"/>
      <c r="FAV45" s="87"/>
      <c r="FAW45" s="87"/>
      <c r="FAX45" s="87"/>
      <c r="FAY45" s="87"/>
      <c r="FAZ45" s="87"/>
      <c r="FBA45" s="87"/>
      <c r="FBB45" s="87"/>
      <c r="FBC45" s="87"/>
      <c r="FBD45" s="87"/>
      <c r="FBE45" s="87"/>
      <c r="FBF45" s="87"/>
      <c r="FBG45" s="87"/>
      <c r="FBH45" s="87"/>
      <c r="FBI45" s="87"/>
      <c r="FBJ45" s="87"/>
      <c r="FBK45" s="87"/>
      <c r="FBL45" s="87"/>
      <c r="FBM45" s="87"/>
      <c r="FBN45" s="87"/>
      <c r="FBO45" s="87"/>
      <c r="FBP45" s="87"/>
      <c r="FBQ45" s="87"/>
      <c r="FBR45" s="87"/>
      <c r="FBS45" s="87"/>
      <c r="FBT45" s="87"/>
      <c r="FBU45" s="87"/>
      <c r="FBV45" s="87"/>
      <c r="FBW45" s="87"/>
      <c r="FBX45" s="87"/>
      <c r="FBY45" s="87"/>
      <c r="FBZ45" s="87"/>
      <c r="FCA45" s="87"/>
      <c r="FCB45" s="87"/>
      <c r="FCC45" s="87"/>
      <c r="FCD45" s="87"/>
      <c r="FCE45" s="87"/>
      <c r="FCF45" s="87"/>
      <c r="FCG45" s="87"/>
      <c r="FCH45" s="87"/>
      <c r="FCI45" s="87"/>
      <c r="FCJ45" s="87"/>
      <c r="FCK45" s="87"/>
      <c r="FCL45" s="87"/>
      <c r="FCM45" s="87"/>
      <c r="FCN45" s="87"/>
      <c r="FCO45" s="87"/>
      <c r="FCP45" s="87"/>
      <c r="FCQ45" s="87"/>
      <c r="FCR45" s="87"/>
      <c r="FCS45" s="87"/>
      <c r="FCT45" s="87"/>
      <c r="FCU45" s="87"/>
      <c r="FCV45" s="87"/>
      <c r="FCW45" s="87"/>
      <c r="FCX45" s="87"/>
      <c r="FCY45" s="87"/>
      <c r="FCZ45" s="87"/>
      <c r="FDA45" s="87"/>
      <c r="FDB45" s="87"/>
      <c r="FDC45" s="87"/>
      <c r="FDD45" s="87"/>
      <c r="FDE45" s="87"/>
      <c r="FDF45" s="87"/>
      <c r="FDG45" s="87"/>
      <c r="FDH45" s="87"/>
      <c r="FDI45" s="87"/>
      <c r="FDJ45" s="87"/>
      <c r="FDK45" s="87"/>
      <c r="FDL45" s="87"/>
      <c r="FDM45" s="87"/>
      <c r="FDN45" s="87"/>
      <c r="FDO45" s="87"/>
      <c r="FDP45" s="87"/>
      <c r="FDQ45" s="87"/>
      <c r="FDR45" s="87"/>
      <c r="FDS45" s="87"/>
      <c r="FDT45" s="87"/>
      <c r="FDU45" s="87"/>
      <c r="FDV45" s="87"/>
      <c r="FDW45" s="87"/>
      <c r="FDX45" s="87"/>
      <c r="FDY45" s="87"/>
      <c r="FDZ45" s="87"/>
      <c r="FEA45" s="87"/>
      <c r="FEB45" s="87"/>
      <c r="FEC45" s="87"/>
      <c r="FED45" s="87"/>
      <c r="FEE45" s="87"/>
      <c r="FEF45" s="87"/>
      <c r="FEG45" s="87"/>
      <c r="FEH45" s="87"/>
      <c r="FEI45" s="87"/>
      <c r="FEJ45" s="87"/>
      <c r="FEK45" s="87"/>
      <c r="FEL45" s="87"/>
      <c r="FEM45" s="87"/>
      <c r="FEN45" s="87"/>
      <c r="FEO45" s="87"/>
      <c r="FEP45" s="87"/>
      <c r="FEQ45" s="87"/>
      <c r="FER45" s="87"/>
      <c r="FES45" s="87"/>
      <c r="FET45" s="87"/>
      <c r="FEU45" s="87"/>
      <c r="FEV45" s="87"/>
      <c r="FEW45" s="87"/>
      <c r="FEX45" s="87"/>
      <c r="FEY45" s="87"/>
      <c r="FEZ45" s="87"/>
      <c r="FFA45" s="87"/>
      <c r="FFB45" s="87"/>
      <c r="FFC45" s="87"/>
      <c r="FFD45" s="87"/>
      <c r="FFE45" s="87"/>
      <c r="FFF45" s="87"/>
      <c r="FFG45" s="87"/>
      <c r="FFH45" s="87"/>
      <c r="FFI45" s="87"/>
      <c r="FFJ45" s="87"/>
      <c r="FFK45" s="87"/>
      <c r="FFL45" s="87"/>
      <c r="FFM45" s="87"/>
      <c r="FFN45" s="87"/>
      <c r="FFO45" s="87"/>
      <c r="FFP45" s="87"/>
      <c r="FFQ45" s="87"/>
      <c r="FFR45" s="87"/>
      <c r="FFS45" s="87"/>
      <c r="FFT45" s="87"/>
      <c r="FFU45" s="87"/>
      <c r="FFV45" s="87"/>
      <c r="FFW45" s="87"/>
      <c r="FFX45" s="87"/>
      <c r="FFY45" s="87"/>
      <c r="FFZ45" s="87"/>
      <c r="FGA45" s="87"/>
      <c r="FGB45" s="87"/>
      <c r="FGC45" s="87"/>
      <c r="FGD45" s="87"/>
      <c r="FGE45" s="87"/>
      <c r="FGF45" s="87"/>
      <c r="FGG45" s="87"/>
      <c r="FGH45" s="87"/>
      <c r="FGI45" s="87"/>
      <c r="FGJ45" s="87"/>
      <c r="FGK45" s="87"/>
      <c r="FGL45" s="87"/>
      <c r="FGM45" s="87"/>
      <c r="FGN45" s="87"/>
      <c r="FGO45" s="87"/>
      <c r="FGP45" s="87"/>
      <c r="FGQ45" s="87"/>
      <c r="FGR45" s="87"/>
      <c r="FGS45" s="87"/>
      <c r="FGT45" s="87"/>
      <c r="FGU45" s="87"/>
      <c r="FGV45" s="87"/>
      <c r="FGW45" s="87"/>
      <c r="FGX45" s="87"/>
      <c r="FGY45" s="87"/>
      <c r="FGZ45" s="87"/>
      <c r="FHA45" s="87"/>
      <c r="FHB45" s="87"/>
      <c r="FHC45" s="87"/>
      <c r="FHD45" s="87"/>
      <c r="FHE45" s="87"/>
      <c r="FHF45" s="87"/>
      <c r="FHG45" s="87"/>
      <c r="FHH45" s="87"/>
      <c r="FHI45" s="87"/>
      <c r="FHJ45" s="87"/>
      <c r="FHK45" s="87"/>
      <c r="FHL45" s="87"/>
      <c r="FHM45" s="87"/>
      <c r="FHN45" s="87"/>
      <c r="FHO45" s="87"/>
      <c r="FHP45" s="87"/>
      <c r="FHQ45" s="87"/>
      <c r="FHR45" s="87"/>
      <c r="FHS45" s="87"/>
      <c r="FHT45" s="87"/>
      <c r="FHU45" s="87"/>
      <c r="FHV45" s="87"/>
      <c r="FHW45" s="87"/>
      <c r="FHX45" s="87"/>
      <c r="FHY45" s="87"/>
      <c r="FHZ45" s="87"/>
      <c r="FIA45" s="87"/>
      <c r="FIB45" s="87"/>
      <c r="FIC45" s="87"/>
      <c r="FID45" s="87"/>
      <c r="FIE45" s="87"/>
      <c r="FIF45" s="87"/>
      <c r="FIG45" s="87"/>
      <c r="FIH45" s="87"/>
      <c r="FII45" s="87"/>
      <c r="FIJ45" s="87"/>
      <c r="FIK45" s="87"/>
      <c r="FIL45" s="87"/>
      <c r="FIM45" s="87"/>
      <c r="FIN45" s="87"/>
      <c r="FIO45" s="87"/>
      <c r="FIP45" s="87"/>
      <c r="FIQ45" s="87"/>
      <c r="FIR45" s="87"/>
      <c r="FIS45" s="87"/>
      <c r="FIT45" s="87"/>
      <c r="FIU45" s="87"/>
      <c r="FIV45" s="87"/>
      <c r="FIW45" s="87"/>
      <c r="FIX45" s="87"/>
      <c r="FIY45" s="87"/>
      <c r="FIZ45" s="87"/>
      <c r="FJA45" s="87"/>
      <c r="FJB45" s="87"/>
      <c r="FJC45" s="87"/>
      <c r="FJD45" s="87"/>
      <c r="FJE45" s="87"/>
      <c r="FJF45" s="87"/>
      <c r="FJG45" s="87"/>
      <c r="FJH45" s="87"/>
      <c r="FJI45" s="87"/>
      <c r="FJJ45" s="87"/>
      <c r="FJK45" s="87"/>
      <c r="FJL45" s="87"/>
      <c r="FJM45" s="87"/>
      <c r="FJN45" s="87"/>
      <c r="FJO45" s="87"/>
      <c r="FJP45" s="87"/>
      <c r="FJQ45" s="87"/>
      <c r="FJR45" s="87"/>
      <c r="FJS45" s="87"/>
      <c r="FJT45" s="87"/>
      <c r="FJU45" s="87"/>
      <c r="FJV45" s="87"/>
      <c r="FJW45" s="87"/>
      <c r="FJX45" s="87"/>
      <c r="FJY45" s="87"/>
      <c r="FJZ45" s="87"/>
      <c r="FKA45" s="87"/>
      <c r="FKB45" s="87"/>
      <c r="FKC45" s="87"/>
      <c r="FKD45" s="87"/>
      <c r="FKE45" s="87"/>
      <c r="FKF45" s="87"/>
      <c r="FKG45" s="87"/>
      <c r="FKH45" s="87"/>
      <c r="FKI45" s="87"/>
      <c r="FKJ45" s="87"/>
      <c r="FKK45" s="87"/>
      <c r="FKL45" s="87"/>
      <c r="FKM45" s="87"/>
      <c r="FKN45" s="87"/>
      <c r="FKO45" s="87"/>
      <c r="FKP45" s="87"/>
      <c r="FKQ45" s="87"/>
      <c r="FKR45" s="87"/>
      <c r="FKS45" s="87"/>
      <c r="FKT45" s="87"/>
      <c r="FKU45" s="87"/>
      <c r="FKV45" s="87"/>
      <c r="FKW45" s="87"/>
      <c r="FKX45" s="87"/>
      <c r="FKY45" s="87"/>
      <c r="FKZ45" s="87"/>
      <c r="FLA45" s="87"/>
      <c r="FLB45" s="87"/>
      <c r="FLC45" s="87"/>
      <c r="FLD45" s="87"/>
      <c r="FLE45" s="87"/>
      <c r="FLF45" s="87"/>
      <c r="FLG45" s="87"/>
      <c r="FLH45" s="87"/>
      <c r="FLI45" s="87"/>
      <c r="FLJ45" s="87"/>
      <c r="FLK45" s="87"/>
      <c r="FLL45" s="87"/>
      <c r="FLM45" s="87"/>
      <c r="FLN45" s="87"/>
      <c r="FLO45" s="87"/>
      <c r="FLP45" s="87"/>
      <c r="FLQ45" s="87"/>
      <c r="FLR45" s="87"/>
      <c r="FLS45" s="87"/>
      <c r="FLT45" s="87"/>
      <c r="FLU45" s="87"/>
      <c r="FLV45" s="87"/>
      <c r="FLW45" s="87"/>
      <c r="FLX45" s="87"/>
      <c r="FLY45" s="87"/>
      <c r="FLZ45" s="87"/>
      <c r="FMA45" s="87"/>
      <c r="FMB45" s="87"/>
      <c r="FMC45" s="87"/>
      <c r="FMD45" s="87"/>
      <c r="FME45" s="87"/>
      <c r="FMF45" s="87"/>
      <c r="FMG45" s="87"/>
      <c r="FMH45" s="87"/>
      <c r="FMI45" s="87"/>
      <c r="FMJ45" s="87"/>
      <c r="FMK45" s="87"/>
      <c r="FML45" s="87"/>
      <c r="FMM45" s="87"/>
      <c r="FMN45" s="87"/>
      <c r="FMO45" s="87"/>
      <c r="FMP45" s="87"/>
      <c r="FMQ45" s="87"/>
      <c r="FMR45" s="87"/>
      <c r="FMS45" s="87"/>
      <c r="FMT45" s="87"/>
      <c r="FMU45" s="87"/>
      <c r="FMV45" s="87"/>
      <c r="FMW45" s="87"/>
      <c r="FMX45" s="87"/>
      <c r="FMY45" s="87"/>
      <c r="FMZ45" s="87"/>
      <c r="FNA45" s="87"/>
      <c r="FNB45" s="87"/>
      <c r="FNC45" s="87"/>
      <c r="FND45" s="87"/>
      <c r="FNE45" s="87"/>
      <c r="FNF45" s="87"/>
      <c r="FNG45" s="87"/>
      <c r="FNH45" s="87"/>
      <c r="FNI45" s="87"/>
      <c r="FNJ45" s="87"/>
      <c r="FNK45" s="87"/>
      <c r="FNL45" s="87"/>
      <c r="FNM45" s="87"/>
      <c r="FNN45" s="87"/>
      <c r="FNO45" s="87"/>
      <c r="FNP45" s="87"/>
      <c r="FNQ45" s="87"/>
      <c r="FNR45" s="87"/>
      <c r="FNS45" s="87"/>
      <c r="FNT45" s="87"/>
      <c r="FNU45" s="87"/>
      <c r="FNV45" s="87"/>
      <c r="FNW45" s="87"/>
      <c r="FNX45" s="87"/>
      <c r="FNY45" s="87"/>
      <c r="FNZ45" s="87"/>
      <c r="FOA45" s="87"/>
      <c r="FOB45" s="87"/>
      <c r="FOC45" s="87"/>
      <c r="FOD45" s="87"/>
      <c r="FOE45" s="87"/>
      <c r="FOF45" s="87"/>
      <c r="FOG45" s="87"/>
      <c r="FOH45" s="87"/>
      <c r="FOI45" s="87"/>
      <c r="FOJ45" s="87"/>
      <c r="FOK45" s="87"/>
      <c r="FOL45" s="87"/>
      <c r="FOM45" s="87"/>
      <c r="FON45" s="87"/>
      <c r="FOO45" s="87"/>
      <c r="FOP45" s="87"/>
      <c r="FOQ45" s="87"/>
      <c r="FOR45" s="87"/>
      <c r="FOS45" s="87"/>
      <c r="FOT45" s="87"/>
      <c r="FOU45" s="87"/>
      <c r="FOV45" s="87"/>
      <c r="FOW45" s="87"/>
      <c r="FOX45" s="87"/>
      <c r="FOY45" s="87"/>
      <c r="FOZ45" s="87"/>
      <c r="FPA45" s="87"/>
      <c r="FPB45" s="87"/>
      <c r="FPC45" s="87"/>
      <c r="FPD45" s="87"/>
      <c r="FPE45" s="87"/>
      <c r="FPF45" s="87"/>
      <c r="FPG45" s="87"/>
      <c r="FPH45" s="87"/>
      <c r="FPI45" s="87"/>
      <c r="FPJ45" s="87"/>
      <c r="FPK45" s="87"/>
      <c r="FPL45" s="87"/>
      <c r="FPM45" s="87"/>
      <c r="FPN45" s="87"/>
      <c r="FPO45" s="87"/>
      <c r="FPP45" s="87"/>
      <c r="FPQ45" s="87"/>
      <c r="FPR45" s="87"/>
      <c r="FPS45" s="87"/>
      <c r="FPT45" s="87"/>
      <c r="FPU45" s="87"/>
      <c r="FPV45" s="87"/>
      <c r="FPW45" s="87"/>
      <c r="FPX45" s="87"/>
      <c r="FPY45" s="87"/>
      <c r="FPZ45" s="87"/>
      <c r="FQA45" s="87"/>
      <c r="FQB45" s="87"/>
      <c r="FQC45" s="87"/>
      <c r="FQD45" s="87"/>
      <c r="FQE45" s="87"/>
      <c r="FQF45" s="87"/>
      <c r="FQG45" s="87"/>
      <c r="FQH45" s="87"/>
      <c r="FQI45" s="87"/>
      <c r="FQJ45" s="87"/>
      <c r="FQK45" s="87"/>
      <c r="FQL45" s="87"/>
      <c r="FQM45" s="87"/>
      <c r="FQN45" s="87"/>
      <c r="FQO45" s="87"/>
      <c r="FQP45" s="87"/>
      <c r="FQQ45" s="87"/>
      <c r="FQR45" s="87"/>
      <c r="FQS45" s="87"/>
      <c r="FQT45" s="87"/>
      <c r="FQU45" s="87"/>
      <c r="FQV45" s="87"/>
      <c r="FQW45" s="87"/>
      <c r="FQX45" s="87"/>
      <c r="FQY45" s="87"/>
      <c r="FQZ45" s="87"/>
      <c r="FRA45" s="87"/>
      <c r="FRB45" s="87"/>
      <c r="FRC45" s="87"/>
      <c r="FRD45" s="87"/>
      <c r="FRE45" s="87"/>
      <c r="FRF45" s="87"/>
      <c r="FRG45" s="87"/>
      <c r="FRH45" s="87"/>
      <c r="FRI45" s="87"/>
      <c r="FRJ45" s="87"/>
      <c r="FRK45" s="87"/>
      <c r="FRL45" s="87"/>
      <c r="FRM45" s="87"/>
      <c r="FRN45" s="87"/>
      <c r="FRO45" s="87"/>
      <c r="FRP45" s="87"/>
      <c r="FRQ45" s="87"/>
      <c r="FRR45" s="87"/>
      <c r="FRS45" s="87"/>
      <c r="FRT45" s="87"/>
      <c r="FRU45" s="87"/>
      <c r="FRV45" s="87"/>
      <c r="FRW45" s="87"/>
      <c r="FRX45" s="87"/>
      <c r="FRY45" s="87"/>
      <c r="FRZ45" s="87"/>
      <c r="FSA45" s="87"/>
      <c r="FSB45" s="87"/>
      <c r="FSC45" s="87"/>
      <c r="FSD45" s="87"/>
      <c r="FSE45" s="87"/>
      <c r="FSF45" s="87"/>
      <c r="FSG45" s="87"/>
      <c r="FSH45" s="87"/>
      <c r="FSI45" s="87"/>
      <c r="FSJ45" s="87"/>
      <c r="FSK45" s="87"/>
      <c r="FSL45" s="87"/>
      <c r="FSM45" s="87"/>
      <c r="FSN45" s="87"/>
      <c r="FSO45" s="87"/>
      <c r="FSP45" s="87"/>
      <c r="FSQ45" s="87"/>
      <c r="FSR45" s="87"/>
      <c r="FSS45" s="87"/>
      <c r="FST45" s="87"/>
      <c r="FSU45" s="87"/>
      <c r="FSV45" s="87"/>
      <c r="FSW45" s="87"/>
      <c r="FSX45" s="87"/>
      <c r="FSY45" s="87"/>
      <c r="FSZ45" s="87"/>
      <c r="FTA45" s="87"/>
      <c r="FTB45" s="87"/>
      <c r="FTC45" s="87"/>
      <c r="FTD45" s="87"/>
      <c r="FTE45" s="87"/>
      <c r="FTF45" s="87"/>
      <c r="FTG45" s="87"/>
      <c r="FTH45" s="87"/>
      <c r="FTI45" s="87"/>
      <c r="FTJ45" s="87"/>
      <c r="FTK45" s="87"/>
      <c r="FTL45" s="87"/>
      <c r="FTM45" s="87"/>
      <c r="FTN45" s="87"/>
      <c r="FTO45" s="87"/>
      <c r="FTP45" s="87"/>
      <c r="FTQ45" s="87"/>
      <c r="FTR45" s="87"/>
      <c r="FTS45" s="87"/>
      <c r="FTT45" s="87"/>
      <c r="FTU45" s="87"/>
      <c r="FTV45" s="87"/>
      <c r="FTW45" s="87"/>
      <c r="FTX45" s="87"/>
      <c r="FTY45" s="87"/>
      <c r="FTZ45" s="87"/>
      <c r="FUA45" s="87"/>
      <c r="FUB45" s="87"/>
      <c r="FUC45" s="87"/>
      <c r="FUD45" s="87"/>
      <c r="FUE45" s="87"/>
      <c r="FUF45" s="87"/>
      <c r="FUG45" s="87"/>
      <c r="FUH45" s="87"/>
      <c r="FUI45" s="87"/>
      <c r="FUJ45" s="87"/>
      <c r="FUK45" s="87"/>
      <c r="FUL45" s="87"/>
      <c r="FUM45" s="87"/>
      <c r="FUN45" s="87"/>
      <c r="FUO45" s="87"/>
      <c r="FUP45" s="87"/>
      <c r="FUQ45" s="87"/>
      <c r="FUR45" s="87"/>
      <c r="FUS45" s="87"/>
      <c r="FUT45" s="87"/>
      <c r="FUU45" s="87"/>
      <c r="FUV45" s="87"/>
      <c r="FUW45" s="87"/>
      <c r="FUX45" s="87"/>
      <c r="FUY45" s="87"/>
      <c r="FUZ45" s="87"/>
      <c r="FVA45" s="87"/>
      <c r="FVB45" s="87"/>
      <c r="FVC45" s="87"/>
      <c r="FVD45" s="87"/>
      <c r="FVE45" s="87"/>
      <c r="FVF45" s="87"/>
      <c r="FVG45" s="87"/>
      <c r="FVH45" s="87"/>
      <c r="FVI45" s="87"/>
      <c r="FVJ45" s="87"/>
      <c r="FVK45" s="87"/>
      <c r="FVL45" s="87"/>
      <c r="FVM45" s="87"/>
      <c r="FVN45" s="87"/>
      <c r="FVO45" s="87"/>
      <c r="FVP45" s="87"/>
      <c r="FVQ45" s="87"/>
      <c r="FVR45" s="87"/>
      <c r="FVS45" s="87"/>
      <c r="FVT45" s="87"/>
      <c r="FVU45" s="87"/>
      <c r="FVV45" s="87"/>
      <c r="FVW45" s="87"/>
      <c r="FVX45" s="87"/>
      <c r="FVY45" s="87"/>
      <c r="FVZ45" s="87"/>
      <c r="FWA45" s="87"/>
      <c r="FWB45" s="87"/>
      <c r="FWC45" s="87"/>
      <c r="FWD45" s="87"/>
      <c r="FWE45" s="87"/>
      <c r="FWF45" s="87"/>
      <c r="FWG45" s="87"/>
      <c r="FWH45" s="87"/>
      <c r="FWI45" s="87"/>
      <c r="FWJ45" s="87"/>
      <c r="FWK45" s="87"/>
      <c r="FWL45" s="87"/>
      <c r="FWM45" s="87"/>
      <c r="FWN45" s="87"/>
      <c r="FWO45" s="87"/>
      <c r="FWP45" s="87"/>
      <c r="FWQ45" s="87"/>
      <c r="FWR45" s="87"/>
      <c r="FWS45" s="87"/>
      <c r="FWT45" s="87"/>
      <c r="FWU45" s="87"/>
      <c r="FWV45" s="87"/>
      <c r="FWW45" s="87"/>
      <c r="FWX45" s="87"/>
      <c r="FWY45" s="87"/>
      <c r="FWZ45" s="87"/>
      <c r="FXA45" s="87"/>
      <c r="FXB45" s="87"/>
      <c r="FXC45" s="87"/>
      <c r="FXD45" s="87"/>
      <c r="FXE45" s="87"/>
      <c r="FXF45" s="87"/>
      <c r="FXG45" s="87"/>
      <c r="FXH45" s="87"/>
      <c r="FXI45" s="87"/>
      <c r="FXJ45" s="87"/>
      <c r="FXK45" s="87"/>
      <c r="FXL45" s="87"/>
      <c r="FXM45" s="87"/>
      <c r="FXN45" s="87"/>
      <c r="FXO45" s="87"/>
      <c r="FXP45" s="87"/>
      <c r="FXQ45" s="87"/>
      <c r="FXR45" s="87"/>
      <c r="FXS45" s="87"/>
      <c r="FXT45" s="87"/>
      <c r="FXU45" s="87"/>
      <c r="FXV45" s="87"/>
      <c r="FXW45" s="87"/>
      <c r="FXX45" s="87"/>
      <c r="FXY45" s="87"/>
      <c r="FXZ45" s="87"/>
      <c r="FYA45" s="87"/>
      <c r="FYB45" s="87"/>
      <c r="FYC45" s="87"/>
      <c r="FYD45" s="87"/>
      <c r="FYE45" s="87"/>
      <c r="FYF45" s="87"/>
      <c r="FYG45" s="87"/>
      <c r="FYH45" s="87"/>
      <c r="FYI45" s="87"/>
      <c r="FYJ45" s="87"/>
      <c r="FYK45" s="87"/>
      <c r="FYL45" s="87"/>
      <c r="FYM45" s="87"/>
      <c r="FYN45" s="87"/>
      <c r="FYO45" s="87"/>
      <c r="FYP45" s="87"/>
      <c r="FYQ45" s="87"/>
      <c r="FYR45" s="87"/>
      <c r="FYS45" s="87"/>
      <c r="FYT45" s="87"/>
      <c r="FYU45" s="87"/>
      <c r="FYV45" s="87"/>
      <c r="FYW45" s="87"/>
      <c r="FYX45" s="87"/>
      <c r="FYY45" s="87"/>
      <c r="FYZ45" s="87"/>
      <c r="FZA45" s="87"/>
      <c r="FZB45" s="87"/>
      <c r="FZC45" s="87"/>
      <c r="FZD45" s="87"/>
      <c r="FZE45" s="87"/>
      <c r="FZF45" s="87"/>
      <c r="FZG45" s="87"/>
      <c r="FZH45" s="87"/>
      <c r="FZI45" s="87"/>
      <c r="FZJ45" s="87"/>
      <c r="FZK45" s="87"/>
      <c r="FZL45" s="87"/>
      <c r="FZM45" s="87"/>
      <c r="FZN45" s="87"/>
      <c r="FZO45" s="87"/>
      <c r="FZP45" s="87"/>
      <c r="FZQ45" s="87"/>
      <c r="FZR45" s="87"/>
      <c r="FZS45" s="87"/>
      <c r="FZT45" s="87"/>
      <c r="FZU45" s="87"/>
      <c r="FZV45" s="87"/>
      <c r="FZW45" s="87"/>
      <c r="FZX45" s="87"/>
      <c r="FZY45" s="87"/>
      <c r="FZZ45" s="87"/>
      <c r="GAA45" s="87"/>
      <c r="GAB45" s="87"/>
      <c r="GAC45" s="87"/>
      <c r="GAD45" s="87"/>
      <c r="GAE45" s="87"/>
      <c r="GAF45" s="87"/>
      <c r="GAG45" s="87"/>
      <c r="GAH45" s="87"/>
      <c r="GAI45" s="87"/>
      <c r="GAJ45" s="87"/>
      <c r="GAK45" s="87"/>
      <c r="GAL45" s="87"/>
      <c r="GAM45" s="87"/>
      <c r="GAN45" s="87"/>
      <c r="GAO45" s="87"/>
      <c r="GAP45" s="87"/>
      <c r="GAQ45" s="87"/>
      <c r="GAR45" s="87"/>
      <c r="GAS45" s="87"/>
      <c r="GAT45" s="87"/>
      <c r="GAU45" s="87"/>
      <c r="GAV45" s="87"/>
      <c r="GAW45" s="87"/>
      <c r="GAX45" s="87"/>
      <c r="GAY45" s="87"/>
      <c r="GAZ45" s="87"/>
      <c r="GBA45" s="87"/>
      <c r="GBB45" s="87"/>
      <c r="GBC45" s="87"/>
      <c r="GBD45" s="87"/>
      <c r="GBE45" s="87"/>
      <c r="GBF45" s="87"/>
      <c r="GBG45" s="87"/>
      <c r="GBH45" s="87"/>
      <c r="GBI45" s="87"/>
      <c r="GBJ45" s="87"/>
      <c r="GBK45" s="87"/>
      <c r="GBL45" s="87"/>
      <c r="GBM45" s="87"/>
      <c r="GBN45" s="87"/>
      <c r="GBO45" s="87"/>
      <c r="GBP45" s="87"/>
      <c r="GBQ45" s="87"/>
      <c r="GBR45" s="87"/>
      <c r="GBS45" s="87"/>
      <c r="GBT45" s="87"/>
      <c r="GBU45" s="87"/>
      <c r="GBV45" s="87"/>
      <c r="GBW45" s="87"/>
      <c r="GBX45" s="87"/>
      <c r="GBY45" s="87"/>
      <c r="GBZ45" s="87"/>
      <c r="GCA45" s="87"/>
      <c r="GCB45" s="87"/>
      <c r="GCC45" s="87"/>
      <c r="GCD45" s="87"/>
      <c r="GCE45" s="87"/>
      <c r="GCF45" s="87"/>
      <c r="GCG45" s="87"/>
      <c r="GCH45" s="87"/>
      <c r="GCI45" s="87"/>
      <c r="GCJ45" s="87"/>
      <c r="GCK45" s="87"/>
      <c r="GCL45" s="87"/>
      <c r="GCM45" s="87"/>
      <c r="GCN45" s="87"/>
      <c r="GCO45" s="87"/>
      <c r="GCP45" s="87"/>
      <c r="GCQ45" s="87"/>
      <c r="GCR45" s="87"/>
      <c r="GCS45" s="87"/>
      <c r="GCT45" s="87"/>
      <c r="GCU45" s="87"/>
      <c r="GCV45" s="87"/>
      <c r="GCW45" s="87"/>
      <c r="GCX45" s="87"/>
      <c r="GCY45" s="87"/>
      <c r="GCZ45" s="87"/>
      <c r="GDA45" s="87"/>
      <c r="GDB45" s="87"/>
      <c r="GDC45" s="87"/>
      <c r="GDD45" s="87"/>
      <c r="GDE45" s="87"/>
      <c r="GDF45" s="87"/>
      <c r="GDG45" s="87"/>
      <c r="GDH45" s="87"/>
      <c r="GDI45" s="87"/>
      <c r="GDJ45" s="87"/>
      <c r="GDK45" s="87"/>
      <c r="GDL45" s="87"/>
      <c r="GDM45" s="87"/>
      <c r="GDN45" s="87"/>
      <c r="GDO45" s="87"/>
      <c r="GDP45" s="87"/>
      <c r="GDQ45" s="87"/>
      <c r="GDR45" s="87"/>
      <c r="GDS45" s="87"/>
      <c r="GDT45" s="87"/>
      <c r="GDU45" s="87"/>
      <c r="GDV45" s="87"/>
      <c r="GDW45" s="87"/>
      <c r="GDX45" s="87"/>
      <c r="GDY45" s="87"/>
      <c r="GDZ45" s="87"/>
      <c r="GEA45" s="87"/>
      <c r="GEB45" s="87"/>
      <c r="GEC45" s="87"/>
      <c r="GED45" s="87"/>
      <c r="GEE45" s="87"/>
      <c r="GEF45" s="87"/>
      <c r="GEG45" s="87"/>
      <c r="GEH45" s="87"/>
      <c r="GEI45" s="87"/>
      <c r="GEJ45" s="87"/>
      <c r="GEK45" s="87"/>
      <c r="GEL45" s="87"/>
      <c r="GEM45" s="87"/>
      <c r="GEN45" s="87"/>
      <c r="GEO45" s="87"/>
      <c r="GEP45" s="87"/>
      <c r="GEQ45" s="87"/>
      <c r="GER45" s="87"/>
      <c r="GES45" s="87"/>
      <c r="GET45" s="87"/>
      <c r="GEU45" s="87"/>
      <c r="GEV45" s="87"/>
      <c r="GEW45" s="87"/>
      <c r="GEX45" s="87"/>
      <c r="GEY45" s="87"/>
      <c r="GEZ45" s="87"/>
      <c r="GFA45" s="87"/>
      <c r="GFB45" s="87"/>
      <c r="GFC45" s="87"/>
      <c r="GFD45" s="87"/>
      <c r="GFE45" s="87"/>
      <c r="GFF45" s="87"/>
      <c r="GFG45" s="87"/>
      <c r="GFH45" s="87"/>
      <c r="GFI45" s="87"/>
      <c r="GFJ45" s="87"/>
      <c r="GFK45" s="87"/>
      <c r="GFL45" s="87"/>
      <c r="GFM45" s="87"/>
      <c r="GFN45" s="87"/>
      <c r="GFO45" s="87"/>
      <c r="GFP45" s="87"/>
      <c r="GFQ45" s="87"/>
      <c r="GFR45" s="87"/>
      <c r="GFS45" s="87"/>
      <c r="GFT45" s="87"/>
      <c r="GFU45" s="87"/>
      <c r="GFV45" s="87"/>
      <c r="GFW45" s="87"/>
      <c r="GFX45" s="87"/>
      <c r="GFY45" s="87"/>
      <c r="GFZ45" s="87"/>
      <c r="GGA45" s="87"/>
      <c r="GGB45" s="87"/>
      <c r="GGC45" s="87"/>
      <c r="GGD45" s="87"/>
      <c r="GGE45" s="87"/>
      <c r="GGF45" s="87"/>
      <c r="GGG45" s="87"/>
      <c r="GGH45" s="87"/>
      <c r="GGI45" s="87"/>
      <c r="GGJ45" s="87"/>
      <c r="GGK45" s="87"/>
      <c r="GGL45" s="87"/>
      <c r="GGM45" s="87"/>
      <c r="GGN45" s="87"/>
      <c r="GGO45" s="87"/>
      <c r="GGP45" s="87"/>
      <c r="GGQ45" s="87"/>
      <c r="GGR45" s="87"/>
      <c r="GGS45" s="87"/>
      <c r="GGT45" s="87"/>
      <c r="GGU45" s="87"/>
      <c r="GGV45" s="87"/>
      <c r="GGW45" s="87"/>
      <c r="GGX45" s="87"/>
      <c r="GGY45" s="87"/>
      <c r="GGZ45" s="87"/>
      <c r="GHA45" s="87"/>
      <c r="GHB45" s="87"/>
      <c r="GHC45" s="87"/>
      <c r="GHD45" s="87"/>
      <c r="GHE45" s="87"/>
      <c r="GHF45" s="87"/>
      <c r="GHG45" s="87"/>
      <c r="GHH45" s="87"/>
      <c r="GHI45" s="87"/>
      <c r="GHJ45" s="87"/>
      <c r="GHK45" s="87"/>
      <c r="GHL45" s="87"/>
      <c r="GHM45" s="87"/>
      <c r="GHN45" s="87"/>
      <c r="GHO45" s="87"/>
      <c r="GHP45" s="87"/>
      <c r="GHQ45" s="87"/>
      <c r="GHR45" s="87"/>
      <c r="GHS45" s="87"/>
      <c r="GHT45" s="87"/>
      <c r="GHU45" s="87"/>
      <c r="GHV45" s="87"/>
      <c r="GHW45" s="87"/>
      <c r="GHX45" s="87"/>
      <c r="GHY45" s="87"/>
      <c r="GHZ45" s="87"/>
      <c r="GIA45" s="87"/>
      <c r="GIB45" s="87"/>
      <c r="GIC45" s="87"/>
      <c r="GID45" s="87"/>
      <c r="GIE45" s="87"/>
      <c r="GIF45" s="87"/>
      <c r="GIG45" s="87"/>
      <c r="GIH45" s="87"/>
      <c r="GII45" s="87"/>
      <c r="GIJ45" s="87"/>
      <c r="GIK45" s="87"/>
      <c r="GIL45" s="87"/>
      <c r="GIM45" s="87"/>
      <c r="GIN45" s="87"/>
      <c r="GIO45" s="87"/>
      <c r="GIP45" s="87"/>
      <c r="GIQ45" s="87"/>
      <c r="GIR45" s="87"/>
      <c r="GIS45" s="87"/>
      <c r="GIT45" s="87"/>
      <c r="GIU45" s="87"/>
      <c r="GIV45" s="87"/>
      <c r="GIW45" s="87"/>
      <c r="GIX45" s="87"/>
      <c r="GIY45" s="87"/>
      <c r="GIZ45" s="87"/>
      <c r="GJA45" s="87"/>
      <c r="GJB45" s="87"/>
      <c r="GJC45" s="87"/>
      <c r="GJD45" s="87"/>
      <c r="GJE45" s="87"/>
      <c r="GJF45" s="87"/>
      <c r="GJG45" s="87"/>
      <c r="GJH45" s="87"/>
      <c r="GJI45" s="87"/>
      <c r="GJJ45" s="87"/>
      <c r="GJK45" s="87"/>
      <c r="GJL45" s="87"/>
      <c r="GJM45" s="87"/>
      <c r="GJN45" s="87"/>
      <c r="GJO45" s="87"/>
      <c r="GJP45" s="87"/>
      <c r="GJQ45" s="87"/>
      <c r="GJR45" s="87"/>
      <c r="GJS45" s="87"/>
      <c r="GJT45" s="87"/>
      <c r="GJU45" s="87"/>
      <c r="GJV45" s="87"/>
      <c r="GJW45" s="87"/>
      <c r="GJX45" s="87"/>
      <c r="GJY45" s="87"/>
      <c r="GJZ45" s="87"/>
      <c r="GKA45" s="87"/>
      <c r="GKB45" s="87"/>
      <c r="GKC45" s="87"/>
      <c r="GKD45" s="87"/>
      <c r="GKE45" s="87"/>
      <c r="GKF45" s="87"/>
      <c r="GKG45" s="87"/>
      <c r="GKH45" s="87"/>
      <c r="GKI45" s="87"/>
      <c r="GKJ45" s="87"/>
      <c r="GKK45" s="87"/>
      <c r="GKL45" s="87"/>
      <c r="GKM45" s="87"/>
      <c r="GKN45" s="87"/>
      <c r="GKO45" s="87"/>
      <c r="GKP45" s="87"/>
      <c r="GKQ45" s="87"/>
      <c r="GKR45" s="87"/>
      <c r="GKS45" s="87"/>
      <c r="GKT45" s="87"/>
      <c r="GKU45" s="87"/>
      <c r="GKV45" s="87"/>
      <c r="GKW45" s="87"/>
      <c r="GKX45" s="87"/>
      <c r="GKY45" s="87"/>
      <c r="GKZ45" s="87"/>
      <c r="GLA45" s="87"/>
      <c r="GLB45" s="87"/>
      <c r="GLC45" s="87"/>
      <c r="GLD45" s="87"/>
      <c r="GLE45" s="87"/>
      <c r="GLF45" s="87"/>
      <c r="GLG45" s="87"/>
      <c r="GLH45" s="87"/>
      <c r="GLI45" s="87"/>
      <c r="GLJ45" s="87"/>
      <c r="GLK45" s="87"/>
      <c r="GLL45" s="87"/>
      <c r="GLM45" s="87"/>
      <c r="GLN45" s="87"/>
      <c r="GLO45" s="87"/>
      <c r="GLP45" s="87"/>
      <c r="GLQ45" s="87"/>
      <c r="GLR45" s="87"/>
      <c r="GLS45" s="87"/>
      <c r="GLT45" s="87"/>
      <c r="GLU45" s="87"/>
      <c r="GLV45" s="87"/>
      <c r="GLW45" s="87"/>
      <c r="GLX45" s="87"/>
      <c r="GLY45" s="87"/>
      <c r="GLZ45" s="87"/>
      <c r="GMA45" s="87"/>
      <c r="GMB45" s="87"/>
      <c r="GMC45" s="87"/>
      <c r="GMD45" s="87"/>
      <c r="GME45" s="87"/>
      <c r="GMF45" s="87"/>
      <c r="GMG45" s="87"/>
      <c r="GMH45" s="87"/>
      <c r="GMI45" s="87"/>
      <c r="GMJ45" s="87"/>
      <c r="GMK45" s="87"/>
      <c r="GML45" s="87"/>
      <c r="GMM45" s="87"/>
      <c r="GMN45" s="87"/>
      <c r="GMO45" s="87"/>
      <c r="GMP45" s="87"/>
      <c r="GMQ45" s="87"/>
      <c r="GMR45" s="87"/>
      <c r="GMS45" s="87"/>
      <c r="GMT45" s="87"/>
      <c r="GMU45" s="87"/>
      <c r="GMV45" s="87"/>
      <c r="GMW45" s="87"/>
      <c r="GMX45" s="87"/>
      <c r="GMY45" s="87"/>
      <c r="GMZ45" s="87"/>
      <c r="GNA45" s="87"/>
      <c r="GNB45" s="87"/>
      <c r="GNC45" s="87"/>
      <c r="GND45" s="87"/>
      <c r="GNE45" s="87"/>
      <c r="GNF45" s="87"/>
      <c r="GNG45" s="87"/>
      <c r="GNH45" s="87"/>
      <c r="GNI45" s="87"/>
      <c r="GNJ45" s="87"/>
      <c r="GNK45" s="87"/>
      <c r="GNL45" s="87"/>
      <c r="GNM45" s="87"/>
      <c r="GNN45" s="87"/>
      <c r="GNO45" s="87"/>
      <c r="GNP45" s="87"/>
      <c r="GNQ45" s="87"/>
      <c r="GNR45" s="87"/>
      <c r="GNS45" s="87"/>
      <c r="GNT45" s="87"/>
      <c r="GNU45" s="87"/>
      <c r="GNV45" s="87"/>
      <c r="GNW45" s="87"/>
      <c r="GNX45" s="87"/>
      <c r="GNY45" s="87"/>
      <c r="GNZ45" s="87"/>
      <c r="GOA45" s="87"/>
      <c r="GOB45" s="87"/>
      <c r="GOC45" s="87"/>
      <c r="GOD45" s="87"/>
      <c r="GOE45" s="87"/>
      <c r="GOF45" s="87"/>
      <c r="GOG45" s="87"/>
      <c r="GOH45" s="87"/>
      <c r="GOI45" s="87"/>
      <c r="GOJ45" s="87"/>
      <c r="GOK45" s="87"/>
      <c r="GOL45" s="87"/>
      <c r="GOM45" s="87"/>
      <c r="GON45" s="87"/>
      <c r="GOO45" s="87"/>
      <c r="GOP45" s="87"/>
      <c r="GOQ45" s="87"/>
      <c r="GOR45" s="87"/>
      <c r="GOS45" s="87"/>
      <c r="GOT45" s="87"/>
      <c r="GOU45" s="87"/>
      <c r="GOV45" s="87"/>
      <c r="GOW45" s="87"/>
      <c r="GOX45" s="87"/>
      <c r="GOY45" s="87"/>
      <c r="GOZ45" s="87"/>
      <c r="GPA45" s="87"/>
      <c r="GPB45" s="87"/>
      <c r="GPC45" s="87"/>
      <c r="GPD45" s="87"/>
      <c r="GPE45" s="87"/>
      <c r="GPF45" s="87"/>
      <c r="GPG45" s="87"/>
      <c r="GPH45" s="87"/>
      <c r="GPI45" s="87"/>
      <c r="GPJ45" s="87"/>
      <c r="GPK45" s="87"/>
      <c r="GPL45" s="87"/>
      <c r="GPM45" s="87"/>
      <c r="GPN45" s="87"/>
      <c r="GPO45" s="87"/>
      <c r="GPP45" s="87"/>
      <c r="GPQ45" s="87"/>
      <c r="GPR45" s="87"/>
      <c r="GPS45" s="87"/>
      <c r="GPT45" s="87"/>
      <c r="GPU45" s="87"/>
      <c r="GPV45" s="87"/>
      <c r="GPW45" s="87"/>
      <c r="GPX45" s="87"/>
      <c r="GPY45" s="87"/>
      <c r="GPZ45" s="87"/>
      <c r="GQA45" s="87"/>
      <c r="GQB45" s="87"/>
      <c r="GQC45" s="87"/>
      <c r="GQD45" s="87"/>
      <c r="GQE45" s="87"/>
      <c r="GQF45" s="87"/>
      <c r="GQG45" s="87"/>
      <c r="GQH45" s="87"/>
      <c r="GQI45" s="87"/>
      <c r="GQJ45" s="87"/>
      <c r="GQK45" s="87"/>
      <c r="GQL45" s="87"/>
      <c r="GQM45" s="87"/>
      <c r="GQN45" s="87"/>
      <c r="GQO45" s="87"/>
      <c r="GQP45" s="87"/>
      <c r="GQQ45" s="87"/>
      <c r="GQR45" s="87"/>
      <c r="GQS45" s="87"/>
      <c r="GQT45" s="87"/>
      <c r="GQU45" s="87"/>
      <c r="GQV45" s="87"/>
      <c r="GQW45" s="87"/>
      <c r="GQX45" s="87"/>
      <c r="GQY45" s="87"/>
      <c r="GQZ45" s="87"/>
      <c r="GRA45" s="87"/>
      <c r="GRB45" s="87"/>
      <c r="GRC45" s="87"/>
      <c r="GRD45" s="87"/>
      <c r="GRE45" s="87"/>
      <c r="GRF45" s="87"/>
      <c r="GRG45" s="87"/>
      <c r="GRH45" s="87"/>
      <c r="GRI45" s="87"/>
      <c r="GRJ45" s="87"/>
      <c r="GRK45" s="87"/>
      <c r="GRL45" s="87"/>
      <c r="GRM45" s="87"/>
      <c r="GRN45" s="87"/>
      <c r="GRO45" s="87"/>
      <c r="GRP45" s="87"/>
      <c r="GRQ45" s="87"/>
      <c r="GRR45" s="87"/>
      <c r="GRS45" s="87"/>
      <c r="GRT45" s="87"/>
      <c r="GRU45" s="87"/>
      <c r="GRV45" s="87"/>
      <c r="GRW45" s="87"/>
      <c r="GRX45" s="87"/>
      <c r="GRY45" s="87"/>
      <c r="GRZ45" s="87"/>
      <c r="GSA45" s="87"/>
      <c r="GSB45" s="87"/>
      <c r="GSC45" s="87"/>
      <c r="GSD45" s="87"/>
      <c r="GSE45" s="87"/>
      <c r="GSF45" s="87"/>
      <c r="GSG45" s="87"/>
      <c r="GSH45" s="87"/>
      <c r="GSI45" s="87"/>
      <c r="GSJ45" s="87"/>
      <c r="GSK45" s="87"/>
      <c r="GSL45" s="87"/>
      <c r="GSM45" s="87"/>
      <c r="GSN45" s="87"/>
      <c r="GSO45" s="87"/>
      <c r="GSP45" s="87"/>
      <c r="GSQ45" s="87"/>
      <c r="GSR45" s="87"/>
      <c r="GSS45" s="87"/>
      <c r="GST45" s="87"/>
      <c r="GSU45" s="87"/>
      <c r="GSV45" s="87"/>
      <c r="GSW45" s="87"/>
      <c r="GSX45" s="87"/>
      <c r="GSY45" s="87"/>
      <c r="GSZ45" s="87"/>
      <c r="GTA45" s="87"/>
      <c r="GTB45" s="87"/>
      <c r="GTC45" s="87"/>
      <c r="GTD45" s="87"/>
      <c r="GTE45" s="87"/>
      <c r="GTF45" s="87"/>
      <c r="GTG45" s="87"/>
      <c r="GTH45" s="87"/>
      <c r="GTI45" s="87"/>
      <c r="GTJ45" s="87"/>
      <c r="GTK45" s="87"/>
      <c r="GTL45" s="87"/>
      <c r="GTM45" s="87"/>
      <c r="GTN45" s="87"/>
      <c r="GTO45" s="87"/>
      <c r="GTP45" s="87"/>
      <c r="GTQ45" s="87"/>
      <c r="GTR45" s="87"/>
      <c r="GTS45" s="87"/>
      <c r="GTT45" s="87"/>
      <c r="GTU45" s="87"/>
      <c r="GTV45" s="87"/>
      <c r="GTW45" s="87"/>
      <c r="GTX45" s="87"/>
      <c r="GTY45" s="87"/>
      <c r="GTZ45" s="87"/>
      <c r="GUA45" s="87"/>
      <c r="GUB45" s="87"/>
      <c r="GUC45" s="87"/>
      <c r="GUD45" s="87"/>
      <c r="GUE45" s="87"/>
      <c r="GUF45" s="87"/>
      <c r="GUG45" s="87"/>
      <c r="GUH45" s="87"/>
      <c r="GUI45" s="87"/>
      <c r="GUJ45" s="87"/>
      <c r="GUK45" s="87"/>
      <c r="GUL45" s="87"/>
      <c r="GUM45" s="87"/>
      <c r="GUN45" s="87"/>
      <c r="GUO45" s="87"/>
      <c r="GUP45" s="87"/>
      <c r="GUQ45" s="87"/>
      <c r="GUR45" s="87"/>
      <c r="GUS45" s="87"/>
      <c r="GUT45" s="87"/>
      <c r="GUU45" s="87"/>
      <c r="GUV45" s="87"/>
      <c r="GUW45" s="87"/>
      <c r="GUX45" s="87"/>
      <c r="GUY45" s="87"/>
      <c r="GUZ45" s="87"/>
      <c r="GVA45" s="87"/>
      <c r="GVB45" s="87"/>
      <c r="GVC45" s="87"/>
      <c r="GVD45" s="87"/>
      <c r="GVE45" s="87"/>
      <c r="GVF45" s="87"/>
      <c r="GVG45" s="87"/>
      <c r="GVH45" s="87"/>
      <c r="GVI45" s="87"/>
      <c r="GVJ45" s="87"/>
      <c r="GVK45" s="87"/>
      <c r="GVL45" s="87"/>
      <c r="GVM45" s="87"/>
      <c r="GVN45" s="87"/>
      <c r="GVO45" s="87"/>
      <c r="GVP45" s="87"/>
      <c r="GVQ45" s="87"/>
      <c r="GVR45" s="87"/>
      <c r="GVS45" s="87"/>
      <c r="GVT45" s="87"/>
      <c r="GVU45" s="87"/>
      <c r="GVV45" s="87"/>
      <c r="GVW45" s="87"/>
      <c r="GVX45" s="87"/>
      <c r="GVY45" s="87"/>
      <c r="GVZ45" s="87"/>
      <c r="GWA45" s="87"/>
      <c r="GWB45" s="87"/>
      <c r="GWC45" s="87"/>
      <c r="GWD45" s="87"/>
      <c r="GWE45" s="87"/>
      <c r="GWF45" s="87"/>
      <c r="GWG45" s="87"/>
      <c r="GWH45" s="87"/>
      <c r="GWI45" s="87"/>
      <c r="GWJ45" s="87"/>
      <c r="GWK45" s="87"/>
      <c r="GWL45" s="87"/>
      <c r="GWM45" s="87"/>
      <c r="GWN45" s="87"/>
      <c r="GWO45" s="87"/>
      <c r="GWP45" s="87"/>
      <c r="GWQ45" s="87"/>
      <c r="GWR45" s="87"/>
      <c r="GWS45" s="87"/>
      <c r="GWT45" s="87"/>
      <c r="GWU45" s="87"/>
      <c r="GWV45" s="87"/>
      <c r="GWW45" s="87"/>
      <c r="GWX45" s="87"/>
      <c r="GWY45" s="87"/>
      <c r="GWZ45" s="87"/>
      <c r="GXA45" s="87"/>
      <c r="GXB45" s="87"/>
      <c r="GXC45" s="87"/>
      <c r="GXD45" s="87"/>
      <c r="GXE45" s="87"/>
      <c r="GXF45" s="87"/>
      <c r="GXG45" s="87"/>
      <c r="GXH45" s="87"/>
      <c r="GXI45" s="87"/>
      <c r="GXJ45" s="87"/>
      <c r="GXK45" s="87"/>
      <c r="GXL45" s="87"/>
      <c r="GXM45" s="87"/>
      <c r="GXN45" s="87"/>
      <c r="GXO45" s="87"/>
      <c r="GXP45" s="87"/>
      <c r="GXQ45" s="87"/>
      <c r="GXR45" s="87"/>
      <c r="GXS45" s="87"/>
      <c r="GXT45" s="87"/>
      <c r="GXU45" s="87"/>
      <c r="GXV45" s="87"/>
      <c r="GXW45" s="87"/>
      <c r="GXX45" s="87"/>
      <c r="GXY45" s="87"/>
      <c r="GXZ45" s="87"/>
      <c r="GYA45" s="87"/>
      <c r="GYB45" s="87"/>
      <c r="GYC45" s="87"/>
      <c r="GYD45" s="87"/>
      <c r="GYE45" s="87"/>
      <c r="GYF45" s="87"/>
      <c r="GYG45" s="87"/>
      <c r="GYH45" s="87"/>
      <c r="GYI45" s="87"/>
      <c r="GYJ45" s="87"/>
      <c r="GYK45" s="87"/>
      <c r="GYL45" s="87"/>
      <c r="GYM45" s="87"/>
      <c r="GYN45" s="87"/>
      <c r="GYO45" s="87"/>
      <c r="GYP45" s="87"/>
      <c r="GYQ45" s="87"/>
      <c r="GYR45" s="87"/>
      <c r="GYS45" s="87"/>
      <c r="GYT45" s="87"/>
      <c r="GYU45" s="87"/>
      <c r="GYV45" s="87"/>
      <c r="GYW45" s="87"/>
      <c r="GYX45" s="87"/>
      <c r="GYY45" s="87"/>
      <c r="GYZ45" s="87"/>
      <c r="GZA45" s="87"/>
      <c r="GZB45" s="87"/>
      <c r="GZC45" s="87"/>
      <c r="GZD45" s="87"/>
      <c r="GZE45" s="87"/>
      <c r="GZF45" s="87"/>
      <c r="GZG45" s="87"/>
      <c r="GZH45" s="87"/>
      <c r="GZI45" s="87"/>
      <c r="GZJ45" s="87"/>
      <c r="GZK45" s="87"/>
      <c r="GZL45" s="87"/>
      <c r="GZM45" s="87"/>
      <c r="GZN45" s="87"/>
      <c r="GZO45" s="87"/>
      <c r="GZP45" s="87"/>
      <c r="GZQ45" s="87"/>
      <c r="GZR45" s="87"/>
      <c r="GZS45" s="87"/>
      <c r="GZT45" s="87"/>
      <c r="GZU45" s="87"/>
      <c r="GZV45" s="87"/>
      <c r="GZW45" s="87"/>
      <c r="GZX45" s="87"/>
      <c r="GZY45" s="87"/>
      <c r="GZZ45" s="87"/>
      <c r="HAA45" s="87"/>
      <c r="HAB45" s="87"/>
      <c r="HAC45" s="87"/>
      <c r="HAD45" s="87"/>
      <c r="HAE45" s="87"/>
      <c r="HAF45" s="87"/>
      <c r="HAG45" s="87"/>
      <c r="HAH45" s="87"/>
      <c r="HAI45" s="87"/>
      <c r="HAJ45" s="87"/>
      <c r="HAK45" s="87"/>
      <c r="HAL45" s="87"/>
      <c r="HAM45" s="87"/>
      <c r="HAN45" s="87"/>
      <c r="HAO45" s="87"/>
      <c r="HAP45" s="87"/>
      <c r="HAQ45" s="87"/>
      <c r="HAR45" s="87"/>
      <c r="HAS45" s="87"/>
      <c r="HAT45" s="87"/>
      <c r="HAU45" s="87"/>
      <c r="HAV45" s="87"/>
      <c r="HAW45" s="87"/>
      <c r="HAX45" s="87"/>
      <c r="HAY45" s="87"/>
      <c r="HAZ45" s="87"/>
      <c r="HBA45" s="87"/>
      <c r="HBB45" s="87"/>
      <c r="HBC45" s="87"/>
      <c r="HBD45" s="87"/>
      <c r="HBE45" s="87"/>
      <c r="HBF45" s="87"/>
      <c r="HBG45" s="87"/>
      <c r="HBH45" s="87"/>
      <c r="HBI45" s="87"/>
      <c r="HBJ45" s="87"/>
      <c r="HBK45" s="87"/>
      <c r="HBL45" s="87"/>
      <c r="HBM45" s="87"/>
      <c r="HBN45" s="87"/>
      <c r="HBO45" s="87"/>
      <c r="HBP45" s="87"/>
      <c r="HBQ45" s="87"/>
      <c r="HBR45" s="87"/>
      <c r="HBS45" s="87"/>
      <c r="HBT45" s="87"/>
      <c r="HBU45" s="87"/>
      <c r="HBV45" s="87"/>
      <c r="HBW45" s="87"/>
      <c r="HBX45" s="87"/>
      <c r="HBY45" s="87"/>
      <c r="HBZ45" s="87"/>
      <c r="HCA45" s="87"/>
      <c r="HCB45" s="87"/>
      <c r="HCC45" s="87"/>
      <c r="HCD45" s="87"/>
      <c r="HCE45" s="87"/>
      <c r="HCF45" s="87"/>
      <c r="HCG45" s="87"/>
      <c r="HCH45" s="87"/>
      <c r="HCI45" s="87"/>
      <c r="HCJ45" s="87"/>
      <c r="HCK45" s="87"/>
      <c r="HCL45" s="87"/>
      <c r="HCM45" s="87"/>
      <c r="HCN45" s="87"/>
      <c r="HCO45" s="87"/>
      <c r="HCP45" s="87"/>
      <c r="HCQ45" s="87"/>
      <c r="HCR45" s="87"/>
      <c r="HCS45" s="87"/>
      <c r="HCT45" s="87"/>
      <c r="HCU45" s="87"/>
      <c r="HCV45" s="87"/>
      <c r="HCW45" s="87"/>
      <c r="HCX45" s="87"/>
      <c r="HCY45" s="87"/>
      <c r="HCZ45" s="87"/>
      <c r="HDA45" s="87"/>
      <c r="HDB45" s="87"/>
      <c r="HDC45" s="87"/>
      <c r="HDD45" s="87"/>
      <c r="HDE45" s="87"/>
      <c r="HDF45" s="87"/>
      <c r="HDG45" s="87"/>
      <c r="HDH45" s="87"/>
      <c r="HDI45" s="87"/>
      <c r="HDJ45" s="87"/>
      <c r="HDK45" s="87"/>
      <c r="HDL45" s="87"/>
      <c r="HDM45" s="87"/>
      <c r="HDN45" s="87"/>
      <c r="HDO45" s="87"/>
      <c r="HDP45" s="87"/>
      <c r="HDQ45" s="87"/>
      <c r="HDR45" s="87"/>
      <c r="HDS45" s="87"/>
      <c r="HDT45" s="87"/>
      <c r="HDU45" s="87"/>
      <c r="HDV45" s="87"/>
      <c r="HDW45" s="87"/>
      <c r="HDX45" s="87"/>
      <c r="HDY45" s="87"/>
      <c r="HDZ45" s="87"/>
      <c r="HEA45" s="87"/>
      <c r="HEB45" s="87"/>
      <c r="HEC45" s="87"/>
      <c r="HED45" s="87"/>
      <c r="HEE45" s="87"/>
      <c r="HEF45" s="87"/>
      <c r="HEG45" s="87"/>
      <c r="HEH45" s="87"/>
      <c r="HEI45" s="87"/>
      <c r="HEJ45" s="87"/>
      <c r="HEK45" s="87"/>
      <c r="HEL45" s="87"/>
      <c r="HEM45" s="87"/>
      <c r="HEN45" s="87"/>
      <c r="HEO45" s="87"/>
      <c r="HEP45" s="87"/>
      <c r="HEQ45" s="87"/>
      <c r="HER45" s="87"/>
      <c r="HES45" s="87"/>
      <c r="HET45" s="87"/>
      <c r="HEU45" s="87"/>
      <c r="HEV45" s="87"/>
      <c r="HEW45" s="87"/>
      <c r="HEX45" s="87"/>
      <c r="HEY45" s="87"/>
      <c r="HEZ45" s="87"/>
      <c r="HFA45" s="87"/>
      <c r="HFB45" s="87"/>
      <c r="HFC45" s="87"/>
      <c r="HFD45" s="87"/>
      <c r="HFE45" s="87"/>
      <c r="HFF45" s="87"/>
      <c r="HFG45" s="87"/>
      <c r="HFH45" s="87"/>
      <c r="HFI45" s="87"/>
      <c r="HFJ45" s="87"/>
      <c r="HFK45" s="87"/>
      <c r="HFL45" s="87"/>
      <c r="HFM45" s="87"/>
      <c r="HFN45" s="87"/>
      <c r="HFO45" s="87"/>
      <c r="HFP45" s="87"/>
      <c r="HFQ45" s="87"/>
      <c r="HFR45" s="87"/>
      <c r="HFS45" s="87"/>
      <c r="HFT45" s="87"/>
      <c r="HFU45" s="87"/>
      <c r="HFV45" s="87"/>
      <c r="HFW45" s="87"/>
      <c r="HFX45" s="87"/>
      <c r="HFY45" s="87"/>
      <c r="HFZ45" s="87"/>
      <c r="HGA45" s="87"/>
      <c r="HGB45" s="87"/>
      <c r="HGC45" s="87"/>
      <c r="HGD45" s="87"/>
      <c r="HGE45" s="87"/>
      <c r="HGF45" s="87"/>
      <c r="HGG45" s="87"/>
      <c r="HGH45" s="87"/>
      <c r="HGI45" s="87"/>
      <c r="HGJ45" s="87"/>
      <c r="HGK45" s="87"/>
      <c r="HGL45" s="87"/>
      <c r="HGM45" s="87"/>
      <c r="HGN45" s="87"/>
      <c r="HGO45" s="87"/>
      <c r="HGP45" s="87"/>
      <c r="HGQ45" s="87"/>
      <c r="HGR45" s="87"/>
      <c r="HGS45" s="87"/>
      <c r="HGT45" s="87"/>
      <c r="HGU45" s="87"/>
      <c r="HGV45" s="87"/>
      <c r="HGW45" s="87"/>
      <c r="HGX45" s="87"/>
      <c r="HGY45" s="87"/>
      <c r="HGZ45" s="87"/>
      <c r="HHA45" s="87"/>
      <c r="HHB45" s="87"/>
      <c r="HHC45" s="87"/>
      <c r="HHD45" s="87"/>
      <c r="HHE45" s="87"/>
      <c r="HHF45" s="87"/>
      <c r="HHG45" s="87"/>
      <c r="HHH45" s="87"/>
      <c r="HHI45" s="87"/>
      <c r="HHJ45" s="87"/>
      <c r="HHK45" s="87"/>
      <c r="HHL45" s="87"/>
      <c r="HHM45" s="87"/>
      <c r="HHN45" s="87"/>
      <c r="HHO45" s="87"/>
      <c r="HHP45" s="87"/>
      <c r="HHQ45" s="87"/>
      <c r="HHR45" s="87"/>
      <c r="HHS45" s="87"/>
      <c r="HHT45" s="87"/>
      <c r="HHU45" s="87"/>
      <c r="HHV45" s="87"/>
      <c r="HHW45" s="87"/>
      <c r="HHX45" s="87"/>
      <c r="HHY45" s="87"/>
      <c r="HHZ45" s="87"/>
      <c r="HIA45" s="87"/>
      <c r="HIB45" s="87"/>
      <c r="HIC45" s="87"/>
      <c r="HID45" s="87"/>
      <c r="HIE45" s="87"/>
      <c r="HIF45" s="87"/>
      <c r="HIG45" s="87"/>
      <c r="HIH45" s="87"/>
      <c r="HII45" s="87"/>
      <c r="HIJ45" s="87"/>
      <c r="HIK45" s="87"/>
      <c r="HIL45" s="87"/>
      <c r="HIM45" s="87"/>
      <c r="HIN45" s="87"/>
      <c r="HIO45" s="87"/>
      <c r="HIP45" s="87"/>
      <c r="HIQ45" s="87"/>
      <c r="HIR45" s="87"/>
      <c r="HIS45" s="87"/>
      <c r="HIT45" s="87"/>
      <c r="HIU45" s="87"/>
      <c r="HIV45" s="87"/>
      <c r="HIW45" s="87"/>
      <c r="HIX45" s="87"/>
      <c r="HIY45" s="87"/>
      <c r="HIZ45" s="87"/>
      <c r="HJA45" s="87"/>
      <c r="HJB45" s="87"/>
      <c r="HJC45" s="87"/>
      <c r="HJD45" s="87"/>
      <c r="HJE45" s="87"/>
      <c r="HJF45" s="87"/>
      <c r="HJG45" s="87"/>
      <c r="HJH45" s="87"/>
      <c r="HJI45" s="87"/>
      <c r="HJJ45" s="87"/>
      <c r="HJK45" s="87"/>
      <c r="HJL45" s="87"/>
      <c r="HJM45" s="87"/>
      <c r="HJN45" s="87"/>
      <c r="HJO45" s="87"/>
      <c r="HJP45" s="87"/>
      <c r="HJQ45" s="87"/>
      <c r="HJR45" s="87"/>
      <c r="HJS45" s="87"/>
      <c r="HJT45" s="87"/>
      <c r="HJU45" s="87"/>
      <c r="HJV45" s="87"/>
      <c r="HJW45" s="87"/>
      <c r="HJX45" s="87"/>
      <c r="HJY45" s="87"/>
      <c r="HJZ45" s="87"/>
      <c r="HKA45" s="87"/>
      <c r="HKB45" s="87"/>
      <c r="HKC45" s="87"/>
      <c r="HKD45" s="87"/>
      <c r="HKE45" s="87"/>
      <c r="HKF45" s="87"/>
      <c r="HKG45" s="87"/>
      <c r="HKH45" s="87"/>
      <c r="HKI45" s="87"/>
      <c r="HKJ45" s="87"/>
      <c r="HKK45" s="87"/>
      <c r="HKL45" s="87"/>
      <c r="HKM45" s="87"/>
      <c r="HKN45" s="87"/>
      <c r="HKO45" s="87"/>
      <c r="HKP45" s="87"/>
      <c r="HKQ45" s="87"/>
      <c r="HKR45" s="87"/>
      <c r="HKS45" s="87"/>
      <c r="HKT45" s="87"/>
      <c r="HKU45" s="87"/>
      <c r="HKV45" s="87"/>
      <c r="HKW45" s="87"/>
      <c r="HKX45" s="87"/>
      <c r="HKY45" s="87"/>
      <c r="HKZ45" s="87"/>
      <c r="HLA45" s="87"/>
      <c r="HLB45" s="87"/>
      <c r="HLC45" s="87"/>
      <c r="HLD45" s="87"/>
      <c r="HLE45" s="87"/>
      <c r="HLF45" s="87"/>
      <c r="HLG45" s="87"/>
      <c r="HLH45" s="87"/>
      <c r="HLI45" s="87"/>
      <c r="HLJ45" s="87"/>
      <c r="HLK45" s="87"/>
      <c r="HLL45" s="87"/>
      <c r="HLM45" s="87"/>
      <c r="HLN45" s="87"/>
      <c r="HLO45" s="87"/>
      <c r="HLP45" s="87"/>
      <c r="HLQ45" s="87"/>
      <c r="HLR45" s="87"/>
      <c r="HLS45" s="87"/>
      <c r="HLT45" s="87"/>
      <c r="HLU45" s="87"/>
      <c r="HLV45" s="87"/>
      <c r="HLW45" s="87"/>
      <c r="HLX45" s="87"/>
      <c r="HLY45" s="87"/>
      <c r="HLZ45" s="87"/>
      <c r="HMA45" s="87"/>
      <c r="HMB45" s="87"/>
      <c r="HMC45" s="87"/>
      <c r="HMD45" s="87"/>
      <c r="HME45" s="87"/>
      <c r="HMF45" s="87"/>
      <c r="HMG45" s="87"/>
      <c r="HMH45" s="87"/>
      <c r="HMI45" s="87"/>
      <c r="HMJ45" s="87"/>
      <c r="HMK45" s="87"/>
      <c r="HML45" s="87"/>
      <c r="HMM45" s="87"/>
      <c r="HMN45" s="87"/>
      <c r="HMO45" s="87"/>
      <c r="HMP45" s="87"/>
      <c r="HMQ45" s="87"/>
      <c r="HMR45" s="87"/>
      <c r="HMS45" s="87"/>
      <c r="HMT45" s="87"/>
      <c r="HMU45" s="87"/>
      <c r="HMV45" s="87"/>
      <c r="HMW45" s="87"/>
      <c r="HMX45" s="87"/>
      <c r="HMY45" s="87"/>
      <c r="HMZ45" s="87"/>
      <c r="HNA45" s="87"/>
      <c r="HNB45" s="87"/>
      <c r="HNC45" s="87"/>
      <c r="HND45" s="87"/>
      <c r="HNE45" s="87"/>
      <c r="HNF45" s="87"/>
      <c r="HNG45" s="87"/>
      <c r="HNH45" s="87"/>
      <c r="HNI45" s="87"/>
      <c r="HNJ45" s="87"/>
      <c r="HNK45" s="87"/>
      <c r="HNL45" s="87"/>
      <c r="HNM45" s="87"/>
      <c r="HNN45" s="87"/>
      <c r="HNO45" s="87"/>
      <c r="HNP45" s="87"/>
      <c r="HNQ45" s="87"/>
      <c r="HNR45" s="87"/>
      <c r="HNS45" s="87"/>
      <c r="HNT45" s="87"/>
      <c r="HNU45" s="87"/>
      <c r="HNV45" s="87"/>
      <c r="HNW45" s="87"/>
      <c r="HNX45" s="87"/>
      <c r="HNY45" s="87"/>
      <c r="HNZ45" s="87"/>
      <c r="HOA45" s="87"/>
      <c r="HOB45" s="87"/>
      <c r="HOC45" s="87"/>
      <c r="HOD45" s="87"/>
      <c r="HOE45" s="87"/>
      <c r="HOF45" s="87"/>
      <c r="HOG45" s="87"/>
      <c r="HOH45" s="87"/>
      <c r="HOI45" s="87"/>
      <c r="HOJ45" s="87"/>
      <c r="HOK45" s="87"/>
      <c r="HOL45" s="87"/>
      <c r="HOM45" s="87"/>
      <c r="HON45" s="87"/>
      <c r="HOO45" s="87"/>
      <c r="HOP45" s="87"/>
      <c r="HOQ45" s="87"/>
      <c r="HOR45" s="87"/>
      <c r="HOS45" s="87"/>
      <c r="HOT45" s="87"/>
      <c r="HOU45" s="87"/>
      <c r="HOV45" s="87"/>
      <c r="HOW45" s="87"/>
      <c r="HOX45" s="87"/>
      <c r="HOY45" s="87"/>
      <c r="HOZ45" s="87"/>
      <c r="HPA45" s="87"/>
      <c r="HPB45" s="87"/>
      <c r="HPC45" s="87"/>
      <c r="HPD45" s="87"/>
      <c r="HPE45" s="87"/>
      <c r="HPF45" s="87"/>
      <c r="HPG45" s="87"/>
      <c r="HPH45" s="87"/>
      <c r="HPI45" s="87"/>
      <c r="HPJ45" s="87"/>
      <c r="HPK45" s="87"/>
      <c r="HPL45" s="87"/>
      <c r="HPM45" s="87"/>
      <c r="HPN45" s="87"/>
      <c r="HPO45" s="87"/>
      <c r="HPP45" s="87"/>
      <c r="HPQ45" s="87"/>
      <c r="HPR45" s="87"/>
      <c r="HPS45" s="87"/>
      <c r="HPT45" s="87"/>
      <c r="HPU45" s="87"/>
      <c r="HPV45" s="87"/>
      <c r="HPW45" s="87"/>
      <c r="HPX45" s="87"/>
      <c r="HPY45" s="87"/>
      <c r="HPZ45" s="87"/>
      <c r="HQA45" s="87"/>
      <c r="HQB45" s="87"/>
      <c r="HQC45" s="87"/>
      <c r="HQD45" s="87"/>
      <c r="HQE45" s="87"/>
      <c r="HQF45" s="87"/>
      <c r="HQG45" s="87"/>
      <c r="HQH45" s="87"/>
      <c r="HQI45" s="87"/>
      <c r="HQJ45" s="87"/>
      <c r="HQK45" s="87"/>
      <c r="HQL45" s="87"/>
      <c r="HQM45" s="87"/>
      <c r="HQN45" s="87"/>
      <c r="HQO45" s="87"/>
      <c r="HQP45" s="87"/>
      <c r="HQQ45" s="87"/>
      <c r="HQR45" s="87"/>
      <c r="HQS45" s="87"/>
      <c r="HQT45" s="87"/>
      <c r="HQU45" s="87"/>
      <c r="HQV45" s="87"/>
      <c r="HQW45" s="87"/>
      <c r="HQX45" s="87"/>
      <c r="HQY45" s="87"/>
      <c r="HQZ45" s="87"/>
      <c r="HRA45" s="87"/>
      <c r="HRB45" s="87"/>
      <c r="HRC45" s="87"/>
      <c r="HRD45" s="87"/>
      <c r="HRE45" s="87"/>
      <c r="HRF45" s="87"/>
      <c r="HRG45" s="87"/>
      <c r="HRH45" s="87"/>
      <c r="HRI45" s="87"/>
      <c r="HRJ45" s="87"/>
      <c r="HRK45" s="87"/>
      <c r="HRL45" s="87"/>
      <c r="HRM45" s="87"/>
      <c r="HRN45" s="87"/>
      <c r="HRO45" s="87"/>
      <c r="HRP45" s="87"/>
      <c r="HRQ45" s="87"/>
      <c r="HRR45" s="87"/>
      <c r="HRS45" s="87"/>
      <c r="HRT45" s="87"/>
      <c r="HRU45" s="87"/>
      <c r="HRV45" s="87"/>
      <c r="HRW45" s="87"/>
      <c r="HRX45" s="87"/>
      <c r="HRY45" s="87"/>
      <c r="HRZ45" s="87"/>
      <c r="HSA45" s="87"/>
      <c r="HSB45" s="87"/>
      <c r="HSC45" s="87"/>
      <c r="HSD45" s="87"/>
      <c r="HSE45" s="87"/>
      <c r="HSF45" s="87"/>
      <c r="HSG45" s="87"/>
      <c r="HSH45" s="87"/>
      <c r="HSI45" s="87"/>
      <c r="HSJ45" s="87"/>
      <c r="HSK45" s="87"/>
      <c r="HSL45" s="87"/>
      <c r="HSM45" s="87"/>
      <c r="HSN45" s="87"/>
      <c r="HSO45" s="87"/>
      <c r="HSP45" s="87"/>
      <c r="HSQ45" s="87"/>
      <c r="HSR45" s="87"/>
      <c r="HSS45" s="87"/>
      <c r="HST45" s="87"/>
      <c r="HSU45" s="87"/>
      <c r="HSV45" s="87"/>
      <c r="HSW45" s="87"/>
      <c r="HSX45" s="87"/>
      <c r="HSY45" s="87"/>
      <c r="HSZ45" s="87"/>
      <c r="HTA45" s="87"/>
      <c r="HTB45" s="87"/>
      <c r="HTC45" s="87"/>
      <c r="HTD45" s="87"/>
      <c r="HTE45" s="87"/>
      <c r="HTF45" s="87"/>
      <c r="HTG45" s="87"/>
      <c r="HTH45" s="87"/>
      <c r="HTI45" s="87"/>
      <c r="HTJ45" s="87"/>
      <c r="HTK45" s="87"/>
      <c r="HTL45" s="87"/>
      <c r="HTM45" s="87"/>
      <c r="HTN45" s="87"/>
      <c r="HTO45" s="87"/>
      <c r="HTP45" s="87"/>
      <c r="HTQ45" s="87"/>
      <c r="HTR45" s="87"/>
      <c r="HTS45" s="87"/>
      <c r="HTT45" s="87"/>
      <c r="HTU45" s="87"/>
      <c r="HTV45" s="87"/>
      <c r="HTW45" s="87"/>
      <c r="HTX45" s="87"/>
      <c r="HTY45" s="87"/>
      <c r="HTZ45" s="87"/>
      <c r="HUA45" s="87"/>
      <c r="HUB45" s="87"/>
      <c r="HUC45" s="87"/>
      <c r="HUD45" s="87"/>
      <c r="HUE45" s="87"/>
      <c r="HUF45" s="87"/>
      <c r="HUG45" s="87"/>
      <c r="HUH45" s="87"/>
      <c r="HUI45" s="87"/>
      <c r="HUJ45" s="87"/>
      <c r="HUK45" s="87"/>
      <c r="HUL45" s="87"/>
      <c r="HUM45" s="87"/>
      <c r="HUN45" s="87"/>
      <c r="HUO45" s="87"/>
      <c r="HUP45" s="87"/>
      <c r="HUQ45" s="87"/>
      <c r="HUR45" s="87"/>
      <c r="HUS45" s="87"/>
      <c r="HUT45" s="87"/>
      <c r="HUU45" s="87"/>
      <c r="HUV45" s="87"/>
      <c r="HUW45" s="87"/>
      <c r="HUX45" s="87"/>
      <c r="HUY45" s="87"/>
      <c r="HUZ45" s="87"/>
      <c r="HVA45" s="87"/>
      <c r="HVB45" s="87"/>
      <c r="HVC45" s="87"/>
      <c r="HVD45" s="87"/>
      <c r="HVE45" s="87"/>
      <c r="HVF45" s="87"/>
      <c r="HVG45" s="87"/>
      <c r="HVH45" s="87"/>
      <c r="HVI45" s="87"/>
      <c r="HVJ45" s="87"/>
      <c r="HVK45" s="87"/>
      <c r="HVL45" s="87"/>
      <c r="HVM45" s="87"/>
      <c r="HVN45" s="87"/>
      <c r="HVO45" s="87"/>
      <c r="HVP45" s="87"/>
      <c r="HVQ45" s="87"/>
      <c r="HVR45" s="87"/>
      <c r="HVS45" s="87"/>
      <c r="HVT45" s="87"/>
      <c r="HVU45" s="87"/>
      <c r="HVV45" s="87"/>
      <c r="HVW45" s="87"/>
      <c r="HVX45" s="87"/>
      <c r="HVY45" s="87"/>
      <c r="HVZ45" s="87"/>
      <c r="HWA45" s="87"/>
      <c r="HWB45" s="87"/>
      <c r="HWC45" s="87"/>
      <c r="HWD45" s="87"/>
      <c r="HWE45" s="87"/>
      <c r="HWF45" s="87"/>
      <c r="HWG45" s="87"/>
      <c r="HWH45" s="87"/>
      <c r="HWI45" s="87"/>
      <c r="HWJ45" s="87"/>
      <c r="HWK45" s="87"/>
      <c r="HWL45" s="87"/>
      <c r="HWM45" s="87"/>
      <c r="HWN45" s="87"/>
      <c r="HWO45" s="87"/>
      <c r="HWP45" s="87"/>
      <c r="HWQ45" s="87"/>
      <c r="HWR45" s="87"/>
      <c r="HWS45" s="87"/>
      <c r="HWT45" s="87"/>
      <c r="HWU45" s="87"/>
      <c r="HWV45" s="87"/>
      <c r="HWW45" s="87"/>
      <c r="HWX45" s="87"/>
      <c r="HWY45" s="87"/>
      <c r="HWZ45" s="87"/>
      <c r="HXA45" s="87"/>
      <c r="HXB45" s="87"/>
      <c r="HXC45" s="87"/>
      <c r="HXD45" s="87"/>
      <c r="HXE45" s="87"/>
      <c r="HXF45" s="87"/>
      <c r="HXG45" s="87"/>
      <c r="HXH45" s="87"/>
      <c r="HXI45" s="87"/>
      <c r="HXJ45" s="87"/>
      <c r="HXK45" s="87"/>
      <c r="HXL45" s="87"/>
      <c r="HXM45" s="87"/>
      <c r="HXN45" s="87"/>
      <c r="HXO45" s="87"/>
      <c r="HXP45" s="87"/>
      <c r="HXQ45" s="87"/>
      <c r="HXR45" s="87"/>
      <c r="HXS45" s="87"/>
      <c r="HXT45" s="87"/>
      <c r="HXU45" s="87"/>
      <c r="HXV45" s="87"/>
      <c r="HXW45" s="87"/>
      <c r="HXX45" s="87"/>
      <c r="HXY45" s="87"/>
      <c r="HXZ45" s="87"/>
      <c r="HYA45" s="87"/>
      <c r="HYB45" s="87"/>
      <c r="HYC45" s="87"/>
      <c r="HYD45" s="87"/>
      <c r="HYE45" s="87"/>
      <c r="HYF45" s="87"/>
      <c r="HYG45" s="87"/>
      <c r="HYH45" s="87"/>
      <c r="HYI45" s="87"/>
      <c r="HYJ45" s="87"/>
      <c r="HYK45" s="87"/>
      <c r="HYL45" s="87"/>
      <c r="HYM45" s="87"/>
      <c r="HYN45" s="87"/>
      <c r="HYO45" s="87"/>
      <c r="HYP45" s="87"/>
      <c r="HYQ45" s="87"/>
      <c r="HYR45" s="87"/>
      <c r="HYS45" s="87"/>
      <c r="HYT45" s="87"/>
      <c r="HYU45" s="87"/>
      <c r="HYV45" s="87"/>
      <c r="HYW45" s="87"/>
      <c r="HYX45" s="87"/>
      <c r="HYY45" s="87"/>
      <c r="HYZ45" s="87"/>
      <c r="HZA45" s="87"/>
      <c r="HZB45" s="87"/>
      <c r="HZC45" s="87"/>
      <c r="HZD45" s="87"/>
      <c r="HZE45" s="87"/>
      <c r="HZF45" s="87"/>
      <c r="HZG45" s="87"/>
      <c r="HZH45" s="87"/>
      <c r="HZI45" s="87"/>
      <c r="HZJ45" s="87"/>
      <c r="HZK45" s="87"/>
      <c r="HZL45" s="87"/>
      <c r="HZM45" s="87"/>
      <c r="HZN45" s="87"/>
      <c r="HZO45" s="87"/>
      <c r="HZP45" s="87"/>
      <c r="HZQ45" s="87"/>
      <c r="HZR45" s="87"/>
      <c r="HZS45" s="87"/>
      <c r="HZT45" s="87"/>
      <c r="HZU45" s="87"/>
      <c r="HZV45" s="87"/>
      <c r="HZW45" s="87"/>
      <c r="HZX45" s="87"/>
      <c r="HZY45" s="87"/>
      <c r="HZZ45" s="87"/>
      <c r="IAA45" s="87"/>
      <c r="IAB45" s="87"/>
      <c r="IAC45" s="87"/>
      <c r="IAD45" s="87"/>
      <c r="IAE45" s="87"/>
      <c r="IAF45" s="87"/>
      <c r="IAG45" s="87"/>
      <c r="IAH45" s="87"/>
      <c r="IAI45" s="87"/>
      <c r="IAJ45" s="87"/>
      <c r="IAK45" s="87"/>
      <c r="IAL45" s="87"/>
      <c r="IAM45" s="87"/>
      <c r="IAN45" s="87"/>
      <c r="IAO45" s="87"/>
      <c r="IAP45" s="87"/>
      <c r="IAQ45" s="87"/>
      <c r="IAR45" s="87"/>
      <c r="IAS45" s="87"/>
      <c r="IAT45" s="87"/>
      <c r="IAU45" s="87"/>
      <c r="IAV45" s="87"/>
      <c r="IAW45" s="87"/>
      <c r="IAX45" s="87"/>
      <c r="IAY45" s="87"/>
      <c r="IAZ45" s="87"/>
      <c r="IBA45" s="87"/>
      <c r="IBB45" s="87"/>
      <c r="IBC45" s="87"/>
      <c r="IBD45" s="87"/>
      <c r="IBE45" s="87"/>
      <c r="IBF45" s="87"/>
      <c r="IBG45" s="87"/>
      <c r="IBH45" s="87"/>
      <c r="IBI45" s="87"/>
      <c r="IBJ45" s="87"/>
      <c r="IBK45" s="87"/>
      <c r="IBL45" s="87"/>
      <c r="IBM45" s="87"/>
      <c r="IBN45" s="87"/>
      <c r="IBO45" s="87"/>
      <c r="IBP45" s="87"/>
      <c r="IBQ45" s="87"/>
      <c r="IBR45" s="87"/>
      <c r="IBS45" s="87"/>
      <c r="IBT45" s="87"/>
      <c r="IBU45" s="87"/>
      <c r="IBV45" s="87"/>
      <c r="IBW45" s="87"/>
      <c r="IBX45" s="87"/>
      <c r="IBY45" s="87"/>
      <c r="IBZ45" s="87"/>
      <c r="ICA45" s="87"/>
      <c r="ICB45" s="87"/>
      <c r="ICC45" s="87"/>
      <c r="ICD45" s="87"/>
      <c r="ICE45" s="87"/>
      <c r="ICF45" s="87"/>
      <c r="ICG45" s="87"/>
      <c r="ICH45" s="87"/>
      <c r="ICI45" s="87"/>
      <c r="ICJ45" s="87"/>
      <c r="ICK45" s="87"/>
      <c r="ICL45" s="87"/>
      <c r="ICM45" s="87"/>
      <c r="ICN45" s="87"/>
      <c r="ICO45" s="87"/>
      <c r="ICP45" s="87"/>
      <c r="ICQ45" s="87"/>
      <c r="ICR45" s="87"/>
      <c r="ICS45" s="87"/>
      <c r="ICT45" s="87"/>
      <c r="ICU45" s="87"/>
      <c r="ICV45" s="87"/>
      <c r="ICW45" s="87"/>
      <c r="ICX45" s="87"/>
      <c r="ICY45" s="87"/>
      <c r="ICZ45" s="87"/>
      <c r="IDA45" s="87"/>
      <c r="IDB45" s="87"/>
      <c r="IDC45" s="87"/>
      <c r="IDD45" s="87"/>
      <c r="IDE45" s="87"/>
      <c r="IDF45" s="87"/>
      <c r="IDG45" s="87"/>
      <c r="IDH45" s="87"/>
      <c r="IDI45" s="87"/>
      <c r="IDJ45" s="87"/>
      <c r="IDK45" s="87"/>
      <c r="IDL45" s="87"/>
      <c r="IDM45" s="87"/>
      <c r="IDN45" s="87"/>
      <c r="IDO45" s="87"/>
      <c r="IDP45" s="87"/>
      <c r="IDQ45" s="87"/>
      <c r="IDR45" s="87"/>
      <c r="IDS45" s="87"/>
      <c r="IDT45" s="87"/>
      <c r="IDU45" s="87"/>
      <c r="IDV45" s="87"/>
      <c r="IDW45" s="87"/>
      <c r="IDX45" s="87"/>
      <c r="IDY45" s="87"/>
      <c r="IDZ45" s="87"/>
      <c r="IEA45" s="87"/>
      <c r="IEB45" s="87"/>
      <c r="IEC45" s="87"/>
      <c r="IED45" s="87"/>
      <c r="IEE45" s="87"/>
      <c r="IEF45" s="87"/>
      <c r="IEG45" s="87"/>
      <c r="IEH45" s="87"/>
      <c r="IEI45" s="87"/>
      <c r="IEJ45" s="87"/>
      <c r="IEK45" s="87"/>
      <c r="IEL45" s="87"/>
      <c r="IEM45" s="87"/>
      <c r="IEN45" s="87"/>
      <c r="IEO45" s="87"/>
      <c r="IEP45" s="87"/>
      <c r="IEQ45" s="87"/>
      <c r="IER45" s="87"/>
      <c r="IES45" s="87"/>
      <c r="IET45" s="87"/>
      <c r="IEU45" s="87"/>
      <c r="IEV45" s="87"/>
      <c r="IEW45" s="87"/>
      <c r="IEX45" s="87"/>
      <c r="IEY45" s="87"/>
      <c r="IEZ45" s="87"/>
      <c r="IFA45" s="87"/>
      <c r="IFB45" s="87"/>
      <c r="IFC45" s="87"/>
      <c r="IFD45" s="87"/>
      <c r="IFE45" s="87"/>
      <c r="IFF45" s="87"/>
      <c r="IFG45" s="87"/>
      <c r="IFH45" s="87"/>
      <c r="IFI45" s="87"/>
      <c r="IFJ45" s="87"/>
      <c r="IFK45" s="87"/>
      <c r="IFL45" s="87"/>
      <c r="IFM45" s="87"/>
      <c r="IFN45" s="87"/>
      <c r="IFO45" s="87"/>
      <c r="IFP45" s="87"/>
      <c r="IFQ45" s="87"/>
      <c r="IFR45" s="87"/>
      <c r="IFS45" s="87"/>
      <c r="IFT45" s="87"/>
      <c r="IFU45" s="87"/>
      <c r="IFV45" s="87"/>
      <c r="IFW45" s="87"/>
      <c r="IFX45" s="87"/>
      <c r="IFY45" s="87"/>
      <c r="IFZ45" s="87"/>
      <c r="IGA45" s="87"/>
      <c r="IGB45" s="87"/>
      <c r="IGC45" s="87"/>
      <c r="IGD45" s="87"/>
      <c r="IGE45" s="87"/>
      <c r="IGF45" s="87"/>
      <c r="IGG45" s="87"/>
      <c r="IGH45" s="87"/>
      <c r="IGI45" s="87"/>
      <c r="IGJ45" s="87"/>
      <c r="IGK45" s="87"/>
      <c r="IGL45" s="87"/>
      <c r="IGM45" s="87"/>
      <c r="IGN45" s="87"/>
      <c r="IGO45" s="87"/>
      <c r="IGP45" s="87"/>
      <c r="IGQ45" s="87"/>
      <c r="IGR45" s="87"/>
      <c r="IGS45" s="87"/>
      <c r="IGT45" s="87"/>
      <c r="IGU45" s="87"/>
      <c r="IGV45" s="87"/>
      <c r="IGW45" s="87"/>
      <c r="IGX45" s="87"/>
      <c r="IGY45" s="87"/>
      <c r="IGZ45" s="87"/>
      <c r="IHA45" s="87"/>
      <c r="IHB45" s="87"/>
      <c r="IHC45" s="87"/>
      <c r="IHD45" s="87"/>
      <c r="IHE45" s="87"/>
      <c r="IHF45" s="87"/>
      <c r="IHG45" s="87"/>
      <c r="IHH45" s="87"/>
      <c r="IHI45" s="87"/>
      <c r="IHJ45" s="87"/>
      <c r="IHK45" s="87"/>
      <c r="IHL45" s="87"/>
      <c r="IHM45" s="87"/>
      <c r="IHN45" s="87"/>
      <c r="IHO45" s="87"/>
      <c r="IHP45" s="87"/>
      <c r="IHQ45" s="87"/>
      <c r="IHR45" s="87"/>
      <c r="IHS45" s="87"/>
      <c r="IHT45" s="87"/>
      <c r="IHU45" s="87"/>
      <c r="IHV45" s="87"/>
      <c r="IHW45" s="87"/>
      <c r="IHX45" s="87"/>
      <c r="IHY45" s="87"/>
      <c r="IHZ45" s="87"/>
      <c r="IIA45" s="87"/>
      <c r="IIB45" s="87"/>
      <c r="IIC45" s="87"/>
      <c r="IID45" s="87"/>
      <c r="IIE45" s="87"/>
      <c r="IIF45" s="87"/>
      <c r="IIG45" s="87"/>
      <c r="IIH45" s="87"/>
      <c r="III45" s="87"/>
      <c r="IIJ45" s="87"/>
      <c r="IIK45" s="87"/>
      <c r="IIL45" s="87"/>
      <c r="IIM45" s="87"/>
      <c r="IIN45" s="87"/>
      <c r="IIO45" s="87"/>
      <c r="IIP45" s="87"/>
      <c r="IIQ45" s="87"/>
      <c r="IIR45" s="87"/>
      <c r="IIS45" s="87"/>
      <c r="IIT45" s="87"/>
      <c r="IIU45" s="87"/>
      <c r="IIV45" s="87"/>
      <c r="IIW45" s="87"/>
      <c r="IIX45" s="87"/>
      <c r="IIY45" s="87"/>
      <c r="IIZ45" s="87"/>
      <c r="IJA45" s="87"/>
      <c r="IJB45" s="87"/>
      <c r="IJC45" s="87"/>
      <c r="IJD45" s="87"/>
      <c r="IJE45" s="87"/>
      <c r="IJF45" s="87"/>
      <c r="IJG45" s="87"/>
      <c r="IJH45" s="87"/>
      <c r="IJI45" s="87"/>
      <c r="IJJ45" s="87"/>
      <c r="IJK45" s="87"/>
      <c r="IJL45" s="87"/>
      <c r="IJM45" s="87"/>
      <c r="IJN45" s="87"/>
      <c r="IJO45" s="87"/>
      <c r="IJP45" s="87"/>
      <c r="IJQ45" s="87"/>
      <c r="IJR45" s="87"/>
      <c r="IJS45" s="87"/>
      <c r="IJT45" s="87"/>
      <c r="IJU45" s="87"/>
      <c r="IJV45" s="87"/>
      <c r="IJW45" s="87"/>
      <c r="IJX45" s="87"/>
      <c r="IJY45" s="87"/>
      <c r="IJZ45" s="87"/>
      <c r="IKA45" s="87"/>
      <c r="IKB45" s="87"/>
      <c r="IKC45" s="87"/>
      <c r="IKD45" s="87"/>
      <c r="IKE45" s="87"/>
      <c r="IKF45" s="87"/>
      <c r="IKG45" s="87"/>
      <c r="IKH45" s="87"/>
      <c r="IKI45" s="87"/>
      <c r="IKJ45" s="87"/>
      <c r="IKK45" s="87"/>
      <c r="IKL45" s="87"/>
      <c r="IKM45" s="87"/>
      <c r="IKN45" s="87"/>
      <c r="IKO45" s="87"/>
      <c r="IKP45" s="87"/>
      <c r="IKQ45" s="87"/>
      <c r="IKR45" s="87"/>
      <c r="IKS45" s="87"/>
      <c r="IKT45" s="87"/>
      <c r="IKU45" s="87"/>
      <c r="IKV45" s="87"/>
      <c r="IKW45" s="87"/>
      <c r="IKX45" s="87"/>
      <c r="IKY45" s="87"/>
      <c r="IKZ45" s="87"/>
      <c r="ILA45" s="87"/>
      <c r="ILB45" s="87"/>
      <c r="ILC45" s="87"/>
      <c r="ILD45" s="87"/>
      <c r="ILE45" s="87"/>
      <c r="ILF45" s="87"/>
      <c r="ILG45" s="87"/>
      <c r="ILH45" s="87"/>
      <c r="ILI45" s="87"/>
      <c r="ILJ45" s="87"/>
      <c r="ILK45" s="87"/>
      <c r="ILL45" s="87"/>
      <c r="ILM45" s="87"/>
      <c r="ILN45" s="87"/>
      <c r="ILO45" s="87"/>
      <c r="ILP45" s="87"/>
      <c r="ILQ45" s="87"/>
      <c r="ILR45" s="87"/>
      <c r="ILS45" s="87"/>
      <c r="ILT45" s="87"/>
      <c r="ILU45" s="87"/>
      <c r="ILV45" s="87"/>
      <c r="ILW45" s="87"/>
      <c r="ILX45" s="87"/>
      <c r="ILY45" s="87"/>
      <c r="ILZ45" s="87"/>
      <c r="IMA45" s="87"/>
      <c r="IMB45" s="87"/>
      <c r="IMC45" s="87"/>
      <c r="IMD45" s="87"/>
      <c r="IME45" s="87"/>
      <c r="IMF45" s="87"/>
      <c r="IMG45" s="87"/>
      <c r="IMH45" s="87"/>
      <c r="IMI45" s="87"/>
      <c r="IMJ45" s="87"/>
      <c r="IMK45" s="87"/>
      <c r="IML45" s="87"/>
      <c r="IMM45" s="87"/>
      <c r="IMN45" s="87"/>
      <c r="IMO45" s="87"/>
      <c r="IMP45" s="87"/>
      <c r="IMQ45" s="87"/>
      <c r="IMR45" s="87"/>
      <c r="IMS45" s="87"/>
      <c r="IMT45" s="87"/>
      <c r="IMU45" s="87"/>
      <c r="IMV45" s="87"/>
      <c r="IMW45" s="87"/>
      <c r="IMX45" s="87"/>
      <c r="IMY45" s="87"/>
      <c r="IMZ45" s="87"/>
      <c r="INA45" s="87"/>
      <c r="INB45" s="87"/>
      <c r="INC45" s="87"/>
      <c r="IND45" s="87"/>
      <c r="INE45" s="87"/>
      <c r="INF45" s="87"/>
      <c r="ING45" s="87"/>
      <c r="INH45" s="87"/>
      <c r="INI45" s="87"/>
      <c r="INJ45" s="87"/>
      <c r="INK45" s="87"/>
      <c r="INL45" s="87"/>
      <c r="INM45" s="87"/>
      <c r="INN45" s="87"/>
      <c r="INO45" s="87"/>
      <c r="INP45" s="87"/>
      <c r="INQ45" s="87"/>
      <c r="INR45" s="87"/>
      <c r="INS45" s="87"/>
      <c r="INT45" s="87"/>
      <c r="INU45" s="87"/>
      <c r="INV45" s="87"/>
      <c r="INW45" s="87"/>
      <c r="INX45" s="87"/>
      <c r="INY45" s="87"/>
      <c r="INZ45" s="87"/>
      <c r="IOA45" s="87"/>
      <c r="IOB45" s="87"/>
      <c r="IOC45" s="87"/>
      <c r="IOD45" s="87"/>
      <c r="IOE45" s="87"/>
      <c r="IOF45" s="87"/>
      <c r="IOG45" s="87"/>
      <c r="IOH45" s="87"/>
      <c r="IOI45" s="87"/>
      <c r="IOJ45" s="87"/>
      <c r="IOK45" s="87"/>
      <c r="IOL45" s="87"/>
      <c r="IOM45" s="87"/>
      <c r="ION45" s="87"/>
      <c r="IOO45" s="87"/>
      <c r="IOP45" s="87"/>
      <c r="IOQ45" s="87"/>
      <c r="IOR45" s="87"/>
      <c r="IOS45" s="87"/>
      <c r="IOT45" s="87"/>
      <c r="IOU45" s="87"/>
      <c r="IOV45" s="87"/>
      <c r="IOW45" s="87"/>
      <c r="IOX45" s="87"/>
      <c r="IOY45" s="87"/>
      <c r="IOZ45" s="87"/>
      <c r="IPA45" s="87"/>
      <c r="IPB45" s="87"/>
      <c r="IPC45" s="87"/>
      <c r="IPD45" s="87"/>
      <c r="IPE45" s="87"/>
      <c r="IPF45" s="87"/>
      <c r="IPG45" s="87"/>
      <c r="IPH45" s="87"/>
      <c r="IPI45" s="87"/>
      <c r="IPJ45" s="87"/>
      <c r="IPK45" s="87"/>
      <c r="IPL45" s="87"/>
      <c r="IPM45" s="87"/>
      <c r="IPN45" s="87"/>
      <c r="IPO45" s="87"/>
      <c r="IPP45" s="87"/>
      <c r="IPQ45" s="87"/>
      <c r="IPR45" s="87"/>
      <c r="IPS45" s="87"/>
      <c r="IPT45" s="87"/>
      <c r="IPU45" s="87"/>
      <c r="IPV45" s="87"/>
      <c r="IPW45" s="87"/>
      <c r="IPX45" s="87"/>
      <c r="IPY45" s="87"/>
      <c r="IPZ45" s="87"/>
      <c r="IQA45" s="87"/>
      <c r="IQB45" s="87"/>
      <c r="IQC45" s="87"/>
      <c r="IQD45" s="87"/>
      <c r="IQE45" s="87"/>
      <c r="IQF45" s="87"/>
      <c r="IQG45" s="87"/>
      <c r="IQH45" s="87"/>
      <c r="IQI45" s="87"/>
      <c r="IQJ45" s="87"/>
      <c r="IQK45" s="87"/>
      <c r="IQL45" s="87"/>
      <c r="IQM45" s="87"/>
      <c r="IQN45" s="87"/>
      <c r="IQO45" s="87"/>
      <c r="IQP45" s="87"/>
      <c r="IQQ45" s="87"/>
      <c r="IQR45" s="87"/>
      <c r="IQS45" s="87"/>
      <c r="IQT45" s="87"/>
      <c r="IQU45" s="87"/>
      <c r="IQV45" s="87"/>
      <c r="IQW45" s="87"/>
      <c r="IQX45" s="87"/>
      <c r="IQY45" s="87"/>
      <c r="IQZ45" s="87"/>
      <c r="IRA45" s="87"/>
      <c r="IRB45" s="87"/>
      <c r="IRC45" s="87"/>
      <c r="IRD45" s="87"/>
      <c r="IRE45" s="87"/>
      <c r="IRF45" s="87"/>
      <c r="IRG45" s="87"/>
      <c r="IRH45" s="87"/>
      <c r="IRI45" s="87"/>
      <c r="IRJ45" s="87"/>
      <c r="IRK45" s="87"/>
      <c r="IRL45" s="87"/>
      <c r="IRM45" s="87"/>
      <c r="IRN45" s="87"/>
      <c r="IRO45" s="87"/>
      <c r="IRP45" s="87"/>
      <c r="IRQ45" s="87"/>
      <c r="IRR45" s="87"/>
      <c r="IRS45" s="87"/>
      <c r="IRT45" s="87"/>
      <c r="IRU45" s="87"/>
      <c r="IRV45" s="87"/>
      <c r="IRW45" s="87"/>
      <c r="IRX45" s="87"/>
      <c r="IRY45" s="87"/>
      <c r="IRZ45" s="87"/>
      <c r="ISA45" s="87"/>
      <c r="ISB45" s="87"/>
      <c r="ISC45" s="87"/>
      <c r="ISD45" s="87"/>
      <c r="ISE45" s="87"/>
      <c r="ISF45" s="87"/>
      <c r="ISG45" s="87"/>
      <c r="ISH45" s="87"/>
      <c r="ISI45" s="87"/>
      <c r="ISJ45" s="87"/>
      <c r="ISK45" s="87"/>
      <c r="ISL45" s="87"/>
      <c r="ISM45" s="87"/>
      <c r="ISN45" s="87"/>
      <c r="ISO45" s="87"/>
      <c r="ISP45" s="87"/>
      <c r="ISQ45" s="87"/>
      <c r="ISR45" s="87"/>
      <c r="ISS45" s="87"/>
      <c r="IST45" s="87"/>
      <c r="ISU45" s="87"/>
      <c r="ISV45" s="87"/>
      <c r="ISW45" s="87"/>
      <c r="ISX45" s="87"/>
      <c r="ISY45" s="87"/>
      <c r="ISZ45" s="87"/>
      <c r="ITA45" s="87"/>
      <c r="ITB45" s="87"/>
      <c r="ITC45" s="87"/>
      <c r="ITD45" s="87"/>
      <c r="ITE45" s="87"/>
      <c r="ITF45" s="87"/>
      <c r="ITG45" s="87"/>
      <c r="ITH45" s="87"/>
      <c r="ITI45" s="87"/>
      <c r="ITJ45" s="87"/>
      <c r="ITK45" s="87"/>
      <c r="ITL45" s="87"/>
      <c r="ITM45" s="87"/>
      <c r="ITN45" s="87"/>
      <c r="ITO45" s="87"/>
      <c r="ITP45" s="87"/>
      <c r="ITQ45" s="87"/>
      <c r="ITR45" s="87"/>
      <c r="ITS45" s="87"/>
      <c r="ITT45" s="87"/>
      <c r="ITU45" s="87"/>
      <c r="ITV45" s="87"/>
      <c r="ITW45" s="87"/>
      <c r="ITX45" s="87"/>
      <c r="ITY45" s="87"/>
      <c r="ITZ45" s="87"/>
      <c r="IUA45" s="87"/>
      <c r="IUB45" s="87"/>
      <c r="IUC45" s="87"/>
      <c r="IUD45" s="87"/>
      <c r="IUE45" s="87"/>
      <c r="IUF45" s="87"/>
      <c r="IUG45" s="87"/>
      <c r="IUH45" s="87"/>
      <c r="IUI45" s="87"/>
      <c r="IUJ45" s="87"/>
      <c r="IUK45" s="87"/>
      <c r="IUL45" s="87"/>
      <c r="IUM45" s="87"/>
      <c r="IUN45" s="87"/>
      <c r="IUO45" s="87"/>
      <c r="IUP45" s="87"/>
      <c r="IUQ45" s="87"/>
      <c r="IUR45" s="87"/>
      <c r="IUS45" s="87"/>
      <c r="IUT45" s="87"/>
      <c r="IUU45" s="87"/>
      <c r="IUV45" s="87"/>
      <c r="IUW45" s="87"/>
      <c r="IUX45" s="87"/>
      <c r="IUY45" s="87"/>
      <c r="IUZ45" s="87"/>
      <c r="IVA45" s="87"/>
      <c r="IVB45" s="87"/>
      <c r="IVC45" s="87"/>
      <c r="IVD45" s="87"/>
      <c r="IVE45" s="87"/>
      <c r="IVF45" s="87"/>
      <c r="IVG45" s="87"/>
      <c r="IVH45" s="87"/>
      <c r="IVI45" s="87"/>
      <c r="IVJ45" s="87"/>
      <c r="IVK45" s="87"/>
      <c r="IVL45" s="87"/>
      <c r="IVM45" s="87"/>
      <c r="IVN45" s="87"/>
      <c r="IVO45" s="87"/>
      <c r="IVP45" s="87"/>
      <c r="IVQ45" s="87"/>
      <c r="IVR45" s="87"/>
      <c r="IVS45" s="87"/>
      <c r="IVT45" s="87"/>
      <c r="IVU45" s="87"/>
      <c r="IVV45" s="87"/>
      <c r="IVW45" s="87"/>
      <c r="IVX45" s="87"/>
      <c r="IVY45" s="87"/>
      <c r="IVZ45" s="87"/>
      <c r="IWA45" s="87"/>
      <c r="IWB45" s="87"/>
      <c r="IWC45" s="87"/>
      <c r="IWD45" s="87"/>
      <c r="IWE45" s="87"/>
      <c r="IWF45" s="87"/>
      <c r="IWG45" s="87"/>
      <c r="IWH45" s="87"/>
      <c r="IWI45" s="87"/>
      <c r="IWJ45" s="87"/>
      <c r="IWK45" s="87"/>
      <c r="IWL45" s="87"/>
      <c r="IWM45" s="87"/>
      <c r="IWN45" s="87"/>
      <c r="IWO45" s="87"/>
      <c r="IWP45" s="87"/>
      <c r="IWQ45" s="87"/>
      <c r="IWR45" s="87"/>
      <c r="IWS45" s="87"/>
      <c r="IWT45" s="87"/>
      <c r="IWU45" s="87"/>
      <c r="IWV45" s="87"/>
      <c r="IWW45" s="87"/>
      <c r="IWX45" s="87"/>
      <c r="IWY45" s="87"/>
      <c r="IWZ45" s="87"/>
      <c r="IXA45" s="87"/>
      <c r="IXB45" s="87"/>
      <c r="IXC45" s="87"/>
      <c r="IXD45" s="87"/>
      <c r="IXE45" s="87"/>
      <c r="IXF45" s="87"/>
      <c r="IXG45" s="87"/>
      <c r="IXH45" s="87"/>
      <c r="IXI45" s="87"/>
      <c r="IXJ45" s="87"/>
      <c r="IXK45" s="87"/>
      <c r="IXL45" s="87"/>
      <c r="IXM45" s="87"/>
      <c r="IXN45" s="87"/>
      <c r="IXO45" s="87"/>
      <c r="IXP45" s="87"/>
      <c r="IXQ45" s="87"/>
      <c r="IXR45" s="87"/>
      <c r="IXS45" s="87"/>
      <c r="IXT45" s="87"/>
      <c r="IXU45" s="87"/>
      <c r="IXV45" s="87"/>
      <c r="IXW45" s="87"/>
      <c r="IXX45" s="87"/>
      <c r="IXY45" s="87"/>
      <c r="IXZ45" s="87"/>
      <c r="IYA45" s="87"/>
      <c r="IYB45" s="87"/>
      <c r="IYC45" s="87"/>
      <c r="IYD45" s="87"/>
      <c r="IYE45" s="87"/>
      <c r="IYF45" s="87"/>
      <c r="IYG45" s="87"/>
      <c r="IYH45" s="87"/>
      <c r="IYI45" s="87"/>
      <c r="IYJ45" s="87"/>
      <c r="IYK45" s="87"/>
      <c r="IYL45" s="87"/>
      <c r="IYM45" s="87"/>
      <c r="IYN45" s="87"/>
      <c r="IYO45" s="87"/>
      <c r="IYP45" s="87"/>
      <c r="IYQ45" s="87"/>
      <c r="IYR45" s="87"/>
      <c r="IYS45" s="87"/>
      <c r="IYT45" s="87"/>
      <c r="IYU45" s="87"/>
      <c r="IYV45" s="87"/>
      <c r="IYW45" s="87"/>
      <c r="IYX45" s="87"/>
      <c r="IYY45" s="87"/>
      <c r="IYZ45" s="87"/>
      <c r="IZA45" s="87"/>
      <c r="IZB45" s="87"/>
      <c r="IZC45" s="87"/>
      <c r="IZD45" s="87"/>
      <c r="IZE45" s="87"/>
      <c r="IZF45" s="87"/>
      <c r="IZG45" s="87"/>
      <c r="IZH45" s="87"/>
      <c r="IZI45" s="87"/>
      <c r="IZJ45" s="87"/>
      <c r="IZK45" s="87"/>
      <c r="IZL45" s="87"/>
      <c r="IZM45" s="87"/>
      <c r="IZN45" s="87"/>
      <c r="IZO45" s="87"/>
      <c r="IZP45" s="87"/>
      <c r="IZQ45" s="87"/>
      <c r="IZR45" s="87"/>
      <c r="IZS45" s="87"/>
      <c r="IZT45" s="87"/>
      <c r="IZU45" s="87"/>
      <c r="IZV45" s="87"/>
      <c r="IZW45" s="87"/>
      <c r="IZX45" s="87"/>
      <c r="IZY45" s="87"/>
      <c r="IZZ45" s="87"/>
      <c r="JAA45" s="87"/>
      <c r="JAB45" s="87"/>
      <c r="JAC45" s="87"/>
      <c r="JAD45" s="87"/>
      <c r="JAE45" s="87"/>
      <c r="JAF45" s="87"/>
      <c r="JAG45" s="87"/>
      <c r="JAH45" s="87"/>
      <c r="JAI45" s="87"/>
      <c r="JAJ45" s="87"/>
      <c r="JAK45" s="87"/>
      <c r="JAL45" s="87"/>
      <c r="JAM45" s="87"/>
      <c r="JAN45" s="87"/>
      <c r="JAO45" s="87"/>
      <c r="JAP45" s="87"/>
      <c r="JAQ45" s="87"/>
      <c r="JAR45" s="87"/>
      <c r="JAS45" s="87"/>
      <c r="JAT45" s="87"/>
      <c r="JAU45" s="87"/>
      <c r="JAV45" s="87"/>
      <c r="JAW45" s="87"/>
      <c r="JAX45" s="87"/>
      <c r="JAY45" s="87"/>
      <c r="JAZ45" s="87"/>
      <c r="JBA45" s="87"/>
      <c r="JBB45" s="87"/>
      <c r="JBC45" s="87"/>
      <c r="JBD45" s="87"/>
      <c r="JBE45" s="87"/>
      <c r="JBF45" s="87"/>
      <c r="JBG45" s="87"/>
      <c r="JBH45" s="87"/>
      <c r="JBI45" s="87"/>
      <c r="JBJ45" s="87"/>
      <c r="JBK45" s="87"/>
      <c r="JBL45" s="87"/>
      <c r="JBM45" s="87"/>
      <c r="JBN45" s="87"/>
      <c r="JBO45" s="87"/>
      <c r="JBP45" s="87"/>
      <c r="JBQ45" s="87"/>
      <c r="JBR45" s="87"/>
      <c r="JBS45" s="87"/>
      <c r="JBT45" s="87"/>
      <c r="JBU45" s="87"/>
      <c r="JBV45" s="87"/>
      <c r="JBW45" s="87"/>
      <c r="JBX45" s="87"/>
      <c r="JBY45" s="87"/>
      <c r="JBZ45" s="87"/>
      <c r="JCA45" s="87"/>
      <c r="JCB45" s="87"/>
      <c r="JCC45" s="87"/>
      <c r="JCD45" s="87"/>
      <c r="JCE45" s="87"/>
      <c r="JCF45" s="87"/>
      <c r="JCG45" s="87"/>
      <c r="JCH45" s="87"/>
      <c r="JCI45" s="87"/>
      <c r="JCJ45" s="87"/>
      <c r="JCK45" s="87"/>
      <c r="JCL45" s="87"/>
      <c r="JCM45" s="87"/>
      <c r="JCN45" s="87"/>
      <c r="JCO45" s="87"/>
      <c r="JCP45" s="87"/>
      <c r="JCQ45" s="87"/>
      <c r="JCR45" s="87"/>
      <c r="JCS45" s="87"/>
      <c r="JCT45" s="87"/>
      <c r="JCU45" s="87"/>
      <c r="JCV45" s="87"/>
      <c r="JCW45" s="87"/>
      <c r="JCX45" s="87"/>
      <c r="JCY45" s="87"/>
      <c r="JCZ45" s="87"/>
      <c r="JDA45" s="87"/>
      <c r="JDB45" s="87"/>
      <c r="JDC45" s="87"/>
      <c r="JDD45" s="87"/>
      <c r="JDE45" s="87"/>
      <c r="JDF45" s="87"/>
      <c r="JDG45" s="87"/>
      <c r="JDH45" s="87"/>
      <c r="JDI45" s="87"/>
      <c r="JDJ45" s="87"/>
      <c r="JDK45" s="87"/>
      <c r="JDL45" s="87"/>
      <c r="JDM45" s="87"/>
      <c r="JDN45" s="87"/>
      <c r="JDO45" s="87"/>
      <c r="JDP45" s="87"/>
      <c r="JDQ45" s="87"/>
      <c r="JDR45" s="87"/>
      <c r="JDS45" s="87"/>
      <c r="JDT45" s="87"/>
      <c r="JDU45" s="87"/>
      <c r="JDV45" s="87"/>
      <c r="JDW45" s="87"/>
      <c r="JDX45" s="87"/>
      <c r="JDY45" s="87"/>
      <c r="JDZ45" s="87"/>
      <c r="JEA45" s="87"/>
      <c r="JEB45" s="87"/>
      <c r="JEC45" s="87"/>
      <c r="JED45" s="87"/>
      <c r="JEE45" s="87"/>
      <c r="JEF45" s="87"/>
      <c r="JEG45" s="87"/>
      <c r="JEH45" s="87"/>
      <c r="JEI45" s="87"/>
      <c r="JEJ45" s="87"/>
      <c r="JEK45" s="87"/>
      <c r="JEL45" s="87"/>
      <c r="JEM45" s="87"/>
      <c r="JEN45" s="87"/>
      <c r="JEO45" s="87"/>
      <c r="JEP45" s="87"/>
      <c r="JEQ45" s="87"/>
      <c r="JER45" s="87"/>
      <c r="JES45" s="87"/>
      <c r="JET45" s="87"/>
      <c r="JEU45" s="87"/>
      <c r="JEV45" s="87"/>
      <c r="JEW45" s="87"/>
      <c r="JEX45" s="87"/>
      <c r="JEY45" s="87"/>
      <c r="JEZ45" s="87"/>
      <c r="JFA45" s="87"/>
      <c r="JFB45" s="87"/>
      <c r="JFC45" s="87"/>
      <c r="JFD45" s="87"/>
      <c r="JFE45" s="87"/>
      <c r="JFF45" s="87"/>
      <c r="JFG45" s="87"/>
      <c r="JFH45" s="87"/>
      <c r="JFI45" s="87"/>
      <c r="JFJ45" s="87"/>
      <c r="JFK45" s="87"/>
      <c r="JFL45" s="87"/>
      <c r="JFM45" s="87"/>
      <c r="JFN45" s="87"/>
      <c r="JFO45" s="87"/>
      <c r="JFP45" s="87"/>
      <c r="JFQ45" s="87"/>
      <c r="JFR45" s="87"/>
      <c r="JFS45" s="87"/>
      <c r="JFT45" s="87"/>
      <c r="JFU45" s="87"/>
      <c r="JFV45" s="87"/>
      <c r="JFW45" s="87"/>
      <c r="JFX45" s="87"/>
      <c r="JFY45" s="87"/>
      <c r="JFZ45" s="87"/>
      <c r="JGA45" s="87"/>
      <c r="JGB45" s="87"/>
      <c r="JGC45" s="87"/>
      <c r="JGD45" s="87"/>
      <c r="JGE45" s="87"/>
      <c r="JGF45" s="87"/>
      <c r="JGG45" s="87"/>
      <c r="JGH45" s="87"/>
      <c r="JGI45" s="87"/>
      <c r="JGJ45" s="87"/>
      <c r="JGK45" s="87"/>
      <c r="JGL45" s="87"/>
      <c r="JGM45" s="87"/>
      <c r="JGN45" s="87"/>
      <c r="JGO45" s="87"/>
      <c r="JGP45" s="87"/>
      <c r="JGQ45" s="87"/>
      <c r="JGR45" s="87"/>
      <c r="JGS45" s="87"/>
      <c r="JGT45" s="87"/>
      <c r="JGU45" s="87"/>
      <c r="JGV45" s="87"/>
      <c r="JGW45" s="87"/>
      <c r="JGX45" s="87"/>
      <c r="JGY45" s="87"/>
      <c r="JGZ45" s="87"/>
      <c r="JHA45" s="87"/>
      <c r="JHB45" s="87"/>
      <c r="JHC45" s="87"/>
      <c r="JHD45" s="87"/>
      <c r="JHE45" s="87"/>
      <c r="JHF45" s="87"/>
      <c r="JHG45" s="87"/>
      <c r="JHH45" s="87"/>
      <c r="JHI45" s="87"/>
      <c r="JHJ45" s="87"/>
      <c r="JHK45" s="87"/>
      <c r="JHL45" s="87"/>
      <c r="JHM45" s="87"/>
      <c r="JHN45" s="87"/>
      <c r="JHO45" s="87"/>
      <c r="JHP45" s="87"/>
      <c r="JHQ45" s="87"/>
      <c r="JHR45" s="87"/>
      <c r="JHS45" s="87"/>
      <c r="JHT45" s="87"/>
      <c r="JHU45" s="87"/>
      <c r="JHV45" s="87"/>
      <c r="JHW45" s="87"/>
      <c r="JHX45" s="87"/>
      <c r="JHY45" s="87"/>
      <c r="JHZ45" s="87"/>
      <c r="JIA45" s="87"/>
      <c r="JIB45" s="87"/>
      <c r="JIC45" s="87"/>
      <c r="JID45" s="87"/>
      <c r="JIE45" s="87"/>
      <c r="JIF45" s="87"/>
      <c r="JIG45" s="87"/>
      <c r="JIH45" s="87"/>
      <c r="JII45" s="87"/>
      <c r="JIJ45" s="87"/>
      <c r="JIK45" s="87"/>
      <c r="JIL45" s="87"/>
      <c r="JIM45" s="87"/>
      <c r="JIN45" s="87"/>
      <c r="JIO45" s="87"/>
      <c r="JIP45" s="87"/>
      <c r="JIQ45" s="87"/>
      <c r="JIR45" s="87"/>
      <c r="JIS45" s="87"/>
      <c r="JIT45" s="87"/>
      <c r="JIU45" s="87"/>
      <c r="JIV45" s="87"/>
      <c r="JIW45" s="87"/>
      <c r="JIX45" s="87"/>
      <c r="JIY45" s="87"/>
      <c r="JIZ45" s="87"/>
      <c r="JJA45" s="87"/>
      <c r="JJB45" s="87"/>
      <c r="JJC45" s="87"/>
      <c r="JJD45" s="87"/>
      <c r="JJE45" s="87"/>
      <c r="JJF45" s="87"/>
      <c r="JJG45" s="87"/>
      <c r="JJH45" s="87"/>
      <c r="JJI45" s="87"/>
      <c r="JJJ45" s="87"/>
      <c r="JJK45" s="87"/>
      <c r="JJL45" s="87"/>
      <c r="JJM45" s="87"/>
      <c r="JJN45" s="87"/>
      <c r="JJO45" s="87"/>
      <c r="JJP45" s="87"/>
      <c r="JJQ45" s="87"/>
      <c r="JJR45" s="87"/>
      <c r="JJS45" s="87"/>
      <c r="JJT45" s="87"/>
      <c r="JJU45" s="87"/>
      <c r="JJV45" s="87"/>
      <c r="JJW45" s="87"/>
      <c r="JJX45" s="87"/>
      <c r="JJY45" s="87"/>
      <c r="JJZ45" s="87"/>
      <c r="JKA45" s="87"/>
      <c r="JKB45" s="87"/>
      <c r="JKC45" s="87"/>
      <c r="JKD45" s="87"/>
      <c r="JKE45" s="87"/>
      <c r="JKF45" s="87"/>
      <c r="JKG45" s="87"/>
      <c r="JKH45" s="87"/>
      <c r="JKI45" s="87"/>
      <c r="JKJ45" s="87"/>
      <c r="JKK45" s="87"/>
      <c r="JKL45" s="87"/>
      <c r="JKM45" s="87"/>
      <c r="JKN45" s="87"/>
      <c r="JKO45" s="87"/>
      <c r="JKP45" s="87"/>
      <c r="JKQ45" s="87"/>
      <c r="JKR45" s="87"/>
      <c r="JKS45" s="87"/>
      <c r="JKT45" s="87"/>
      <c r="JKU45" s="87"/>
      <c r="JKV45" s="87"/>
      <c r="JKW45" s="87"/>
      <c r="JKX45" s="87"/>
      <c r="JKY45" s="87"/>
      <c r="JKZ45" s="87"/>
      <c r="JLA45" s="87"/>
      <c r="JLB45" s="87"/>
      <c r="JLC45" s="87"/>
      <c r="JLD45" s="87"/>
      <c r="JLE45" s="87"/>
      <c r="JLF45" s="87"/>
      <c r="JLG45" s="87"/>
      <c r="JLH45" s="87"/>
      <c r="JLI45" s="87"/>
      <c r="JLJ45" s="87"/>
      <c r="JLK45" s="87"/>
      <c r="JLL45" s="87"/>
      <c r="JLM45" s="87"/>
      <c r="JLN45" s="87"/>
      <c r="JLO45" s="87"/>
      <c r="JLP45" s="87"/>
      <c r="JLQ45" s="87"/>
      <c r="JLR45" s="87"/>
      <c r="JLS45" s="87"/>
      <c r="JLT45" s="87"/>
      <c r="JLU45" s="87"/>
      <c r="JLV45" s="87"/>
      <c r="JLW45" s="87"/>
      <c r="JLX45" s="87"/>
      <c r="JLY45" s="87"/>
      <c r="JLZ45" s="87"/>
      <c r="JMA45" s="87"/>
      <c r="JMB45" s="87"/>
      <c r="JMC45" s="87"/>
      <c r="JMD45" s="87"/>
      <c r="JME45" s="87"/>
      <c r="JMF45" s="87"/>
      <c r="JMG45" s="87"/>
      <c r="JMH45" s="87"/>
      <c r="JMI45" s="87"/>
      <c r="JMJ45" s="87"/>
      <c r="JMK45" s="87"/>
      <c r="JML45" s="87"/>
      <c r="JMM45" s="87"/>
      <c r="JMN45" s="87"/>
      <c r="JMO45" s="87"/>
      <c r="JMP45" s="87"/>
      <c r="JMQ45" s="87"/>
      <c r="JMR45" s="87"/>
      <c r="JMS45" s="87"/>
      <c r="JMT45" s="87"/>
      <c r="JMU45" s="87"/>
      <c r="JMV45" s="87"/>
      <c r="JMW45" s="87"/>
      <c r="JMX45" s="87"/>
      <c r="JMY45" s="87"/>
      <c r="JMZ45" s="87"/>
      <c r="JNA45" s="87"/>
      <c r="JNB45" s="87"/>
      <c r="JNC45" s="87"/>
      <c r="JND45" s="87"/>
      <c r="JNE45" s="87"/>
      <c r="JNF45" s="87"/>
      <c r="JNG45" s="87"/>
      <c r="JNH45" s="87"/>
      <c r="JNI45" s="87"/>
      <c r="JNJ45" s="87"/>
      <c r="JNK45" s="87"/>
      <c r="JNL45" s="87"/>
      <c r="JNM45" s="87"/>
      <c r="JNN45" s="87"/>
      <c r="JNO45" s="87"/>
      <c r="JNP45" s="87"/>
      <c r="JNQ45" s="87"/>
      <c r="JNR45" s="87"/>
      <c r="JNS45" s="87"/>
      <c r="JNT45" s="87"/>
      <c r="JNU45" s="87"/>
      <c r="JNV45" s="87"/>
      <c r="JNW45" s="87"/>
      <c r="JNX45" s="87"/>
      <c r="JNY45" s="87"/>
      <c r="JNZ45" s="87"/>
      <c r="JOA45" s="87"/>
      <c r="JOB45" s="87"/>
      <c r="JOC45" s="87"/>
      <c r="JOD45" s="87"/>
      <c r="JOE45" s="87"/>
      <c r="JOF45" s="87"/>
      <c r="JOG45" s="87"/>
      <c r="JOH45" s="87"/>
      <c r="JOI45" s="87"/>
      <c r="JOJ45" s="87"/>
      <c r="JOK45" s="87"/>
      <c r="JOL45" s="87"/>
      <c r="JOM45" s="87"/>
      <c r="JON45" s="87"/>
      <c r="JOO45" s="87"/>
      <c r="JOP45" s="87"/>
      <c r="JOQ45" s="87"/>
      <c r="JOR45" s="87"/>
      <c r="JOS45" s="87"/>
      <c r="JOT45" s="87"/>
      <c r="JOU45" s="87"/>
      <c r="JOV45" s="87"/>
      <c r="JOW45" s="87"/>
      <c r="JOX45" s="87"/>
      <c r="JOY45" s="87"/>
      <c r="JOZ45" s="87"/>
      <c r="JPA45" s="87"/>
      <c r="JPB45" s="87"/>
      <c r="JPC45" s="87"/>
      <c r="JPD45" s="87"/>
      <c r="JPE45" s="87"/>
      <c r="JPF45" s="87"/>
      <c r="JPG45" s="87"/>
      <c r="JPH45" s="87"/>
      <c r="JPI45" s="87"/>
      <c r="JPJ45" s="87"/>
      <c r="JPK45" s="87"/>
      <c r="JPL45" s="87"/>
      <c r="JPM45" s="87"/>
      <c r="JPN45" s="87"/>
      <c r="JPO45" s="87"/>
      <c r="JPP45" s="87"/>
      <c r="JPQ45" s="87"/>
      <c r="JPR45" s="87"/>
      <c r="JPS45" s="87"/>
      <c r="JPT45" s="87"/>
      <c r="JPU45" s="87"/>
      <c r="JPV45" s="87"/>
      <c r="JPW45" s="87"/>
      <c r="JPX45" s="87"/>
      <c r="JPY45" s="87"/>
      <c r="JPZ45" s="87"/>
      <c r="JQA45" s="87"/>
      <c r="JQB45" s="87"/>
      <c r="JQC45" s="87"/>
      <c r="JQD45" s="87"/>
      <c r="JQE45" s="87"/>
      <c r="JQF45" s="87"/>
      <c r="JQG45" s="87"/>
      <c r="JQH45" s="87"/>
      <c r="JQI45" s="87"/>
      <c r="JQJ45" s="87"/>
      <c r="JQK45" s="87"/>
      <c r="JQL45" s="87"/>
      <c r="JQM45" s="87"/>
      <c r="JQN45" s="87"/>
      <c r="JQO45" s="87"/>
      <c r="JQP45" s="87"/>
      <c r="JQQ45" s="87"/>
      <c r="JQR45" s="87"/>
      <c r="JQS45" s="87"/>
      <c r="JQT45" s="87"/>
      <c r="JQU45" s="87"/>
      <c r="JQV45" s="87"/>
      <c r="JQW45" s="87"/>
      <c r="JQX45" s="87"/>
      <c r="JQY45" s="87"/>
      <c r="JQZ45" s="87"/>
      <c r="JRA45" s="87"/>
      <c r="JRB45" s="87"/>
      <c r="JRC45" s="87"/>
      <c r="JRD45" s="87"/>
      <c r="JRE45" s="87"/>
      <c r="JRF45" s="87"/>
      <c r="JRG45" s="87"/>
      <c r="JRH45" s="87"/>
      <c r="JRI45" s="87"/>
      <c r="JRJ45" s="87"/>
      <c r="JRK45" s="87"/>
      <c r="JRL45" s="87"/>
      <c r="JRM45" s="87"/>
      <c r="JRN45" s="87"/>
      <c r="JRO45" s="87"/>
      <c r="JRP45" s="87"/>
      <c r="JRQ45" s="87"/>
      <c r="JRR45" s="87"/>
      <c r="JRS45" s="87"/>
      <c r="JRT45" s="87"/>
      <c r="JRU45" s="87"/>
      <c r="JRV45" s="87"/>
      <c r="JRW45" s="87"/>
      <c r="JRX45" s="87"/>
      <c r="JRY45" s="87"/>
      <c r="JRZ45" s="87"/>
      <c r="JSA45" s="87"/>
      <c r="JSB45" s="87"/>
      <c r="JSC45" s="87"/>
      <c r="JSD45" s="87"/>
      <c r="JSE45" s="87"/>
      <c r="JSF45" s="87"/>
      <c r="JSG45" s="87"/>
      <c r="JSH45" s="87"/>
      <c r="JSI45" s="87"/>
      <c r="JSJ45" s="87"/>
      <c r="JSK45" s="87"/>
      <c r="JSL45" s="87"/>
      <c r="JSM45" s="87"/>
      <c r="JSN45" s="87"/>
      <c r="JSO45" s="87"/>
      <c r="JSP45" s="87"/>
      <c r="JSQ45" s="87"/>
      <c r="JSR45" s="87"/>
      <c r="JSS45" s="87"/>
      <c r="JST45" s="87"/>
      <c r="JSU45" s="87"/>
      <c r="JSV45" s="87"/>
      <c r="JSW45" s="87"/>
      <c r="JSX45" s="87"/>
      <c r="JSY45" s="87"/>
      <c r="JSZ45" s="87"/>
      <c r="JTA45" s="87"/>
      <c r="JTB45" s="87"/>
      <c r="JTC45" s="87"/>
      <c r="JTD45" s="87"/>
      <c r="JTE45" s="87"/>
      <c r="JTF45" s="87"/>
      <c r="JTG45" s="87"/>
      <c r="JTH45" s="87"/>
      <c r="JTI45" s="87"/>
      <c r="JTJ45" s="87"/>
      <c r="JTK45" s="87"/>
      <c r="JTL45" s="87"/>
      <c r="JTM45" s="87"/>
      <c r="JTN45" s="87"/>
      <c r="JTO45" s="87"/>
      <c r="JTP45" s="87"/>
      <c r="JTQ45" s="87"/>
      <c r="JTR45" s="87"/>
      <c r="JTS45" s="87"/>
      <c r="JTT45" s="87"/>
      <c r="JTU45" s="87"/>
      <c r="JTV45" s="87"/>
      <c r="JTW45" s="87"/>
      <c r="JTX45" s="87"/>
      <c r="JTY45" s="87"/>
      <c r="JTZ45" s="87"/>
      <c r="JUA45" s="87"/>
      <c r="JUB45" s="87"/>
      <c r="JUC45" s="87"/>
      <c r="JUD45" s="87"/>
      <c r="JUE45" s="87"/>
      <c r="JUF45" s="87"/>
      <c r="JUG45" s="87"/>
      <c r="JUH45" s="87"/>
      <c r="JUI45" s="87"/>
      <c r="JUJ45" s="87"/>
      <c r="JUK45" s="87"/>
      <c r="JUL45" s="87"/>
      <c r="JUM45" s="87"/>
      <c r="JUN45" s="87"/>
      <c r="JUO45" s="87"/>
      <c r="JUP45" s="87"/>
      <c r="JUQ45" s="87"/>
      <c r="JUR45" s="87"/>
      <c r="JUS45" s="87"/>
      <c r="JUT45" s="87"/>
      <c r="JUU45" s="87"/>
      <c r="JUV45" s="87"/>
      <c r="JUW45" s="87"/>
      <c r="JUX45" s="87"/>
      <c r="JUY45" s="87"/>
      <c r="JUZ45" s="87"/>
      <c r="JVA45" s="87"/>
      <c r="JVB45" s="87"/>
      <c r="JVC45" s="87"/>
      <c r="JVD45" s="87"/>
      <c r="JVE45" s="87"/>
      <c r="JVF45" s="87"/>
      <c r="JVG45" s="87"/>
      <c r="JVH45" s="87"/>
      <c r="JVI45" s="87"/>
      <c r="JVJ45" s="87"/>
      <c r="JVK45" s="87"/>
      <c r="JVL45" s="87"/>
      <c r="JVM45" s="87"/>
      <c r="JVN45" s="87"/>
      <c r="JVO45" s="87"/>
      <c r="JVP45" s="87"/>
      <c r="JVQ45" s="87"/>
      <c r="JVR45" s="87"/>
      <c r="JVS45" s="87"/>
      <c r="JVT45" s="87"/>
      <c r="JVU45" s="87"/>
      <c r="JVV45" s="87"/>
      <c r="JVW45" s="87"/>
      <c r="JVX45" s="87"/>
      <c r="JVY45" s="87"/>
      <c r="JVZ45" s="87"/>
      <c r="JWA45" s="87"/>
      <c r="JWB45" s="87"/>
      <c r="JWC45" s="87"/>
      <c r="JWD45" s="87"/>
      <c r="JWE45" s="87"/>
      <c r="JWF45" s="87"/>
      <c r="JWG45" s="87"/>
      <c r="JWH45" s="87"/>
      <c r="JWI45" s="87"/>
      <c r="JWJ45" s="87"/>
      <c r="JWK45" s="87"/>
      <c r="JWL45" s="87"/>
      <c r="JWM45" s="87"/>
      <c r="JWN45" s="87"/>
      <c r="JWO45" s="87"/>
      <c r="JWP45" s="87"/>
      <c r="JWQ45" s="87"/>
      <c r="JWR45" s="87"/>
      <c r="JWS45" s="87"/>
      <c r="JWT45" s="87"/>
      <c r="JWU45" s="87"/>
      <c r="JWV45" s="87"/>
      <c r="JWW45" s="87"/>
      <c r="JWX45" s="87"/>
      <c r="JWY45" s="87"/>
      <c r="JWZ45" s="87"/>
      <c r="JXA45" s="87"/>
      <c r="JXB45" s="87"/>
      <c r="JXC45" s="87"/>
      <c r="JXD45" s="87"/>
      <c r="JXE45" s="87"/>
      <c r="JXF45" s="87"/>
      <c r="JXG45" s="87"/>
      <c r="JXH45" s="87"/>
      <c r="JXI45" s="87"/>
      <c r="JXJ45" s="87"/>
      <c r="JXK45" s="87"/>
      <c r="JXL45" s="87"/>
      <c r="JXM45" s="87"/>
      <c r="JXN45" s="87"/>
      <c r="JXO45" s="87"/>
      <c r="JXP45" s="87"/>
      <c r="JXQ45" s="87"/>
      <c r="JXR45" s="87"/>
      <c r="JXS45" s="87"/>
      <c r="JXT45" s="87"/>
      <c r="JXU45" s="87"/>
      <c r="JXV45" s="87"/>
      <c r="JXW45" s="87"/>
      <c r="JXX45" s="87"/>
      <c r="JXY45" s="87"/>
      <c r="JXZ45" s="87"/>
      <c r="JYA45" s="87"/>
      <c r="JYB45" s="87"/>
      <c r="JYC45" s="87"/>
      <c r="JYD45" s="87"/>
      <c r="JYE45" s="87"/>
      <c r="JYF45" s="87"/>
      <c r="JYG45" s="87"/>
      <c r="JYH45" s="87"/>
      <c r="JYI45" s="87"/>
      <c r="JYJ45" s="87"/>
      <c r="JYK45" s="87"/>
      <c r="JYL45" s="87"/>
      <c r="JYM45" s="87"/>
      <c r="JYN45" s="87"/>
      <c r="JYO45" s="87"/>
      <c r="JYP45" s="87"/>
      <c r="JYQ45" s="87"/>
      <c r="JYR45" s="87"/>
      <c r="JYS45" s="87"/>
      <c r="JYT45" s="87"/>
      <c r="JYU45" s="87"/>
      <c r="JYV45" s="87"/>
      <c r="JYW45" s="87"/>
      <c r="JYX45" s="87"/>
      <c r="JYY45" s="87"/>
      <c r="JYZ45" s="87"/>
      <c r="JZA45" s="87"/>
      <c r="JZB45" s="87"/>
      <c r="JZC45" s="87"/>
      <c r="JZD45" s="87"/>
      <c r="JZE45" s="87"/>
      <c r="JZF45" s="87"/>
      <c r="JZG45" s="87"/>
      <c r="JZH45" s="87"/>
      <c r="JZI45" s="87"/>
      <c r="JZJ45" s="87"/>
      <c r="JZK45" s="87"/>
      <c r="JZL45" s="87"/>
      <c r="JZM45" s="87"/>
      <c r="JZN45" s="87"/>
      <c r="JZO45" s="87"/>
      <c r="JZP45" s="87"/>
      <c r="JZQ45" s="87"/>
      <c r="JZR45" s="87"/>
      <c r="JZS45" s="87"/>
      <c r="JZT45" s="87"/>
      <c r="JZU45" s="87"/>
      <c r="JZV45" s="87"/>
      <c r="JZW45" s="87"/>
      <c r="JZX45" s="87"/>
      <c r="JZY45" s="87"/>
      <c r="JZZ45" s="87"/>
      <c r="KAA45" s="87"/>
      <c r="KAB45" s="87"/>
      <c r="KAC45" s="87"/>
      <c r="KAD45" s="87"/>
      <c r="KAE45" s="87"/>
      <c r="KAF45" s="87"/>
      <c r="KAG45" s="87"/>
      <c r="KAH45" s="87"/>
      <c r="KAI45" s="87"/>
      <c r="KAJ45" s="87"/>
      <c r="KAK45" s="87"/>
      <c r="KAL45" s="87"/>
      <c r="KAM45" s="87"/>
      <c r="KAN45" s="87"/>
      <c r="KAO45" s="87"/>
      <c r="KAP45" s="87"/>
      <c r="KAQ45" s="87"/>
      <c r="KAR45" s="87"/>
      <c r="KAS45" s="87"/>
      <c r="KAT45" s="87"/>
      <c r="KAU45" s="87"/>
      <c r="KAV45" s="87"/>
      <c r="KAW45" s="87"/>
      <c r="KAX45" s="87"/>
      <c r="KAY45" s="87"/>
      <c r="KAZ45" s="87"/>
      <c r="KBA45" s="87"/>
      <c r="KBB45" s="87"/>
      <c r="KBC45" s="87"/>
      <c r="KBD45" s="87"/>
      <c r="KBE45" s="87"/>
      <c r="KBF45" s="87"/>
      <c r="KBG45" s="87"/>
      <c r="KBH45" s="87"/>
      <c r="KBI45" s="87"/>
      <c r="KBJ45" s="87"/>
      <c r="KBK45" s="87"/>
      <c r="KBL45" s="87"/>
      <c r="KBM45" s="87"/>
      <c r="KBN45" s="87"/>
      <c r="KBO45" s="87"/>
      <c r="KBP45" s="87"/>
      <c r="KBQ45" s="87"/>
      <c r="KBR45" s="87"/>
      <c r="KBS45" s="87"/>
      <c r="KBT45" s="87"/>
      <c r="KBU45" s="87"/>
      <c r="KBV45" s="87"/>
      <c r="KBW45" s="87"/>
      <c r="KBX45" s="87"/>
      <c r="KBY45" s="87"/>
      <c r="KBZ45" s="87"/>
      <c r="KCA45" s="87"/>
      <c r="KCB45" s="87"/>
      <c r="KCC45" s="87"/>
      <c r="KCD45" s="87"/>
      <c r="KCE45" s="87"/>
      <c r="KCF45" s="87"/>
      <c r="KCG45" s="87"/>
      <c r="KCH45" s="87"/>
      <c r="KCI45" s="87"/>
      <c r="KCJ45" s="87"/>
      <c r="KCK45" s="87"/>
      <c r="KCL45" s="87"/>
      <c r="KCM45" s="87"/>
      <c r="KCN45" s="87"/>
      <c r="KCO45" s="87"/>
      <c r="KCP45" s="87"/>
      <c r="KCQ45" s="87"/>
      <c r="KCR45" s="87"/>
      <c r="KCS45" s="87"/>
      <c r="KCT45" s="87"/>
      <c r="KCU45" s="87"/>
      <c r="KCV45" s="87"/>
      <c r="KCW45" s="87"/>
      <c r="KCX45" s="87"/>
      <c r="KCY45" s="87"/>
      <c r="KCZ45" s="87"/>
      <c r="KDA45" s="87"/>
      <c r="KDB45" s="87"/>
      <c r="KDC45" s="87"/>
      <c r="KDD45" s="87"/>
      <c r="KDE45" s="87"/>
      <c r="KDF45" s="87"/>
      <c r="KDG45" s="87"/>
      <c r="KDH45" s="87"/>
      <c r="KDI45" s="87"/>
      <c r="KDJ45" s="87"/>
      <c r="KDK45" s="87"/>
      <c r="KDL45" s="87"/>
      <c r="KDM45" s="87"/>
      <c r="KDN45" s="87"/>
      <c r="KDO45" s="87"/>
      <c r="KDP45" s="87"/>
      <c r="KDQ45" s="87"/>
      <c r="KDR45" s="87"/>
      <c r="KDS45" s="87"/>
      <c r="KDT45" s="87"/>
      <c r="KDU45" s="87"/>
      <c r="KDV45" s="87"/>
      <c r="KDW45" s="87"/>
      <c r="KDX45" s="87"/>
      <c r="KDY45" s="87"/>
      <c r="KDZ45" s="87"/>
      <c r="KEA45" s="87"/>
      <c r="KEB45" s="87"/>
      <c r="KEC45" s="87"/>
      <c r="KED45" s="87"/>
      <c r="KEE45" s="87"/>
      <c r="KEF45" s="87"/>
      <c r="KEG45" s="87"/>
      <c r="KEH45" s="87"/>
      <c r="KEI45" s="87"/>
      <c r="KEJ45" s="87"/>
      <c r="KEK45" s="87"/>
      <c r="KEL45" s="87"/>
      <c r="KEM45" s="87"/>
      <c r="KEN45" s="87"/>
      <c r="KEO45" s="87"/>
      <c r="KEP45" s="87"/>
      <c r="KEQ45" s="87"/>
      <c r="KER45" s="87"/>
      <c r="KES45" s="87"/>
      <c r="KET45" s="87"/>
      <c r="KEU45" s="87"/>
      <c r="KEV45" s="87"/>
      <c r="KEW45" s="87"/>
      <c r="KEX45" s="87"/>
      <c r="KEY45" s="87"/>
      <c r="KEZ45" s="87"/>
      <c r="KFA45" s="87"/>
      <c r="KFB45" s="87"/>
      <c r="KFC45" s="87"/>
      <c r="KFD45" s="87"/>
      <c r="KFE45" s="87"/>
      <c r="KFF45" s="87"/>
      <c r="KFG45" s="87"/>
      <c r="KFH45" s="87"/>
      <c r="KFI45" s="87"/>
      <c r="KFJ45" s="87"/>
      <c r="KFK45" s="87"/>
      <c r="KFL45" s="87"/>
      <c r="KFM45" s="87"/>
      <c r="KFN45" s="87"/>
      <c r="KFO45" s="87"/>
      <c r="KFP45" s="87"/>
      <c r="KFQ45" s="87"/>
      <c r="KFR45" s="87"/>
      <c r="KFS45" s="87"/>
      <c r="KFT45" s="87"/>
      <c r="KFU45" s="87"/>
      <c r="KFV45" s="87"/>
      <c r="KFW45" s="87"/>
      <c r="KFX45" s="87"/>
      <c r="KFY45" s="87"/>
      <c r="KFZ45" s="87"/>
      <c r="KGA45" s="87"/>
      <c r="KGB45" s="87"/>
      <c r="KGC45" s="87"/>
      <c r="KGD45" s="87"/>
      <c r="KGE45" s="87"/>
      <c r="KGF45" s="87"/>
      <c r="KGG45" s="87"/>
      <c r="KGH45" s="87"/>
      <c r="KGI45" s="87"/>
      <c r="KGJ45" s="87"/>
      <c r="KGK45" s="87"/>
      <c r="KGL45" s="87"/>
      <c r="KGM45" s="87"/>
      <c r="KGN45" s="87"/>
      <c r="KGO45" s="87"/>
      <c r="KGP45" s="87"/>
      <c r="KGQ45" s="87"/>
      <c r="KGR45" s="87"/>
      <c r="KGS45" s="87"/>
      <c r="KGT45" s="87"/>
      <c r="KGU45" s="87"/>
      <c r="KGV45" s="87"/>
      <c r="KGW45" s="87"/>
      <c r="KGX45" s="87"/>
      <c r="KGY45" s="87"/>
      <c r="KGZ45" s="87"/>
      <c r="KHA45" s="87"/>
      <c r="KHB45" s="87"/>
      <c r="KHC45" s="87"/>
      <c r="KHD45" s="87"/>
      <c r="KHE45" s="87"/>
      <c r="KHF45" s="87"/>
      <c r="KHG45" s="87"/>
      <c r="KHH45" s="87"/>
      <c r="KHI45" s="87"/>
      <c r="KHJ45" s="87"/>
      <c r="KHK45" s="87"/>
      <c r="KHL45" s="87"/>
      <c r="KHM45" s="87"/>
      <c r="KHN45" s="87"/>
      <c r="KHO45" s="87"/>
      <c r="KHP45" s="87"/>
      <c r="KHQ45" s="87"/>
      <c r="KHR45" s="87"/>
      <c r="KHS45" s="87"/>
      <c r="KHT45" s="87"/>
      <c r="KHU45" s="87"/>
      <c r="KHV45" s="87"/>
      <c r="KHW45" s="87"/>
      <c r="KHX45" s="87"/>
      <c r="KHY45" s="87"/>
      <c r="KHZ45" s="87"/>
      <c r="KIA45" s="87"/>
      <c r="KIB45" s="87"/>
      <c r="KIC45" s="87"/>
      <c r="KID45" s="87"/>
      <c r="KIE45" s="87"/>
      <c r="KIF45" s="87"/>
      <c r="KIG45" s="87"/>
      <c r="KIH45" s="87"/>
      <c r="KII45" s="87"/>
      <c r="KIJ45" s="87"/>
      <c r="KIK45" s="87"/>
      <c r="KIL45" s="87"/>
      <c r="KIM45" s="87"/>
      <c r="KIN45" s="87"/>
      <c r="KIO45" s="87"/>
      <c r="KIP45" s="87"/>
      <c r="KIQ45" s="87"/>
      <c r="KIR45" s="87"/>
      <c r="KIS45" s="87"/>
      <c r="KIT45" s="87"/>
      <c r="KIU45" s="87"/>
      <c r="KIV45" s="87"/>
      <c r="KIW45" s="87"/>
      <c r="KIX45" s="87"/>
      <c r="KIY45" s="87"/>
      <c r="KIZ45" s="87"/>
      <c r="KJA45" s="87"/>
      <c r="KJB45" s="87"/>
      <c r="KJC45" s="87"/>
      <c r="KJD45" s="87"/>
      <c r="KJE45" s="87"/>
      <c r="KJF45" s="87"/>
      <c r="KJG45" s="87"/>
      <c r="KJH45" s="87"/>
      <c r="KJI45" s="87"/>
      <c r="KJJ45" s="87"/>
      <c r="KJK45" s="87"/>
      <c r="KJL45" s="87"/>
      <c r="KJM45" s="87"/>
      <c r="KJN45" s="87"/>
      <c r="KJO45" s="87"/>
      <c r="KJP45" s="87"/>
      <c r="KJQ45" s="87"/>
      <c r="KJR45" s="87"/>
      <c r="KJS45" s="87"/>
      <c r="KJT45" s="87"/>
      <c r="KJU45" s="87"/>
      <c r="KJV45" s="87"/>
      <c r="KJW45" s="87"/>
      <c r="KJX45" s="87"/>
      <c r="KJY45" s="87"/>
      <c r="KJZ45" s="87"/>
      <c r="KKA45" s="87"/>
      <c r="KKB45" s="87"/>
      <c r="KKC45" s="87"/>
      <c r="KKD45" s="87"/>
      <c r="KKE45" s="87"/>
      <c r="KKF45" s="87"/>
      <c r="KKG45" s="87"/>
      <c r="KKH45" s="87"/>
      <c r="KKI45" s="87"/>
      <c r="KKJ45" s="87"/>
      <c r="KKK45" s="87"/>
      <c r="KKL45" s="87"/>
      <c r="KKM45" s="87"/>
      <c r="KKN45" s="87"/>
      <c r="KKO45" s="87"/>
      <c r="KKP45" s="87"/>
      <c r="KKQ45" s="87"/>
      <c r="KKR45" s="87"/>
      <c r="KKS45" s="87"/>
      <c r="KKT45" s="87"/>
      <c r="KKU45" s="87"/>
      <c r="KKV45" s="87"/>
      <c r="KKW45" s="87"/>
      <c r="KKX45" s="87"/>
      <c r="KKY45" s="87"/>
      <c r="KKZ45" s="87"/>
      <c r="KLA45" s="87"/>
      <c r="KLB45" s="87"/>
      <c r="KLC45" s="87"/>
      <c r="KLD45" s="87"/>
      <c r="KLE45" s="87"/>
      <c r="KLF45" s="87"/>
      <c r="KLG45" s="87"/>
      <c r="KLH45" s="87"/>
      <c r="KLI45" s="87"/>
      <c r="KLJ45" s="87"/>
      <c r="KLK45" s="87"/>
      <c r="KLL45" s="87"/>
      <c r="KLM45" s="87"/>
      <c r="KLN45" s="87"/>
      <c r="KLO45" s="87"/>
      <c r="KLP45" s="87"/>
      <c r="KLQ45" s="87"/>
      <c r="KLR45" s="87"/>
      <c r="KLS45" s="87"/>
      <c r="KLT45" s="87"/>
      <c r="KLU45" s="87"/>
      <c r="KLV45" s="87"/>
      <c r="KLW45" s="87"/>
      <c r="KLX45" s="87"/>
      <c r="KLY45" s="87"/>
      <c r="KLZ45" s="87"/>
      <c r="KMA45" s="87"/>
      <c r="KMB45" s="87"/>
      <c r="KMC45" s="87"/>
      <c r="KMD45" s="87"/>
      <c r="KME45" s="87"/>
      <c r="KMF45" s="87"/>
      <c r="KMG45" s="87"/>
      <c r="KMH45" s="87"/>
      <c r="KMI45" s="87"/>
      <c r="KMJ45" s="87"/>
      <c r="KMK45" s="87"/>
      <c r="KML45" s="87"/>
      <c r="KMM45" s="87"/>
      <c r="KMN45" s="87"/>
      <c r="KMO45" s="87"/>
      <c r="KMP45" s="87"/>
      <c r="KMQ45" s="87"/>
      <c r="KMR45" s="87"/>
      <c r="KMS45" s="87"/>
      <c r="KMT45" s="87"/>
      <c r="KMU45" s="87"/>
      <c r="KMV45" s="87"/>
      <c r="KMW45" s="87"/>
      <c r="KMX45" s="87"/>
      <c r="KMY45" s="87"/>
      <c r="KMZ45" s="87"/>
      <c r="KNA45" s="87"/>
      <c r="KNB45" s="87"/>
      <c r="KNC45" s="87"/>
      <c r="KND45" s="87"/>
      <c r="KNE45" s="87"/>
      <c r="KNF45" s="87"/>
      <c r="KNG45" s="87"/>
      <c r="KNH45" s="87"/>
      <c r="KNI45" s="87"/>
      <c r="KNJ45" s="87"/>
      <c r="KNK45" s="87"/>
      <c r="KNL45" s="87"/>
      <c r="KNM45" s="87"/>
      <c r="KNN45" s="87"/>
      <c r="KNO45" s="87"/>
      <c r="KNP45" s="87"/>
      <c r="KNQ45" s="87"/>
      <c r="KNR45" s="87"/>
      <c r="KNS45" s="87"/>
      <c r="KNT45" s="87"/>
      <c r="KNU45" s="87"/>
      <c r="KNV45" s="87"/>
      <c r="KNW45" s="87"/>
      <c r="KNX45" s="87"/>
      <c r="KNY45" s="87"/>
      <c r="KNZ45" s="87"/>
      <c r="KOA45" s="87"/>
      <c r="KOB45" s="87"/>
      <c r="KOC45" s="87"/>
      <c r="KOD45" s="87"/>
      <c r="KOE45" s="87"/>
      <c r="KOF45" s="87"/>
      <c r="KOG45" s="87"/>
      <c r="KOH45" s="87"/>
      <c r="KOI45" s="87"/>
      <c r="KOJ45" s="87"/>
      <c r="KOK45" s="87"/>
      <c r="KOL45" s="87"/>
      <c r="KOM45" s="87"/>
      <c r="KON45" s="87"/>
      <c r="KOO45" s="87"/>
      <c r="KOP45" s="87"/>
      <c r="KOQ45" s="87"/>
      <c r="KOR45" s="87"/>
      <c r="KOS45" s="87"/>
      <c r="KOT45" s="87"/>
      <c r="KOU45" s="87"/>
      <c r="KOV45" s="87"/>
      <c r="KOW45" s="87"/>
      <c r="KOX45" s="87"/>
      <c r="KOY45" s="87"/>
      <c r="KOZ45" s="87"/>
      <c r="KPA45" s="87"/>
      <c r="KPB45" s="87"/>
      <c r="KPC45" s="87"/>
      <c r="KPD45" s="87"/>
      <c r="KPE45" s="87"/>
      <c r="KPF45" s="87"/>
      <c r="KPG45" s="87"/>
      <c r="KPH45" s="87"/>
      <c r="KPI45" s="87"/>
      <c r="KPJ45" s="87"/>
      <c r="KPK45" s="87"/>
      <c r="KPL45" s="87"/>
      <c r="KPM45" s="87"/>
      <c r="KPN45" s="87"/>
      <c r="KPO45" s="87"/>
      <c r="KPP45" s="87"/>
      <c r="KPQ45" s="87"/>
      <c r="KPR45" s="87"/>
      <c r="KPS45" s="87"/>
      <c r="KPT45" s="87"/>
      <c r="KPU45" s="87"/>
      <c r="KPV45" s="87"/>
      <c r="KPW45" s="87"/>
      <c r="KPX45" s="87"/>
      <c r="KPY45" s="87"/>
      <c r="KPZ45" s="87"/>
      <c r="KQA45" s="87"/>
      <c r="KQB45" s="87"/>
      <c r="KQC45" s="87"/>
      <c r="KQD45" s="87"/>
      <c r="KQE45" s="87"/>
      <c r="KQF45" s="87"/>
      <c r="KQG45" s="87"/>
      <c r="KQH45" s="87"/>
      <c r="KQI45" s="87"/>
      <c r="KQJ45" s="87"/>
      <c r="KQK45" s="87"/>
      <c r="KQL45" s="87"/>
      <c r="KQM45" s="87"/>
      <c r="KQN45" s="87"/>
      <c r="KQO45" s="87"/>
      <c r="KQP45" s="87"/>
      <c r="KQQ45" s="87"/>
      <c r="KQR45" s="87"/>
      <c r="KQS45" s="87"/>
      <c r="KQT45" s="87"/>
      <c r="KQU45" s="87"/>
      <c r="KQV45" s="87"/>
      <c r="KQW45" s="87"/>
      <c r="KQX45" s="87"/>
      <c r="KQY45" s="87"/>
      <c r="KQZ45" s="87"/>
      <c r="KRA45" s="87"/>
      <c r="KRB45" s="87"/>
      <c r="KRC45" s="87"/>
      <c r="KRD45" s="87"/>
      <c r="KRE45" s="87"/>
      <c r="KRF45" s="87"/>
      <c r="KRG45" s="87"/>
      <c r="KRH45" s="87"/>
      <c r="KRI45" s="87"/>
      <c r="KRJ45" s="87"/>
      <c r="KRK45" s="87"/>
      <c r="KRL45" s="87"/>
      <c r="KRM45" s="87"/>
      <c r="KRN45" s="87"/>
      <c r="KRO45" s="87"/>
      <c r="KRP45" s="87"/>
      <c r="KRQ45" s="87"/>
      <c r="KRR45" s="87"/>
      <c r="KRS45" s="87"/>
      <c r="KRT45" s="87"/>
      <c r="KRU45" s="87"/>
      <c r="KRV45" s="87"/>
      <c r="KRW45" s="87"/>
      <c r="KRX45" s="87"/>
      <c r="KRY45" s="87"/>
      <c r="KRZ45" s="87"/>
      <c r="KSA45" s="87"/>
      <c r="KSB45" s="87"/>
      <c r="KSC45" s="87"/>
      <c r="KSD45" s="87"/>
      <c r="KSE45" s="87"/>
      <c r="KSF45" s="87"/>
      <c r="KSG45" s="87"/>
      <c r="KSH45" s="87"/>
      <c r="KSI45" s="87"/>
      <c r="KSJ45" s="87"/>
      <c r="KSK45" s="87"/>
      <c r="KSL45" s="87"/>
      <c r="KSM45" s="87"/>
      <c r="KSN45" s="87"/>
      <c r="KSO45" s="87"/>
      <c r="KSP45" s="87"/>
      <c r="KSQ45" s="87"/>
      <c r="KSR45" s="87"/>
      <c r="KSS45" s="87"/>
      <c r="KST45" s="87"/>
      <c r="KSU45" s="87"/>
      <c r="KSV45" s="87"/>
      <c r="KSW45" s="87"/>
      <c r="KSX45" s="87"/>
      <c r="KSY45" s="87"/>
      <c r="KSZ45" s="87"/>
      <c r="KTA45" s="87"/>
      <c r="KTB45" s="87"/>
      <c r="KTC45" s="87"/>
      <c r="KTD45" s="87"/>
      <c r="KTE45" s="87"/>
      <c r="KTF45" s="87"/>
      <c r="KTG45" s="87"/>
      <c r="KTH45" s="87"/>
      <c r="KTI45" s="87"/>
      <c r="KTJ45" s="87"/>
      <c r="KTK45" s="87"/>
      <c r="KTL45" s="87"/>
      <c r="KTM45" s="87"/>
      <c r="KTN45" s="87"/>
      <c r="KTO45" s="87"/>
      <c r="KTP45" s="87"/>
      <c r="KTQ45" s="87"/>
      <c r="KTR45" s="87"/>
      <c r="KTS45" s="87"/>
      <c r="KTT45" s="87"/>
      <c r="KTU45" s="87"/>
      <c r="KTV45" s="87"/>
      <c r="KTW45" s="87"/>
      <c r="KTX45" s="87"/>
      <c r="KTY45" s="87"/>
      <c r="KTZ45" s="87"/>
      <c r="KUA45" s="87"/>
      <c r="KUB45" s="87"/>
      <c r="KUC45" s="87"/>
      <c r="KUD45" s="87"/>
      <c r="KUE45" s="87"/>
      <c r="KUF45" s="87"/>
      <c r="KUG45" s="87"/>
      <c r="KUH45" s="87"/>
      <c r="KUI45" s="87"/>
      <c r="KUJ45" s="87"/>
      <c r="KUK45" s="87"/>
      <c r="KUL45" s="87"/>
      <c r="KUM45" s="87"/>
      <c r="KUN45" s="87"/>
      <c r="KUO45" s="87"/>
      <c r="KUP45" s="87"/>
      <c r="KUQ45" s="87"/>
      <c r="KUR45" s="87"/>
      <c r="KUS45" s="87"/>
      <c r="KUT45" s="87"/>
      <c r="KUU45" s="87"/>
      <c r="KUV45" s="87"/>
      <c r="KUW45" s="87"/>
      <c r="KUX45" s="87"/>
      <c r="KUY45" s="87"/>
      <c r="KUZ45" s="87"/>
      <c r="KVA45" s="87"/>
      <c r="KVB45" s="87"/>
      <c r="KVC45" s="87"/>
      <c r="KVD45" s="87"/>
      <c r="KVE45" s="87"/>
      <c r="KVF45" s="87"/>
      <c r="KVG45" s="87"/>
      <c r="KVH45" s="87"/>
      <c r="KVI45" s="87"/>
      <c r="KVJ45" s="87"/>
      <c r="KVK45" s="87"/>
      <c r="KVL45" s="87"/>
      <c r="KVM45" s="87"/>
      <c r="KVN45" s="87"/>
      <c r="KVO45" s="87"/>
      <c r="KVP45" s="87"/>
      <c r="KVQ45" s="87"/>
      <c r="KVR45" s="87"/>
      <c r="KVS45" s="87"/>
      <c r="KVT45" s="87"/>
      <c r="KVU45" s="87"/>
      <c r="KVV45" s="87"/>
      <c r="KVW45" s="87"/>
      <c r="KVX45" s="87"/>
      <c r="KVY45" s="87"/>
      <c r="KVZ45" s="87"/>
      <c r="KWA45" s="87"/>
      <c r="KWB45" s="87"/>
      <c r="KWC45" s="87"/>
      <c r="KWD45" s="87"/>
      <c r="KWE45" s="87"/>
      <c r="KWF45" s="87"/>
      <c r="KWG45" s="87"/>
      <c r="KWH45" s="87"/>
      <c r="KWI45" s="87"/>
      <c r="KWJ45" s="87"/>
      <c r="KWK45" s="87"/>
      <c r="KWL45" s="87"/>
      <c r="KWM45" s="87"/>
      <c r="KWN45" s="87"/>
      <c r="KWO45" s="87"/>
      <c r="KWP45" s="87"/>
      <c r="KWQ45" s="87"/>
      <c r="KWR45" s="87"/>
      <c r="KWS45" s="87"/>
      <c r="KWT45" s="87"/>
      <c r="KWU45" s="87"/>
      <c r="KWV45" s="87"/>
      <c r="KWW45" s="87"/>
      <c r="KWX45" s="87"/>
      <c r="KWY45" s="87"/>
      <c r="KWZ45" s="87"/>
      <c r="KXA45" s="87"/>
      <c r="KXB45" s="87"/>
      <c r="KXC45" s="87"/>
      <c r="KXD45" s="87"/>
      <c r="KXE45" s="87"/>
      <c r="KXF45" s="87"/>
      <c r="KXG45" s="87"/>
      <c r="KXH45" s="87"/>
      <c r="KXI45" s="87"/>
      <c r="KXJ45" s="87"/>
      <c r="KXK45" s="87"/>
      <c r="KXL45" s="87"/>
      <c r="KXM45" s="87"/>
      <c r="KXN45" s="87"/>
      <c r="KXO45" s="87"/>
      <c r="KXP45" s="87"/>
      <c r="KXQ45" s="87"/>
      <c r="KXR45" s="87"/>
      <c r="KXS45" s="87"/>
      <c r="KXT45" s="87"/>
      <c r="KXU45" s="87"/>
      <c r="KXV45" s="87"/>
      <c r="KXW45" s="87"/>
      <c r="KXX45" s="87"/>
      <c r="KXY45" s="87"/>
      <c r="KXZ45" s="87"/>
      <c r="KYA45" s="87"/>
      <c r="KYB45" s="87"/>
      <c r="KYC45" s="87"/>
      <c r="KYD45" s="87"/>
      <c r="KYE45" s="87"/>
      <c r="KYF45" s="87"/>
      <c r="KYG45" s="87"/>
      <c r="KYH45" s="87"/>
      <c r="KYI45" s="87"/>
      <c r="KYJ45" s="87"/>
      <c r="KYK45" s="87"/>
      <c r="KYL45" s="87"/>
      <c r="KYM45" s="87"/>
      <c r="KYN45" s="87"/>
      <c r="KYO45" s="87"/>
      <c r="KYP45" s="87"/>
      <c r="KYQ45" s="87"/>
      <c r="KYR45" s="87"/>
      <c r="KYS45" s="87"/>
      <c r="KYT45" s="87"/>
      <c r="KYU45" s="87"/>
      <c r="KYV45" s="87"/>
      <c r="KYW45" s="87"/>
      <c r="KYX45" s="87"/>
      <c r="KYY45" s="87"/>
      <c r="KYZ45" s="87"/>
      <c r="KZA45" s="87"/>
      <c r="KZB45" s="87"/>
      <c r="KZC45" s="87"/>
      <c r="KZD45" s="87"/>
      <c r="KZE45" s="87"/>
      <c r="KZF45" s="87"/>
      <c r="KZG45" s="87"/>
      <c r="KZH45" s="87"/>
      <c r="KZI45" s="87"/>
      <c r="KZJ45" s="87"/>
      <c r="KZK45" s="87"/>
      <c r="KZL45" s="87"/>
      <c r="KZM45" s="87"/>
      <c r="KZN45" s="87"/>
      <c r="KZO45" s="87"/>
      <c r="KZP45" s="87"/>
      <c r="KZQ45" s="87"/>
      <c r="KZR45" s="87"/>
      <c r="KZS45" s="87"/>
      <c r="KZT45" s="87"/>
      <c r="KZU45" s="87"/>
      <c r="KZV45" s="87"/>
      <c r="KZW45" s="87"/>
      <c r="KZX45" s="87"/>
      <c r="KZY45" s="87"/>
      <c r="KZZ45" s="87"/>
      <c r="LAA45" s="87"/>
      <c r="LAB45" s="87"/>
      <c r="LAC45" s="87"/>
      <c r="LAD45" s="87"/>
      <c r="LAE45" s="87"/>
      <c r="LAF45" s="87"/>
      <c r="LAG45" s="87"/>
      <c r="LAH45" s="87"/>
      <c r="LAI45" s="87"/>
      <c r="LAJ45" s="87"/>
      <c r="LAK45" s="87"/>
      <c r="LAL45" s="87"/>
      <c r="LAM45" s="87"/>
      <c r="LAN45" s="87"/>
      <c r="LAO45" s="87"/>
      <c r="LAP45" s="87"/>
      <c r="LAQ45" s="87"/>
      <c r="LAR45" s="87"/>
      <c r="LAS45" s="87"/>
      <c r="LAT45" s="87"/>
      <c r="LAU45" s="87"/>
      <c r="LAV45" s="87"/>
      <c r="LAW45" s="87"/>
      <c r="LAX45" s="87"/>
      <c r="LAY45" s="87"/>
      <c r="LAZ45" s="87"/>
      <c r="LBA45" s="87"/>
      <c r="LBB45" s="87"/>
      <c r="LBC45" s="87"/>
      <c r="LBD45" s="87"/>
      <c r="LBE45" s="87"/>
      <c r="LBF45" s="87"/>
      <c r="LBG45" s="87"/>
      <c r="LBH45" s="87"/>
      <c r="LBI45" s="87"/>
      <c r="LBJ45" s="87"/>
      <c r="LBK45" s="87"/>
      <c r="LBL45" s="87"/>
      <c r="LBM45" s="87"/>
      <c r="LBN45" s="87"/>
      <c r="LBO45" s="87"/>
      <c r="LBP45" s="87"/>
      <c r="LBQ45" s="87"/>
      <c r="LBR45" s="87"/>
      <c r="LBS45" s="87"/>
      <c r="LBT45" s="87"/>
      <c r="LBU45" s="87"/>
      <c r="LBV45" s="87"/>
      <c r="LBW45" s="87"/>
      <c r="LBX45" s="87"/>
      <c r="LBY45" s="87"/>
      <c r="LBZ45" s="87"/>
      <c r="LCA45" s="87"/>
      <c r="LCB45" s="87"/>
      <c r="LCC45" s="87"/>
      <c r="LCD45" s="87"/>
      <c r="LCE45" s="87"/>
      <c r="LCF45" s="87"/>
      <c r="LCG45" s="87"/>
      <c r="LCH45" s="87"/>
      <c r="LCI45" s="87"/>
      <c r="LCJ45" s="87"/>
      <c r="LCK45" s="87"/>
      <c r="LCL45" s="87"/>
      <c r="LCM45" s="87"/>
      <c r="LCN45" s="87"/>
      <c r="LCO45" s="87"/>
      <c r="LCP45" s="87"/>
      <c r="LCQ45" s="87"/>
      <c r="LCR45" s="87"/>
      <c r="LCS45" s="87"/>
      <c r="LCT45" s="87"/>
      <c r="LCU45" s="87"/>
      <c r="LCV45" s="87"/>
      <c r="LCW45" s="87"/>
      <c r="LCX45" s="87"/>
      <c r="LCY45" s="87"/>
      <c r="LCZ45" s="87"/>
      <c r="LDA45" s="87"/>
      <c r="LDB45" s="87"/>
      <c r="LDC45" s="87"/>
      <c r="LDD45" s="87"/>
      <c r="LDE45" s="87"/>
      <c r="LDF45" s="87"/>
      <c r="LDG45" s="87"/>
      <c r="LDH45" s="87"/>
      <c r="LDI45" s="87"/>
      <c r="LDJ45" s="87"/>
      <c r="LDK45" s="87"/>
      <c r="LDL45" s="87"/>
      <c r="LDM45" s="87"/>
      <c r="LDN45" s="87"/>
      <c r="LDO45" s="87"/>
      <c r="LDP45" s="87"/>
      <c r="LDQ45" s="87"/>
      <c r="LDR45" s="87"/>
      <c r="LDS45" s="87"/>
      <c r="LDT45" s="87"/>
      <c r="LDU45" s="87"/>
      <c r="LDV45" s="87"/>
      <c r="LDW45" s="87"/>
      <c r="LDX45" s="87"/>
      <c r="LDY45" s="87"/>
      <c r="LDZ45" s="87"/>
      <c r="LEA45" s="87"/>
      <c r="LEB45" s="87"/>
      <c r="LEC45" s="87"/>
      <c r="LED45" s="87"/>
      <c r="LEE45" s="87"/>
      <c r="LEF45" s="87"/>
      <c r="LEG45" s="87"/>
      <c r="LEH45" s="87"/>
      <c r="LEI45" s="87"/>
      <c r="LEJ45" s="87"/>
      <c r="LEK45" s="87"/>
      <c r="LEL45" s="87"/>
      <c r="LEM45" s="87"/>
      <c r="LEN45" s="87"/>
      <c r="LEO45" s="87"/>
      <c r="LEP45" s="87"/>
      <c r="LEQ45" s="87"/>
      <c r="LER45" s="87"/>
      <c r="LES45" s="87"/>
      <c r="LET45" s="87"/>
      <c r="LEU45" s="87"/>
      <c r="LEV45" s="87"/>
      <c r="LEW45" s="87"/>
      <c r="LEX45" s="87"/>
      <c r="LEY45" s="87"/>
      <c r="LEZ45" s="87"/>
      <c r="LFA45" s="87"/>
      <c r="LFB45" s="87"/>
      <c r="LFC45" s="87"/>
      <c r="LFD45" s="87"/>
      <c r="LFE45" s="87"/>
      <c r="LFF45" s="87"/>
      <c r="LFG45" s="87"/>
      <c r="LFH45" s="87"/>
      <c r="LFI45" s="87"/>
      <c r="LFJ45" s="87"/>
      <c r="LFK45" s="87"/>
      <c r="LFL45" s="87"/>
      <c r="LFM45" s="87"/>
      <c r="LFN45" s="87"/>
      <c r="LFO45" s="87"/>
      <c r="LFP45" s="87"/>
      <c r="LFQ45" s="87"/>
      <c r="LFR45" s="87"/>
      <c r="LFS45" s="87"/>
      <c r="LFT45" s="87"/>
      <c r="LFU45" s="87"/>
      <c r="LFV45" s="87"/>
      <c r="LFW45" s="87"/>
      <c r="LFX45" s="87"/>
      <c r="LFY45" s="87"/>
      <c r="LFZ45" s="87"/>
      <c r="LGA45" s="87"/>
      <c r="LGB45" s="87"/>
      <c r="LGC45" s="87"/>
      <c r="LGD45" s="87"/>
      <c r="LGE45" s="87"/>
      <c r="LGF45" s="87"/>
      <c r="LGG45" s="87"/>
      <c r="LGH45" s="87"/>
      <c r="LGI45" s="87"/>
      <c r="LGJ45" s="87"/>
      <c r="LGK45" s="87"/>
      <c r="LGL45" s="87"/>
      <c r="LGM45" s="87"/>
      <c r="LGN45" s="87"/>
      <c r="LGO45" s="87"/>
      <c r="LGP45" s="87"/>
      <c r="LGQ45" s="87"/>
      <c r="LGR45" s="87"/>
      <c r="LGS45" s="87"/>
      <c r="LGT45" s="87"/>
      <c r="LGU45" s="87"/>
      <c r="LGV45" s="87"/>
      <c r="LGW45" s="87"/>
      <c r="LGX45" s="87"/>
      <c r="LGY45" s="87"/>
      <c r="LGZ45" s="87"/>
      <c r="LHA45" s="87"/>
      <c r="LHB45" s="87"/>
      <c r="LHC45" s="87"/>
      <c r="LHD45" s="87"/>
      <c r="LHE45" s="87"/>
      <c r="LHF45" s="87"/>
      <c r="LHG45" s="87"/>
      <c r="LHH45" s="87"/>
      <c r="LHI45" s="87"/>
      <c r="LHJ45" s="87"/>
      <c r="LHK45" s="87"/>
      <c r="LHL45" s="87"/>
      <c r="LHM45" s="87"/>
      <c r="LHN45" s="87"/>
      <c r="LHO45" s="87"/>
      <c r="LHP45" s="87"/>
      <c r="LHQ45" s="87"/>
      <c r="LHR45" s="87"/>
      <c r="LHS45" s="87"/>
      <c r="LHT45" s="87"/>
      <c r="LHU45" s="87"/>
      <c r="LHV45" s="87"/>
      <c r="LHW45" s="87"/>
      <c r="LHX45" s="87"/>
      <c r="LHY45" s="87"/>
      <c r="LHZ45" s="87"/>
      <c r="LIA45" s="87"/>
      <c r="LIB45" s="87"/>
      <c r="LIC45" s="87"/>
      <c r="LID45" s="87"/>
      <c r="LIE45" s="87"/>
      <c r="LIF45" s="87"/>
      <c r="LIG45" s="87"/>
      <c r="LIH45" s="87"/>
      <c r="LII45" s="87"/>
      <c r="LIJ45" s="87"/>
      <c r="LIK45" s="87"/>
      <c r="LIL45" s="87"/>
      <c r="LIM45" s="87"/>
      <c r="LIN45" s="87"/>
      <c r="LIO45" s="87"/>
      <c r="LIP45" s="87"/>
      <c r="LIQ45" s="87"/>
      <c r="LIR45" s="87"/>
      <c r="LIS45" s="87"/>
      <c r="LIT45" s="87"/>
      <c r="LIU45" s="87"/>
      <c r="LIV45" s="87"/>
      <c r="LIW45" s="87"/>
      <c r="LIX45" s="87"/>
      <c r="LIY45" s="87"/>
      <c r="LIZ45" s="87"/>
      <c r="LJA45" s="87"/>
      <c r="LJB45" s="87"/>
      <c r="LJC45" s="87"/>
      <c r="LJD45" s="87"/>
      <c r="LJE45" s="87"/>
      <c r="LJF45" s="87"/>
      <c r="LJG45" s="87"/>
      <c r="LJH45" s="87"/>
      <c r="LJI45" s="87"/>
      <c r="LJJ45" s="87"/>
      <c r="LJK45" s="87"/>
      <c r="LJL45" s="87"/>
      <c r="LJM45" s="87"/>
      <c r="LJN45" s="87"/>
      <c r="LJO45" s="87"/>
      <c r="LJP45" s="87"/>
      <c r="LJQ45" s="87"/>
      <c r="LJR45" s="87"/>
      <c r="LJS45" s="87"/>
      <c r="LJT45" s="87"/>
      <c r="LJU45" s="87"/>
      <c r="LJV45" s="87"/>
      <c r="LJW45" s="87"/>
      <c r="LJX45" s="87"/>
      <c r="LJY45" s="87"/>
      <c r="LJZ45" s="87"/>
      <c r="LKA45" s="87"/>
      <c r="LKB45" s="87"/>
      <c r="LKC45" s="87"/>
      <c r="LKD45" s="87"/>
      <c r="LKE45" s="87"/>
      <c r="LKF45" s="87"/>
      <c r="LKG45" s="87"/>
      <c r="LKH45" s="87"/>
      <c r="LKI45" s="87"/>
      <c r="LKJ45" s="87"/>
      <c r="LKK45" s="87"/>
      <c r="LKL45" s="87"/>
      <c r="LKM45" s="87"/>
      <c r="LKN45" s="87"/>
      <c r="LKO45" s="87"/>
      <c r="LKP45" s="87"/>
      <c r="LKQ45" s="87"/>
      <c r="LKR45" s="87"/>
      <c r="LKS45" s="87"/>
      <c r="LKT45" s="87"/>
      <c r="LKU45" s="87"/>
      <c r="LKV45" s="87"/>
      <c r="LKW45" s="87"/>
      <c r="LKX45" s="87"/>
      <c r="LKY45" s="87"/>
      <c r="LKZ45" s="87"/>
      <c r="LLA45" s="87"/>
      <c r="LLB45" s="87"/>
      <c r="LLC45" s="87"/>
      <c r="LLD45" s="87"/>
      <c r="LLE45" s="87"/>
      <c r="LLF45" s="87"/>
      <c r="LLG45" s="87"/>
      <c r="LLH45" s="87"/>
      <c r="LLI45" s="87"/>
      <c r="LLJ45" s="87"/>
      <c r="LLK45" s="87"/>
      <c r="LLL45" s="87"/>
      <c r="LLM45" s="87"/>
      <c r="LLN45" s="87"/>
      <c r="LLO45" s="87"/>
      <c r="LLP45" s="87"/>
      <c r="LLQ45" s="87"/>
      <c r="LLR45" s="87"/>
      <c r="LLS45" s="87"/>
      <c r="LLT45" s="87"/>
      <c r="LLU45" s="87"/>
      <c r="LLV45" s="87"/>
      <c r="LLW45" s="87"/>
      <c r="LLX45" s="87"/>
      <c r="LLY45" s="87"/>
      <c r="LLZ45" s="87"/>
      <c r="LMA45" s="87"/>
      <c r="LMB45" s="87"/>
      <c r="LMC45" s="87"/>
      <c r="LMD45" s="87"/>
      <c r="LME45" s="87"/>
      <c r="LMF45" s="87"/>
      <c r="LMG45" s="87"/>
      <c r="LMH45" s="87"/>
      <c r="LMI45" s="87"/>
      <c r="LMJ45" s="87"/>
      <c r="LMK45" s="87"/>
      <c r="LML45" s="87"/>
      <c r="LMM45" s="87"/>
      <c r="LMN45" s="87"/>
      <c r="LMO45" s="87"/>
      <c r="LMP45" s="87"/>
      <c r="LMQ45" s="87"/>
      <c r="LMR45" s="87"/>
      <c r="LMS45" s="87"/>
      <c r="LMT45" s="87"/>
      <c r="LMU45" s="87"/>
      <c r="LMV45" s="87"/>
      <c r="LMW45" s="87"/>
      <c r="LMX45" s="87"/>
      <c r="LMY45" s="87"/>
      <c r="LMZ45" s="87"/>
      <c r="LNA45" s="87"/>
      <c r="LNB45" s="87"/>
      <c r="LNC45" s="87"/>
      <c r="LND45" s="87"/>
      <c r="LNE45" s="87"/>
      <c r="LNF45" s="87"/>
      <c r="LNG45" s="87"/>
      <c r="LNH45" s="87"/>
      <c r="LNI45" s="87"/>
      <c r="LNJ45" s="87"/>
      <c r="LNK45" s="87"/>
      <c r="LNL45" s="87"/>
      <c r="LNM45" s="87"/>
      <c r="LNN45" s="87"/>
      <c r="LNO45" s="87"/>
      <c r="LNP45" s="87"/>
      <c r="LNQ45" s="87"/>
      <c r="LNR45" s="87"/>
      <c r="LNS45" s="87"/>
      <c r="LNT45" s="87"/>
      <c r="LNU45" s="87"/>
      <c r="LNV45" s="87"/>
      <c r="LNW45" s="87"/>
      <c r="LNX45" s="87"/>
      <c r="LNY45" s="87"/>
      <c r="LNZ45" s="87"/>
      <c r="LOA45" s="87"/>
      <c r="LOB45" s="87"/>
      <c r="LOC45" s="87"/>
      <c r="LOD45" s="87"/>
      <c r="LOE45" s="87"/>
      <c r="LOF45" s="87"/>
      <c r="LOG45" s="87"/>
      <c r="LOH45" s="87"/>
      <c r="LOI45" s="87"/>
      <c r="LOJ45" s="87"/>
      <c r="LOK45" s="87"/>
      <c r="LOL45" s="87"/>
      <c r="LOM45" s="87"/>
      <c r="LON45" s="87"/>
      <c r="LOO45" s="87"/>
      <c r="LOP45" s="87"/>
      <c r="LOQ45" s="87"/>
      <c r="LOR45" s="87"/>
      <c r="LOS45" s="87"/>
      <c r="LOT45" s="87"/>
      <c r="LOU45" s="87"/>
      <c r="LOV45" s="87"/>
      <c r="LOW45" s="87"/>
      <c r="LOX45" s="87"/>
      <c r="LOY45" s="87"/>
      <c r="LOZ45" s="87"/>
      <c r="LPA45" s="87"/>
      <c r="LPB45" s="87"/>
      <c r="LPC45" s="87"/>
      <c r="LPD45" s="87"/>
      <c r="LPE45" s="87"/>
      <c r="LPF45" s="87"/>
      <c r="LPG45" s="87"/>
      <c r="LPH45" s="87"/>
      <c r="LPI45" s="87"/>
      <c r="LPJ45" s="87"/>
      <c r="LPK45" s="87"/>
      <c r="LPL45" s="87"/>
      <c r="LPM45" s="87"/>
      <c r="LPN45" s="87"/>
      <c r="LPO45" s="87"/>
      <c r="LPP45" s="87"/>
      <c r="LPQ45" s="87"/>
      <c r="LPR45" s="87"/>
      <c r="LPS45" s="87"/>
      <c r="LPT45" s="87"/>
      <c r="LPU45" s="87"/>
      <c r="LPV45" s="87"/>
      <c r="LPW45" s="87"/>
      <c r="LPX45" s="87"/>
      <c r="LPY45" s="87"/>
      <c r="LPZ45" s="87"/>
      <c r="LQA45" s="87"/>
      <c r="LQB45" s="87"/>
      <c r="LQC45" s="87"/>
      <c r="LQD45" s="87"/>
      <c r="LQE45" s="87"/>
      <c r="LQF45" s="87"/>
      <c r="LQG45" s="87"/>
      <c r="LQH45" s="87"/>
      <c r="LQI45" s="87"/>
      <c r="LQJ45" s="87"/>
      <c r="LQK45" s="87"/>
      <c r="LQL45" s="87"/>
      <c r="LQM45" s="87"/>
      <c r="LQN45" s="87"/>
      <c r="LQO45" s="87"/>
      <c r="LQP45" s="87"/>
      <c r="LQQ45" s="87"/>
      <c r="LQR45" s="87"/>
      <c r="LQS45" s="87"/>
      <c r="LQT45" s="87"/>
      <c r="LQU45" s="87"/>
      <c r="LQV45" s="87"/>
      <c r="LQW45" s="87"/>
      <c r="LQX45" s="87"/>
      <c r="LQY45" s="87"/>
      <c r="LQZ45" s="87"/>
      <c r="LRA45" s="87"/>
      <c r="LRB45" s="87"/>
      <c r="LRC45" s="87"/>
      <c r="LRD45" s="87"/>
      <c r="LRE45" s="87"/>
      <c r="LRF45" s="87"/>
      <c r="LRG45" s="87"/>
      <c r="LRH45" s="87"/>
      <c r="LRI45" s="87"/>
      <c r="LRJ45" s="87"/>
      <c r="LRK45" s="87"/>
      <c r="LRL45" s="87"/>
      <c r="LRM45" s="87"/>
      <c r="LRN45" s="87"/>
      <c r="LRO45" s="87"/>
      <c r="LRP45" s="87"/>
      <c r="LRQ45" s="87"/>
      <c r="LRR45" s="87"/>
      <c r="LRS45" s="87"/>
      <c r="LRT45" s="87"/>
      <c r="LRU45" s="87"/>
      <c r="LRV45" s="87"/>
      <c r="LRW45" s="87"/>
      <c r="LRX45" s="87"/>
      <c r="LRY45" s="87"/>
      <c r="LRZ45" s="87"/>
      <c r="LSA45" s="87"/>
      <c r="LSB45" s="87"/>
      <c r="LSC45" s="87"/>
      <c r="LSD45" s="87"/>
      <c r="LSE45" s="87"/>
      <c r="LSF45" s="87"/>
      <c r="LSG45" s="87"/>
      <c r="LSH45" s="87"/>
      <c r="LSI45" s="87"/>
      <c r="LSJ45" s="87"/>
      <c r="LSK45" s="87"/>
      <c r="LSL45" s="87"/>
      <c r="LSM45" s="87"/>
      <c r="LSN45" s="87"/>
      <c r="LSO45" s="87"/>
      <c r="LSP45" s="87"/>
      <c r="LSQ45" s="87"/>
      <c r="LSR45" s="87"/>
      <c r="LSS45" s="87"/>
      <c r="LST45" s="87"/>
      <c r="LSU45" s="87"/>
      <c r="LSV45" s="87"/>
      <c r="LSW45" s="87"/>
      <c r="LSX45" s="87"/>
      <c r="LSY45" s="87"/>
      <c r="LSZ45" s="87"/>
      <c r="LTA45" s="87"/>
      <c r="LTB45" s="87"/>
      <c r="LTC45" s="87"/>
      <c r="LTD45" s="87"/>
      <c r="LTE45" s="87"/>
      <c r="LTF45" s="87"/>
      <c r="LTG45" s="87"/>
      <c r="LTH45" s="87"/>
      <c r="LTI45" s="87"/>
      <c r="LTJ45" s="87"/>
      <c r="LTK45" s="87"/>
      <c r="LTL45" s="87"/>
      <c r="LTM45" s="87"/>
      <c r="LTN45" s="87"/>
      <c r="LTO45" s="87"/>
      <c r="LTP45" s="87"/>
      <c r="LTQ45" s="87"/>
      <c r="LTR45" s="87"/>
      <c r="LTS45" s="87"/>
      <c r="LTT45" s="87"/>
      <c r="LTU45" s="87"/>
      <c r="LTV45" s="87"/>
      <c r="LTW45" s="87"/>
      <c r="LTX45" s="87"/>
      <c r="LTY45" s="87"/>
      <c r="LTZ45" s="87"/>
      <c r="LUA45" s="87"/>
      <c r="LUB45" s="87"/>
      <c r="LUC45" s="87"/>
      <c r="LUD45" s="87"/>
      <c r="LUE45" s="87"/>
      <c r="LUF45" s="87"/>
      <c r="LUG45" s="87"/>
      <c r="LUH45" s="87"/>
      <c r="LUI45" s="87"/>
      <c r="LUJ45" s="87"/>
      <c r="LUK45" s="87"/>
      <c r="LUL45" s="87"/>
      <c r="LUM45" s="87"/>
      <c r="LUN45" s="87"/>
      <c r="LUO45" s="87"/>
      <c r="LUP45" s="87"/>
      <c r="LUQ45" s="87"/>
      <c r="LUR45" s="87"/>
      <c r="LUS45" s="87"/>
      <c r="LUT45" s="87"/>
      <c r="LUU45" s="87"/>
      <c r="LUV45" s="87"/>
      <c r="LUW45" s="87"/>
      <c r="LUX45" s="87"/>
      <c r="LUY45" s="87"/>
      <c r="LUZ45" s="87"/>
      <c r="LVA45" s="87"/>
      <c r="LVB45" s="87"/>
      <c r="LVC45" s="87"/>
      <c r="LVD45" s="87"/>
      <c r="LVE45" s="87"/>
      <c r="LVF45" s="87"/>
      <c r="LVG45" s="87"/>
      <c r="LVH45" s="87"/>
      <c r="LVI45" s="87"/>
      <c r="LVJ45" s="87"/>
      <c r="LVK45" s="87"/>
      <c r="LVL45" s="87"/>
      <c r="LVM45" s="87"/>
      <c r="LVN45" s="87"/>
      <c r="LVO45" s="87"/>
      <c r="LVP45" s="87"/>
      <c r="LVQ45" s="87"/>
      <c r="LVR45" s="87"/>
      <c r="LVS45" s="87"/>
      <c r="LVT45" s="87"/>
      <c r="LVU45" s="87"/>
      <c r="LVV45" s="87"/>
      <c r="LVW45" s="87"/>
      <c r="LVX45" s="87"/>
      <c r="LVY45" s="87"/>
      <c r="LVZ45" s="87"/>
      <c r="LWA45" s="87"/>
      <c r="LWB45" s="87"/>
      <c r="LWC45" s="87"/>
      <c r="LWD45" s="87"/>
      <c r="LWE45" s="87"/>
      <c r="LWF45" s="87"/>
      <c r="LWG45" s="87"/>
      <c r="LWH45" s="87"/>
      <c r="LWI45" s="87"/>
      <c r="LWJ45" s="87"/>
      <c r="LWK45" s="87"/>
      <c r="LWL45" s="87"/>
      <c r="LWM45" s="87"/>
      <c r="LWN45" s="87"/>
      <c r="LWO45" s="87"/>
      <c r="LWP45" s="87"/>
      <c r="LWQ45" s="87"/>
      <c r="LWR45" s="87"/>
      <c r="LWS45" s="87"/>
      <c r="LWT45" s="87"/>
      <c r="LWU45" s="87"/>
      <c r="LWV45" s="87"/>
      <c r="LWW45" s="87"/>
      <c r="LWX45" s="87"/>
      <c r="LWY45" s="87"/>
      <c r="LWZ45" s="87"/>
      <c r="LXA45" s="87"/>
      <c r="LXB45" s="87"/>
      <c r="LXC45" s="87"/>
      <c r="LXD45" s="87"/>
      <c r="LXE45" s="87"/>
      <c r="LXF45" s="87"/>
      <c r="LXG45" s="87"/>
      <c r="LXH45" s="87"/>
      <c r="LXI45" s="87"/>
      <c r="LXJ45" s="87"/>
      <c r="LXK45" s="87"/>
      <c r="LXL45" s="87"/>
      <c r="LXM45" s="87"/>
      <c r="LXN45" s="87"/>
      <c r="LXO45" s="87"/>
      <c r="LXP45" s="87"/>
      <c r="LXQ45" s="87"/>
      <c r="LXR45" s="87"/>
      <c r="LXS45" s="87"/>
      <c r="LXT45" s="87"/>
      <c r="LXU45" s="87"/>
      <c r="LXV45" s="87"/>
      <c r="LXW45" s="87"/>
      <c r="LXX45" s="87"/>
      <c r="LXY45" s="87"/>
      <c r="LXZ45" s="87"/>
      <c r="LYA45" s="87"/>
      <c r="LYB45" s="87"/>
      <c r="LYC45" s="87"/>
      <c r="LYD45" s="87"/>
      <c r="LYE45" s="87"/>
      <c r="LYF45" s="87"/>
      <c r="LYG45" s="87"/>
      <c r="LYH45" s="87"/>
      <c r="LYI45" s="87"/>
      <c r="LYJ45" s="87"/>
      <c r="LYK45" s="87"/>
      <c r="LYL45" s="87"/>
      <c r="LYM45" s="87"/>
      <c r="LYN45" s="87"/>
      <c r="LYO45" s="87"/>
      <c r="LYP45" s="87"/>
      <c r="LYQ45" s="87"/>
      <c r="LYR45" s="87"/>
      <c r="LYS45" s="87"/>
      <c r="LYT45" s="87"/>
      <c r="LYU45" s="87"/>
      <c r="LYV45" s="87"/>
      <c r="LYW45" s="87"/>
      <c r="LYX45" s="87"/>
      <c r="LYY45" s="87"/>
      <c r="LYZ45" s="87"/>
      <c r="LZA45" s="87"/>
      <c r="LZB45" s="87"/>
      <c r="LZC45" s="87"/>
      <c r="LZD45" s="87"/>
      <c r="LZE45" s="87"/>
      <c r="LZF45" s="87"/>
      <c r="LZG45" s="87"/>
      <c r="LZH45" s="87"/>
      <c r="LZI45" s="87"/>
      <c r="LZJ45" s="87"/>
      <c r="LZK45" s="87"/>
      <c r="LZL45" s="87"/>
      <c r="LZM45" s="87"/>
      <c r="LZN45" s="87"/>
      <c r="LZO45" s="87"/>
      <c r="LZP45" s="87"/>
      <c r="LZQ45" s="87"/>
      <c r="LZR45" s="87"/>
      <c r="LZS45" s="87"/>
      <c r="LZT45" s="87"/>
      <c r="LZU45" s="87"/>
      <c r="LZV45" s="87"/>
      <c r="LZW45" s="87"/>
      <c r="LZX45" s="87"/>
      <c r="LZY45" s="87"/>
      <c r="LZZ45" s="87"/>
      <c r="MAA45" s="87"/>
      <c r="MAB45" s="87"/>
      <c r="MAC45" s="87"/>
      <c r="MAD45" s="87"/>
      <c r="MAE45" s="87"/>
      <c r="MAF45" s="87"/>
      <c r="MAG45" s="87"/>
      <c r="MAH45" s="87"/>
      <c r="MAI45" s="87"/>
      <c r="MAJ45" s="87"/>
      <c r="MAK45" s="87"/>
      <c r="MAL45" s="87"/>
      <c r="MAM45" s="87"/>
      <c r="MAN45" s="87"/>
      <c r="MAO45" s="87"/>
      <c r="MAP45" s="87"/>
      <c r="MAQ45" s="87"/>
      <c r="MAR45" s="87"/>
      <c r="MAS45" s="87"/>
      <c r="MAT45" s="87"/>
      <c r="MAU45" s="87"/>
      <c r="MAV45" s="87"/>
      <c r="MAW45" s="87"/>
      <c r="MAX45" s="87"/>
      <c r="MAY45" s="87"/>
      <c r="MAZ45" s="87"/>
      <c r="MBA45" s="87"/>
      <c r="MBB45" s="87"/>
      <c r="MBC45" s="87"/>
      <c r="MBD45" s="87"/>
      <c r="MBE45" s="87"/>
      <c r="MBF45" s="87"/>
      <c r="MBG45" s="87"/>
      <c r="MBH45" s="87"/>
      <c r="MBI45" s="87"/>
      <c r="MBJ45" s="87"/>
      <c r="MBK45" s="87"/>
      <c r="MBL45" s="87"/>
      <c r="MBM45" s="87"/>
      <c r="MBN45" s="87"/>
      <c r="MBO45" s="87"/>
      <c r="MBP45" s="87"/>
      <c r="MBQ45" s="87"/>
      <c r="MBR45" s="87"/>
      <c r="MBS45" s="87"/>
      <c r="MBT45" s="87"/>
      <c r="MBU45" s="87"/>
      <c r="MBV45" s="87"/>
      <c r="MBW45" s="87"/>
      <c r="MBX45" s="87"/>
      <c r="MBY45" s="87"/>
      <c r="MBZ45" s="87"/>
      <c r="MCA45" s="87"/>
      <c r="MCB45" s="87"/>
      <c r="MCC45" s="87"/>
      <c r="MCD45" s="87"/>
      <c r="MCE45" s="87"/>
      <c r="MCF45" s="87"/>
      <c r="MCG45" s="87"/>
      <c r="MCH45" s="87"/>
      <c r="MCI45" s="87"/>
      <c r="MCJ45" s="87"/>
      <c r="MCK45" s="87"/>
      <c r="MCL45" s="87"/>
      <c r="MCM45" s="87"/>
      <c r="MCN45" s="87"/>
      <c r="MCO45" s="87"/>
      <c r="MCP45" s="87"/>
      <c r="MCQ45" s="87"/>
      <c r="MCR45" s="87"/>
      <c r="MCS45" s="87"/>
      <c r="MCT45" s="87"/>
      <c r="MCU45" s="87"/>
      <c r="MCV45" s="87"/>
      <c r="MCW45" s="87"/>
      <c r="MCX45" s="87"/>
      <c r="MCY45" s="87"/>
      <c r="MCZ45" s="87"/>
      <c r="MDA45" s="87"/>
      <c r="MDB45" s="87"/>
      <c r="MDC45" s="87"/>
      <c r="MDD45" s="87"/>
      <c r="MDE45" s="87"/>
      <c r="MDF45" s="87"/>
      <c r="MDG45" s="87"/>
      <c r="MDH45" s="87"/>
      <c r="MDI45" s="87"/>
      <c r="MDJ45" s="87"/>
      <c r="MDK45" s="87"/>
      <c r="MDL45" s="87"/>
      <c r="MDM45" s="87"/>
      <c r="MDN45" s="87"/>
      <c r="MDO45" s="87"/>
      <c r="MDP45" s="87"/>
      <c r="MDQ45" s="87"/>
      <c r="MDR45" s="87"/>
      <c r="MDS45" s="87"/>
      <c r="MDT45" s="87"/>
      <c r="MDU45" s="87"/>
      <c r="MDV45" s="87"/>
      <c r="MDW45" s="87"/>
      <c r="MDX45" s="87"/>
      <c r="MDY45" s="87"/>
      <c r="MDZ45" s="87"/>
      <c r="MEA45" s="87"/>
      <c r="MEB45" s="87"/>
      <c r="MEC45" s="87"/>
      <c r="MED45" s="87"/>
      <c r="MEE45" s="87"/>
      <c r="MEF45" s="87"/>
      <c r="MEG45" s="87"/>
      <c r="MEH45" s="87"/>
      <c r="MEI45" s="87"/>
      <c r="MEJ45" s="87"/>
      <c r="MEK45" s="87"/>
      <c r="MEL45" s="87"/>
      <c r="MEM45" s="87"/>
      <c r="MEN45" s="87"/>
      <c r="MEO45" s="87"/>
      <c r="MEP45" s="87"/>
      <c r="MEQ45" s="87"/>
      <c r="MER45" s="87"/>
      <c r="MES45" s="87"/>
      <c r="MET45" s="87"/>
      <c r="MEU45" s="87"/>
      <c r="MEV45" s="87"/>
      <c r="MEW45" s="87"/>
      <c r="MEX45" s="87"/>
      <c r="MEY45" s="87"/>
      <c r="MEZ45" s="87"/>
      <c r="MFA45" s="87"/>
      <c r="MFB45" s="87"/>
      <c r="MFC45" s="87"/>
      <c r="MFD45" s="87"/>
      <c r="MFE45" s="87"/>
      <c r="MFF45" s="87"/>
      <c r="MFG45" s="87"/>
      <c r="MFH45" s="87"/>
      <c r="MFI45" s="87"/>
      <c r="MFJ45" s="87"/>
      <c r="MFK45" s="87"/>
      <c r="MFL45" s="87"/>
      <c r="MFM45" s="87"/>
      <c r="MFN45" s="87"/>
      <c r="MFO45" s="87"/>
      <c r="MFP45" s="87"/>
      <c r="MFQ45" s="87"/>
      <c r="MFR45" s="87"/>
      <c r="MFS45" s="87"/>
      <c r="MFT45" s="87"/>
      <c r="MFU45" s="87"/>
      <c r="MFV45" s="87"/>
      <c r="MFW45" s="87"/>
      <c r="MFX45" s="87"/>
      <c r="MFY45" s="87"/>
      <c r="MFZ45" s="87"/>
      <c r="MGA45" s="87"/>
      <c r="MGB45" s="87"/>
      <c r="MGC45" s="87"/>
      <c r="MGD45" s="87"/>
      <c r="MGE45" s="87"/>
      <c r="MGF45" s="87"/>
      <c r="MGG45" s="87"/>
      <c r="MGH45" s="87"/>
      <c r="MGI45" s="87"/>
      <c r="MGJ45" s="87"/>
      <c r="MGK45" s="87"/>
      <c r="MGL45" s="87"/>
      <c r="MGM45" s="87"/>
      <c r="MGN45" s="87"/>
      <c r="MGO45" s="87"/>
      <c r="MGP45" s="87"/>
      <c r="MGQ45" s="87"/>
      <c r="MGR45" s="87"/>
      <c r="MGS45" s="87"/>
      <c r="MGT45" s="87"/>
      <c r="MGU45" s="87"/>
      <c r="MGV45" s="87"/>
      <c r="MGW45" s="87"/>
      <c r="MGX45" s="87"/>
      <c r="MGY45" s="87"/>
      <c r="MGZ45" s="87"/>
      <c r="MHA45" s="87"/>
      <c r="MHB45" s="87"/>
      <c r="MHC45" s="87"/>
      <c r="MHD45" s="87"/>
      <c r="MHE45" s="87"/>
      <c r="MHF45" s="87"/>
      <c r="MHG45" s="87"/>
      <c r="MHH45" s="87"/>
      <c r="MHI45" s="87"/>
      <c r="MHJ45" s="87"/>
      <c r="MHK45" s="87"/>
      <c r="MHL45" s="87"/>
      <c r="MHM45" s="87"/>
      <c r="MHN45" s="87"/>
      <c r="MHO45" s="87"/>
      <c r="MHP45" s="87"/>
      <c r="MHQ45" s="87"/>
      <c r="MHR45" s="87"/>
      <c r="MHS45" s="87"/>
      <c r="MHT45" s="87"/>
      <c r="MHU45" s="87"/>
      <c r="MHV45" s="87"/>
      <c r="MHW45" s="87"/>
      <c r="MHX45" s="87"/>
      <c r="MHY45" s="87"/>
      <c r="MHZ45" s="87"/>
      <c r="MIA45" s="87"/>
      <c r="MIB45" s="87"/>
      <c r="MIC45" s="87"/>
      <c r="MID45" s="87"/>
      <c r="MIE45" s="87"/>
      <c r="MIF45" s="87"/>
      <c r="MIG45" s="87"/>
      <c r="MIH45" s="87"/>
      <c r="MII45" s="87"/>
      <c r="MIJ45" s="87"/>
      <c r="MIK45" s="87"/>
      <c r="MIL45" s="87"/>
      <c r="MIM45" s="87"/>
      <c r="MIN45" s="87"/>
      <c r="MIO45" s="87"/>
      <c r="MIP45" s="87"/>
      <c r="MIQ45" s="87"/>
      <c r="MIR45" s="87"/>
      <c r="MIS45" s="87"/>
      <c r="MIT45" s="87"/>
      <c r="MIU45" s="87"/>
      <c r="MIV45" s="87"/>
      <c r="MIW45" s="87"/>
      <c r="MIX45" s="87"/>
      <c r="MIY45" s="87"/>
      <c r="MIZ45" s="87"/>
      <c r="MJA45" s="87"/>
      <c r="MJB45" s="87"/>
      <c r="MJC45" s="87"/>
      <c r="MJD45" s="87"/>
      <c r="MJE45" s="87"/>
      <c r="MJF45" s="87"/>
      <c r="MJG45" s="87"/>
      <c r="MJH45" s="87"/>
      <c r="MJI45" s="87"/>
      <c r="MJJ45" s="87"/>
      <c r="MJK45" s="87"/>
      <c r="MJL45" s="87"/>
      <c r="MJM45" s="87"/>
      <c r="MJN45" s="87"/>
      <c r="MJO45" s="87"/>
      <c r="MJP45" s="87"/>
      <c r="MJQ45" s="87"/>
      <c r="MJR45" s="87"/>
      <c r="MJS45" s="87"/>
      <c r="MJT45" s="87"/>
      <c r="MJU45" s="87"/>
      <c r="MJV45" s="87"/>
      <c r="MJW45" s="87"/>
      <c r="MJX45" s="87"/>
      <c r="MJY45" s="87"/>
      <c r="MJZ45" s="87"/>
      <c r="MKA45" s="87"/>
      <c r="MKB45" s="87"/>
      <c r="MKC45" s="87"/>
      <c r="MKD45" s="87"/>
      <c r="MKE45" s="87"/>
      <c r="MKF45" s="87"/>
      <c r="MKG45" s="87"/>
      <c r="MKH45" s="87"/>
      <c r="MKI45" s="87"/>
      <c r="MKJ45" s="87"/>
      <c r="MKK45" s="87"/>
      <c r="MKL45" s="87"/>
      <c r="MKM45" s="87"/>
      <c r="MKN45" s="87"/>
      <c r="MKO45" s="87"/>
      <c r="MKP45" s="87"/>
      <c r="MKQ45" s="87"/>
      <c r="MKR45" s="87"/>
      <c r="MKS45" s="87"/>
      <c r="MKT45" s="87"/>
      <c r="MKU45" s="87"/>
      <c r="MKV45" s="87"/>
      <c r="MKW45" s="87"/>
      <c r="MKX45" s="87"/>
      <c r="MKY45" s="87"/>
      <c r="MKZ45" s="87"/>
      <c r="MLA45" s="87"/>
      <c r="MLB45" s="87"/>
      <c r="MLC45" s="87"/>
      <c r="MLD45" s="87"/>
      <c r="MLE45" s="87"/>
      <c r="MLF45" s="87"/>
      <c r="MLG45" s="87"/>
      <c r="MLH45" s="87"/>
      <c r="MLI45" s="87"/>
      <c r="MLJ45" s="87"/>
      <c r="MLK45" s="87"/>
      <c r="MLL45" s="87"/>
      <c r="MLM45" s="87"/>
      <c r="MLN45" s="87"/>
      <c r="MLO45" s="87"/>
      <c r="MLP45" s="87"/>
      <c r="MLQ45" s="87"/>
      <c r="MLR45" s="87"/>
      <c r="MLS45" s="87"/>
      <c r="MLT45" s="87"/>
      <c r="MLU45" s="87"/>
      <c r="MLV45" s="87"/>
      <c r="MLW45" s="87"/>
      <c r="MLX45" s="87"/>
      <c r="MLY45" s="87"/>
      <c r="MLZ45" s="87"/>
      <c r="MMA45" s="87"/>
      <c r="MMB45" s="87"/>
      <c r="MMC45" s="87"/>
      <c r="MMD45" s="87"/>
      <c r="MME45" s="87"/>
      <c r="MMF45" s="87"/>
      <c r="MMG45" s="87"/>
      <c r="MMH45" s="87"/>
      <c r="MMI45" s="87"/>
      <c r="MMJ45" s="87"/>
      <c r="MMK45" s="87"/>
      <c r="MML45" s="87"/>
      <c r="MMM45" s="87"/>
      <c r="MMN45" s="87"/>
      <c r="MMO45" s="87"/>
      <c r="MMP45" s="87"/>
      <c r="MMQ45" s="87"/>
      <c r="MMR45" s="87"/>
      <c r="MMS45" s="87"/>
      <c r="MMT45" s="87"/>
      <c r="MMU45" s="87"/>
      <c r="MMV45" s="87"/>
      <c r="MMW45" s="87"/>
      <c r="MMX45" s="87"/>
      <c r="MMY45" s="87"/>
      <c r="MMZ45" s="87"/>
      <c r="MNA45" s="87"/>
      <c r="MNB45" s="87"/>
      <c r="MNC45" s="87"/>
      <c r="MND45" s="87"/>
      <c r="MNE45" s="87"/>
      <c r="MNF45" s="87"/>
      <c r="MNG45" s="87"/>
      <c r="MNH45" s="87"/>
      <c r="MNI45" s="87"/>
      <c r="MNJ45" s="87"/>
      <c r="MNK45" s="87"/>
      <c r="MNL45" s="87"/>
      <c r="MNM45" s="87"/>
      <c r="MNN45" s="87"/>
      <c r="MNO45" s="87"/>
      <c r="MNP45" s="87"/>
      <c r="MNQ45" s="87"/>
      <c r="MNR45" s="87"/>
      <c r="MNS45" s="87"/>
      <c r="MNT45" s="87"/>
      <c r="MNU45" s="87"/>
      <c r="MNV45" s="87"/>
      <c r="MNW45" s="87"/>
      <c r="MNX45" s="87"/>
      <c r="MNY45" s="87"/>
      <c r="MNZ45" s="87"/>
      <c r="MOA45" s="87"/>
      <c r="MOB45" s="87"/>
      <c r="MOC45" s="87"/>
      <c r="MOD45" s="87"/>
      <c r="MOE45" s="87"/>
      <c r="MOF45" s="87"/>
      <c r="MOG45" s="87"/>
      <c r="MOH45" s="87"/>
      <c r="MOI45" s="87"/>
      <c r="MOJ45" s="87"/>
      <c r="MOK45" s="87"/>
      <c r="MOL45" s="87"/>
      <c r="MOM45" s="87"/>
      <c r="MON45" s="87"/>
      <c r="MOO45" s="87"/>
      <c r="MOP45" s="87"/>
      <c r="MOQ45" s="87"/>
      <c r="MOR45" s="87"/>
      <c r="MOS45" s="87"/>
      <c r="MOT45" s="87"/>
      <c r="MOU45" s="87"/>
      <c r="MOV45" s="87"/>
      <c r="MOW45" s="87"/>
      <c r="MOX45" s="87"/>
      <c r="MOY45" s="87"/>
      <c r="MOZ45" s="87"/>
      <c r="MPA45" s="87"/>
      <c r="MPB45" s="87"/>
      <c r="MPC45" s="87"/>
      <c r="MPD45" s="87"/>
      <c r="MPE45" s="87"/>
      <c r="MPF45" s="87"/>
      <c r="MPG45" s="87"/>
      <c r="MPH45" s="87"/>
      <c r="MPI45" s="87"/>
      <c r="MPJ45" s="87"/>
      <c r="MPK45" s="87"/>
      <c r="MPL45" s="87"/>
      <c r="MPM45" s="87"/>
      <c r="MPN45" s="87"/>
      <c r="MPO45" s="87"/>
      <c r="MPP45" s="87"/>
      <c r="MPQ45" s="87"/>
      <c r="MPR45" s="87"/>
      <c r="MPS45" s="87"/>
      <c r="MPT45" s="87"/>
      <c r="MPU45" s="87"/>
      <c r="MPV45" s="87"/>
      <c r="MPW45" s="87"/>
      <c r="MPX45" s="87"/>
      <c r="MPY45" s="87"/>
      <c r="MPZ45" s="87"/>
      <c r="MQA45" s="87"/>
      <c r="MQB45" s="87"/>
      <c r="MQC45" s="87"/>
      <c r="MQD45" s="87"/>
      <c r="MQE45" s="87"/>
      <c r="MQF45" s="87"/>
      <c r="MQG45" s="87"/>
      <c r="MQH45" s="87"/>
      <c r="MQI45" s="87"/>
      <c r="MQJ45" s="87"/>
      <c r="MQK45" s="87"/>
      <c r="MQL45" s="87"/>
      <c r="MQM45" s="87"/>
      <c r="MQN45" s="87"/>
      <c r="MQO45" s="87"/>
      <c r="MQP45" s="87"/>
      <c r="MQQ45" s="87"/>
      <c r="MQR45" s="87"/>
      <c r="MQS45" s="87"/>
      <c r="MQT45" s="87"/>
      <c r="MQU45" s="87"/>
      <c r="MQV45" s="87"/>
      <c r="MQW45" s="87"/>
      <c r="MQX45" s="87"/>
      <c r="MQY45" s="87"/>
      <c r="MQZ45" s="87"/>
      <c r="MRA45" s="87"/>
      <c r="MRB45" s="87"/>
      <c r="MRC45" s="87"/>
      <c r="MRD45" s="87"/>
      <c r="MRE45" s="87"/>
      <c r="MRF45" s="87"/>
      <c r="MRG45" s="87"/>
      <c r="MRH45" s="87"/>
      <c r="MRI45" s="87"/>
      <c r="MRJ45" s="87"/>
      <c r="MRK45" s="87"/>
      <c r="MRL45" s="87"/>
      <c r="MRM45" s="87"/>
      <c r="MRN45" s="87"/>
      <c r="MRO45" s="87"/>
      <c r="MRP45" s="87"/>
      <c r="MRQ45" s="87"/>
      <c r="MRR45" s="87"/>
      <c r="MRS45" s="87"/>
      <c r="MRT45" s="87"/>
      <c r="MRU45" s="87"/>
      <c r="MRV45" s="87"/>
      <c r="MRW45" s="87"/>
      <c r="MRX45" s="87"/>
      <c r="MRY45" s="87"/>
      <c r="MRZ45" s="87"/>
      <c r="MSA45" s="87"/>
      <c r="MSB45" s="87"/>
      <c r="MSC45" s="87"/>
      <c r="MSD45" s="87"/>
      <c r="MSE45" s="87"/>
      <c r="MSF45" s="87"/>
      <c r="MSG45" s="87"/>
      <c r="MSH45" s="87"/>
      <c r="MSI45" s="87"/>
      <c r="MSJ45" s="87"/>
      <c r="MSK45" s="87"/>
      <c r="MSL45" s="87"/>
      <c r="MSM45" s="87"/>
      <c r="MSN45" s="87"/>
      <c r="MSO45" s="87"/>
      <c r="MSP45" s="87"/>
      <c r="MSQ45" s="87"/>
      <c r="MSR45" s="87"/>
      <c r="MSS45" s="87"/>
      <c r="MST45" s="87"/>
      <c r="MSU45" s="87"/>
      <c r="MSV45" s="87"/>
      <c r="MSW45" s="87"/>
      <c r="MSX45" s="87"/>
      <c r="MSY45" s="87"/>
      <c r="MSZ45" s="87"/>
      <c r="MTA45" s="87"/>
      <c r="MTB45" s="87"/>
      <c r="MTC45" s="87"/>
      <c r="MTD45" s="87"/>
      <c r="MTE45" s="87"/>
      <c r="MTF45" s="87"/>
      <c r="MTG45" s="87"/>
      <c r="MTH45" s="87"/>
      <c r="MTI45" s="87"/>
      <c r="MTJ45" s="87"/>
      <c r="MTK45" s="87"/>
      <c r="MTL45" s="87"/>
      <c r="MTM45" s="87"/>
      <c r="MTN45" s="87"/>
      <c r="MTO45" s="87"/>
      <c r="MTP45" s="87"/>
      <c r="MTQ45" s="87"/>
      <c r="MTR45" s="87"/>
      <c r="MTS45" s="87"/>
      <c r="MTT45" s="87"/>
      <c r="MTU45" s="87"/>
      <c r="MTV45" s="87"/>
      <c r="MTW45" s="87"/>
      <c r="MTX45" s="87"/>
      <c r="MTY45" s="87"/>
      <c r="MTZ45" s="87"/>
      <c r="MUA45" s="87"/>
      <c r="MUB45" s="87"/>
      <c r="MUC45" s="87"/>
      <c r="MUD45" s="87"/>
      <c r="MUE45" s="87"/>
      <c r="MUF45" s="87"/>
      <c r="MUG45" s="87"/>
      <c r="MUH45" s="87"/>
      <c r="MUI45" s="87"/>
      <c r="MUJ45" s="87"/>
      <c r="MUK45" s="87"/>
      <c r="MUL45" s="87"/>
      <c r="MUM45" s="87"/>
      <c r="MUN45" s="87"/>
      <c r="MUO45" s="87"/>
      <c r="MUP45" s="87"/>
      <c r="MUQ45" s="87"/>
      <c r="MUR45" s="87"/>
      <c r="MUS45" s="87"/>
      <c r="MUT45" s="87"/>
      <c r="MUU45" s="87"/>
      <c r="MUV45" s="87"/>
      <c r="MUW45" s="87"/>
      <c r="MUX45" s="87"/>
      <c r="MUY45" s="87"/>
      <c r="MUZ45" s="87"/>
      <c r="MVA45" s="87"/>
      <c r="MVB45" s="87"/>
      <c r="MVC45" s="87"/>
      <c r="MVD45" s="87"/>
      <c r="MVE45" s="87"/>
      <c r="MVF45" s="87"/>
      <c r="MVG45" s="87"/>
      <c r="MVH45" s="87"/>
      <c r="MVI45" s="87"/>
      <c r="MVJ45" s="87"/>
      <c r="MVK45" s="87"/>
      <c r="MVL45" s="87"/>
      <c r="MVM45" s="87"/>
      <c r="MVN45" s="87"/>
      <c r="MVO45" s="87"/>
      <c r="MVP45" s="87"/>
      <c r="MVQ45" s="87"/>
      <c r="MVR45" s="87"/>
      <c r="MVS45" s="87"/>
      <c r="MVT45" s="87"/>
      <c r="MVU45" s="87"/>
      <c r="MVV45" s="87"/>
      <c r="MVW45" s="87"/>
      <c r="MVX45" s="87"/>
      <c r="MVY45" s="87"/>
      <c r="MVZ45" s="87"/>
      <c r="MWA45" s="87"/>
      <c r="MWB45" s="87"/>
      <c r="MWC45" s="87"/>
      <c r="MWD45" s="87"/>
      <c r="MWE45" s="87"/>
      <c r="MWF45" s="87"/>
      <c r="MWG45" s="87"/>
      <c r="MWH45" s="87"/>
      <c r="MWI45" s="87"/>
      <c r="MWJ45" s="87"/>
      <c r="MWK45" s="87"/>
      <c r="MWL45" s="87"/>
      <c r="MWM45" s="87"/>
      <c r="MWN45" s="87"/>
      <c r="MWO45" s="87"/>
      <c r="MWP45" s="87"/>
      <c r="MWQ45" s="87"/>
      <c r="MWR45" s="87"/>
      <c r="MWS45" s="87"/>
      <c r="MWT45" s="87"/>
      <c r="MWU45" s="87"/>
      <c r="MWV45" s="87"/>
      <c r="MWW45" s="87"/>
      <c r="MWX45" s="87"/>
      <c r="MWY45" s="87"/>
      <c r="MWZ45" s="87"/>
      <c r="MXA45" s="87"/>
      <c r="MXB45" s="87"/>
      <c r="MXC45" s="87"/>
      <c r="MXD45" s="87"/>
      <c r="MXE45" s="87"/>
      <c r="MXF45" s="87"/>
      <c r="MXG45" s="87"/>
      <c r="MXH45" s="87"/>
      <c r="MXI45" s="87"/>
      <c r="MXJ45" s="87"/>
      <c r="MXK45" s="87"/>
      <c r="MXL45" s="87"/>
      <c r="MXM45" s="87"/>
      <c r="MXN45" s="87"/>
      <c r="MXO45" s="87"/>
      <c r="MXP45" s="87"/>
      <c r="MXQ45" s="87"/>
      <c r="MXR45" s="87"/>
      <c r="MXS45" s="87"/>
      <c r="MXT45" s="87"/>
      <c r="MXU45" s="87"/>
      <c r="MXV45" s="87"/>
      <c r="MXW45" s="87"/>
      <c r="MXX45" s="87"/>
      <c r="MXY45" s="87"/>
      <c r="MXZ45" s="87"/>
      <c r="MYA45" s="87"/>
      <c r="MYB45" s="87"/>
      <c r="MYC45" s="87"/>
      <c r="MYD45" s="87"/>
      <c r="MYE45" s="87"/>
      <c r="MYF45" s="87"/>
      <c r="MYG45" s="87"/>
      <c r="MYH45" s="87"/>
      <c r="MYI45" s="87"/>
      <c r="MYJ45" s="87"/>
      <c r="MYK45" s="87"/>
      <c r="MYL45" s="87"/>
      <c r="MYM45" s="87"/>
      <c r="MYN45" s="87"/>
      <c r="MYO45" s="87"/>
      <c r="MYP45" s="87"/>
      <c r="MYQ45" s="87"/>
      <c r="MYR45" s="87"/>
      <c r="MYS45" s="87"/>
      <c r="MYT45" s="87"/>
      <c r="MYU45" s="87"/>
      <c r="MYV45" s="87"/>
      <c r="MYW45" s="87"/>
      <c r="MYX45" s="87"/>
      <c r="MYY45" s="87"/>
      <c r="MYZ45" s="87"/>
      <c r="MZA45" s="87"/>
      <c r="MZB45" s="87"/>
      <c r="MZC45" s="87"/>
      <c r="MZD45" s="87"/>
      <c r="MZE45" s="87"/>
      <c r="MZF45" s="87"/>
      <c r="MZG45" s="87"/>
      <c r="MZH45" s="87"/>
      <c r="MZI45" s="87"/>
      <c r="MZJ45" s="87"/>
      <c r="MZK45" s="87"/>
      <c r="MZL45" s="87"/>
      <c r="MZM45" s="87"/>
      <c r="MZN45" s="87"/>
      <c r="MZO45" s="87"/>
      <c r="MZP45" s="87"/>
      <c r="MZQ45" s="87"/>
      <c r="MZR45" s="87"/>
      <c r="MZS45" s="87"/>
      <c r="MZT45" s="87"/>
      <c r="MZU45" s="87"/>
      <c r="MZV45" s="87"/>
      <c r="MZW45" s="87"/>
      <c r="MZX45" s="87"/>
      <c r="MZY45" s="87"/>
      <c r="MZZ45" s="87"/>
      <c r="NAA45" s="87"/>
      <c r="NAB45" s="87"/>
      <c r="NAC45" s="87"/>
      <c r="NAD45" s="87"/>
      <c r="NAE45" s="87"/>
      <c r="NAF45" s="87"/>
      <c r="NAG45" s="87"/>
      <c r="NAH45" s="87"/>
      <c r="NAI45" s="87"/>
      <c r="NAJ45" s="87"/>
      <c r="NAK45" s="87"/>
      <c r="NAL45" s="87"/>
      <c r="NAM45" s="87"/>
      <c r="NAN45" s="87"/>
      <c r="NAO45" s="87"/>
      <c r="NAP45" s="87"/>
      <c r="NAQ45" s="87"/>
      <c r="NAR45" s="87"/>
      <c r="NAS45" s="87"/>
      <c r="NAT45" s="87"/>
      <c r="NAU45" s="87"/>
      <c r="NAV45" s="87"/>
      <c r="NAW45" s="87"/>
      <c r="NAX45" s="87"/>
      <c r="NAY45" s="87"/>
      <c r="NAZ45" s="87"/>
      <c r="NBA45" s="87"/>
      <c r="NBB45" s="87"/>
      <c r="NBC45" s="87"/>
      <c r="NBD45" s="87"/>
      <c r="NBE45" s="87"/>
      <c r="NBF45" s="87"/>
      <c r="NBG45" s="87"/>
      <c r="NBH45" s="87"/>
      <c r="NBI45" s="87"/>
      <c r="NBJ45" s="87"/>
      <c r="NBK45" s="87"/>
      <c r="NBL45" s="87"/>
      <c r="NBM45" s="87"/>
      <c r="NBN45" s="87"/>
      <c r="NBO45" s="87"/>
      <c r="NBP45" s="87"/>
      <c r="NBQ45" s="87"/>
      <c r="NBR45" s="87"/>
      <c r="NBS45" s="87"/>
      <c r="NBT45" s="87"/>
      <c r="NBU45" s="87"/>
      <c r="NBV45" s="87"/>
      <c r="NBW45" s="87"/>
      <c r="NBX45" s="87"/>
      <c r="NBY45" s="87"/>
      <c r="NBZ45" s="87"/>
      <c r="NCA45" s="87"/>
      <c r="NCB45" s="87"/>
      <c r="NCC45" s="87"/>
      <c r="NCD45" s="87"/>
      <c r="NCE45" s="87"/>
      <c r="NCF45" s="87"/>
      <c r="NCG45" s="87"/>
      <c r="NCH45" s="87"/>
      <c r="NCI45" s="87"/>
      <c r="NCJ45" s="87"/>
      <c r="NCK45" s="87"/>
      <c r="NCL45" s="87"/>
      <c r="NCM45" s="87"/>
      <c r="NCN45" s="87"/>
      <c r="NCO45" s="87"/>
      <c r="NCP45" s="87"/>
      <c r="NCQ45" s="87"/>
      <c r="NCR45" s="87"/>
      <c r="NCS45" s="87"/>
      <c r="NCT45" s="87"/>
      <c r="NCU45" s="87"/>
      <c r="NCV45" s="87"/>
      <c r="NCW45" s="87"/>
      <c r="NCX45" s="87"/>
      <c r="NCY45" s="87"/>
      <c r="NCZ45" s="87"/>
      <c r="NDA45" s="87"/>
      <c r="NDB45" s="87"/>
      <c r="NDC45" s="87"/>
      <c r="NDD45" s="87"/>
      <c r="NDE45" s="87"/>
      <c r="NDF45" s="87"/>
      <c r="NDG45" s="87"/>
      <c r="NDH45" s="87"/>
      <c r="NDI45" s="87"/>
      <c r="NDJ45" s="87"/>
      <c r="NDK45" s="87"/>
      <c r="NDL45" s="87"/>
      <c r="NDM45" s="87"/>
      <c r="NDN45" s="87"/>
      <c r="NDO45" s="87"/>
      <c r="NDP45" s="87"/>
      <c r="NDQ45" s="87"/>
      <c r="NDR45" s="87"/>
      <c r="NDS45" s="87"/>
      <c r="NDT45" s="87"/>
      <c r="NDU45" s="87"/>
      <c r="NDV45" s="87"/>
      <c r="NDW45" s="87"/>
      <c r="NDX45" s="87"/>
      <c r="NDY45" s="87"/>
      <c r="NDZ45" s="87"/>
      <c r="NEA45" s="87"/>
      <c r="NEB45" s="87"/>
      <c r="NEC45" s="87"/>
      <c r="NED45" s="87"/>
      <c r="NEE45" s="87"/>
      <c r="NEF45" s="87"/>
      <c r="NEG45" s="87"/>
      <c r="NEH45" s="87"/>
      <c r="NEI45" s="87"/>
      <c r="NEJ45" s="87"/>
      <c r="NEK45" s="87"/>
      <c r="NEL45" s="87"/>
      <c r="NEM45" s="87"/>
      <c r="NEN45" s="87"/>
      <c r="NEO45" s="87"/>
      <c r="NEP45" s="87"/>
      <c r="NEQ45" s="87"/>
      <c r="NER45" s="87"/>
      <c r="NES45" s="87"/>
      <c r="NET45" s="87"/>
      <c r="NEU45" s="87"/>
      <c r="NEV45" s="87"/>
      <c r="NEW45" s="87"/>
      <c r="NEX45" s="87"/>
      <c r="NEY45" s="87"/>
      <c r="NEZ45" s="87"/>
      <c r="NFA45" s="87"/>
      <c r="NFB45" s="87"/>
      <c r="NFC45" s="87"/>
      <c r="NFD45" s="87"/>
      <c r="NFE45" s="87"/>
      <c r="NFF45" s="87"/>
      <c r="NFG45" s="87"/>
      <c r="NFH45" s="87"/>
      <c r="NFI45" s="87"/>
      <c r="NFJ45" s="87"/>
      <c r="NFK45" s="87"/>
      <c r="NFL45" s="87"/>
      <c r="NFM45" s="87"/>
      <c r="NFN45" s="87"/>
      <c r="NFO45" s="87"/>
      <c r="NFP45" s="87"/>
      <c r="NFQ45" s="87"/>
      <c r="NFR45" s="87"/>
      <c r="NFS45" s="87"/>
      <c r="NFT45" s="87"/>
      <c r="NFU45" s="87"/>
      <c r="NFV45" s="87"/>
      <c r="NFW45" s="87"/>
      <c r="NFX45" s="87"/>
      <c r="NFY45" s="87"/>
      <c r="NFZ45" s="87"/>
      <c r="NGA45" s="87"/>
      <c r="NGB45" s="87"/>
      <c r="NGC45" s="87"/>
      <c r="NGD45" s="87"/>
      <c r="NGE45" s="87"/>
      <c r="NGF45" s="87"/>
      <c r="NGG45" s="87"/>
      <c r="NGH45" s="87"/>
      <c r="NGI45" s="87"/>
      <c r="NGJ45" s="87"/>
      <c r="NGK45" s="87"/>
      <c r="NGL45" s="87"/>
      <c r="NGM45" s="87"/>
      <c r="NGN45" s="87"/>
      <c r="NGO45" s="87"/>
      <c r="NGP45" s="87"/>
      <c r="NGQ45" s="87"/>
      <c r="NGR45" s="87"/>
      <c r="NGS45" s="87"/>
      <c r="NGT45" s="87"/>
      <c r="NGU45" s="87"/>
      <c r="NGV45" s="87"/>
      <c r="NGW45" s="87"/>
      <c r="NGX45" s="87"/>
      <c r="NGY45" s="87"/>
      <c r="NGZ45" s="87"/>
      <c r="NHA45" s="87"/>
      <c r="NHB45" s="87"/>
      <c r="NHC45" s="87"/>
      <c r="NHD45" s="87"/>
      <c r="NHE45" s="87"/>
      <c r="NHF45" s="87"/>
      <c r="NHG45" s="87"/>
      <c r="NHH45" s="87"/>
      <c r="NHI45" s="87"/>
      <c r="NHJ45" s="87"/>
      <c r="NHK45" s="87"/>
      <c r="NHL45" s="87"/>
      <c r="NHM45" s="87"/>
      <c r="NHN45" s="87"/>
      <c r="NHO45" s="87"/>
      <c r="NHP45" s="87"/>
      <c r="NHQ45" s="87"/>
      <c r="NHR45" s="87"/>
      <c r="NHS45" s="87"/>
      <c r="NHT45" s="87"/>
      <c r="NHU45" s="87"/>
      <c r="NHV45" s="87"/>
      <c r="NHW45" s="87"/>
      <c r="NHX45" s="87"/>
      <c r="NHY45" s="87"/>
      <c r="NHZ45" s="87"/>
      <c r="NIA45" s="87"/>
      <c r="NIB45" s="87"/>
      <c r="NIC45" s="87"/>
      <c r="NID45" s="87"/>
      <c r="NIE45" s="87"/>
      <c r="NIF45" s="87"/>
      <c r="NIG45" s="87"/>
      <c r="NIH45" s="87"/>
      <c r="NII45" s="87"/>
      <c r="NIJ45" s="87"/>
      <c r="NIK45" s="87"/>
      <c r="NIL45" s="87"/>
      <c r="NIM45" s="87"/>
      <c r="NIN45" s="87"/>
      <c r="NIO45" s="87"/>
      <c r="NIP45" s="87"/>
      <c r="NIQ45" s="87"/>
      <c r="NIR45" s="87"/>
      <c r="NIS45" s="87"/>
      <c r="NIT45" s="87"/>
      <c r="NIU45" s="87"/>
      <c r="NIV45" s="87"/>
      <c r="NIW45" s="87"/>
      <c r="NIX45" s="87"/>
      <c r="NIY45" s="87"/>
      <c r="NIZ45" s="87"/>
      <c r="NJA45" s="87"/>
      <c r="NJB45" s="87"/>
      <c r="NJC45" s="87"/>
      <c r="NJD45" s="87"/>
      <c r="NJE45" s="87"/>
      <c r="NJF45" s="87"/>
      <c r="NJG45" s="87"/>
      <c r="NJH45" s="87"/>
      <c r="NJI45" s="87"/>
      <c r="NJJ45" s="87"/>
      <c r="NJK45" s="87"/>
      <c r="NJL45" s="87"/>
      <c r="NJM45" s="87"/>
      <c r="NJN45" s="87"/>
      <c r="NJO45" s="87"/>
      <c r="NJP45" s="87"/>
      <c r="NJQ45" s="87"/>
      <c r="NJR45" s="87"/>
      <c r="NJS45" s="87"/>
      <c r="NJT45" s="87"/>
      <c r="NJU45" s="87"/>
      <c r="NJV45" s="87"/>
      <c r="NJW45" s="87"/>
      <c r="NJX45" s="87"/>
      <c r="NJY45" s="87"/>
      <c r="NJZ45" s="87"/>
      <c r="NKA45" s="87"/>
      <c r="NKB45" s="87"/>
      <c r="NKC45" s="87"/>
      <c r="NKD45" s="87"/>
      <c r="NKE45" s="87"/>
      <c r="NKF45" s="87"/>
      <c r="NKG45" s="87"/>
      <c r="NKH45" s="87"/>
      <c r="NKI45" s="87"/>
      <c r="NKJ45" s="87"/>
      <c r="NKK45" s="87"/>
      <c r="NKL45" s="87"/>
      <c r="NKM45" s="87"/>
      <c r="NKN45" s="87"/>
      <c r="NKO45" s="87"/>
      <c r="NKP45" s="87"/>
      <c r="NKQ45" s="87"/>
      <c r="NKR45" s="87"/>
      <c r="NKS45" s="87"/>
      <c r="NKT45" s="87"/>
      <c r="NKU45" s="87"/>
      <c r="NKV45" s="87"/>
      <c r="NKW45" s="87"/>
      <c r="NKX45" s="87"/>
      <c r="NKY45" s="87"/>
      <c r="NKZ45" s="87"/>
      <c r="NLA45" s="87"/>
      <c r="NLB45" s="87"/>
      <c r="NLC45" s="87"/>
      <c r="NLD45" s="87"/>
      <c r="NLE45" s="87"/>
      <c r="NLF45" s="87"/>
      <c r="NLG45" s="87"/>
      <c r="NLH45" s="87"/>
      <c r="NLI45" s="87"/>
      <c r="NLJ45" s="87"/>
      <c r="NLK45" s="87"/>
      <c r="NLL45" s="87"/>
      <c r="NLM45" s="87"/>
      <c r="NLN45" s="87"/>
      <c r="NLO45" s="87"/>
      <c r="NLP45" s="87"/>
      <c r="NLQ45" s="87"/>
      <c r="NLR45" s="87"/>
      <c r="NLS45" s="87"/>
      <c r="NLT45" s="87"/>
      <c r="NLU45" s="87"/>
      <c r="NLV45" s="87"/>
      <c r="NLW45" s="87"/>
      <c r="NLX45" s="87"/>
      <c r="NLY45" s="87"/>
      <c r="NLZ45" s="87"/>
      <c r="NMA45" s="87"/>
      <c r="NMB45" s="87"/>
      <c r="NMC45" s="87"/>
      <c r="NMD45" s="87"/>
      <c r="NME45" s="87"/>
      <c r="NMF45" s="87"/>
      <c r="NMG45" s="87"/>
      <c r="NMH45" s="87"/>
      <c r="NMI45" s="87"/>
      <c r="NMJ45" s="87"/>
      <c r="NMK45" s="87"/>
      <c r="NML45" s="87"/>
      <c r="NMM45" s="87"/>
      <c r="NMN45" s="87"/>
      <c r="NMO45" s="87"/>
      <c r="NMP45" s="87"/>
      <c r="NMQ45" s="87"/>
      <c r="NMR45" s="87"/>
      <c r="NMS45" s="87"/>
      <c r="NMT45" s="87"/>
      <c r="NMU45" s="87"/>
      <c r="NMV45" s="87"/>
      <c r="NMW45" s="87"/>
      <c r="NMX45" s="87"/>
      <c r="NMY45" s="87"/>
      <c r="NMZ45" s="87"/>
      <c r="NNA45" s="87"/>
      <c r="NNB45" s="87"/>
      <c r="NNC45" s="87"/>
      <c r="NND45" s="87"/>
      <c r="NNE45" s="87"/>
      <c r="NNF45" s="87"/>
      <c r="NNG45" s="87"/>
      <c r="NNH45" s="87"/>
      <c r="NNI45" s="87"/>
      <c r="NNJ45" s="87"/>
      <c r="NNK45" s="87"/>
      <c r="NNL45" s="87"/>
      <c r="NNM45" s="87"/>
      <c r="NNN45" s="87"/>
      <c r="NNO45" s="87"/>
      <c r="NNP45" s="87"/>
      <c r="NNQ45" s="87"/>
      <c r="NNR45" s="87"/>
      <c r="NNS45" s="87"/>
      <c r="NNT45" s="87"/>
      <c r="NNU45" s="87"/>
      <c r="NNV45" s="87"/>
      <c r="NNW45" s="87"/>
      <c r="NNX45" s="87"/>
      <c r="NNY45" s="87"/>
      <c r="NNZ45" s="87"/>
      <c r="NOA45" s="87"/>
      <c r="NOB45" s="87"/>
      <c r="NOC45" s="87"/>
      <c r="NOD45" s="87"/>
      <c r="NOE45" s="87"/>
      <c r="NOF45" s="87"/>
      <c r="NOG45" s="87"/>
      <c r="NOH45" s="87"/>
      <c r="NOI45" s="87"/>
      <c r="NOJ45" s="87"/>
      <c r="NOK45" s="87"/>
      <c r="NOL45" s="87"/>
      <c r="NOM45" s="87"/>
      <c r="NON45" s="87"/>
      <c r="NOO45" s="87"/>
      <c r="NOP45" s="87"/>
      <c r="NOQ45" s="87"/>
      <c r="NOR45" s="87"/>
      <c r="NOS45" s="87"/>
      <c r="NOT45" s="87"/>
      <c r="NOU45" s="87"/>
      <c r="NOV45" s="87"/>
      <c r="NOW45" s="87"/>
      <c r="NOX45" s="87"/>
      <c r="NOY45" s="87"/>
      <c r="NOZ45" s="87"/>
      <c r="NPA45" s="87"/>
      <c r="NPB45" s="87"/>
      <c r="NPC45" s="87"/>
      <c r="NPD45" s="87"/>
      <c r="NPE45" s="87"/>
      <c r="NPF45" s="87"/>
      <c r="NPG45" s="87"/>
      <c r="NPH45" s="87"/>
      <c r="NPI45" s="87"/>
      <c r="NPJ45" s="87"/>
      <c r="NPK45" s="87"/>
      <c r="NPL45" s="87"/>
      <c r="NPM45" s="87"/>
      <c r="NPN45" s="87"/>
      <c r="NPO45" s="87"/>
      <c r="NPP45" s="87"/>
      <c r="NPQ45" s="87"/>
      <c r="NPR45" s="87"/>
      <c r="NPS45" s="87"/>
      <c r="NPT45" s="87"/>
      <c r="NPU45" s="87"/>
      <c r="NPV45" s="87"/>
      <c r="NPW45" s="87"/>
      <c r="NPX45" s="87"/>
      <c r="NPY45" s="87"/>
      <c r="NPZ45" s="87"/>
      <c r="NQA45" s="87"/>
      <c r="NQB45" s="87"/>
      <c r="NQC45" s="87"/>
      <c r="NQD45" s="87"/>
      <c r="NQE45" s="87"/>
      <c r="NQF45" s="87"/>
      <c r="NQG45" s="87"/>
      <c r="NQH45" s="87"/>
      <c r="NQI45" s="87"/>
      <c r="NQJ45" s="87"/>
      <c r="NQK45" s="87"/>
      <c r="NQL45" s="87"/>
      <c r="NQM45" s="87"/>
      <c r="NQN45" s="87"/>
      <c r="NQO45" s="87"/>
      <c r="NQP45" s="87"/>
      <c r="NQQ45" s="87"/>
      <c r="NQR45" s="87"/>
      <c r="NQS45" s="87"/>
      <c r="NQT45" s="87"/>
      <c r="NQU45" s="87"/>
      <c r="NQV45" s="87"/>
      <c r="NQW45" s="87"/>
      <c r="NQX45" s="87"/>
      <c r="NQY45" s="87"/>
      <c r="NQZ45" s="87"/>
      <c r="NRA45" s="87"/>
      <c r="NRB45" s="87"/>
      <c r="NRC45" s="87"/>
      <c r="NRD45" s="87"/>
      <c r="NRE45" s="87"/>
      <c r="NRF45" s="87"/>
      <c r="NRG45" s="87"/>
      <c r="NRH45" s="87"/>
      <c r="NRI45" s="87"/>
      <c r="NRJ45" s="87"/>
      <c r="NRK45" s="87"/>
      <c r="NRL45" s="87"/>
      <c r="NRM45" s="87"/>
      <c r="NRN45" s="87"/>
      <c r="NRO45" s="87"/>
      <c r="NRP45" s="87"/>
      <c r="NRQ45" s="87"/>
      <c r="NRR45" s="87"/>
      <c r="NRS45" s="87"/>
      <c r="NRT45" s="87"/>
      <c r="NRU45" s="87"/>
      <c r="NRV45" s="87"/>
      <c r="NRW45" s="87"/>
      <c r="NRX45" s="87"/>
      <c r="NRY45" s="87"/>
      <c r="NRZ45" s="87"/>
      <c r="NSA45" s="87"/>
      <c r="NSB45" s="87"/>
      <c r="NSC45" s="87"/>
      <c r="NSD45" s="87"/>
      <c r="NSE45" s="87"/>
      <c r="NSF45" s="87"/>
      <c r="NSG45" s="87"/>
      <c r="NSH45" s="87"/>
      <c r="NSI45" s="87"/>
      <c r="NSJ45" s="87"/>
      <c r="NSK45" s="87"/>
      <c r="NSL45" s="87"/>
      <c r="NSM45" s="87"/>
      <c r="NSN45" s="87"/>
      <c r="NSO45" s="87"/>
      <c r="NSP45" s="87"/>
      <c r="NSQ45" s="87"/>
      <c r="NSR45" s="87"/>
      <c r="NSS45" s="87"/>
      <c r="NST45" s="87"/>
      <c r="NSU45" s="87"/>
      <c r="NSV45" s="87"/>
      <c r="NSW45" s="87"/>
      <c r="NSX45" s="87"/>
      <c r="NSY45" s="87"/>
      <c r="NSZ45" s="87"/>
      <c r="NTA45" s="87"/>
      <c r="NTB45" s="87"/>
      <c r="NTC45" s="87"/>
      <c r="NTD45" s="87"/>
      <c r="NTE45" s="87"/>
      <c r="NTF45" s="87"/>
      <c r="NTG45" s="87"/>
      <c r="NTH45" s="87"/>
      <c r="NTI45" s="87"/>
      <c r="NTJ45" s="87"/>
      <c r="NTK45" s="87"/>
      <c r="NTL45" s="87"/>
      <c r="NTM45" s="87"/>
      <c r="NTN45" s="87"/>
      <c r="NTO45" s="87"/>
      <c r="NTP45" s="87"/>
      <c r="NTQ45" s="87"/>
      <c r="NTR45" s="87"/>
      <c r="NTS45" s="87"/>
      <c r="NTT45" s="87"/>
      <c r="NTU45" s="87"/>
      <c r="NTV45" s="87"/>
      <c r="NTW45" s="87"/>
      <c r="NTX45" s="87"/>
      <c r="NTY45" s="87"/>
      <c r="NTZ45" s="87"/>
      <c r="NUA45" s="87"/>
      <c r="NUB45" s="87"/>
      <c r="NUC45" s="87"/>
      <c r="NUD45" s="87"/>
      <c r="NUE45" s="87"/>
      <c r="NUF45" s="87"/>
      <c r="NUG45" s="87"/>
      <c r="NUH45" s="87"/>
      <c r="NUI45" s="87"/>
      <c r="NUJ45" s="87"/>
      <c r="NUK45" s="87"/>
      <c r="NUL45" s="87"/>
      <c r="NUM45" s="87"/>
      <c r="NUN45" s="87"/>
      <c r="NUO45" s="87"/>
      <c r="NUP45" s="87"/>
      <c r="NUQ45" s="87"/>
      <c r="NUR45" s="87"/>
      <c r="NUS45" s="87"/>
      <c r="NUT45" s="87"/>
      <c r="NUU45" s="87"/>
      <c r="NUV45" s="87"/>
      <c r="NUW45" s="87"/>
      <c r="NUX45" s="87"/>
      <c r="NUY45" s="87"/>
      <c r="NUZ45" s="87"/>
      <c r="NVA45" s="87"/>
      <c r="NVB45" s="87"/>
      <c r="NVC45" s="87"/>
      <c r="NVD45" s="87"/>
      <c r="NVE45" s="87"/>
      <c r="NVF45" s="87"/>
      <c r="NVG45" s="87"/>
      <c r="NVH45" s="87"/>
      <c r="NVI45" s="87"/>
      <c r="NVJ45" s="87"/>
      <c r="NVK45" s="87"/>
      <c r="NVL45" s="87"/>
      <c r="NVM45" s="87"/>
      <c r="NVN45" s="87"/>
      <c r="NVO45" s="87"/>
      <c r="NVP45" s="87"/>
      <c r="NVQ45" s="87"/>
      <c r="NVR45" s="87"/>
      <c r="NVS45" s="87"/>
      <c r="NVT45" s="87"/>
      <c r="NVU45" s="87"/>
      <c r="NVV45" s="87"/>
      <c r="NVW45" s="87"/>
      <c r="NVX45" s="87"/>
      <c r="NVY45" s="87"/>
      <c r="NVZ45" s="87"/>
      <c r="NWA45" s="87"/>
      <c r="NWB45" s="87"/>
      <c r="NWC45" s="87"/>
      <c r="NWD45" s="87"/>
      <c r="NWE45" s="87"/>
      <c r="NWF45" s="87"/>
      <c r="NWG45" s="87"/>
      <c r="NWH45" s="87"/>
      <c r="NWI45" s="87"/>
      <c r="NWJ45" s="87"/>
      <c r="NWK45" s="87"/>
      <c r="NWL45" s="87"/>
      <c r="NWM45" s="87"/>
      <c r="NWN45" s="87"/>
      <c r="NWO45" s="87"/>
      <c r="NWP45" s="87"/>
      <c r="NWQ45" s="87"/>
      <c r="NWR45" s="87"/>
      <c r="NWS45" s="87"/>
      <c r="NWT45" s="87"/>
      <c r="NWU45" s="87"/>
      <c r="NWV45" s="87"/>
      <c r="NWW45" s="87"/>
      <c r="NWX45" s="87"/>
      <c r="NWY45" s="87"/>
      <c r="NWZ45" s="87"/>
      <c r="NXA45" s="87"/>
      <c r="NXB45" s="87"/>
      <c r="NXC45" s="87"/>
      <c r="NXD45" s="87"/>
      <c r="NXE45" s="87"/>
      <c r="NXF45" s="87"/>
      <c r="NXG45" s="87"/>
      <c r="NXH45" s="87"/>
      <c r="NXI45" s="87"/>
      <c r="NXJ45" s="87"/>
      <c r="NXK45" s="87"/>
      <c r="NXL45" s="87"/>
      <c r="NXM45" s="87"/>
      <c r="NXN45" s="87"/>
      <c r="NXO45" s="87"/>
      <c r="NXP45" s="87"/>
      <c r="NXQ45" s="87"/>
      <c r="NXR45" s="87"/>
      <c r="NXS45" s="87"/>
      <c r="NXT45" s="87"/>
      <c r="NXU45" s="87"/>
      <c r="NXV45" s="87"/>
      <c r="NXW45" s="87"/>
      <c r="NXX45" s="87"/>
      <c r="NXY45" s="87"/>
      <c r="NXZ45" s="87"/>
      <c r="NYA45" s="87"/>
      <c r="NYB45" s="87"/>
      <c r="NYC45" s="87"/>
      <c r="NYD45" s="87"/>
      <c r="NYE45" s="87"/>
      <c r="NYF45" s="87"/>
      <c r="NYG45" s="87"/>
      <c r="NYH45" s="87"/>
      <c r="NYI45" s="87"/>
      <c r="NYJ45" s="87"/>
      <c r="NYK45" s="87"/>
      <c r="NYL45" s="87"/>
      <c r="NYM45" s="87"/>
      <c r="NYN45" s="87"/>
      <c r="NYO45" s="87"/>
      <c r="NYP45" s="87"/>
      <c r="NYQ45" s="87"/>
      <c r="NYR45" s="87"/>
      <c r="NYS45" s="87"/>
      <c r="NYT45" s="87"/>
      <c r="NYU45" s="87"/>
      <c r="NYV45" s="87"/>
      <c r="NYW45" s="87"/>
      <c r="NYX45" s="87"/>
      <c r="NYY45" s="87"/>
      <c r="NYZ45" s="87"/>
      <c r="NZA45" s="87"/>
      <c r="NZB45" s="87"/>
      <c r="NZC45" s="87"/>
      <c r="NZD45" s="87"/>
      <c r="NZE45" s="87"/>
      <c r="NZF45" s="87"/>
      <c r="NZG45" s="87"/>
      <c r="NZH45" s="87"/>
      <c r="NZI45" s="87"/>
      <c r="NZJ45" s="87"/>
      <c r="NZK45" s="87"/>
      <c r="NZL45" s="87"/>
      <c r="NZM45" s="87"/>
      <c r="NZN45" s="87"/>
      <c r="NZO45" s="87"/>
      <c r="NZP45" s="87"/>
      <c r="NZQ45" s="87"/>
      <c r="NZR45" s="87"/>
      <c r="NZS45" s="87"/>
      <c r="NZT45" s="87"/>
      <c r="NZU45" s="87"/>
      <c r="NZV45" s="87"/>
      <c r="NZW45" s="87"/>
      <c r="NZX45" s="87"/>
      <c r="NZY45" s="87"/>
      <c r="NZZ45" s="87"/>
      <c r="OAA45" s="87"/>
      <c r="OAB45" s="87"/>
      <c r="OAC45" s="87"/>
      <c r="OAD45" s="87"/>
      <c r="OAE45" s="87"/>
      <c r="OAF45" s="87"/>
      <c r="OAG45" s="87"/>
      <c r="OAH45" s="87"/>
      <c r="OAI45" s="87"/>
      <c r="OAJ45" s="87"/>
      <c r="OAK45" s="87"/>
      <c r="OAL45" s="87"/>
      <c r="OAM45" s="87"/>
      <c r="OAN45" s="87"/>
      <c r="OAO45" s="87"/>
      <c r="OAP45" s="87"/>
      <c r="OAQ45" s="87"/>
      <c r="OAR45" s="87"/>
      <c r="OAS45" s="87"/>
      <c r="OAT45" s="87"/>
      <c r="OAU45" s="87"/>
      <c r="OAV45" s="87"/>
      <c r="OAW45" s="87"/>
      <c r="OAX45" s="87"/>
      <c r="OAY45" s="87"/>
      <c r="OAZ45" s="87"/>
      <c r="OBA45" s="87"/>
      <c r="OBB45" s="87"/>
      <c r="OBC45" s="87"/>
      <c r="OBD45" s="87"/>
      <c r="OBE45" s="87"/>
      <c r="OBF45" s="87"/>
      <c r="OBG45" s="87"/>
      <c r="OBH45" s="87"/>
      <c r="OBI45" s="87"/>
      <c r="OBJ45" s="87"/>
      <c r="OBK45" s="87"/>
      <c r="OBL45" s="87"/>
      <c r="OBM45" s="87"/>
      <c r="OBN45" s="87"/>
      <c r="OBO45" s="87"/>
      <c r="OBP45" s="87"/>
      <c r="OBQ45" s="87"/>
      <c r="OBR45" s="87"/>
      <c r="OBS45" s="87"/>
      <c r="OBT45" s="87"/>
      <c r="OBU45" s="87"/>
      <c r="OBV45" s="87"/>
      <c r="OBW45" s="87"/>
      <c r="OBX45" s="87"/>
      <c r="OBY45" s="87"/>
      <c r="OBZ45" s="87"/>
      <c r="OCA45" s="87"/>
      <c r="OCB45" s="87"/>
      <c r="OCC45" s="87"/>
      <c r="OCD45" s="87"/>
      <c r="OCE45" s="87"/>
      <c r="OCF45" s="87"/>
      <c r="OCG45" s="87"/>
      <c r="OCH45" s="87"/>
      <c r="OCI45" s="87"/>
      <c r="OCJ45" s="87"/>
      <c r="OCK45" s="87"/>
      <c r="OCL45" s="87"/>
      <c r="OCM45" s="87"/>
      <c r="OCN45" s="87"/>
      <c r="OCO45" s="87"/>
      <c r="OCP45" s="87"/>
      <c r="OCQ45" s="87"/>
      <c r="OCR45" s="87"/>
      <c r="OCS45" s="87"/>
      <c r="OCT45" s="87"/>
      <c r="OCU45" s="87"/>
      <c r="OCV45" s="87"/>
      <c r="OCW45" s="87"/>
      <c r="OCX45" s="87"/>
      <c r="OCY45" s="87"/>
      <c r="OCZ45" s="87"/>
      <c r="ODA45" s="87"/>
      <c r="ODB45" s="87"/>
      <c r="ODC45" s="87"/>
      <c r="ODD45" s="87"/>
      <c r="ODE45" s="87"/>
      <c r="ODF45" s="87"/>
      <c r="ODG45" s="87"/>
      <c r="ODH45" s="87"/>
      <c r="ODI45" s="87"/>
      <c r="ODJ45" s="87"/>
      <c r="ODK45" s="87"/>
      <c r="ODL45" s="87"/>
      <c r="ODM45" s="87"/>
      <c r="ODN45" s="87"/>
      <c r="ODO45" s="87"/>
      <c r="ODP45" s="87"/>
      <c r="ODQ45" s="87"/>
      <c r="ODR45" s="87"/>
      <c r="ODS45" s="87"/>
      <c r="ODT45" s="87"/>
      <c r="ODU45" s="87"/>
      <c r="ODV45" s="87"/>
      <c r="ODW45" s="87"/>
      <c r="ODX45" s="87"/>
      <c r="ODY45" s="87"/>
      <c r="ODZ45" s="87"/>
      <c r="OEA45" s="87"/>
      <c r="OEB45" s="87"/>
      <c r="OEC45" s="87"/>
      <c r="OED45" s="87"/>
      <c r="OEE45" s="87"/>
      <c r="OEF45" s="87"/>
      <c r="OEG45" s="87"/>
      <c r="OEH45" s="87"/>
      <c r="OEI45" s="87"/>
      <c r="OEJ45" s="87"/>
      <c r="OEK45" s="87"/>
      <c r="OEL45" s="87"/>
      <c r="OEM45" s="87"/>
      <c r="OEN45" s="87"/>
      <c r="OEO45" s="87"/>
      <c r="OEP45" s="87"/>
      <c r="OEQ45" s="87"/>
      <c r="OER45" s="87"/>
      <c r="OES45" s="87"/>
      <c r="OET45" s="87"/>
      <c r="OEU45" s="87"/>
      <c r="OEV45" s="87"/>
      <c r="OEW45" s="87"/>
      <c r="OEX45" s="87"/>
      <c r="OEY45" s="87"/>
      <c r="OEZ45" s="87"/>
      <c r="OFA45" s="87"/>
      <c r="OFB45" s="87"/>
      <c r="OFC45" s="87"/>
      <c r="OFD45" s="87"/>
      <c r="OFE45" s="87"/>
      <c r="OFF45" s="87"/>
      <c r="OFG45" s="87"/>
      <c r="OFH45" s="87"/>
      <c r="OFI45" s="87"/>
      <c r="OFJ45" s="87"/>
      <c r="OFK45" s="87"/>
      <c r="OFL45" s="87"/>
      <c r="OFM45" s="87"/>
      <c r="OFN45" s="87"/>
      <c r="OFO45" s="87"/>
      <c r="OFP45" s="87"/>
      <c r="OFQ45" s="87"/>
      <c r="OFR45" s="87"/>
      <c r="OFS45" s="87"/>
      <c r="OFT45" s="87"/>
      <c r="OFU45" s="87"/>
      <c r="OFV45" s="87"/>
      <c r="OFW45" s="87"/>
      <c r="OFX45" s="87"/>
      <c r="OFY45" s="87"/>
      <c r="OFZ45" s="87"/>
      <c r="OGA45" s="87"/>
      <c r="OGB45" s="87"/>
      <c r="OGC45" s="87"/>
      <c r="OGD45" s="87"/>
      <c r="OGE45" s="87"/>
      <c r="OGF45" s="87"/>
      <c r="OGG45" s="87"/>
      <c r="OGH45" s="87"/>
      <c r="OGI45" s="87"/>
      <c r="OGJ45" s="87"/>
      <c r="OGK45" s="87"/>
      <c r="OGL45" s="87"/>
      <c r="OGM45" s="87"/>
      <c r="OGN45" s="87"/>
      <c r="OGO45" s="87"/>
      <c r="OGP45" s="87"/>
      <c r="OGQ45" s="87"/>
      <c r="OGR45" s="87"/>
      <c r="OGS45" s="87"/>
      <c r="OGT45" s="87"/>
      <c r="OGU45" s="87"/>
      <c r="OGV45" s="87"/>
      <c r="OGW45" s="87"/>
      <c r="OGX45" s="87"/>
      <c r="OGY45" s="87"/>
      <c r="OGZ45" s="87"/>
      <c r="OHA45" s="87"/>
      <c r="OHB45" s="87"/>
      <c r="OHC45" s="87"/>
      <c r="OHD45" s="87"/>
      <c r="OHE45" s="87"/>
      <c r="OHF45" s="87"/>
      <c r="OHG45" s="87"/>
      <c r="OHH45" s="87"/>
      <c r="OHI45" s="87"/>
      <c r="OHJ45" s="87"/>
      <c r="OHK45" s="87"/>
      <c r="OHL45" s="87"/>
      <c r="OHM45" s="87"/>
      <c r="OHN45" s="87"/>
      <c r="OHO45" s="87"/>
      <c r="OHP45" s="87"/>
      <c r="OHQ45" s="87"/>
      <c r="OHR45" s="87"/>
      <c r="OHS45" s="87"/>
      <c r="OHT45" s="87"/>
      <c r="OHU45" s="87"/>
      <c r="OHV45" s="87"/>
      <c r="OHW45" s="87"/>
      <c r="OHX45" s="87"/>
      <c r="OHY45" s="87"/>
      <c r="OHZ45" s="87"/>
      <c r="OIA45" s="87"/>
      <c r="OIB45" s="87"/>
      <c r="OIC45" s="87"/>
      <c r="OID45" s="87"/>
      <c r="OIE45" s="87"/>
      <c r="OIF45" s="87"/>
      <c r="OIG45" s="87"/>
      <c r="OIH45" s="87"/>
      <c r="OII45" s="87"/>
      <c r="OIJ45" s="87"/>
      <c r="OIK45" s="87"/>
      <c r="OIL45" s="87"/>
      <c r="OIM45" s="87"/>
      <c r="OIN45" s="87"/>
      <c r="OIO45" s="87"/>
      <c r="OIP45" s="87"/>
      <c r="OIQ45" s="87"/>
      <c r="OIR45" s="87"/>
      <c r="OIS45" s="87"/>
      <c r="OIT45" s="87"/>
      <c r="OIU45" s="87"/>
      <c r="OIV45" s="87"/>
      <c r="OIW45" s="87"/>
      <c r="OIX45" s="87"/>
      <c r="OIY45" s="87"/>
      <c r="OIZ45" s="87"/>
      <c r="OJA45" s="87"/>
      <c r="OJB45" s="87"/>
      <c r="OJC45" s="87"/>
      <c r="OJD45" s="87"/>
      <c r="OJE45" s="87"/>
      <c r="OJF45" s="87"/>
      <c r="OJG45" s="87"/>
      <c r="OJH45" s="87"/>
      <c r="OJI45" s="87"/>
      <c r="OJJ45" s="87"/>
      <c r="OJK45" s="87"/>
      <c r="OJL45" s="87"/>
      <c r="OJM45" s="87"/>
      <c r="OJN45" s="87"/>
      <c r="OJO45" s="87"/>
      <c r="OJP45" s="87"/>
      <c r="OJQ45" s="87"/>
      <c r="OJR45" s="87"/>
      <c r="OJS45" s="87"/>
      <c r="OJT45" s="87"/>
      <c r="OJU45" s="87"/>
      <c r="OJV45" s="87"/>
      <c r="OJW45" s="87"/>
      <c r="OJX45" s="87"/>
      <c r="OJY45" s="87"/>
      <c r="OJZ45" s="87"/>
      <c r="OKA45" s="87"/>
      <c r="OKB45" s="87"/>
      <c r="OKC45" s="87"/>
      <c r="OKD45" s="87"/>
      <c r="OKE45" s="87"/>
      <c r="OKF45" s="87"/>
      <c r="OKG45" s="87"/>
      <c r="OKH45" s="87"/>
      <c r="OKI45" s="87"/>
      <c r="OKJ45" s="87"/>
      <c r="OKK45" s="87"/>
      <c r="OKL45" s="87"/>
      <c r="OKM45" s="87"/>
      <c r="OKN45" s="87"/>
      <c r="OKO45" s="87"/>
      <c r="OKP45" s="87"/>
      <c r="OKQ45" s="87"/>
      <c r="OKR45" s="87"/>
      <c r="OKS45" s="87"/>
      <c r="OKT45" s="87"/>
      <c r="OKU45" s="87"/>
      <c r="OKV45" s="87"/>
      <c r="OKW45" s="87"/>
      <c r="OKX45" s="87"/>
      <c r="OKY45" s="87"/>
      <c r="OKZ45" s="87"/>
      <c r="OLA45" s="87"/>
      <c r="OLB45" s="87"/>
      <c r="OLC45" s="87"/>
      <c r="OLD45" s="87"/>
      <c r="OLE45" s="87"/>
      <c r="OLF45" s="87"/>
      <c r="OLG45" s="87"/>
      <c r="OLH45" s="87"/>
      <c r="OLI45" s="87"/>
      <c r="OLJ45" s="87"/>
      <c r="OLK45" s="87"/>
      <c r="OLL45" s="87"/>
      <c r="OLM45" s="87"/>
      <c r="OLN45" s="87"/>
      <c r="OLO45" s="87"/>
      <c r="OLP45" s="87"/>
      <c r="OLQ45" s="87"/>
      <c r="OLR45" s="87"/>
      <c r="OLS45" s="87"/>
      <c r="OLT45" s="87"/>
      <c r="OLU45" s="87"/>
      <c r="OLV45" s="87"/>
      <c r="OLW45" s="87"/>
      <c r="OLX45" s="87"/>
      <c r="OLY45" s="87"/>
      <c r="OLZ45" s="87"/>
      <c r="OMA45" s="87"/>
      <c r="OMB45" s="87"/>
      <c r="OMC45" s="87"/>
      <c r="OMD45" s="87"/>
      <c r="OME45" s="87"/>
      <c r="OMF45" s="87"/>
      <c r="OMG45" s="87"/>
      <c r="OMH45" s="87"/>
      <c r="OMI45" s="87"/>
      <c r="OMJ45" s="87"/>
      <c r="OMK45" s="87"/>
      <c r="OML45" s="87"/>
      <c r="OMM45" s="87"/>
      <c r="OMN45" s="87"/>
      <c r="OMO45" s="87"/>
      <c r="OMP45" s="87"/>
      <c r="OMQ45" s="87"/>
      <c r="OMR45" s="87"/>
      <c r="OMS45" s="87"/>
      <c r="OMT45" s="87"/>
      <c r="OMU45" s="87"/>
      <c r="OMV45" s="87"/>
      <c r="OMW45" s="87"/>
      <c r="OMX45" s="87"/>
      <c r="OMY45" s="87"/>
      <c r="OMZ45" s="87"/>
      <c r="ONA45" s="87"/>
      <c r="ONB45" s="87"/>
      <c r="ONC45" s="87"/>
      <c r="OND45" s="87"/>
      <c r="ONE45" s="87"/>
      <c r="ONF45" s="87"/>
      <c r="ONG45" s="87"/>
      <c r="ONH45" s="87"/>
      <c r="ONI45" s="87"/>
      <c r="ONJ45" s="87"/>
      <c r="ONK45" s="87"/>
      <c r="ONL45" s="87"/>
      <c r="ONM45" s="87"/>
      <c r="ONN45" s="87"/>
      <c r="ONO45" s="87"/>
      <c r="ONP45" s="87"/>
      <c r="ONQ45" s="87"/>
      <c r="ONR45" s="87"/>
      <c r="ONS45" s="87"/>
      <c r="ONT45" s="87"/>
      <c r="ONU45" s="87"/>
      <c r="ONV45" s="87"/>
      <c r="ONW45" s="87"/>
      <c r="ONX45" s="87"/>
      <c r="ONY45" s="87"/>
      <c r="ONZ45" s="87"/>
      <c r="OOA45" s="87"/>
      <c r="OOB45" s="87"/>
      <c r="OOC45" s="87"/>
      <c r="OOD45" s="87"/>
      <c r="OOE45" s="87"/>
      <c r="OOF45" s="87"/>
      <c r="OOG45" s="87"/>
      <c r="OOH45" s="87"/>
      <c r="OOI45" s="87"/>
      <c r="OOJ45" s="87"/>
      <c r="OOK45" s="87"/>
      <c r="OOL45" s="87"/>
      <c r="OOM45" s="87"/>
      <c r="OON45" s="87"/>
      <c r="OOO45" s="87"/>
      <c r="OOP45" s="87"/>
      <c r="OOQ45" s="87"/>
      <c r="OOR45" s="87"/>
      <c r="OOS45" s="87"/>
      <c r="OOT45" s="87"/>
      <c r="OOU45" s="87"/>
      <c r="OOV45" s="87"/>
      <c r="OOW45" s="87"/>
      <c r="OOX45" s="87"/>
      <c r="OOY45" s="87"/>
      <c r="OOZ45" s="87"/>
      <c r="OPA45" s="87"/>
      <c r="OPB45" s="87"/>
      <c r="OPC45" s="87"/>
      <c r="OPD45" s="87"/>
      <c r="OPE45" s="87"/>
      <c r="OPF45" s="87"/>
      <c r="OPG45" s="87"/>
      <c r="OPH45" s="87"/>
      <c r="OPI45" s="87"/>
      <c r="OPJ45" s="87"/>
      <c r="OPK45" s="87"/>
      <c r="OPL45" s="87"/>
      <c r="OPM45" s="87"/>
      <c r="OPN45" s="87"/>
      <c r="OPO45" s="87"/>
      <c r="OPP45" s="87"/>
      <c r="OPQ45" s="87"/>
      <c r="OPR45" s="87"/>
      <c r="OPS45" s="87"/>
      <c r="OPT45" s="87"/>
      <c r="OPU45" s="87"/>
      <c r="OPV45" s="87"/>
      <c r="OPW45" s="87"/>
      <c r="OPX45" s="87"/>
      <c r="OPY45" s="87"/>
      <c r="OPZ45" s="87"/>
      <c r="OQA45" s="87"/>
      <c r="OQB45" s="87"/>
      <c r="OQC45" s="87"/>
      <c r="OQD45" s="87"/>
      <c r="OQE45" s="87"/>
      <c r="OQF45" s="87"/>
      <c r="OQG45" s="87"/>
      <c r="OQH45" s="87"/>
      <c r="OQI45" s="87"/>
      <c r="OQJ45" s="87"/>
      <c r="OQK45" s="87"/>
      <c r="OQL45" s="87"/>
      <c r="OQM45" s="87"/>
      <c r="OQN45" s="87"/>
      <c r="OQO45" s="87"/>
      <c r="OQP45" s="87"/>
      <c r="OQQ45" s="87"/>
      <c r="OQR45" s="87"/>
      <c r="OQS45" s="87"/>
      <c r="OQT45" s="87"/>
      <c r="OQU45" s="87"/>
      <c r="OQV45" s="87"/>
      <c r="OQW45" s="87"/>
      <c r="OQX45" s="87"/>
      <c r="OQY45" s="87"/>
      <c r="OQZ45" s="87"/>
      <c r="ORA45" s="87"/>
      <c r="ORB45" s="87"/>
      <c r="ORC45" s="87"/>
      <c r="ORD45" s="87"/>
      <c r="ORE45" s="87"/>
      <c r="ORF45" s="87"/>
      <c r="ORG45" s="87"/>
      <c r="ORH45" s="87"/>
      <c r="ORI45" s="87"/>
      <c r="ORJ45" s="87"/>
      <c r="ORK45" s="87"/>
      <c r="ORL45" s="87"/>
      <c r="ORM45" s="87"/>
      <c r="ORN45" s="87"/>
      <c r="ORO45" s="87"/>
      <c r="ORP45" s="87"/>
      <c r="ORQ45" s="87"/>
      <c r="ORR45" s="87"/>
      <c r="ORS45" s="87"/>
      <c r="ORT45" s="87"/>
      <c r="ORU45" s="87"/>
      <c r="ORV45" s="87"/>
      <c r="ORW45" s="87"/>
      <c r="ORX45" s="87"/>
      <c r="ORY45" s="87"/>
      <c r="ORZ45" s="87"/>
      <c r="OSA45" s="87"/>
      <c r="OSB45" s="87"/>
      <c r="OSC45" s="87"/>
      <c r="OSD45" s="87"/>
      <c r="OSE45" s="87"/>
      <c r="OSF45" s="87"/>
      <c r="OSG45" s="87"/>
      <c r="OSH45" s="87"/>
      <c r="OSI45" s="87"/>
      <c r="OSJ45" s="87"/>
      <c r="OSK45" s="87"/>
      <c r="OSL45" s="87"/>
      <c r="OSM45" s="87"/>
      <c r="OSN45" s="87"/>
      <c r="OSO45" s="87"/>
      <c r="OSP45" s="87"/>
      <c r="OSQ45" s="87"/>
      <c r="OSR45" s="87"/>
      <c r="OSS45" s="87"/>
      <c r="OST45" s="87"/>
      <c r="OSU45" s="87"/>
      <c r="OSV45" s="87"/>
      <c r="OSW45" s="87"/>
      <c r="OSX45" s="87"/>
      <c r="OSY45" s="87"/>
      <c r="OSZ45" s="87"/>
      <c r="OTA45" s="87"/>
      <c r="OTB45" s="87"/>
      <c r="OTC45" s="87"/>
      <c r="OTD45" s="87"/>
      <c r="OTE45" s="87"/>
      <c r="OTF45" s="87"/>
      <c r="OTG45" s="87"/>
      <c r="OTH45" s="87"/>
      <c r="OTI45" s="87"/>
      <c r="OTJ45" s="87"/>
      <c r="OTK45" s="87"/>
      <c r="OTL45" s="87"/>
      <c r="OTM45" s="87"/>
      <c r="OTN45" s="87"/>
      <c r="OTO45" s="87"/>
      <c r="OTP45" s="87"/>
      <c r="OTQ45" s="87"/>
      <c r="OTR45" s="87"/>
      <c r="OTS45" s="87"/>
      <c r="OTT45" s="87"/>
      <c r="OTU45" s="87"/>
      <c r="OTV45" s="87"/>
      <c r="OTW45" s="87"/>
      <c r="OTX45" s="87"/>
      <c r="OTY45" s="87"/>
      <c r="OTZ45" s="87"/>
      <c r="OUA45" s="87"/>
      <c r="OUB45" s="87"/>
      <c r="OUC45" s="87"/>
      <c r="OUD45" s="87"/>
      <c r="OUE45" s="87"/>
      <c r="OUF45" s="87"/>
      <c r="OUG45" s="87"/>
      <c r="OUH45" s="87"/>
      <c r="OUI45" s="87"/>
      <c r="OUJ45" s="87"/>
      <c r="OUK45" s="87"/>
      <c r="OUL45" s="87"/>
      <c r="OUM45" s="87"/>
      <c r="OUN45" s="87"/>
      <c r="OUO45" s="87"/>
      <c r="OUP45" s="87"/>
      <c r="OUQ45" s="87"/>
      <c r="OUR45" s="87"/>
      <c r="OUS45" s="87"/>
      <c r="OUT45" s="87"/>
      <c r="OUU45" s="87"/>
      <c r="OUV45" s="87"/>
      <c r="OUW45" s="87"/>
      <c r="OUX45" s="87"/>
      <c r="OUY45" s="87"/>
      <c r="OUZ45" s="87"/>
      <c r="OVA45" s="87"/>
      <c r="OVB45" s="87"/>
      <c r="OVC45" s="87"/>
      <c r="OVD45" s="87"/>
      <c r="OVE45" s="87"/>
      <c r="OVF45" s="87"/>
      <c r="OVG45" s="87"/>
      <c r="OVH45" s="87"/>
      <c r="OVI45" s="87"/>
      <c r="OVJ45" s="87"/>
      <c r="OVK45" s="87"/>
      <c r="OVL45" s="87"/>
      <c r="OVM45" s="87"/>
      <c r="OVN45" s="87"/>
      <c r="OVO45" s="87"/>
      <c r="OVP45" s="87"/>
      <c r="OVQ45" s="87"/>
      <c r="OVR45" s="87"/>
      <c r="OVS45" s="87"/>
      <c r="OVT45" s="87"/>
      <c r="OVU45" s="87"/>
      <c r="OVV45" s="87"/>
      <c r="OVW45" s="87"/>
      <c r="OVX45" s="87"/>
      <c r="OVY45" s="87"/>
      <c r="OVZ45" s="87"/>
      <c r="OWA45" s="87"/>
      <c r="OWB45" s="87"/>
      <c r="OWC45" s="87"/>
      <c r="OWD45" s="87"/>
      <c r="OWE45" s="87"/>
      <c r="OWF45" s="87"/>
      <c r="OWG45" s="87"/>
      <c r="OWH45" s="87"/>
      <c r="OWI45" s="87"/>
      <c r="OWJ45" s="87"/>
      <c r="OWK45" s="87"/>
      <c r="OWL45" s="87"/>
      <c r="OWM45" s="87"/>
      <c r="OWN45" s="87"/>
      <c r="OWO45" s="87"/>
      <c r="OWP45" s="87"/>
      <c r="OWQ45" s="87"/>
      <c r="OWR45" s="87"/>
      <c r="OWS45" s="87"/>
      <c r="OWT45" s="87"/>
      <c r="OWU45" s="87"/>
      <c r="OWV45" s="87"/>
      <c r="OWW45" s="87"/>
      <c r="OWX45" s="87"/>
      <c r="OWY45" s="87"/>
      <c r="OWZ45" s="87"/>
      <c r="OXA45" s="87"/>
      <c r="OXB45" s="87"/>
      <c r="OXC45" s="87"/>
      <c r="OXD45" s="87"/>
      <c r="OXE45" s="87"/>
      <c r="OXF45" s="87"/>
      <c r="OXG45" s="87"/>
      <c r="OXH45" s="87"/>
      <c r="OXI45" s="87"/>
      <c r="OXJ45" s="87"/>
      <c r="OXK45" s="87"/>
      <c r="OXL45" s="87"/>
      <c r="OXM45" s="87"/>
      <c r="OXN45" s="87"/>
      <c r="OXO45" s="87"/>
      <c r="OXP45" s="87"/>
      <c r="OXQ45" s="87"/>
      <c r="OXR45" s="87"/>
      <c r="OXS45" s="87"/>
      <c r="OXT45" s="87"/>
      <c r="OXU45" s="87"/>
      <c r="OXV45" s="87"/>
      <c r="OXW45" s="87"/>
      <c r="OXX45" s="87"/>
      <c r="OXY45" s="87"/>
      <c r="OXZ45" s="87"/>
      <c r="OYA45" s="87"/>
      <c r="OYB45" s="87"/>
      <c r="OYC45" s="87"/>
      <c r="OYD45" s="87"/>
      <c r="OYE45" s="87"/>
      <c r="OYF45" s="87"/>
      <c r="OYG45" s="87"/>
      <c r="OYH45" s="87"/>
      <c r="OYI45" s="87"/>
      <c r="OYJ45" s="87"/>
      <c r="OYK45" s="87"/>
      <c r="OYL45" s="87"/>
      <c r="OYM45" s="87"/>
      <c r="OYN45" s="87"/>
      <c r="OYO45" s="87"/>
      <c r="OYP45" s="87"/>
      <c r="OYQ45" s="87"/>
      <c r="OYR45" s="87"/>
      <c r="OYS45" s="87"/>
      <c r="OYT45" s="87"/>
      <c r="OYU45" s="87"/>
      <c r="OYV45" s="87"/>
      <c r="OYW45" s="87"/>
      <c r="OYX45" s="87"/>
      <c r="OYY45" s="87"/>
      <c r="OYZ45" s="87"/>
      <c r="OZA45" s="87"/>
      <c r="OZB45" s="87"/>
      <c r="OZC45" s="87"/>
      <c r="OZD45" s="87"/>
      <c r="OZE45" s="87"/>
      <c r="OZF45" s="87"/>
      <c r="OZG45" s="87"/>
      <c r="OZH45" s="87"/>
      <c r="OZI45" s="87"/>
      <c r="OZJ45" s="87"/>
      <c r="OZK45" s="87"/>
      <c r="OZL45" s="87"/>
      <c r="OZM45" s="87"/>
      <c r="OZN45" s="87"/>
      <c r="OZO45" s="87"/>
      <c r="OZP45" s="87"/>
      <c r="OZQ45" s="87"/>
      <c r="OZR45" s="87"/>
      <c r="OZS45" s="87"/>
      <c r="OZT45" s="87"/>
      <c r="OZU45" s="87"/>
      <c r="OZV45" s="87"/>
      <c r="OZW45" s="87"/>
      <c r="OZX45" s="87"/>
      <c r="OZY45" s="87"/>
      <c r="OZZ45" s="87"/>
      <c r="PAA45" s="87"/>
      <c r="PAB45" s="87"/>
      <c r="PAC45" s="87"/>
      <c r="PAD45" s="87"/>
      <c r="PAE45" s="87"/>
      <c r="PAF45" s="87"/>
      <c r="PAG45" s="87"/>
      <c r="PAH45" s="87"/>
      <c r="PAI45" s="87"/>
      <c r="PAJ45" s="87"/>
      <c r="PAK45" s="87"/>
      <c r="PAL45" s="87"/>
      <c r="PAM45" s="87"/>
      <c r="PAN45" s="87"/>
      <c r="PAO45" s="87"/>
      <c r="PAP45" s="87"/>
      <c r="PAQ45" s="87"/>
      <c r="PAR45" s="87"/>
      <c r="PAS45" s="87"/>
      <c r="PAT45" s="87"/>
      <c r="PAU45" s="87"/>
      <c r="PAV45" s="87"/>
      <c r="PAW45" s="87"/>
      <c r="PAX45" s="87"/>
      <c r="PAY45" s="87"/>
      <c r="PAZ45" s="87"/>
      <c r="PBA45" s="87"/>
      <c r="PBB45" s="87"/>
      <c r="PBC45" s="87"/>
      <c r="PBD45" s="87"/>
      <c r="PBE45" s="87"/>
      <c r="PBF45" s="87"/>
      <c r="PBG45" s="87"/>
      <c r="PBH45" s="87"/>
      <c r="PBI45" s="87"/>
      <c r="PBJ45" s="87"/>
      <c r="PBK45" s="87"/>
      <c r="PBL45" s="87"/>
      <c r="PBM45" s="87"/>
      <c r="PBN45" s="87"/>
      <c r="PBO45" s="87"/>
      <c r="PBP45" s="87"/>
      <c r="PBQ45" s="87"/>
      <c r="PBR45" s="87"/>
      <c r="PBS45" s="87"/>
      <c r="PBT45" s="87"/>
      <c r="PBU45" s="87"/>
      <c r="PBV45" s="87"/>
      <c r="PBW45" s="87"/>
      <c r="PBX45" s="87"/>
      <c r="PBY45" s="87"/>
      <c r="PBZ45" s="87"/>
      <c r="PCA45" s="87"/>
      <c r="PCB45" s="87"/>
      <c r="PCC45" s="87"/>
      <c r="PCD45" s="87"/>
      <c r="PCE45" s="87"/>
      <c r="PCF45" s="87"/>
      <c r="PCG45" s="87"/>
      <c r="PCH45" s="87"/>
      <c r="PCI45" s="87"/>
      <c r="PCJ45" s="87"/>
      <c r="PCK45" s="87"/>
      <c r="PCL45" s="87"/>
      <c r="PCM45" s="87"/>
      <c r="PCN45" s="87"/>
      <c r="PCO45" s="87"/>
      <c r="PCP45" s="87"/>
      <c r="PCQ45" s="87"/>
      <c r="PCR45" s="87"/>
      <c r="PCS45" s="87"/>
      <c r="PCT45" s="87"/>
      <c r="PCU45" s="87"/>
      <c r="PCV45" s="87"/>
      <c r="PCW45" s="87"/>
      <c r="PCX45" s="87"/>
      <c r="PCY45" s="87"/>
      <c r="PCZ45" s="87"/>
      <c r="PDA45" s="87"/>
      <c r="PDB45" s="87"/>
      <c r="PDC45" s="87"/>
      <c r="PDD45" s="87"/>
      <c r="PDE45" s="87"/>
      <c r="PDF45" s="87"/>
      <c r="PDG45" s="87"/>
      <c r="PDH45" s="87"/>
      <c r="PDI45" s="87"/>
      <c r="PDJ45" s="87"/>
      <c r="PDK45" s="87"/>
      <c r="PDL45" s="87"/>
      <c r="PDM45" s="87"/>
      <c r="PDN45" s="87"/>
      <c r="PDO45" s="87"/>
      <c r="PDP45" s="87"/>
      <c r="PDQ45" s="87"/>
      <c r="PDR45" s="87"/>
      <c r="PDS45" s="87"/>
      <c r="PDT45" s="87"/>
      <c r="PDU45" s="87"/>
      <c r="PDV45" s="87"/>
      <c r="PDW45" s="87"/>
      <c r="PDX45" s="87"/>
      <c r="PDY45" s="87"/>
      <c r="PDZ45" s="87"/>
      <c r="PEA45" s="87"/>
      <c r="PEB45" s="87"/>
      <c r="PEC45" s="87"/>
      <c r="PED45" s="87"/>
      <c r="PEE45" s="87"/>
      <c r="PEF45" s="87"/>
      <c r="PEG45" s="87"/>
      <c r="PEH45" s="87"/>
      <c r="PEI45" s="87"/>
      <c r="PEJ45" s="87"/>
      <c r="PEK45" s="87"/>
      <c r="PEL45" s="87"/>
      <c r="PEM45" s="87"/>
      <c r="PEN45" s="87"/>
      <c r="PEO45" s="87"/>
      <c r="PEP45" s="87"/>
      <c r="PEQ45" s="87"/>
      <c r="PER45" s="87"/>
      <c r="PES45" s="87"/>
      <c r="PET45" s="87"/>
      <c r="PEU45" s="87"/>
      <c r="PEV45" s="87"/>
      <c r="PEW45" s="87"/>
      <c r="PEX45" s="87"/>
      <c r="PEY45" s="87"/>
      <c r="PEZ45" s="87"/>
      <c r="PFA45" s="87"/>
      <c r="PFB45" s="87"/>
      <c r="PFC45" s="87"/>
      <c r="PFD45" s="87"/>
      <c r="PFE45" s="87"/>
      <c r="PFF45" s="87"/>
      <c r="PFG45" s="87"/>
      <c r="PFH45" s="87"/>
      <c r="PFI45" s="87"/>
      <c r="PFJ45" s="87"/>
      <c r="PFK45" s="87"/>
      <c r="PFL45" s="87"/>
      <c r="PFM45" s="87"/>
      <c r="PFN45" s="87"/>
      <c r="PFO45" s="87"/>
      <c r="PFP45" s="87"/>
      <c r="PFQ45" s="87"/>
      <c r="PFR45" s="87"/>
      <c r="PFS45" s="87"/>
      <c r="PFT45" s="87"/>
      <c r="PFU45" s="87"/>
      <c r="PFV45" s="87"/>
      <c r="PFW45" s="87"/>
      <c r="PFX45" s="87"/>
      <c r="PFY45" s="87"/>
      <c r="PFZ45" s="87"/>
      <c r="PGA45" s="87"/>
      <c r="PGB45" s="87"/>
      <c r="PGC45" s="87"/>
      <c r="PGD45" s="87"/>
      <c r="PGE45" s="87"/>
      <c r="PGF45" s="87"/>
      <c r="PGG45" s="87"/>
      <c r="PGH45" s="87"/>
      <c r="PGI45" s="87"/>
      <c r="PGJ45" s="87"/>
      <c r="PGK45" s="87"/>
      <c r="PGL45" s="87"/>
      <c r="PGM45" s="87"/>
      <c r="PGN45" s="87"/>
      <c r="PGO45" s="87"/>
      <c r="PGP45" s="87"/>
      <c r="PGQ45" s="87"/>
      <c r="PGR45" s="87"/>
      <c r="PGS45" s="87"/>
      <c r="PGT45" s="87"/>
      <c r="PGU45" s="87"/>
      <c r="PGV45" s="87"/>
      <c r="PGW45" s="87"/>
      <c r="PGX45" s="87"/>
      <c r="PGY45" s="87"/>
      <c r="PGZ45" s="87"/>
      <c r="PHA45" s="87"/>
      <c r="PHB45" s="87"/>
      <c r="PHC45" s="87"/>
      <c r="PHD45" s="87"/>
      <c r="PHE45" s="87"/>
      <c r="PHF45" s="87"/>
      <c r="PHG45" s="87"/>
      <c r="PHH45" s="87"/>
      <c r="PHI45" s="87"/>
      <c r="PHJ45" s="87"/>
      <c r="PHK45" s="87"/>
      <c r="PHL45" s="87"/>
      <c r="PHM45" s="87"/>
      <c r="PHN45" s="87"/>
      <c r="PHO45" s="87"/>
      <c r="PHP45" s="87"/>
      <c r="PHQ45" s="87"/>
      <c r="PHR45" s="87"/>
      <c r="PHS45" s="87"/>
      <c r="PHT45" s="87"/>
      <c r="PHU45" s="87"/>
      <c r="PHV45" s="87"/>
      <c r="PHW45" s="87"/>
      <c r="PHX45" s="87"/>
      <c r="PHY45" s="87"/>
      <c r="PHZ45" s="87"/>
      <c r="PIA45" s="87"/>
      <c r="PIB45" s="87"/>
      <c r="PIC45" s="87"/>
      <c r="PID45" s="87"/>
      <c r="PIE45" s="87"/>
      <c r="PIF45" s="87"/>
      <c r="PIG45" s="87"/>
      <c r="PIH45" s="87"/>
      <c r="PII45" s="87"/>
      <c r="PIJ45" s="87"/>
      <c r="PIK45" s="87"/>
      <c r="PIL45" s="87"/>
      <c r="PIM45" s="87"/>
      <c r="PIN45" s="87"/>
      <c r="PIO45" s="87"/>
      <c r="PIP45" s="87"/>
      <c r="PIQ45" s="87"/>
      <c r="PIR45" s="87"/>
      <c r="PIS45" s="87"/>
      <c r="PIT45" s="87"/>
      <c r="PIU45" s="87"/>
      <c r="PIV45" s="87"/>
      <c r="PIW45" s="87"/>
      <c r="PIX45" s="87"/>
      <c r="PIY45" s="87"/>
      <c r="PIZ45" s="87"/>
      <c r="PJA45" s="87"/>
      <c r="PJB45" s="87"/>
      <c r="PJC45" s="87"/>
      <c r="PJD45" s="87"/>
      <c r="PJE45" s="87"/>
      <c r="PJF45" s="87"/>
      <c r="PJG45" s="87"/>
      <c r="PJH45" s="87"/>
      <c r="PJI45" s="87"/>
      <c r="PJJ45" s="87"/>
      <c r="PJK45" s="87"/>
      <c r="PJL45" s="87"/>
      <c r="PJM45" s="87"/>
      <c r="PJN45" s="87"/>
      <c r="PJO45" s="87"/>
      <c r="PJP45" s="87"/>
      <c r="PJQ45" s="87"/>
      <c r="PJR45" s="87"/>
      <c r="PJS45" s="87"/>
      <c r="PJT45" s="87"/>
      <c r="PJU45" s="87"/>
      <c r="PJV45" s="87"/>
      <c r="PJW45" s="87"/>
      <c r="PJX45" s="87"/>
      <c r="PJY45" s="87"/>
      <c r="PJZ45" s="87"/>
      <c r="PKA45" s="87"/>
      <c r="PKB45" s="87"/>
      <c r="PKC45" s="87"/>
      <c r="PKD45" s="87"/>
      <c r="PKE45" s="87"/>
      <c r="PKF45" s="87"/>
      <c r="PKG45" s="87"/>
      <c r="PKH45" s="87"/>
      <c r="PKI45" s="87"/>
      <c r="PKJ45" s="87"/>
      <c r="PKK45" s="87"/>
      <c r="PKL45" s="87"/>
      <c r="PKM45" s="87"/>
      <c r="PKN45" s="87"/>
      <c r="PKO45" s="87"/>
      <c r="PKP45" s="87"/>
      <c r="PKQ45" s="87"/>
      <c r="PKR45" s="87"/>
      <c r="PKS45" s="87"/>
      <c r="PKT45" s="87"/>
      <c r="PKU45" s="87"/>
      <c r="PKV45" s="87"/>
      <c r="PKW45" s="87"/>
      <c r="PKX45" s="87"/>
      <c r="PKY45" s="87"/>
      <c r="PKZ45" s="87"/>
      <c r="PLA45" s="87"/>
      <c r="PLB45" s="87"/>
      <c r="PLC45" s="87"/>
      <c r="PLD45" s="87"/>
      <c r="PLE45" s="87"/>
      <c r="PLF45" s="87"/>
      <c r="PLG45" s="87"/>
      <c r="PLH45" s="87"/>
      <c r="PLI45" s="87"/>
      <c r="PLJ45" s="87"/>
      <c r="PLK45" s="87"/>
      <c r="PLL45" s="87"/>
      <c r="PLM45" s="87"/>
      <c r="PLN45" s="87"/>
      <c r="PLO45" s="87"/>
      <c r="PLP45" s="87"/>
      <c r="PLQ45" s="87"/>
      <c r="PLR45" s="87"/>
      <c r="PLS45" s="87"/>
      <c r="PLT45" s="87"/>
      <c r="PLU45" s="87"/>
      <c r="PLV45" s="87"/>
      <c r="PLW45" s="87"/>
      <c r="PLX45" s="87"/>
      <c r="PLY45" s="87"/>
      <c r="PLZ45" s="87"/>
      <c r="PMA45" s="87"/>
      <c r="PMB45" s="87"/>
      <c r="PMC45" s="87"/>
      <c r="PMD45" s="87"/>
      <c r="PME45" s="87"/>
      <c r="PMF45" s="87"/>
      <c r="PMG45" s="87"/>
      <c r="PMH45" s="87"/>
      <c r="PMI45" s="87"/>
      <c r="PMJ45" s="87"/>
      <c r="PMK45" s="87"/>
      <c r="PML45" s="87"/>
      <c r="PMM45" s="87"/>
      <c r="PMN45" s="87"/>
      <c r="PMO45" s="87"/>
      <c r="PMP45" s="87"/>
      <c r="PMQ45" s="87"/>
      <c r="PMR45" s="87"/>
      <c r="PMS45" s="87"/>
      <c r="PMT45" s="87"/>
      <c r="PMU45" s="87"/>
      <c r="PMV45" s="87"/>
      <c r="PMW45" s="87"/>
      <c r="PMX45" s="87"/>
      <c r="PMY45" s="87"/>
      <c r="PMZ45" s="87"/>
      <c r="PNA45" s="87"/>
      <c r="PNB45" s="87"/>
      <c r="PNC45" s="87"/>
      <c r="PND45" s="87"/>
      <c r="PNE45" s="87"/>
      <c r="PNF45" s="87"/>
      <c r="PNG45" s="87"/>
      <c r="PNH45" s="87"/>
      <c r="PNI45" s="87"/>
      <c r="PNJ45" s="87"/>
      <c r="PNK45" s="87"/>
      <c r="PNL45" s="87"/>
      <c r="PNM45" s="87"/>
      <c r="PNN45" s="87"/>
      <c r="PNO45" s="87"/>
      <c r="PNP45" s="87"/>
      <c r="PNQ45" s="87"/>
      <c r="PNR45" s="87"/>
      <c r="PNS45" s="87"/>
      <c r="PNT45" s="87"/>
      <c r="PNU45" s="87"/>
      <c r="PNV45" s="87"/>
      <c r="PNW45" s="87"/>
      <c r="PNX45" s="87"/>
      <c r="PNY45" s="87"/>
      <c r="PNZ45" s="87"/>
      <c r="POA45" s="87"/>
      <c r="POB45" s="87"/>
      <c r="POC45" s="87"/>
      <c r="POD45" s="87"/>
      <c r="POE45" s="87"/>
      <c r="POF45" s="87"/>
      <c r="POG45" s="87"/>
      <c r="POH45" s="87"/>
      <c r="POI45" s="87"/>
      <c r="POJ45" s="87"/>
      <c r="POK45" s="87"/>
      <c r="POL45" s="87"/>
      <c r="POM45" s="87"/>
      <c r="PON45" s="87"/>
      <c r="POO45" s="87"/>
      <c r="POP45" s="87"/>
      <c r="POQ45" s="87"/>
      <c r="POR45" s="87"/>
      <c r="POS45" s="87"/>
      <c r="POT45" s="87"/>
      <c r="POU45" s="87"/>
      <c r="POV45" s="87"/>
      <c r="POW45" s="87"/>
      <c r="POX45" s="87"/>
      <c r="POY45" s="87"/>
      <c r="POZ45" s="87"/>
      <c r="PPA45" s="87"/>
      <c r="PPB45" s="87"/>
      <c r="PPC45" s="87"/>
      <c r="PPD45" s="87"/>
      <c r="PPE45" s="87"/>
      <c r="PPF45" s="87"/>
      <c r="PPG45" s="87"/>
      <c r="PPH45" s="87"/>
      <c r="PPI45" s="87"/>
      <c r="PPJ45" s="87"/>
      <c r="PPK45" s="87"/>
      <c r="PPL45" s="87"/>
      <c r="PPM45" s="87"/>
      <c r="PPN45" s="87"/>
      <c r="PPO45" s="87"/>
      <c r="PPP45" s="87"/>
      <c r="PPQ45" s="87"/>
      <c r="PPR45" s="87"/>
      <c r="PPS45" s="87"/>
      <c r="PPT45" s="87"/>
      <c r="PPU45" s="87"/>
      <c r="PPV45" s="87"/>
      <c r="PPW45" s="87"/>
      <c r="PPX45" s="87"/>
      <c r="PPY45" s="87"/>
      <c r="PPZ45" s="87"/>
      <c r="PQA45" s="87"/>
      <c r="PQB45" s="87"/>
      <c r="PQC45" s="87"/>
      <c r="PQD45" s="87"/>
      <c r="PQE45" s="87"/>
      <c r="PQF45" s="87"/>
      <c r="PQG45" s="87"/>
      <c r="PQH45" s="87"/>
      <c r="PQI45" s="87"/>
      <c r="PQJ45" s="87"/>
      <c r="PQK45" s="87"/>
      <c r="PQL45" s="87"/>
      <c r="PQM45" s="87"/>
      <c r="PQN45" s="87"/>
      <c r="PQO45" s="87"/>
      <c r="PQP45" s="87"/>
      <c r="PQQ45" s="87"/>
      <c r="PQR45" s="87"/>
      <c r="PQS45" s="87"/>
      <c r="PQT45" s="87"/>
      <c r="PQU45" s="87"/>
      <c r="PQV45" s="87"/>
      <c r="PQW45" s="87"/>
      <c r="PQX45" s="87"/>
      <c r="PQY45" s="87"/>
      <c r="PQZ45" s="87"/>
      <c r="PRA45" s="87"/>
      <c r="PRB45" s="87"/>
      <c r="PRC45" s="87"/>
      <c r="PRD45" s="87"/>
      <c r="PRE45" s="87"/>
      <c r="PRF45" s="87"/>
      <c r="PRG45" s="87"/>
      <c r="PRH45" s="87"/>
      <c r="PRI45" s="87"/>
      <c r="PRJ45" s="87"/>
      <c r="PRK45" s="87"/>
      <c r="PRL45" s="87"/>
      <c r="PRM45" s="87"/>
      <c r="PRN45" s="87"/>
      <c r="PRO45" s="87"/>
      <c r="PRP45" s="87"/>
      <c r="PRQ45" s="87"/>
      <c r="PRR45" s="87"/>
      <c r="PRS45" s="87"/>
      <c r="PRT45" s="87"/>
      <c r="PRU45" s="87"/>
      <c r="PRV45" s="87"/>
      <c r="PRW45" s="87"/>
      <c r="PRX45" s="87"/>
      <c r="PRY45" s="87"/>
      <c r="PRZ45" s="87"/>
      <c r="PSA45" s="87"/>
      <c r="PSB45" s="87"/>
      <c r="PSC45" s="87"/>
      <c r="PSD45" s="87"/>
      <c r="PSE45" s="87"/>
      <c r="PSF45" s="87"/>
      <c r="PSG45" s="87"/>
      <c r="PSH45" s="87"/>
      <c r="PSI45" s="87"/>
      <c r="PSJ45" s="87"/>
      <c r="PSK45" s="87"/>
      <c r="PSL45" s="87"/>
      <c r="PSM45" s="87"/>
      <c r="PSN45" s="87"/>
      <c r="PSO45" s="87"/>
      <c r="PSP45" s="87"/>
      <c r="PSQ45" s="87"/>
      <c r="PSR45" s="87"/>
      <c r="PSS45" s="87"/>
      <c r="PST45" s="87"/>
      <c r="PSU45" s="87"/>
      <c r="PSV45" s="87"/>
      <c r="PSW45" s="87"/>
      <c r="PSX45" s="87"/>
      <c r="PSY45" s="87"/>
      <c r="PSZ45" s="87"/>
      <c r="PTA45" s="87"/>
      <c r="PTB45" s="87"/>
      <c r="PTC45" s="87"/>
      <c r="PTD45" s="87"/>
      <c r="PTE45" s="87"/>
      <c r="PTF45" s="87"/>
      <c r="PTG45" s="87"/>
      <c r="PTH45" s="87"/>
      <c r="PTI45" s="87"/>
      <c r="PTJ45" s="87"/>
      <c r="PTK45" s="87"/>
      <c r="PTL45" s="87"/>
      <c r="PTM45" s="87"/>
      <c r="PTN45" s="87"/>
      <c r="PTO45" s="87"/>
      <c r="PTP45" s="87"/>
      <c r="PTQ45" s="87"/>
      <c r="PTR45" s="87"/>
      <c r="PTS45" s="87"/>
      <c r="PTT45" s="87"/>
      <c r="PTU45" s="87"/>
      <c r="PTV45" s="87"/>
      <c r="PTW45" s="87"/>
      <c r="PTX45" s="87"/>
      <c r="PTY45" s="87"/>
      <c r="PTZ45" s="87"/>
      <c r="PUA45" s="87"/>
      <c r="PUB45" s="87"/>
      <c r="PUC45" s="87"/>
      <c r="PUD45" s="87"/>
      <c r="PUE45" s="87"/>
      <c r="PUF45" s="87"/>
      <c r="PUG45" s="87"/>
      <c r="PUH45" s="87"/>
      <c r="PUI45" s="87"/>
      <c r="PUJ45" s="87"/>
      <c r="PUK45" s="87"/>
      <c r="PUL45" s="87"/>
      <c r="PUM45" s="87"/>
      <c r="PUN45" s="87"/>
      <c r="PUO45" s="87"/>
      <c r="PUP45" s="87"/>
      <c r="PUQ45" s="87"/>
      <c r="PUR45" s="87"/>
      <c r="PUS45" s="87"/>
      <c r="PUT45" s="87"/>
      <c r="PUU45" s="87"/>
      <c r="PUV45" s="87"/>
      <c r="PUW45" s="87"/>
      <c r="PUX45" s="87"/>
      <c r="PUY45" s="87"/>
      <c r="PUZ45" s="87"/>
      <c r="PVA45" s="87"/>
      <c r="PVB45" s="87"/>
      <c r="PVC45" s="87"/>
      <c r="PVD45" s="87"/>
      <c r="PVE45" s="87"/>
      <c r="PVF45" s="87"/>
      <c r="PVG45" s="87"/>
      <c r="PVH45" s="87"/>
      <c r="PVI45" s="87"/>
      <c r="PVJ45" s="87"/>
      <c r="PVK45" s="87"/>
      <c r="PVL45" s="87"/>
      <c r="PVM45" s="87"/>
      <c r="PVN45" s="87"/>
      <c r="PVO45" s="87"/>
      <c r="PVP45" s="87"/>
      <c r="PVQ45" s="87"/>
      <c r="PVR45" s="87"/>
      <c r="PVS45" s="87"/>
      <c r="PVT45" s="87"/>
      <c r="PVU45" s="87"/>
      <c r="PVV45" s="87"/>
      <c r="PVW45" s="87"/>
      <c r="PVX45" s="87"/>
      <c r="PVY45" s="87"/>
      <c r="PVZ45" s="87"/>
      <c r="PWA45" s="87"/>
      <c r="PWB45" s="87"/>
      <c r="PWC45" s="87"/>
      <c r="PWD45" s="87"/>
      <c r="PWE45" s="87"/>
      <c r="PWF45" s="87"/>
      <c r="PWG45" s="87"/>
      <c r="PWH45" s="87"/>
      <c r="PWI45" s="87"/>
      <c r="PWJ45" s="87"/>
      <c r="PWK45" s="87"/>
      <c r="PWL45" s="87"/>
      <c r="PWM45" s="87"/>
      <c r="PWN45" s="87"/>
      <c r="PWO45" s="87"/>
      <c r="PWP45" s="87"/>
      <c r="PWQ45" s="87"/>
      <c r="PWR45" s="87"/>
      <c r="PWS45" s="87"/>
      <c r="PWT45" s="87"/>
      <c r="PWU45" s="87"/>
      <c r="PWV45" s="87"/>
      <c r="PWW45" s="87"/>
      <c r="PWX45" s="87"/>
      <c r="PWY45" s="87"/>
      <c r="PWZ45" s="87"/>
      <c r="PXA45" s="87"/>
      <c r="PXB45" s="87"/>
      <c r="PXC45" s="87"/>
      <c r="PXD45" s="87"/>
      <c r="PXE45" s="87"/>
      <c r="PXF45" s="87"/>
      <c r="PXG45" s="87"/>
      <c r="PXH45" s="87"/>
      <c r="PXI45" s="87"/>
      <c r="PXJ45" s="87"/>
      <c r="PXK45" s="87"/>
      <c r="PXL45" s="87"/>
      <c r="PXM45" s="87"/>
      <c r="PXN45" s="87"/>
      <c r="PXO45" s="87"/>
      <c r="PXP45" s="87"/>
      <c r="PXQ45" s="87"/>
      <c r="PXR45" s="87"/>
      <c r="PXS45" s="87"/>
      <c r="PXT45" s="87"/>
      <c r="PXU45" s="87"/>
      <c r="PXV45" s="87"/>
      <c r="PXW45" s="87"/>
      <c r="PXX45" s="87"/>
      <c r="PXY45" s="87"/>
      <c r="PXZ45" s="87"/>
      <c r="PYA45" s="87"/>
      <c r="PYB45" s="87"/>
      <c r="PYC45" s="87"/>
      <c r="PYD45" s="87"/>
      <c r="PYE45" s="87"/>
      <c r="PYF45" s="87"/>
      <c r="PYG45" s="87"/>
      <c r="PYH45" s="87"/>
      <c r="PYI45" s="87"/>
      <c r="PYJ45" s="87"/>
      <c r="PYK45" s="87"/>
      <c r="PYL45" s="87"/>
      <c r="PYM45" s="87"/>
      <c r="PYN45" s="87"/>
      <c r="PYO45" s="87"/>
      <c r="PYP45" s="87"/>
      <c r="PYQ45" s="87"/>
      <c r="PYR45" s="87"/>
      <c r="PYS45" s="87"/>
      <c r="PYT45" s="87"/>
      <c r="PYU45" s="87"/>
      <c r="PYV45" s="87"/>
      <c r="PYW45" s="87"/>
      <c r="PYX45" s="87"/>
      <c r="PYY45" s="87"/>
      <c r="PYZ45" s="87"/>
      <c r="PZA45" s="87"/>
      <c r="PZB45" s="87"/>
      <c r="PZC45" s="87"/>
      <c r="PZD45" s="87"/>
      <c r="PZE45" s="87"/>
      <c r="PZF45" s="87"/>
      <c r="PZG45" s="87"/>
      <c r="PZH45" s="87"/>
      <c r="PZI45" s="87"/>
      <c r="PZJ45" s="87"/>
      <c r="PZK45" s="87"/>
      <c r="PZL45" s="87"/>
      <c r="PZM45" s="87"/>
      <c r="PZN45" s="87"/>
      <c r="PZO45" s="87"/>
      <c r="PZP45" s="87"/>
      <c r="PZQ45" s="87"/>
      <c r="PZR45" s="87"/>
      <c r="PZS45" s="87"/>
      <c r="PZT45" s="87"/>
      <c r="PZU45" s="87"/>
      <c r="PZV45" s="87"/>
      <c r="PZW45" s="87"/>
      <c r="PZX45" s="87"/>
      <c r="PZY45" s="87"/>
      <c r="PZZ45" s="87"/>
      <c r="QAA45" s="87"/>
      <c r="QAB45" s="87"/>
      <c r="QAC45" s="87"/>
      <c r="QAD45" s="87"/>
      <c r="QAE45" s="87"/>
      <c r="QAF45" s="87"/>
      <c r="QAG45" s="87"/>
      <c r="QAH45" s="87"/>
      <c r="QAI45" s="87"/>
      <c r="QAJ45" s="87"/>
      <c r="QAK45" s="87"/>
      <c r="QAL45" s="87"/>
      <c r="QAM45" s="87"/>
      <c r="QAN45" s="87"/>
      <c r="QAO45" s="87"/>
      <c r="QAP45" s="87"/>
      <c r="QAQ45" s="87"/>
      <c r="QAR45" s="87"/>
      <c r="QAS45" s="87"/>
      <c r="QAT45" s="87"/>
      <c r="QAU45" s="87"/>
      <c r="QAV45" s="87"/>
      <c r="QAW45" s="87"/>
      <c r="QAX45" s="87"/>
      <c r="QAY45" s="87"/>
      <c r="QAZ45" s="87"/>
      <c r="QBA45" s="87"/>
      <c r="QBB45" s="87"/>
      <c r="QBC45" s="87"/>
      <c r="QBD45" s="87"/>
      <c r="QBE45" s="87"/>
      <c r="QBF45" s="87"/>
      <c r="QBG45" s="87"/>
      <c r="QBH45" s="87"/>
      <c r="QBI45" s="87"/>
      <c r="QBJ45" s="87"/>
      <c r="QBK45" s="87"/>
      <c r="QBL45" s="87"/>
      <c r="QBM45" s="87"/>
      <c r="QBN45" s="87"/>
      <c r="QBO45" s="87"/>
      <c r="QBP45" s="87"/>
      <c r="QBQ45" s="87"/>
      <c r="QBR45" s="87"/>
      <c r="QBS45" s="87"/>
      <c r="QBT45" s="87"/>
      <c r="QBU45" s="87"/>
      <c r="QBV45" s="87"/>
      <c r="QBW45" s="87"/>
      <c r="QBX45" s="87"/>
      <c r="QBY45" s="87"/>
      <c r="QBZ45" s="87"/>
      <c r="QCA45" s="87"/>
      <c r="QCB45" s="87"/>
      <c r="QCC45" s="87"/>
      <c r="QCD45" s="87"/>
      <c r="QCE45" s="87"/>
      <c r="QCF45" s="87"/>
      <c r="QCG45" s="87"/>
      <c r="QCH45" s="87"/>
      <c r="QCI45" s="87"/>
      <c r="QCJ45" s="87"/>
      <c r="QCK45" s="87"/>
      <c r="QCL45" s="87"/>
      <c r="QCM45" s="87"/>
      <c r="QCN45" s="87"/>
      <c r="QCO45" s="87"/>
      <c r="QCP45" s="87"/>
      <c r="QCQ45" s="87"/>
      <c r="QCR45" s="87"/>
      <c r="QCS45" s="87"/>
      <c r="QCT45" s="87"/>
      <c r="QCU45" s="87"/>
      <c r="QCV45" s="87"/>
      <c r="QCW45" s="87"/>
      <c r="QCX45" s="87"/>
      <c r="QCY45" s="87"/>
      <c r="QCZ45" s="87"/>
      <c r="QDA45" s="87"/>
      <c r="QDB45" s="87"/>
      <c r="QDC45" s="87"/>
      <c r="QDD45" s="87"/>
      <c r="QDE45" s="87"/>
      <c r="QDF45" s="87"/>
      <c r="QDG45" s="87"/>
      <c r="QDH45" s="87"/>
      <c r="QDI45" s="87"/>
      <c r="QDJ45" s="87"/>
      <c r="QDK45" s="87"/>
      <c r="QDL45" s="87"/>
      <c r="QDM45" s="87"/>
      <c r="QDN45" s="87"/>
      <c r="QDO45" s="87"/>
      <c r="QDP45" s="87"/>
      <c r="QDQ45" s="87"/>
      <c r="QDR45" s="87"/>
      <c r="QDS45" s="87"/>
      <c r="QDT45" s="87"/>
      <c r="QDU45" s="87"/>
      <c r="QDV45" s="87"/>
      <c r="QDW45" s="87"/>
      <c r="QDX45" s="87"/>
      <c r="QDY45" s="87"/>
      <c r="QDZ45" s="87"/>
      <c r="QEA45" s="87"/>
      <c r="QEB45" s="87"/>
      <c r="QEC45" s="87"/>
      <c r="QED45" s="87"/>
      <c r="QEE45" s="87"/>
      <c r="QEF45" s="87"/>
      <c r="QEG45" s="87"/>
      <c r="QEH45" s="87"/>
      <c r="QEI45" s="87"/>
      <c r="QEJ45" s="87"/>
      <c r="QEK45" s="87"/>
      <c r="QEL45" s="87"/>
      <c r="QEM45" s="87"/>
      <c r="QEN45" s="87"/>
      <c r="QEO45" s="87"/>
      <c r="QEP45" s="87"/>
      <c r="QEQ45" s="87"/>
      <c r="QER45" s="87"/>
      <c r="QES45" s="87"/>
      <c r="QET45" s="87"/>
      <c r="QEU45" s="87"/>
      <c r="QEV45" s="87"/>
      <c r="QEW45" s="87"/>
      <c r="QEX45" s="87"/>
      <c r="QEY45" s="87"/>
      <c r="QEZ45" s="87"/>
      <c r="QFA45" s="87"/>
      <c r="QFB45" s="87"/>
      <c r="QFC45" s="87"/>
      <c r="QFD45" s="87"/>
      <c r="QFE45" s="87"/>
      <c r="QFF45" s="87"/>
      <c r="QFG45" s="87"/>
      <c r="QFH45" s="87"/>
      <c r="QFI45" s="87"/>
      <c r="QFJ45" s="87"/>
      <c r="QFK45" s="87"/>
      <c r="QFL45" s="87"/>
      <c r="QFM45" s="87"/>
      <c r="QFN45" s="87"/>
      <c r="QFO45" s="87"/>
      <c r="QFP45" s="87"/>
      <c r="QFQ45" s="87"/>
      <c r="QFR45" s="87"/>
      <c r="QFS45" s="87"/>
      <c r="QFT45" s="87"/>
      <c r="QFU45" s="87"/>
      <c r="QFV45" s="87"/>
      <c r="QFW45" s="87"/>
      <c r="QFX45" s="87"/>
      <c r="QFY45" s="87"/>
      <c r="QFZ45" s="87"/>
      <c r="QGA45" s="87"/>
      <c r="QGB45" s="87"/>
      <c r="QGC45" s="87"/>
      <c r="QGD45" s="87"/>
      <c r="QGE45" s="87"/>
      <c r="QGF45" s="87"/>
      <c r="QGG45" s="87"/>
      <c r="QGH45" s="87"/>
      <c r="QGI45" s="87"/>
      <c r="QGJ45" s="87"/>
      <c r="QGK45" s="87"/>
      <c r="QGL45" s="87"/>
      <c r="QGM45" s="87"/>
      <c r="QGN45" s="87"/>
      <c r="QGO45" s="87"/>
      <c r="QGP45" s="87"/>
      <c r="QGQ45" s="87"/>
      <c r="QGR45" s="87"/>
      <c r="QGS45" s="87"/>
      <c r="QGT45" s="87"/>
      <c r="QGU45" s="87"/>
      <c r="QGV45" s="87"/>
      <c r="QGW45" s="87"/>
      <c r="QGX45" s="87"/>
      <c r="QGY45" s="87"/>
      <c r="QGZ45" s="87"/>
      <c r="QHA45" s="87"/>
      <c r="QHB45" s="87"/>
      <c r="QHC45" s="87"/>
      <c r="QHD45" s="87"/>
      <c r="QHE45" s="87"/>
      <c r="QHF45" s="87"/>
      <c r="QHG45" s="87"/>
      <c r="QHH45" s="87"/>
      <c r="QHI45" s="87"/>
      <c r="QHJ45" s="87"/>
      <c r="QHK45" s="87"/>
      <c r="QHL45" s="87"/>
      <c r="QHM45" s="87"/>
      <c r="QHN45" s="87"/>
      <c r="QHO45" s="87"/>
      <c r="QHP45" s="87"/>
      <c r="QHQ45" s="87"/>
      <c r="QHR45" s="87"/>
      <c r="QHS45" s="87"/>
      <c r="QHT45" s="87"/>
      <c r="QHU45" s="87"/>
      <c r="QHV45" s="87"/>
      <c r="QHW45" s="87"/>
      <c r="QHX45" s="87"/>
      <c r="QHY45" s="87"/>
      <c r="QHZ45" s="87"/>
      <c r="QIA45" s="87"/>
      <c r="QIB45" s="87"/>
      <c r="QIC45" s="87"/>
      <c r="QID45" s="87"/>
      <c r="QIE45" s="87"/>
      <c r="QIF45" s="87"/>
      <c r="QIG45" s="87"/>
      <c r="QIH45" s="87"/>
      <c r="QII45" s="87"/>
      <c r="QIJ45" s="87"/>
      <c r="QIK45" s="87"/>
      <c r="QIL45" s="87"/>
      <c r="QIM45" s="87"/>
      <c r="QIN45" s="87"/>
      <c r="QIO45" s="87"/>
      <c r="QIP45" s="87"/>
      <c r="QIQ45" s="87"/>
      <c r="QIR45" s="87"/>
      <c r="QIS45" s="87"/>
      <c r="QIT45" s="87"/>
      <c r="QIU45" s="87"/>
      <c r="QIV45" s="87"/>
      <c r="QIW45" s="87"/>
      <c r="QIX45" s="87"/>
      <c r="QIY45" s="87"/>
      <c r="QIZ45" s="87"/>
      <c r="QJA45" s="87"/>
      <c r="QJB45" s="87"/>
      <c r="QJC45" s="87"/>
      <c r="QJD45" s="87"/>
      <c r="QJE45" s="87"/>
      <c r="QJF45" s="87"/>
      <c r="QJG45" s="87"/>
      <c r="QJH45" s="87"/>
      <c r="QJI45" s="87"/>
      <c r="QJJ45" s="87"/>
      <c r="QJK45" s="87"/>
      <c r="QJL45" s="87"/>
      <c r="QJM45" s="87"/>
      <c r="QJN45" s="87"/>
      <c r="QJO45" s="87"/>
      <c r="QJP45" s="87"/>
      <c r="QJQ45" s="87"/>
      <c r="QJR45" s="87"/>
      <c r="QJS45" s="87"/>
      <c r="QJT45" s="87"/>
      <c r="QJU45" s="87"/>
      <c r="QJV45" s="87"/>
      <c r="QJW45" s="87"/>
      <c r="QJX45" s="87"/>
      <c r="QJY45" s="87"/>
      <c r="QJZ45" s="87"/>
      <c r="QKA45" s="87"/>
      <c r="QKB45" s="87"/>
      <c r="QKC45" s="87"/>
      <c r="QKD45" s="87"/>
      <c r="QKE45" s="87"/>
      <c r="QKF45" s="87"/>
      <c r="QKG45" s="87"/>
      <c r="QKH45" s="87"/>
      <c r="QKI45" s="87"/>
      <c r="QKJ45" s="87"/>
      <c r="QKK45" s="87"/>
      <c r="QKL45" s="87"/>
      <c r="QKM45" s="87"/>
      <c r="QKN45" s="87"/>
      <c r="QKO45" s="87"/>
      <c r="QKP45" s="87"/>
      <c r="QKQ45" s="87"/>
      <c r="QKR45" s="87"/>
      <c r="QKS45" s="87"/>
      <c r="QKT45" s="87"/>
      <c r="QKU45" s="87"/>
      <c r="QKV45" s="87"/>
      <c r="QKW45" s="87"/>
      <c r="QKX45" s="87"/>
      <c r="QKY45" s="87"/>
      <c r="QKZ45" s="87"/>
      <c r="QLA45" s="87"/>
      <c r="QLB45" s="87"/>
      <c r="QLC45" s="87"/>
      <c r="QLD45" s="87"/>
      <c r="QLE45" s="87"/>
      <c r="QLF45" s="87"/>
      <c r="QLG45" s="87"/>
      <c r="QLH45" s="87"/>
      <c r="QLI45" s="87"/>
      <c r="QLJ45" s="87"/>
      <c r="QLK45" s="87"/>
      <c r="QLL45" s="87"/>
      <c r="QLM45" s="87"/>
      <c r="QLN45" s="87"/>
      <c r="QLO45" s="87"/>
      <c r="QLP45" s="87"/>
      <c r="QLQ45" s="87"/>
      <c r="QLR45" s="87"/>
      <c r="QLS45" s="87"/>
      <c r="QLT45" s="87"/>
      <c r="QLU45" s="87"/>
      <c r="QLV45" s="87"/>
      <c r="QLW45" s="87"/>
      <c r="QLX45" s="87"/>
      <c r="QLY45" s="87"/>
      <c r="QLZ45" s="87"/>
      <c r="QMA45" s="87"/>
      <c r="QMB45" s="87"/>
      <c r="QMC45" s="87"/>
      <c r="QMD45" s="87"/>
      <c r="QME45" s="87"/>
      <c r="QMF45" s="87"/>
      <c r="QMG45" s="87"/>
      <c r="QMH45" s="87"/>
      <c r="QMI45" s="87"/>
      <c r="QMJ45" s="87"/>
      <c r="QMK45" s="87"/>
      <c r="QML45" s="87"/>
      <c r="QMM45" s="87"/>
      <c r="QMN45" s="87"/>
      <c r="QMO45" s="87"/>
      <c r="QMP45" s="87"/>
      <c r="QMQ45" s="87"/>
      <c r="QMR45" s="87"/>
      <c r="QMS45" s="87"/>
      <c r="QMT45" s="87"/>
      <c r="QMU45" s="87"/>
      <c r="QMV45" s="87"/>
      <c r="QMW45" s="87"/>
      <c r="QMX45" s="87"/>
      <c r="QMY45" s="87"/>
      <c r="QMZ45" s="87"/>
      <c r="QNA45" s="87"/>
      <c r="QNB45" s="87"/>
      <c r="QNC45" s="87"/>
      <c r="QND45" s="87"/>
      <c r="QNE45" s="87"/>
      <c r="QNF45" s="87"/>
      <c r="QNG45" s="87"/>
      <c r="QNH45" s="87"/>
      <c r="QNI45" s="87"/>
      <c r="QNJ45" s="87"/>
      <c r="QNK45" s="87"/>
      <c r="QNL45" s="87"/>
      <c r="QNM45" s="87"/>
      <c r="QNN45" s="87"/>
      <c r="QNO45" s="87"/>
      <c r="QNP45" s="87"/>
      <c r="QNQ45" s="87"/>
      <c r="QNR45" s="87"/>
      <c r="QNS45" s="87"/>
      <c r="QNT45" s="87"/>
      <c r="QNU45" s="87"/>
      <c r="QNV45" s="87"/>
      <c r="QNW45" s="87"/>
      <c r="QNX45" s="87"/>
      <c r="QNY45" s="87"/>
      <c r="QNZ45" s="87"/>
      <c r="QOA45" s="87"/>
      <c r="QOB45" s="87"/>
      <c r="QOC45" s="87"/>
      <c r="QOD45" s="87"/>
      <c r="QOE45" s="87"/>
      <c r="QOF45" s="87"/>
      <c r="QOG45" s="87"/>
      <c r="QOH45" s="87"/>
      <c r="QOI45" s="87"/>
      <c r="QOJ45" s="87"/>
      <c r="QOK45" s="87"/>
      <c r="QOL45" s="87"/>
      <c r="QOM45" s="87"/>
      <c r="QON45" s="87"/>
      <c r="QOO45" s="87"/>
      <c r="QOP45" s="87"/>
      <c r="QOQ45" s="87"/>
      <c r="QOR45" s="87"/>
      <c r="QOS45" s="87"/>
      <c r="QOT45" s="87"/>
      <c r="QOU45" s="87"/>
      <c r="QOV45" s="87"/>
      <c r="QOW45" s="87"/>
      <c r="QOX45" s="87"/>
      <c r="QOY45" s="87"/>
      <c r="QOZ45" s="87"/>
      <c r="QPA45" s="87"/>
      <c r="QPB45" s="87"/>
      <c r="QPC45" s="87"/>
      <c r="QPD45" s="87"/>
      <c r="QPE45" s="87"/>
      <c r="QPF45" s="87"/>
      <c r="QPG45" s="87"/>
      <c r="QPH45" s="87"/>
      <c r="QPI45" s="87"/>
      <c r="QPJ45" s="87"/>
      <c r="QPK45" s="87"/>
      <c r="QPL45" s="87"/>
      <c r="QPM45" s="87"/>
      <c r="QPN45" s="87"/>
      <c r="QPO45" s="87"/>
      <c r="QPP45" s="87"/>
      <c r="QPQ45" s="87"/>
      <c r="QPR45" s="87"/>
      <c r="QPS45" s="87"/>
      <c r="QPT45" s="87"/>
      <c r="QPU45" s="87"/>
      <c r="QPV45" s="87"/>
      <c r="QPW45" s="87"/>
      <c r="QPX45" s="87"/>
      <c r="QPY45" s="87"/>
      <c r="QPZ45" s="87"/>
      <c r="QQA45" s="87"/>
      <c r="QQB45" s="87"/>
      <c r="QQC45" s="87"/>
      <c r="QQD45" s="87"/>
      <c r="QQE45" s="87"/>
      <c r="QQF45" s="87"/>
      <c r="QQG45" s="87"/>
      <c r="QQH45" s="87"/>
      <c r="QQI45" s="87"/>
      <c r="QQJ45" s="87"/>
      <c r="QQK45" s="87"/>
      <c r="QQL45" s="87"/>
      <c r="QQM45" s="87"/>
      <c r="QQN45" s="87"/>
      <c r="QQO45" s="87"/>
      <c r="QQP45" s="87"/>
      <c r="QQQ45" s="87"/>
      <c r="QQR45" s="87"/>
      <c r="QQS45" s="87"/>
      <c r="QQT45" s="87"/>
      <c r="QQU45" s="87"/>
      <c r="QQV45" s="87"/>
      <c r="QQW45" s="87"/>
      <c r="QQX45" s="87"/>
      <c r="QQY45" s="87"/>
      <c r="QQZ45" s="87"/>
      <c r="QRA45" s="87"/>
      <c r="QRB45" s="87"/>
      <c r="QRC45" s="87"/>
      <c r="QRD45" s="87"/>
      <c r="QRE45" s="87"/>
      <c r="QRF45" s="87"/>
      <c r="QRG45" s="87"/>
      <c r="QRH45" s="87"/>
      <c r="QRI45" s="87"/>
      <c r="QRJ45" s="87"/>
      <c r="QRK45" s="87"/>
      <c r="QRL45" s="87"/>
      <c r="QRM45" s="87"/>
      <c r="QRN45" s="87"/>
      <c r="QRO45" s="87"/>
      <c r="QRP45" s="87"/>
      <c r="QRQ45" s="87"/>
      <c r="QRR45" s="87"/>
      <c r="QRS45" s="87"/>
      <c r="QRT45" s="87"/>
      <c r="QRU45" s="87"/>
      <c r="QRV45" s="87"/>
      <c r="QRW45" s="87"/>
      <c r="QRX45" s="87"/>
      <c r="QRY45" s="87"/>
      <c r="QRZ45" s="87"/>
      <c r="QSA45" s="87"/>
      <c r="QSB45" s="87"/>
      <c r="QSC45" s="87"/>
      <c r="QSD45" s="87"/>
      <c r="QSE45" s="87"/>
      <c r="QSF45" s="87"/>
      <c r="QSG45" s="87"/>
      <c r="QSH45" s="87"/>
      <c r="QSI45" s="87"/>
      <c r="QSJ45" s="87"/>
      <c r="QSK45" s="87"/>
      <c r="QSL45" s="87"/>
      <c r="QSM45" s="87"/>
      <c r="QSN45" s="87"/>
      <c r="QSO45" s="87"/>
      <c r="QSP45" s="87"/>
      <c r="QSQ45" s="87"/>
      <c r="QSR45" s="87"/>
      <c r="QSS45" s="87"/>
      <c r="QST45" s="87"/>
      <c r="QSU45" s="87"/>
      <c r="QSV45" s="87"/>
      <c r="QSW45" s="87"/>
      <c r="QSX45" s="87"/>
      <c r="QSY45" s="87"/>
      <c r="QSZ45" s="87"/>
      <c r="QTA45" s="87"/>
      <c r="QTB45" s="87"/>
      <c r="QTC45" s="87"/>
      <c r="QTD45" s="87"/>
      <c r="QTE45" s="87"/>
      <c r="QTF45" s="87"/>
      <c r="QTG45" s="87"/>
      <c r="QTH45" s="87"/>
      <c r="QTI45" s="87"/>
      <c r="QTJ45" s="87"/>
      <c r="QTK45" s="87"/>
      <c r="QTL45" s="87"/>
      <c r="QTM45" s="87"/>
      <c r="QTN45" s="87"/>
      <c r="QTO45" s="87"/>
      <c r="QTP45" s="87"/>
      <c r="QTQ45" s="87"/>
      <c r="QTR45" s="87"/>
      <c r="QTS45" s="87"/>
      <c r="QTT45" s="87"/>
      <c r="QTU45" s="87"/>
      <c r="QTV45" s="87"/>
      <c r="QTW45" s="87"/>
      <c r="QTX45" s="87"/>
      <c r="QTY45" s="87"/>
      <c r="QTZ45" s="87"/>
      <c r="QUA45" s="87"/>
      <c r="QUB45" s="87"/>
      <c r="QUC45" s="87"/>
      <c r="QUD45" s="87"/>
      <c r="QUE45" s="87"/>
      <c r="QUF45" s="87"/>
      <c r="QUG45" s="87"/>
      <c r="QUH45" s="87"/>
      <c r="QUI45" s="87"/>
      <c r="QUJ45" s="87"/>
      <c r="QUK45" s="87"/>
      <c r="QUL45" s="87"/>
      <c r="QUM45" s="87"/>
      <c r="QUN45" s="87"/>
      <c r="QUO45" s="87"/>
      <c r="QUP45" s="87"/>
      <c r="QUQ45" s="87"/>
      <c r="QUR45" s="87"/>
      <c r="QUS45" s="87"/>
      <c r="QUT45" s="87"/>
      <c r="QUU45" s="87"/>
      <c r="QUV45" s="87"/>
      <c r="QUW45" s="87"/>
      <c r="QUX45" s="87"/>
      <c r="QUY45" s="87"/>
      <c r="QUZ45" s="87"/>
      <c r="QVA45" s="87"/>
      <c r="QVB45" s="87"/>
      <c r="QVC45" s="87"/>
      <c r="QVD45" s="87"/>
      <c r="QVE45" s="87"/>
      <c r="QVF45" s="87"/>
      <c r="QVG45" s="87"/>
      <c r="QVH45" s="87"/>
      <c r="QVI45" s="87"/>
      <c r="QVJ45" s="87"/>
      <c r="QVK45" s="87"/>
      <c r="QVL45" s="87"/>
      <c r="QVM45" s="87"/>
      <c r="QVN45" s="87"/>
      <c r="QVO45" s="87"/>
      <c r="QVP45" s="87"/>
      <c r="QVQ45" s="87"/>
      <c r="QVR45" s="87"/>
      <c r="QVS45" s="87"/>
      <c r="QVT45" s="87"/>
      <c r="QVU45" s="87"/>
      <c r="QVV45" s="87"/>
      <c r="QVW45" s="87"/>
      <c r="QVX45" s="87"/>
      <c r="QVY45" s="87"/>
      <c r="QVZ45" s="87"/>
      <c r="QWA45" s="87"/>
      <c r="QWB45" s="87"/>
      <c r="QWC45" s="87"/>
      <c r="QWD45" s="87"/>
      <c r="QWE45" s="87"/>
      <c r="QWF45" s="87"/>
      <c r="QWG45" s="87"/>
      <c r="QWH45" s="87"/>
      <c r="QWI45" s="87"/>
      <c r="QWJ45" s="87"/>
      <c r="QWK45" s="87"/>
      <c r="QWL45" s="87"/>
      <c r="QWM45" s="87"/>
      <c r="QWN45" s="87"/>
      <c r="QWO45" s="87"/>
      <c r="QWP45" s="87"/>
      <c r="QWQ45" s="87"/>
      <c r="QWR45" s="87"/>
      <c r="QWS45" s="87"/>
      <c r="QWT45" s="87"/>
      <c r="QWU45" s="87"/>
      <c r="QWV45" s="87"/>
      <c r="QWW45" s="87"/>
      <c r="QWX45" s="87"/>
      <c r="QWY45" s="87"/>
      <c r="QWZ45" s="87"/>
      <c r="QXA45" s="87"/>
      <c r="QXB45" s="87"/>
      <c r="QXC45" s="87"/>
      <c r="QXD45" s="87"/>
      <c r="QXE45" s="87"/>
      <c r="QXF45" s="87"/>
      <c r="QXG45" s="87"/>
      <c r="QXH45" s="87"/>
      <c r="QXI45" s="87"/>
      <c r="QXJ45" s="87"/>
      <c r="QXK45" s="87"/>
      <c r="QXL45" s="87"/>
      <c r="QXM45" s="87"/>
      <c r="QXN45" s="87"/>
      <c r="QXO45" s="87"/>
      <c r="QXP45" s="87"/>
      <c r="QXQ45" s="87"/>
      <c r="QXR45" s="87"/>
      <c r="QXS45" s="87"/>
      <c r="QXT45" s="87"/>
      <c r="QXU45" s="87"/>
      <c r="QXV45" s="87"/>
      <c r="QXW45" s="87"/>
      <c r="QXX45" s="87"/>
      <c r="QXY45" s="87"/>
      <c r="QXZ45" s="87"/>
      <c r="QYA45" s="87"/>
      <c r="QYB45" s="87"/>
      <c r="QYC45" s="87"/>
      <c r="QYD45" s="87"/>
      <c r="QYE45" s="87"/>
      <c r="QYF45" s="87"/>
      <c r="QYG45" s="87"/>
      <c r="QYH45" s="87"/>
      <c r="QYI45" s="87"/>
      <c r="QYJ45" s="87"/>
      <c r="QYK45" s="87"/>
      <c r="QYL45" s="87"/>
      <c r="QYM45" s="87"/>
      <c r="QYN45" s="87"/>
      <c r="QYO45" s="87"/>
      <c r="QYP45" s="87"/>
      <c r="QYQ45" s="87"/>
      <c r="QYR45" s="87"/>
      <c r="QYS45" s="87"/>
      <c r="QYT45" s="87"/>
      <c r="QYU45" s="87"/>
      <c r="QYV45" s="87"/>
      <c r="QYW45" s="87"/>
      <c r="QYX45" s="87"/>
      <c r="QYY45" s="87"/>
      <c r="QYZ45" s="87"/>
      <c r="QZA45" s="87"/>
      <c r="QZB45" s="87"/>
      <c r="QZC45" s="87"/>
      <c r="QZD45" s="87"/>
      <c r="QZE45" s="87"/>
      <c r="QZF45" s="87"/>
      <c r="QZG45" s="87"/>
      <c r="QZH45" s="87"/>
      <c r="QZI45" s="87"/>
      <c r="QZJ45" s="87"/>
      <c r="QZK45" s="87"/>
      <c r="QZL45" s="87"/>
      <c r="QZM45" s="87"/>
      <c r="QZN45" s="87"/>
      <c r="QZO45" s="87"/>
      <c r="QZP45" s="87"/>
      <c r="QZQ45" s="87"/>
      <c r="QZR45" s="87"/>
      <c r="QZS45" s="87"/>
      <c r="QZT45" s="87"/>
      <c r="QZU45" s="87"/>
      <c r="QZV45" s="87"/>
      <c r="QZW45" s="87"/>
      <c r="QZX45" s="87"/>
      <c r="QZY45" s="87"/>
      <c r="QZZ45" s="87"/>
      <c r="RAA45" s="87"/>
      <c r="RAB45" s="87"/>
      <c r="RAC45" s="87"/>
      <c r="RAD45" s="87"/>
      <c r="RAE45" s="87"/>
      <c r="RAF45" s="87"/>
      <c r="RAG45" s="87"/>
      <c r="RAH45" s="87"/>
      <c r="RAI45" s="87"/>
      <c r="RAJ45" s="87"/>
      <c r="RAK45" s="87"/>
      <c r="RAL45" s="87"/>
      <c r="RAM45" s="87"/>
      <c r="RAN45" s="87"/>
      <c r="RAO45" s="87"/>
      <c r="RAP45" s="87"/>
      <c r="RAQ45" s="87"/>
      <c r="RAR45" s="87"/>
      <c r="RAS45" s="87"/>
      <c r="RAT45" s="87"/>
      <c r="RAU45" s="87"/>
      <c r="RAV45" s="87"/>
      <c r="RAW45" s="87"/>
      <c r="RAX45" s="87"/>
      <c r="RAY45" s="87"/>
      <c r="RAZ45" s="87"/>
      <c r="RBA45" s="87"/>
      <c r="RBB45" s="87"/>
      <c r="RBC45" s="87"/>
      <c r="RBD45" s="87"/>
      <c r="RBE45" s="87"/>
      <c r="RBF45" s="87"/>
      <c r="RBG45" s="87"/>
      <c r="RBH45" s="87"/>
      <c r="RBI45" s="87"/>
      <c r="RBJ45" s="87"/>
      <c r="RBK45" s="87"/>
      <c r="RBL45" s="87"/>
      <c r="RBM45" s="87"/>
      <c r="RBN45" s="87"/>
      <c r="RBO45" s="87"/>
      <c r="RBP45" s="87"/>
      <c r="RBQ45" s="87"/>
      <c r="RBR45" s="87"/>
      <c r="RBS45" s="87"/>
      <c r="RBT45" s="87"/>
      <c r="RBU45" s="87"/>
      <c r="RBV45" s="87"/>
      <c r="RBW45" s="87"/>
      <c r="RBX45" s="87"/>
      <c r="RBY45" s="87"/>
      <c r="RBZ45" s="87"/>
      <c r="RCA45" s="87"/>
      <c r="RCB45" s="87"/>
      <c r="RCC45" s="87"/>
      <c r="RCD45" s="87"/>
      <c r="RCE45" s="87"/>
      <c r="RCF45" s="87"/>
      <c r="RCG45" s="87"/>
      <c r="RCH45" s="87"/>
      <c r="RCI45" s="87"/>
      <c r="RCJ45" s="87"/>
      <c r="RCK45" s="87"/>
      <c r="RCL45" s="87"/>
      <c r="RCM45" s="87"/>
      <c r="RCN45" s="87"/>
      <c r="RCO45" s="87"/>
      <c r="RCP45" s="87"/>
      <c r="RCQ45" s="87"/>
      <c r="RCR45" s="87"/>
      <c r="RCS45" s="87"/>
      <c r="RCT45" s="87"/>
      <c r="RCU45" s="87"/>
      <c r="RCV45" s="87"/>
      <c r="RCW45" s="87"/>
      <c r="RCX45" s="87"/>
      <c r="RCY45" s="87"/>
      <c r="RCZ45" s="87"/>
      <c r="RDA45" s="87"/>
      <c r="RDB45" s="87"/>
      <c r="RDC45" s="87"/>
      <c r="RDD45" s="87"/>
      <c r="RDE45" s="87"/>
      <c r="RDF45" s="87"/>
      <c r="RDG45" s="87"/>
      <c r="RDH45" s="87"/>
      <c r="RDI45" s="87"/>
      <c r="RDJ45" s="87"/>
      <c r="RDK45" s="87"/>
      <c r="RDL45" s="87"/>
      <c r="RDM45" s="87"/>
      <c r="RDN45" s="87"/>
      <c r="RDO45" s="87"/>
      <c r="RDP45" s="87"/>
      <c r="RDQ45" s="87"/>
      <c r="RDR45" s="87"/>
      <c r="RDS45" s="87"/>
      <c r="RDT45" s="87"/>
      <c r="RDU45" s="87"/>
      <c r="RDV45" s="87"/>
      <c r="RDW45" s="87"/>
      <c r="RDX45" s="87"/>
      <c r="RDY45" s="87"/>
      <c r="RDZ45" s="87"/>
      <c r="REA45" s="87"/>
      <c r="REB45" s="87"/>
      <c r="REC45" s="87"/>
      <c r="RED45" s="87"/>
      <c r="REE45" s="87"/>
      <c r="REF45" s="87"/>
      <c r="REG45" s="87"/>
      <c r="REH45" s="87"/>
      <c r="REI45" s="87"/>
      <c r="REJ45" s="87"/>
      <c r="REK45" s="87"/>
      <c r="REL45" s="87"/>
      <c r="REM45" s="87"/>
      <c r="REN45" s="87"/>
      <c r="REO45" s="87"/>
      <c r="REP45" s="87"/>
      <c r="REQ45" s="87"/>
      <c r="RER45" s="87"/>
      <c r="RES45" s="87"/>
      <c r="RET45" s="87"/>
      <c r="REU45" s="87"/>
      <c r="REV45" s="87"/>
      <c r="REW45" s="87"/>
      <c r="REX45" s="87"/>
      <c r="REY45" s="87"/>
      <c r="REZ45" s="87"/>
      <c r="RFA45" s="87"/>
      <c r="RFB45" s="87"/>
      <c r="RFC45" s="87"/>
      <c r="RFD45" s="87"/>
      <c r="RFE45" s="87"/>
      <c r="RFF45" s="87"/>
      <c r="RFG45" s="87"/>
      <c r="RFH45" s="87"/>
      <c r="RFI45" s="87"/>
      <c r="RFJ45" s="87"/>
      <c r="RFK45" s="87"/>
      <c r="RFL45" s="87"/>
      <c r="RFM45" s="87"/>
      <c r="RFN45" s="87"/>
      <c r="RFO45" s="87"/>
      <c r="RFP45" s="87"/>
      <c r="RFQ45" s="87"/>
      <c r="RFR45" s="87"/>
      <c r="RFS45" s="87"/>
      <c r="RFT45" s="87"/>
      <c r="RFU45" s="87"/>
      <c r="RFV45" s="87"/>
      <c r="RFW45" s="87"/>
      <c r="RFX45" s="87"/>
      <c r="RFY45" s="87"/>
      <c r="RFZ45" s="87"/>
      <c r="RGA45" s="87"/>
      <c r="RGB45" s="87"/>
      <c r="RGC45" s="87"/>
      <c r="RGD45" s="87"/>
      <c r="RGE45" s="87"/>
      <c r="RGF45" s="87"/>
      <c r="RGG45" s="87"/>
      <c r="RGH45" s="87"/>
      <c r="RGI45" s="87"/>
      <c r="RGJ45" s="87"/>
      <c r="RGK45" s="87"/>
      <c r="RGL45" s="87"/>
      <c r="RGM45" s="87"/>
      <c r="RGN45" s="87"/>
      <c r="RGO45" s="87"/>
      <c r="RGP45" s="87"/>
      <c r="RGQ45" s="87"/>
      <c r="RGR45" s="87"/>
      <c r="RGS45" s="87"/>
      <c r="RGT45" s="87"/>
      <c r="RGU45" s="87"/>
      <c r="RGV45" s="87"/>
      <c r="RGW45" s="87"/>
      <c r="RGX45" s="87"/>
      <c r="RGY45" s="87"/>
      <c r="RGZ45" s="87"/>
      <c r="RHA45" s="87"/>
      <c r="RHB45" s="87"/>
      <c r="RHC45" s="87"/>
      <c r="RHD45" s="87"/>
      <c r="RHE45" s="87"/>
      <c r="RHF45" s="87"/>
      <c r="RHG45" s="87"/>
      <c r="RHH45" s="87"/>
      <c r="RHI45" s="87"/>
      <c r="RHJ45" s="87"/>
      <c r="RHK45" s="87"/>
      <c r="RHL45" s="87"/>
      <c r="RHM45" s="87"/>
      <c r="RHN45" s="87"/>
      <c r="RHO45" s="87"/>
      <c r="RHP45" s="87"/>
      <c r="RHQ45" s="87"/>
      <c r="RHR45" s="87"/>
      <c r="RHS45" s="87"/>
      <c r="RHT45" s="87"/>
      <c r="RHU45" s="87"/>
      <c r="RHV45" s="87"/>
      <c r="RHW45" s="87"/>
      <c r="RHX45" s="87"/>
      <c r="RHY45" s="87"/>
      <c r="RHZ45" s="87"/>
      <c r="RIA45" s="87"/>
      <c r="RIB45" s="87"/>
      <c r="RIC45" s="87"/>
      <c r="RID45" s="87"/>
      <c r="RIE45" s="87"/>
      <c r="RIF45" s="87"/>
      <c r="RIG45" s="87"/>
      <c r="RIH45" s="87"/>
      <c r="RII45" s="87"/>
      <c r="RIJ45" s="87"/>
      <c r="RIK45" s="87"/>
      <c r="RIL45" s="87"/>
      <c r="RIM45" s="87"/>
      <c r="RIN45" s="87"/>
      <c r="RIO45" s="87"/>
      <c r="RIP45" s="87"/>
      <c r="RIQ45" s="87"/>
      <c r="RIR45" s="87"/>
      <c r="RIS45" s="87"/>
      <c r="RIT45" s="87"/>
      <c r="RIU45" s="87"/>
      <c r="RIV45" s="87"/>
      <c r="RIW45" s="87"/>
      <c r="RIX45" s="87"/>
      <c r="RIY45" s="87"/>
      <c r="RIZ45" s="87"/>
      <c r="RJA45" s="87"/>
      <c r="RJB45" s="87"/>
      <c r="RJC45" s="87"/>
      <c r="RJD45" s="87"/>
      <c r="RJE45" s="87"/>
      <c r="RJF45" s="87"/>
      <c r="RJG45" s="87"/>
      <c r="RJH45" s="87"/>
      <c r="RJI45" s="87"/>
      <c r="RJJ45" s="87"/>
      <c r="RJK45" s="87"/>
      <c r="RJL45" s="87"/>
      <c r="RJM45" s="87"/>
      <c r="RJN45" s="87"/>
      <c r="RJO45" s="87"/>
      <c r="RJP45" s="87"/>
      <c r="RJQ45" s="87"/>
      <c r="RJR45" s="87"/>
      <c r="RJS45" s="87"/>
      <c r="RJT45" s="87"/>
      <c r="RJU45" s="87"/>
      <c r="RJV45" s="87"/>
      <c r="RJW45" s="87"/>
      <c r="RJX45" s="87"/>
      <c r="RJY45" s="87"/>
      <c r="RJZ45" s="87"/>
      <c r="RKA45" s="87"/>
      <c r="RKB45" s="87"/>
      <c r="RKC45" s="87"/>
      <c r="RKD45" s="87"/>
      <c r="RKE45" s="87"/>
      <c r="RKF45" s="87"/>
      <c r="RKG45" s="87"/>
      <c r="RKH45" s="87"/>
      <c r="RKI45" s="87"/>
      <c r="RKJ45" s="87"/>
      <c r="RKK45" s="87"/>
      <c r="RKL45" s="87"/>
      <c r="RKM45" s="87"/>
      <c r="RKN45" s="87"/>
      <c r="RKO45" s="87"/>
      <c r="RKP45" s="87"/>
      <c r="RKQ45" s="87"/>
      <c r="RKR45" s="87"/>
      <c r="RKS45" s="87"/>
      <c r="RKT45" s="87"/>
      <c r="RKU45" s="87"/>
      <c r="RKV45" s="87"/>
      <c r="RKW45" s="87"/>
      <c r="RKX45" s="87"/>
      <c r="RKY45" s="87"/>
      <c r="RKZ45" s="87"/>
      <c r="RLA45" s="87"/>
      <c r="RLB45" s="87"/>
      <c r="RLC45" s="87"/>
      <c r="RLD45" s="87"/>
      <c r="RLE45" s="87"/>
      <c r="RLF45" s="87"/>
      <c r="RLG45" s="87"/>
      <c r="RLH45" s="87"/>
      <c r="RLI45" s="87"/>
      <c r="RLJ45" s="87"/>
      <c r="RLK45" s="87"/>
      <c r="RLL45" s="87"/>
      <c r="RLM45" s="87"/>
      <c r="RLN45" s="87"/>
      <c r="RLO45" s="87"/>
      <c r="RLP45" s="87"/>
      <c r="RLQ45" s="87"/>
      <c r="RLR45" s="87"/>
      <c r="RLS45" s="87"/>
      <c r="RLT45" s="87"/>
      <c r="RLU45" s="87"/>
      <c r="RLV45" s="87"/>
      <c r="RLW45" s="87"/>
      <c r="RLX45" s="87"/>
      <c r="RLY45" s="87"/>
      <c r="RLZ45" s="87"/>
      <c r="RMA45" s="87"/>
      <c r="RMB45" s="87"/>
      <c r="RMC45" s="87"/>
      <c r="RMD45" s="87"/>
      <c r="RME45" s="87"/>
      <c r="RMF45" s="87"/>
      <c r="RMG45" s="87"/>
      <c r="RMH45" s="87"/>
      <c r="RMI45" s="87"/>
      <c r="RMJ45" s="87"/>
      <c r="RMK45" s="87"/>
      <c r="RML45" s="87"/>
      <c r="RMM45" s="87"/>
      <c r="RMN45" s="87"/>
      <c r="RMO45" s="87"/>
      <c r="RMP45" s="87"/>
      <c r="RMQ45" s="87"/>
      <c r="RMR45" s="87"/>
      <c r="RMS45" s="87"/>
      <c r="RMT45" s="87"/>
      <c r="RMU45" s="87"/>
      <c r="RMV45" s="87"/>
      <c r="RMW45" s="87"/>
      <c r="RMX45" s="87"/>
      <c r="RMY45" s="87"/>
      <c r="RMZ45" s="87"/>
      <c r="RNA45" s="87"/>
      <c r="RNB45" s="87"/>
      <c r="RNC45" s="87"/>
      <c r="RND45" s="87"/>
      <c r="RNE45" s="87"/>
      <c r="RNF45" s="87"/>
      <c r="RNG45" s="87"/>
      <c r="RNH45" s="87"/>
      <c r="RNI45" s="87"/>
      <c r="RNJ45" s="87"/>
      <c r="RNK45" s="87"/>
      <c r="RNL45" s="87"/>
      <c r="RNM45" s="87"/>
      <c r="RNN45" s="87"/>
      <c r="RNO45" s="87"/>
      <c r="RNP45" s="87"/>
      <c r="RNQ45" s="87"/>
      <c r="RNR45" s="87"/>
      <c r="RNS45" s="87"/>
      <c r="RNT45" s="87"/>
      <c r="RNU45" s="87"/>
      <c r="RNV45" s="87"/>
      <c r="RNW45" s="87"/>
      <c r="RNX45" s="87"/>
      <c r="RNY45" s="87"/>
      <c r="RNZ45" s="87"/>
      <c r="ROA45" s="87"/>
      <c r="ROB45" s="87"/>
      <c r="ROC45" s="87"/>
      <c r="ROD45" s="87"/>
      <c r="ROE45" s="87"/>
      <c r="ROF45" s="87"/>
      <c r="ROG45" s="87"/>
      <c r="ROH45" s="87"/>
      <c r="ROI45" s="87"/>
      <c r="ROJ45" s="87"/>
      <c r="ROK45" s="87"/>
      <c r="ROL45" s="87"/>
      <c r="ROM45" s="87"/>
      <c r="RON45" s="87"/>
      <c r="ROO45" s="87"/>
      <c r="ROP45" s="87"/>
      <c r="ROQ45" s="87"/>
      <c r="ROR45" s="87"/>
      <c r="ROS45" s="87"/>
      <c r="ROT45" s="87"/>
      <c r="ROU45" s="87"/>
      <c r="ROV45" s="87"/>
      <c r="ROW45" s="87"/>
      <c r="ROX45" s="87"/>
      <c r="ROY45" s="87"/>
      <c r="ROZ45" s="87"/>
      <c r="RPA45" s="87"/>
      <c r="RPB45" s="87"/>
      <c r="RPC45" s="87"/>
      <c r="RPD45" s="87"/>
      <c r="RPE45" s="87"/>
      <c r="RPF45" s="87"/>
      <c r="RPG45" s="87"/>
      <c r="RPH45" s="87"/>
      <c r="RPI45" s="87"/>
      <c r="RPJ45" s="87"/>
      <c r="RPK45" s="87"/>
      <c r="RPL45" s="87"/>
      <c r="RPM45" s="87"/>
      <c r="RPN45" s="87"/>
      <c r="RPO45" s="87"/>
      <c r="RPP45" s="87"/>
      <c r="RPQ45" s="87"/>
      <c r="RPR45" s="87"/>
      <c r="RPS45" s="87"/>
      <c r="RPT45" s="87"/>
      <c r="RPU45" s="87"/>
      <c r="RPV45" s="87"/>
      <c r="RPW45" s="87"/>
      <c r="RPX45" s="87"/>
      <c r="RPY45" s="87"/>
      <c r="RPZ45" s="87"/>
      <c r="RQA45" s="87"/>
      <c r="RQB45" s="87"/>
      <c r="RQC45" s="87"/>
      <c r="RQD45" s="87"/>
      <c r="RQE45" s="87"/>
      <c r="RQF45" s="87"/>
      <c r="RQG45" s="87"/>
      <c r="RQH45" s="87"/>
      <c r="RQI45" s="87"/>
      <c r="RQJ45" s="87"/>
      <c r="RQK45" s="87"/>
      <c r="RQL45" s="87"/>
      <c r="RQM45" s="87"/>
      <c r="RQN45" s="87"/>
      <c r="RQO45" s="87"/>
      <c r="RQP45" s="87"/>
      <c r="RQQ45" s="87"/>
      <c r="RQR45" s="87"/>
      <c r="RQS45" s="87"/>
      <c r="RQT45" s="87"/>
      <c r="RQU45" s="87"/>
      <c r="RQV45" s="87"/>
      <c r="RQW45" s="87"/>
      <c r="RQX45" s="87"/>
      <c r="RQY45" s="87"/>
      <c r="RQZ45" s="87"/>
      <c r="RRA45" s="87"/>
      <c r="RRB45" s="87"/>
      <c r="RRC45" s="87"/>
      <c r="RRD45" s="87"/>
      <c r="RRE45" s="87"/>
      <c r="RRF45" s="87"/>
      <c r="RRG45" s="87"/>
      <c r="RRH45" s="87"/>
      <c r="RRI45" s="87"/>
      <c r="RRJ45" s="87"/>
      <c r="RRK45" s="87"/>
      <c r="RRL45" s="87"/>
      <c r="RRM45" s="87"/>
      <c r="RRN45" s="87"/>
      <c r="RRO45" s="87"/>
      <c r="RRP45" s="87"/>
      <c r="RRQ45" s="87"/>
      <c r="RRR45" s="87"/>
      <c r="RRS45" s="87"/>
      <c r="RRT45" s="87"/>
      <c r="RRU45" s="87"/>
      <c r="RRV45" s="87"/>
      <c r="RRW45" s="87"/>
      <c r="RRX45" s="87"/>
      <c r="RRY45" s="87"/>
      <c r="RRZ45" s="87"/>
      <c r="RSA45" s="87"/>
      <c r="RSB45" s="87"/>
      <c r="RSC45" s="87"/>
      <c r="RSD45" s="87"/>
      <c r="RSE45" s="87"/>
      <c r="RSF45" s="87"/>
      <c r="RSG45" s="87"/>
      <c r="RSH45" s="87"/>
      <c r="RSI45" s="87"/>
      <c r="RSJ45" s="87"/>
      <c r="RSK45" s="87"/>
      <c r="RSL45" s="87"/>
      <c r="RSM45" s="87"/>
      <c r="RSN45" s="87"/>
      <c r="RSO45" s="87"/>
      <c r="RSP45" s="87"/>
      <c r="RSQ45" s="87"/>
      <c r="RSR45" s="87"/>
      <c r="RSS45" s="87"/>
      <c r="RST45" s="87"/>
      <c r="RSU45" s="87"/>
      <c r="RSV45" s="87"/>
      <c r="RSW45" s="87"/>
      <c r="RSX45" s="87"/>
      <c r="RSY45" s="87"/>
      <c r="RSZ45" s="87"/>
      <c r="RTA45" s="87"/>
      <c r="RTB45" s="87"/>
      <c r="RTC45" s="87"/>
      <c r="RTD45" s="87"/>
      <c r="RTE45" s="87"/>
      <c r="RTF45" s="87"/>
      <c r="RTG45" s="87"/>
      <c r="RTH45" s="87"/>
      <c r="RTI45" s="87"/>
      <c r="RTJ45" s="87"/>
      <c r="RTK45" s="87"/>
      <c r="RTL45" s="87"/>
      <c r="RTM45" s="87"/>
      <c r="RTN45" s="87"/>
      <c r="RTO45" s="87"/>
      <c r="RTP45" s="87"/>
      <c r="RTQ45" s="87"/>
      <c r="RTR45" s="87"/>
      <c r="RTS45" s="87"/>
      <c r="RTT45" s="87"/>
      <c r="RTU45" s="87"/>
      <c r="RTV45" s="87"/>
      <c r="RTW45" s="87"/>
      <c r="RTX45" s="87"/>
      <c r="RTY45" s="87"/>
      <c r="RTZ45" s="87"/>
      <c r="RUA45" s="87"/>
      <c r="RUB45" s="87"/>
      <c r="RUC45" s="87"/>
      <c r="RUD45" s="87"/>
      <c r="RUE45" s="87"/>
      <c r="RUF45" s="87"/>
      <c r="RUG45" s="87"/>
      <c r="RUH45" s="87"/>
      <c r="RUI45" s="87"/>
      <c r="RUJ45" s="87"/>
      <c r="RUK45" s="87"/>
      <c r="RUL45" s="87"/>
      <c r="RUM45" s="87"/>
      <c r="RUN45" s="87"/>
      <c r="RUO45" s="87"/>
      <c r="RUP45" s="87"/>
      <c r="RUQ45" s="87"/>
      <c r="RUR45" s="87"/>
      <c r="RUS45" s="87"/>
      <c r="RUT45" s="87"/>
      <c r="RUU45" s="87"/>
      <c r="RUV45" s="87"/>
      <c r="RUW45" s="87"/>
      <c r="RUX45" s="87"/>
      <c r="RUY45" s="87"/>
      <c r="RUZ45" s="87"/>
      <c r="RVA45" s="87"/>
      <c r="RVB45" s="87"/>
      <c r="RVC45" s="87"/>
      <c r="RVD45" s="87"/>
      <c r="RVE45" s="87"/>
      <c r="RVF45" s="87"/>
      <c r="RVG45" s="87"/>
      <c r="RVH45" s="87"/>
      <c r="RVI45" s="87"/>
      <c r="RVJ45" s="87"/>
      <c r="RVK45" s="87"/>
      <c r="RVL45" s="87"/>
      <c r="RVM45" s="87"/>
      <c r="RVN45" s="87"/>
      <c r="RVO45" s="87"/>
      <c r="RVP45" s="87"/>
      <c r="RVQ45" s="87"/>
      <c r="RVR45" s="87"/>
      <c r="RVS45" s="87"/>
      <c r="RVT45" s="87"/>
      <c r="RVU45" s="87"/>
      <c r="RVV45" s="87"/>
      <c r="RVW45" s="87"/>
      <c r="RVX45" s="87"/>
      <c r="RVY45" s="87"/>
      <c r="RVZ45" s="87"/>
      <c r="RWA45" s="87"/>
      <c r="RWB45" s="87"/>
      <c r="RWC45" s="87"/>
      <c r="RWD45" s="87"/>
      <c r="RWE45" s="87"/>
      <c r="RWF45" s="87"/>
      <c r="RWG45" s="87"/>
      <c r="RWH45" s="87"/>
      <c r="RWI45" s="87"/>
      <c r="RWJ45" s="87"/>
      <c r="RWK45" s="87"/>
      <c r="RWL45" s="87"/>
      <c r="RWM45" s="87"/>
      <c r="RWN45" s="87"/>
      <c r="RWO45" s="87"/>
      <c r="RWP45" s="87"/>
      <c r="RWQ45" s="87"/>
      <c r="RWR45" s="87"/>
      <c r="RWS45" s="87"/>
      <c r="RWT45" s="87"/>
      <c r="RWU45" s="87"/>
      <c r="RWV45" s="87"/>
      <c r="RWW45" s="87"/>
      <c r="RWX45" s="87"/>
      <c r="RWY45" s="87"/>
      <c r="RWZ45" s="87"/>
      <c r="RXA45" s="87"/>
      <c r="RXB45" s="87"/>
      <c r="RXC45" s="87"/>
      <c r="RXD45" s="87"/>
      <c r="RXE45" s="87"/>
      <c r="RXF45" s="87"/>
      <c r="RXG45" s="87"/>
      <c r="RXH45" s="87"/>
      <c r="RXI45" s="87"/>
      <c r="RXJ45" s="87"/>
      <c r="RXK45" s="87"/>
      <c r="RXL45" s="87"/>
      <c r="RXM45" s="87"/>
      <c r="RXN45" s="87"/>
      <c r="RXO45" s="87"/>
      <c r="RXP45" s="87"/>
      <c r="RXQ45" s="87"/>
      <c r="RXR45" s="87"/>
      <c r="RXS45" s="87"/>
      <c r="RXT45" s="87"/>
      <c r="RXU45" s="87"/>
      <c r="RXV45" s="87"/>
      <c r="RXW45" s="87"/>
      <c r="RXX45" s="87"/>
      <c r="RXY45" s="87"/>
      <c r="RXZ45" s="87"/>
      <c r="RYA45" s="87"/>
      <c r="RYB45" s="87"/>
      <c r="RYC45" s="87"/>
      <c r="RYD45" s="87"/>
      <c r="RYE45" s="87"/>
      <c r="RYF45" s="87"/>
      <c r="RYG45" s="87"/>
      <c r="RYH45" s="87"/>
      <c r="RYI45" s="87"/>
      <c r="RYJ45" s="87"/>
      <c r="RYK45" s="87"/>
      <c r="RYL45" s="87"/>
      <c r="RYM45" s="87"/>
      <c r="RYN45" s="87"/>
      <c r="RYO45" s="87"/>
      <c r="RYP45" s="87"/>
      <c r="RYQ45" s="87"/>
      <c r="RYR45" s="87"/>
      <c r="RYS45" s="87"/>
      <c r="RYT45" s="87"/>
      <c r="RYU45" s="87"/>
      <c r="RYV45" s="87"/>
      <c r="RYW45" s="87"/>
      <c r="RYX45" s="87"/>
      <c r="RYY45" s="87"/>
      <c r="RYZ45" s="87"/>
      <c r="RZA45" s="87"/>
      <c r="RZB45" s="87"/>
      <c r="RZC45" s="87"/>
      <c r="RZD45" s="87"/>
      <c r="RZE45" s="87"/>
      <c r="RZF45" s="87"/>
      <c r="RZG45" s="87"/>
      <c r="RZH45" s="87"/>
      <c r="RZI45" s="87"/>
      <c r="RZJ45" s="87"/>
      <c r="RZK45" s="87"/>
      <c r="RZL45" s="87"/>
      <c r="RZM45" s="87"/>
      <c r="RZN45" s="87"/>
      <c r="RZO45" s="87"/>
      <c r="RZP45" s="87"/>
      <c r="RZQ45" s="87"/>
      <c r="RZR45" s="87"/>
      <c r="RZS45" s="87"/>
      <c r="RZT45" s="87"/>
      <c r="RZU45" s="87"/>
      <c r="RZV45" s="87"/>
      <c r="RZW45" s="87"/>
      <c r="RZX45" s="87"/>
      <c r="RZY45" s="87"/>
      <c r="RZZ45" s="87"/>
      <c r="SAA45" s="87"/>
      <c r="SAB45" s="87"/>
      <c r="SAC45" s="87"/>
      <c r="SAD45" s="87"/>
      <c r="SAE45" s="87"/>
      <c r="SAF45" s="87"/>
      <c r="SAG45" s="87"/>
      <c r="SAH45" s="87"/>
      <c r="SAI45" s="87"/>
      <c r="SAJ45" s="87"/>
      <c r="SAK45" s="87"/>
      <c r="SAL45" s="87"/>
      <c r="SAM45" s="87"/>
      <c r="SAN45" s="87"/>
      <c r="SAO45" s="87"/>
      <c r="SAP45" s="87"/>
      <c r="SAQ45" s="87"/>
      <c r="SAR45" s="87"/>
      <c r="SAS45" s="87"/>
      <c r="SAT45" s="87"/>
      <c r="SAU45" s="87"/>
      <c r="SAV45" s="87"/>
      <c r="SAW45" s="87"/>
      <c r="SAX45" s="87"/>
      <c r="SAY45" s="87"/>
      <c r="SAZ45" s="87"/>
      <c r="SBA45" s="87"/>
      <c r="SBB45" s="87"/>
      <c r="SBC45" s="87"/>
      <c r="SBD45" s="87"/>
      <c r="SBE45" s="87"/>
      <c r="SBF45" s="87"/>
      <c r="SBG45" s="87"/>
      <c r="SBH45" s="87"/>
      <c r="SBI45" s="87"/>
      <c r="SBJ45" s="87"/>
      <c r="SBK45" s="87"/>
      <c r="SBL45" s="87"/>
      <c r="SBM45" s="87"/>
      <c r="SBN45" s="87"/>
      <c r="SBO45" s="87"/>
      <c r="SBP45" s="87"/>
      <c r="SBQ45" s="87"/>
      <c r="SBR45" s="87"/>
      <c r="SBS45" s="87"/>
      <c r="SBT45" s="87"/>
      <c r="SBU45" s="87"/>
      <c r="SBV45" s="87"/>
      <c r="SBW45" s="87"/>
      <c r="SBX45" s="87"/>
      <c r="SBY45" s="87"/>
      <c r="SBZ45" s="87"/>
      <c r="SCA45" s="87"/>
      <c r="SCB45" s="87"/>
      <c r="SCC45" s="87"/>
      <c r="SCD45" s="87"/>
      <c r="SCE45" s="87"/>
      <c r="SCF45" s="87"/>
      <c r="SCG45" s="87"/>
      <c r="SCH45" s="87"/>
      <c r="SCI45" s="87"/>
      <c r="SCJ45" s="87"/>
      <c r="SCK45" s="87"/>
      <c r="SCL45" s="87"/>
      <c r="SCM45" s="87"/>
      <c r="SCN45" s="87"/>
      <c r="SCO45" s="87"/>
      <c r="SCP45" s="87"/>
      <c r="SCQ45" s="87"/>
      <c r="SCR45" s="87"/>
      <c r="SCS45" s="87"/>
      <c r="SCT45" s="87"/>
      <c r="SCU45" s="87"/>
      <c r="SCV45" s="87"/>
      <c r="SCW45" s="87"/>
      <c r="SCX45" s="87"/>
      <c r="SCY45" s="87"/>
      <c r="SCZ45" s="87"/>
      <c r="SDA45" s="87"/>
      <c r="SDB45" s="87"/>
      <c r="SDC45" s="87"/>
      <c r="SDD45" s="87"/>
      <c r="SDE45" s="87"/>
      <c r="SDF45" s="87"/>
      <c r="SDG45" s="87"/>
      <c r="SDH45" s="87"/>
      <c r="SDI45" s="87"/>
      <c r="SDJ45" s="87"/>
      <c r="SDK45" s="87"/>
      <c r="SDL45" s="87"/>
      <c r="SDM45" s="87"/>
      <c r="SDN45" s="87"/>
      <c r="SDO45" s="87"/>
      <c r="SDP45" s="87"/>
      <c r="SDQ45" s="87"/>
      <c r="SDR45" s="87"/>
      <c r="SDS45" s="87"/>
      <c r="SDT45" s="87"/>
      <c r="SDU45" s="87"/>
      <c r="SDV45" s="87"/>
      <c r="SDW45" s="87"/>
      <c r="SDX45" s="87"/>
      <c r="SDY45" s="87"/>
      <c r="SDZ45" s="87"/>
      <c r="SEA45" s="87"/>
      <c r="SEB45" s="87"/>
      <c r="SEC45" s="87"/>
      <c r="SED45" s="87"/>
      <c r="SEE45" s="87"/>
      <c r="SEF45" s="87"/>
      <c r="SEG45" s="87"/>
      <c r="SEH45" s="87"/>
      <c r="SEI45" s="87"/>
      <c r="SEJ45" s="87"/>
      <c r="SEK45" s="87"/>
      <c r="SEL45" s="87"/>
      <c r="SEM45" s="87"/>
      <c r="SEN45" s="87"/>
      <c r="SEO45" s="87"/>
      <c r="SEP45" s="87"/>
      <c r="SEQ45" s="87"/>
      <c r="SER45" s="87"/>
      <c r="SES45" s="87"/>
      <c r="SET45" s="87"/>
      <c r="SEU45" s="87"/>
      <c r="SEV45" s="87"/>
      <c r="SEW45" s="87"/>
      <c r="SEX45" s="87"/>
      <c r="SEY45" s="87"/>
      <c r="SEZ45" s="87"/>
      <c r="SFA45" s="87"/>
      <c r="SFB45" s="87"/>
      <c r="SFC45" s="87"/>
      <c r="SFD45" s="87"/>
      <c r="SFE45" s="87"/>
      <c r="SFF45" s="87"/>
      <c r="SFG45" s="87"/>
      <c r="SFH45" s="87"/>
      <c r="SFI45" s="87"/>
      <c r="SFJ45" s="87"/>
      <c r="SFK45" s="87"/>
      <c r="SFL45" s="87"/>
      <c r="SFM45" s="87"/>
      <c r="SFN45" s="87"/>
      <c r="SFO45" s="87"/>
      <c r="SFP45" s="87"/>
      <c r="SFQ45" s="87"/>
      <c r="SFR45" s="87"/>
      <c r="SFS45" s="87"/>
      <c r="SFT45" s="87"/>
      <c r="SFU45" s="87"/>
      <c r="SFV45" s="87"/>
      <c r="SFW45" s="87"/>
      <c r="SFX45" s="87"/>
      <c r="SFY45" s="87"/>
      <c r="SFZ45" s="87"/>
      <c r="SGA45" s="87"/>
      <c r="SGB45" s="87"/>
      <c r="SGC45" s="87"/>
      <c r="SGD45" s="87"/>
      <c r="SGE45" s="87"/>
      <c r="SGF45" s="87"/>
      <c r="SGG45" s="87"/>
      <c r="SGH45" s="87"/>
      <c r="SGI45" s="87"/>
      <c r="SGJ45" s="87"/>
      <c r="SGK45" s="87"/>
      <c r="SGL45" s="87"/>
      <c r="SGM45" s="87"/>
      <c r="SGN45" s="87"/>
      <c r="SGO45" s="87"/>
      <c r="SGP45" s="87"/>
      <c r="SGQ45" s="87"/>
      <c r="SGR45" s="87"/>
      <c r="SGS45" s="87"/>
      <c r="SGT45" s="87"/>
      <c r="SGU45" s="87"/>
      <c r="SGV45" s="87"/>
      <c r="SGW45" s="87"/>
      <c r="SGX45" s="87"/>
      <c r="SGY45" s="87"/>
      <c r="SGZ45" s="87"/>
      <c r="SHA45" s="87"/>
      <c r="SHB45" s="87"/>
      <c r="SHC45" s="87"/>
      <c r="SHD45" s="87"/>
      <c r="SHE45" s="87"/>
      <c r="SHF45" s="87"/>
      <c r="SHG45" s="87"/>
      <c r="SHH45" s="87"/>
      <c r="SHI45" s="87"/>
      <c r="SHJ45" s="87"/>
      <c r="SHK45" s="87"/>
      <c r="SHL45" s="87"/>
      <c r="SHM45" s="87"/>
      <c r="SHN45" s="87"/>
      <c r="SHO45" s="87"/>
      <c r="SHP45" s="87"/>
      <c r="SHQ45" s="87"/>
      <c r="SHR45" s="87"/>
      <c r="SHS45" s="87"/>
      <c r="SHT45" s="87"/>
      <c r="SHU45" s="87"/>
      <c r="SHV45" s="87"/>
      <c r="SHW45" s="87"/>
      <c r="SHX45" s="87"/>
      <c r="SHY45" s="87"/>
      <c r="SHZ45" s="87"/>
      <c r="SIA45" s="87"/>
      <c r="SIB45" s="87"/>
      <c r="SIC45" s="87"/>
      <c r="SID45" s="87"/>
      <c r="SIE45" s="87"/>
      <c r="SIF45" s="87"/>
      <c r="SIG45" s="87"/>
      <c r="SIH45" s="87"/>
      <c r="SII45" s="87"/>
      <c r="SIJ45" s="87"/>
      <c r="SIK45" s="87"/>
      <c r="SIL45" s="87"/>
      <c r="SIM45" s="87"/>
      <c r="SIN45" s="87"/>
      <c r="SIO45" s="87"/>
      <c r="SIP45" s="87"/>
      <c r="SIQ45" s="87"/>
      <c r="SIR45" s="87"/>
      <c r="SIS45" s="87"/>
      <c r="SIT45" s="87"/>
      <c r="SIU45" s="87"/>
      <c r="SIV45" s="87"/>
      <c r="SIW45" s="87"/>
      <c r="SIX45" s="87"/>
      <c r="SIY45" s="87"/>
      <c r="SIZ45" s="87"/>
      <c r="SJA45" s="87"/>
      <c r="SJB45" s="87"/>
      <c r="SJC45" s="87"/>
      <c r="SJD45" s="87"/>
      <c r="SJE45" s="87"/>
      <c r="SJF45" s="87"/>
      <c r="SJG45" s="87"/>
      <c r="SJH45" s="87"/>
      <c r="SJI45" s="87"/>
      <c r="SJJ45" s="87"/>
      <c r="SJK45" s="87"/>
      <c r="SJL45" s="87"/>
      <c r="SJM45" s="87"/>
      <c r="SJN45" s="87"/>
      <c r="SJO45" s="87"/>
      <c r="SJP45" s="87"/>
      <c r="SJQ45" s="87"/>
      <c r="SJR45" s="87"/>
      <c r="SJS45" s="87"/>
      <c r="SJT45" s="87"/>
      <c r="SJU45" s="87"/>
      <c r="SJV45" s="87"/>
      <c r="SJW45" s="87"/>
      <c r="SJX45" s="87"/>
      <c r="SJY45" s="87"/>
      <c r="SJZ45" s="87"/>
      <c r="SKA45" s="87"/>
      <c r="SKB45" s="87"/>
      <c r="SKC45" s="87"/>
      <c r="SKD45" s="87"/>
      <c r="SKE45" s="87"/>
      <c r="SKF45" s="87"/>
      <c r="SKG45" s="87"/>
      <c r="SKH45" s="87"/>
      <c r="SKI45" s="87"/>
      <c r="SKJ45" s="87"/>
      <c r="SKK45" s="87"/>
      <c r="SKL45" s="87"/>
      <c r="SKM45" s="87"/>
      <c r="SKN45" s="87"/>
      <c r="SKO45" s="87"/>
      <c r="SKP45" s="87"/>
      <c r="SKQ45" s="87"/>
      <c r="SKR45" s="87"/>
      <c r="SKS45" s="87"/>
      <c r="SKT45" s="87"/>
      <c r="SKU45" s="87"/>
      <c r="SKV45" s="87"/>
      <c r="SKW45" s="87"/>
      <c r="SKX45" s="87"/>
      <c r="SKY45" s="87"/>
      <c r="SKZ45" s="87"/>
      <c r="SLA45" s="87"/>
      <c r="SLB45" s="87"/>
      <c r="SLC45" s="87"/>
      <c r="SLD45" s="87"/>
      <c r="SLE45" s="87"/>
      <c r="SLF45" s="87"/>
      <c r="SLG45" s="87"/>
      <c r="SLH45" s="87"/>
      <c r="SLI45" s="87"/>
      <c r="SLJ45" s="87"/>
      <c r="SLK45" s="87"/>
      <c r="SLL45" s="87"/>
      <c r="SLM45" s="87"/>
      <c r="SLN45" s="87"/>
      <c r="SLO45" s="87"/>
      <c r="SLP45" s="87"/>
      <c r="SLQ45" s="87"/>
      <c r="SLR45" s="87"/>
      <c r="SLS45" s="87"/>
      <c r="SLT45" s="87"/>
      <c r="SLU45" s="87"/>
      <c r="SLV45" s="87"/>
      <c r="SLW45" s="87"/>
      <c r="SLX45" s="87"/>
      <c r="SLY45" s="87"/>
      <c r="SLZ45" s="87"/>
      <c r="SMA45" s="87"/>
      <c r="SMB45" s="87"/>
      <c r="SMC45" s="87"/>
      <c r="SMD45" s="87"/>
      <c r="SME45" s="87"/>
      <c r="SMF45" s="87"/>
      <c r="SMG45" s="87"/>
      <c r="SMH45" s="87"/>
      <c r="SMI45" s="87"/>
      <c r="SMJ45" s="87"/>
      <c r="SMK45" s="87"/>
      <c r="SML45" s="87"/>
      <c r="SMM45" s="87"/>
      <c r="SMN45" s="87"/>
      <c r="SMO45" s="87"/>
      <c r="SMP45" s="87"/>
      <c r="SMQ45" s="87"/>
      <c r="SMR45" s="87"/>
      <c r="SMS45" s="87"/>
      <c r="SMT45" s="87"/>
      <c r="SMU45" s="87"/>
      <c r="SMV45" s="87"/>
      <c r="SMW45" s="87"/>
      <c r="SMX45" s="87"/>
      <c r="SMY45" s="87"/>
      <c r="SMZ45" s="87"/>
      <c r="SNA45" s="87"/>
      <c r="SNB45" s="87"/>
      <c r="SNC45" s="87"/>
      <c r="SND45" s="87"/>
      <c r="SNE45" s="87"/>
      <c r="SNF45" s="87"/>
      <c r="SNG45" s="87"/>
      <c r="SNH45" s="87"/>
      <c r="SNI45" s="87"/>
      <c r="SNJ45" s="87"/>
      <c r="SNK45" s="87"/>
      <c r="SNL45" s="87"/>
      <c r="SNM45" s="87"/>
      <c r="SNN45" s="87"/>
      <c r="SNO45" s="87"/>
      <c r="SNP45" s="87"/>
      <c r="SNQ45" s="87"/>
      <c r="SNR45" s="87"/>
      <c r="SNS45" s="87"/>
      <c r="SNT45" s="87"/>
      <c r="SNU45" s="87"/>
      <c r="SNV45" s="87"/>
      <c r="SNW45" s="87"/>
      <c r="SNX45" s="87"/>
      <c r="SNY45" s="87"/>
      <c r="SNZ45" s="87"/>
      <c r="SOA45" s="87"/>
      <c r="SOB45" s="87"/>
      <c r="SOC45" s="87"/>
      <c r="SOD45" s="87"/>
      <c r="SOE45" s="87"/>
      <c r="SOF45" s="87"/>
      <c r="SOG45" s="87"/>
      <c r="SOH45" s="87"/>
      <c r="SOI45" s="87"/>
      <c r="SOJ45" s="87"/>
      <c r="SOK45" s="87"/>
      <c r="SOL45" s="87"/>
      <c r="SOM45" s="87"/>
      <c r="SON45" s="87"/>
      <c r="SOO45" s="87"/>
      <c r="SOP45" s="87"/>
      <c r="SOQ45" s="87"/>
      <c r="SOR45" s="87"/>
      <c r="SOS45" s="87"/>
      <c r="SOT45" s="87"/>
      <c r="SOU45" s="87"/>
      <c r="SOV45" s="87"/>
      <c r="SOW45" s="87"/>
      <c r="SOX45" s="87"/>
      <c r="SOY45" s="87"/>
      <c r="SOZ45" s="87"/>
      <c r="SPA45" s="87"/>
      <c r="SPB45" s="87"/>
      <c r="SPC45" s="87"/>
      <c r="SPD45" s="87"/>
      <c r="SPE45" s="87"/>
      <c r="SPF45" s="87"/>
      <c r="SPG45" s="87"/>
      <c r="SPH45" s="87"/>
      <c r="SPI45" s="87"/>
      <c r="SPJ45" s="87"/>
      <c r="SPK45" s="87"/>
      <c r="SPL45" s="87"/>
      <c r="SPM45" s="87"/>
      <c r="SPN45" s="87"/>
      <c r="SPO45" s="87"/>
      <c r="SPP45" s="87"/>
      <c r="SPQ45" s="87"/>
      <c r="SPR45" s="87"/>
      <c r="SPS45" s="87"/>
      <c r="SPT45" s="87"/>
      <c r="SPU45" s="87"/>
      <c r="SPV45" s="87"/>
      <c r="SPW45" s="87"/>
      <c r="SPX45" s="87"/>
      <c r="SPY45" s="87"/>
      <c r="SPZ45" s="87"/>
      <c r="SQA45" s="87"/>
      <c r="SQB45" s="87"/>
      <c r="SQC45" s="87"/>
      <c r="SQD45" s="87"/>
      <c r="SQE45" s="87"/>
      <c r="SQF45" s="87"/>
      <c r="SQG45" s="87"/>
      <c r="SQH45" s="87"/>
      <c r="SQI45" s="87"/>
      <c r="SQJ45" s="87"/>
      <c r="SQK45" s="87"/>
      <c r="SQL45" s="87"/>
      <c r="SQM45" s="87"/>
      <c r="SQN45" s="87"/>
      <c r="SQO45" s="87"/>
      <c r="SQP45" s="87"/>
      <c r="SQQ45" s="87"/>
      <c r="SQR45" s="87"/>
      <c r="SQS45" s="87"/>
      <c r="SQT45" s="87"/>
      <c r="SQU45" s="87"/>
      <c r="SQV45" s="87"/>
      <c r="SQW45" s="87"/>
      <c r="SQX45" s="87"/>
      <c r="SQY45" s="87"/>
      <c r="SQZ45" s="87"/>
      <c r="SRA45" s="87"/>
      <c r="SRB45" s="87"/>
      <c r="SRC45" s="87"/>
      <c r="SRD45" s="87"/>
      <c r="SRE45" s="87"/>
      <c r="SRF45" s="87"/>
      <c r="SRG45" s="87"/>
      <c r="SRH45" s="87"/>
      <c r="SRI45" s="87"/>
      <c r="SRJ45" s="87"/>
      <c r="SRK45" s="87"/>
      <c r="SRL45" s="87"/>
      <c r="SRM45" s="87"/>
      <c r="SRN45" s="87"/>
      <c r="SRO45" s="87"/>
      <c r="SRP45" s="87"/>
      <c r="SRQ45" s="87"/>
      <c r="SRR45" s="87"/>
      <c r="SRS45" s="87"/>
      <c r="SRT45" s="87"/>
      <c r="SRU45" s="87"/>
      <c r="SRV45" s="87"/>
      <c r="SRW45" s="87"/>
      <c r="SRX45" s="87"/>
      <c r="SRY45" s="87"/>
      <c r="SRZ45" s="87"/>
      <c r="SSA45" s="87"/>
      <c r="SSB45" s="87"/>
      <c r="SSC45" s="87"/>
      <c r="SSD45" s="87"/>
      <c r="SSE45" s="87"/>
      <c r="SSF45" s="87"/>
      <c r="SSG45" s="87"/>
      <c r="SSH45" s="87"/>
      <c r="SSI45" s="87"/>
      <c r="SSJ45" s="87"/>
      <c r="SSK45" s="87"/>
      <c r="SSL45" s="87"/>
      <c r="SSM45" s="87"/>
      <c r="SSN45" s="87"/>
      <c r="SSO45" s="87"/>
      <c r="SSP45" s="87"/>
      <c r="SSQ45" s="87"/>
      <c r="SSR45" s="87"/>
      <c r="SSS45" s="87"/>
      <c r="SST45" s="87"/>
      <c r="SSU45" s="87"/>
      <c r="SSV45" s="87"/>
      <c r="SSW45" s="87"/>
      <c r="SSX45" s="87"/>
      <c r="SSY45" s="87"/>
      <c r="SSZ45" s="87"/>
      <c r="STA45" s="87"/>
      <c r="STB45" s="87"/>
      <c r="STC45" s="87"/>
      <c r="STD45" s="87"/>
      <c r="STE45" s="87"/>
      <c r="STF45" s="87"/>
      <c r="STG45" s="87"/>
      <c r="STH45" s="87"/>
      <c r="STI45" s="87"/>
      <c r="STJ45" s="87"/>
      <c r="STK45" s="87"/>
      <c r="STL45" s="87"/>
      <c r="STM45" s="87"/>
      <c r="STN45" s="87"/>
      <c r="STO45" s="87"/>
      <c r="STP45" s="87"/>
      <c r="STQ45" s="87"/>
      <c r="STR45" s="87"/>
      <c r="STS45" s="87"/>
      <c r="STT45" s="87"/>
      <c r="STU45" s="87"/>
      <c r="STV45" s="87"/>
      <c r="STW45" s="87"/>
      <c r="STX45" s="87"/>
      <c r="STY45" s="87"/>
      <c r="STZ45" s="87"/>
      <c r="SUA45" s="87"/>
      <c r="SUB45" s="87"/>
      <c r="SUC45" s="87"/>
      <c r="SUD45" s="87"/>
      <c r="SUE45" s="87"/>
      <c r="SUF45" s="87"/>
      <c r="SUG45" s="87"/>
      <c r="SUH45" s="87"/>
      <c r="SUI45" s="87"/>
      <c r="SUJ45" s="87"/>
      <c r="SUK45" s="87"/>
      <c r="SUL45" s="87"/>
      <c r="SUM45" s="87"/>
      <c r="SUN45" s="87"/>
      <c r="SUO45" s="87"/>
      <c r="SUP45" s="87"/>
      <c r="SUQ45" s="87"/>
      <c r="SUR45" s="87"/>
      <c r="SUS45" s="87"/>
      <c r="SUT45" s="87"/>
      <c r="SUU45" s="87"/>
      <c r="SUV45" s="87"/>
      <c r="SUW45" s="87"/>
      <c r="SUX45" s="87"/>
      <c r="SUY45" s="87"/>
      <c r="SUZ45" s="87"/>
      <c r="SVA45" s="87"/>
      <c r="SVB45" s="87"/>
      <c r="SVC45" s="87"/>
      <c r="SVD45" s="87"/>
      <c r="SVE45" s="87"/>
      <c r="SVF45" s="87"/>
      <c r="SVG45" s="87"/>
      <c r="SVH45" s="87"/>
      <c r="SVI45" s="87"/>
      <c r="SVJ45" s="87"/>
      <c r="SVK45" s="87"/>
      <c r="SVL45" s="87"/>
      <c r="SVM45" s="87"/>
      <c r="SVN45" s="87"/>
      <c r="SVO45" s="87"/>
      <c r="SVP45" s="87"/>
      <c r="SVQ45" s="87"/>
      <c r="SVR45" s="87"/>
      <c r="SVS45" s="87"/>
      <c r="SVT45" s="87"/>
      <c r="SVU45" s="87"/>
      <c r="SVV45" s="87"/>
      <c r="SVW45" s="87"/>
      <c r="SVX45" s="87"/>
      <c r="SVY45" s="87"/>
      <c r="SVZ45" s="87"/>
      <c r="SWA45" s="87"/>
      <c r="SWB45" s="87"/>
      <c r="SWC45" s="87"/>
      <c r="SWD45" s="87"/>
      <c r="SWE45" s="87"/>
      <c r="SWF45" s="87"/>
      <c r="SWG45" s="87"/>
      <c r="SWH45" s="87"/>
      <c r="SWI45" s="87"/>
      <c r="SWJ45" s="87"/>
      <c r="SWK45" s="87"/>
      <c r="SWL45" s="87"/>
      <c r="SWM45" s="87"/>
      <c r="SWN45" s="87"/>
      <c r="SWO45" s="87"/>
      <c r="SWP45" s="87"/>
      <c r="SWQ45" s="87"/>
      <c r="SWR45" s="87"/>
      <c r="SWS45" s="87"/>
      <c r="SWT45" s="87"/>
      <c r="SWU45" s="87"/>
      <c r="SWV45" s="87"/>
      <c r="SWW45" s="87"/>
      <c r="SWX45" s="87"/>
      <c r="SWY45" s="87"/>
      <c r="SWZ45" s="87"/>
      <c r="SXA45" s="87"/>
      <c r="SXB45" s="87"/>
      <c r="SXC45" s="87"/>
      <c r="SXD45" s="87"/>
      <c r="SXE45" s="87"/>
      <c r="SXF45" s="87"/>
      <c r="SXG45" s="87"/>
      <c r="SXH45" s="87"/>
      <c r="SXI45" s="87"/>
      <c r="SXJ45" s="87"/>
      <c r="SXK45" s="87"/>
      <c r="SXL45" s="87"/>
      <c r="SXM45" s="87"/>
      <c r="SXN45" s="87"/>
      <c r="SXO45" s="87"/>
      <c r="SXP45" s="87"/>
      <c r="SXQ45" s="87"/>
      <c r="SXR45" s="87"/>
      <c r="SXS45" s="87"/>
      <c r="SXT45" s="87"/>
      <c r="SXU45" s="87"/>
      <c r="SXV45" s="87"/>
      <c r="SXW45" s="87"/>
      <c r="SXX45" s="87"/>
      <c r="SXY45" s="87"/>
      <c r="SXZ45" s="87"/>
      <c r="SYA45" s="87"/>
      <c r="SYB45" s="87"/>
      <c r="SYC45" s="87"/>
      <c r="SYD45" s="87"/>
      <c r="SYE45" s="87"/>
      <c r="SYF45" s="87"/>
      <c r="SYG45" s="87"/>
      <c r="SYH45" s="87"/>
      <c r="SYI45" s="87"/>
      <c r="SYJ45" s="87"/>
      <c r="SYK45" s="87"/>
      <c r="SYL45" s="87"/>
      <c r="SYM45" s="87"/>
      <c r="SYN45" s="87"/>
      <c r="SYO45" s="87"/>
      <c r="SYP45" s="87"/>
      <c r="SYQ45" s="87"/>
      <c r="SYR45" s="87"/>
      <c r="SYS45" s="87"/>
      <c r="SYT45" s="87"/>
      <c r="SYU45" s="87"/>
      <c r="SYV45" s="87"/>
      <c r="SYW45" s="87"/>
      <c r="SYX45" s="87"/>
      <c r="SYY45" s="87"/>
      <c r="SYZ45" s="87"/>
      <c r="SZA45" s="87"/>
      <c r="SZB45" s="87"/>
      <c r="SZC45" s="87"/>
      <c r="SZD45" s="87"/>
      <c r="SZE45" s="87"/>
      <c r="SZF45" s="87"/>
      <c r="SZG45" s="87"/>
      <c r="SZH45" s="87"/>
      <c r="SZI45" s="87"/>
      <c r="SZJ45" s="87"/>
      <c r="SZK45" s="87"/>
      <c r="SZL45" s="87"/>
      <c r="SZM45" s="87"/>
      <c r="SZN45" s="87"/>
      <c r="SZO45" s="87"/>
      <c r="SZP45" s="87"/>
      <c r="SZQ45" s="87"/>
      <c r="SZR45" s="87"/>
      <c r="SZS45" s="87"/>
      <c r="SZT45" s="87"/>
      <c r="SZU45" s="87"/>
      <c r="SZV45" s="87"/>
      <c r="SZW45" s="87"/>
      <c r="SZX45" s="87"/>
      <c r="SZY45" s="87"/>
      <c r="SZZ45" s="87"/>
      <c r="TAA45" s="87"/>
      <c r="TAB45" s="87"/>
      <c r="TAC45" s="87"/>
      <c r="TAD45" s="87"/>
      <c r="TAE45" s="87"/>
      <c r="TAF45" s="87"/>
      <c r="TAG45" s="87"/>
      <c r="TAH45" s="87"/>
      <c r="TAI45" s="87"/>
      <c r="TAJ45" s="87"/>
      <c r="TAK45" s="87"/>
      <c r="TAL45" s="87"/>
      <c r="TAM45" s="87"/>
      <c r="TAN45" s="87"/>
      <c r="TAO45" s="87"/>
      <c r="TAP45" s="87"/>
      <c r="TAQ45" s="87"/>
      <c r="TAR45" s="87"/>
      <c r="TAS45" s="87"/>
      <c r="TAT45" s="87"/>
      <c r="TAU45" s="87"/>
      <c r="TAV45" s="87"/>
      <c r="TAW45" s="87"/>
      <c r="TAX45" s="87"/>
      <c r="TAY45" s="87"/>
      <c r="TAZ45" s="87"/>
      <c r="TBA45" s="87"/>
      <c r="TBB45" s="87"/>
      <c r="TBC45" s="87"/>
      <c r="TBD45" s="87"/>
      <c r="TBE45" s="87"/>
      <c r="TBF45" s="87"/>
      <c r="TBG45" s="87"/>
      <c r="TBH45" s="87"/>
      <c r="TBI45" s="87"/>
      <c r="TBJ45" s="87"/>
      <c r="TBK45" s="87"/>
      <c r="TBL45" s="87"/>
      <c r="TBM45" s="87"/>
      <c r="TBN45" s="87"/>
      <c r="TBO45" s="87"/>
      <c r="TBP45" s="87"/>
      <c r="TBQ45" s="87"/>
      <c r="TBR45" s="87"/>
      <c r="TBS45" s="87"/>
      <c r="TBT45" s="87"/>
      <c r="TBU45" s="87"/>
      <c r="TBV45" s="87"/>
      <c r="TBW45" s="87"/>
      <c r="TBX45" s="87"/>
      <c r="TBY45" s="87"/>
      <c r="TBZ45" s="87"/>
      <c r="TCA45" s="87"/>
      <c r="TCB45" s="87"/>
      <c r="TCC45" s="87"/>
      <c r="TCD45" s="87"/>
      <c r="TCE45" s="87"/>
      <c r="TCF45" s="87"/>
      <c r="TCG45" s="87"/>
      <c r="TCH45" s="87"/>
      <c r="TCI45" s="87"/>
      <c r="TCJ45" s="87"/>
      <c r="TCK45" s="87"/>
      <c r="TCL45" s="87"/>
      <c r="TCM45" s="87"/>
      <c r="TCN45" s="87"/>
      <c r="TCO45" s="87"/>
      <c r="TCP45" s="87"/>
      <c r="TCQ45" s="87"/>
      <c r="TCR45" s="87"/>
      <c r="TCS45" s="87"/>
      <c r="TCT45" s="87"/>
      <c r="TCU45" s="87"/>
      <c r="TCV45" s="87"/>
      <c r="TCW45" s="87"/>
      <c r="TCX45" s="87"/>
      <c r="TCY45" s="87"/>
      <c r="TCZ45" s="87"/>
      <c r="TDA45" s="87"/>
      <c r="TDB45" s="87"/>
      <c r="TDC45" s="87"/>
      <c r="TDD45" s="87"/>
      <c r="TDE45" s="87"/>
      <c r="TDF45" s="87"/>
      <c r="TDG45" s="87"/>
      <c r="TDH45" s="87"/>
      <c r="TDI45" s="87"/>
      <c r="TDJ45" s="87"/>
      <c r="TDK45" s="87"/>
      <c r="TDL45" s="87"/>
      <c r="TDM45" s="87"/>
      <c r="TDN45" s="87"/>
      <c r="TDO45" s="87"/>
      <c r="TDP45" s="87"/>
      <c r="TDQ45" s="87"/>
      <c r="TDR45" s="87"/>
      <c r="TDS45" s="87"/>
      <c r="TDT45" s="87"/>
      <c r="TDU45" s="87"/>
      <c r="TDV45" s="87"/>
      <c r="TDW45" s="87"/>
      <c r="TDX45" s="87"/>
      <c r="TDY45" s="87"/>
      <c r="TDZ45" s="87"/>
      <c r="TEA45" s="87"/>
      <c r="TEB45" s="87"/>
      <c r="TEC45" s="87"/>
      <c r="TED45" s="87"/>
      <c r="TEE45" s="87"/>
      <c r="TEF45" s="87"/>
      <c r="TEG45" s="87"/>
      <c r="TEH45" s="87"/>
      <c r="TEI45" s="87"/>
      <c r="TEJ45" s="87"/>
      <c r="TEK45" s="87"/>
      <c r="TEL45" s="87"/>
      <c r="TEM45" s="87"/>
      <c r="TEN45" s="87"/>
      <c r="TEO45" s="87"/>
      <c r="TEP45" s="87"/>
      <c r="TEQ45" s="87"/>
      <c r="TER45" s="87"/>
      <c r="TES45" s="87"/>
      <c r="TET45" s="87"/>
      <c r="TEU45" s="87"/>
      <c r="TEV45" s="87"/>
      <c r="TEW45" s="87"/>
      <c r="TEX45" s="87"/>
      <c r="TEY45" s="87"/>
      <c r="TEZ45" s="87"/>
      <c r="TFA45" s="87"/>
      <c r="TFB45" s="87"/>
      <c r="TFC45" s="87"/>
      <c r="TFD45" s="87"/>
      <c r="TFE45" s="87"/>
      <c r="TFF45" s="87"/>
      <c r="TFG45" s="87"/>
      <c r="TFH45" s="87"/>
      <c r="TFI45" s="87"/>
      <c r="TFJ45" s="87"/>
      <c r="TFK45" s="87"/>
      <c r="TFL45" s="87"/>
      <c r="TFM45" s="87"/>
      <c r="TFN45" s="87"/>
      <c r="TFO45" s="87"/>
      <c r="TFP45" s="87"/>
      <c r="TFQ45" s="87"/>
      <c r="TFR45" s="87"/>
      <c r="TFS45" s="87"/>
      <c r="TFT45" s="87"/>
      <c r="TFU45" s="87"/>
      <c r="TFV45" s="87"/>
      <c r="TFW45" s="87"/>
      <c r="TFX45" s="87"/>
      <c r="TFY45" s="87"/>
      <c r="TFZ45" s="87"/>
      <c r="TGA45" s="87"/>
      <c r="TGB45" s="87"/>
      <c r="TGC45" s="87"/>
      <c r="TGD45" s="87"/>
      <c r="TGE45" s="87"/>
      <c r="TGF45" s="87"/>
      <c r="TGG45" s="87"/>
      <c r="TGH45" s="87"/>
      <c r="TGI45" s="87"/>
      <c r="TGJ45" s="87"/>
      <c r="TGK45" s="87"/>
      <c r="TGL45" s="87"/>
      <c r="TGM45" s="87"/>
      <c r="TGN45" s="87"/>
      <c r="TGO45" s="87"/>
      <c r="TGP45" s="87"/>
      <c r="TGQ45" s="87"/>
      <c r="TGR45" s="87"/>
      <c r="TGS45" s="87"/>
      <c r="TGT45" s="87"/>
      <c r="TGU45" s="87"/>
      <c r="TGV45" s="87"/>
      <c r="TGW45" s="87"/>
      <c r="TGX45" s="87"/>
      <c r="TGY45" s="87"/>
      <c r="TGZ45" s="87"/>
      <c r="THA45" s="87"/>
      <c r="THB45" s="87"/>
      <c r="THC45" s="87"/>
      <c r="THD45" s="87"/>
      <c r="THE45" s="87"/>
      <c r="THF45" s="87"/>
      <c r="THG45" s="87"/>
      <c r="THH45" s="87"/>
      <c r="THI45" s="87"/>
      <c r="THJ45" s="87"/>
      <c r="THK45" s="87"/>
      <c r="THL45" s="87"/>
      <c r="THM45" s="87"/>
      <c r="THN45" s="87"/>
      <c r="THO45" s="87"/>
      <c r="THP45" s="87"/>
      <c r="THQ45" s="87"/>
      <c r="THR45" s="87"/>
      <c r="THS45" s="87"/>
      <c r="THT45" s="87"/>
      <c r="THU45" s="87"/>
      <c r="THV45" s="87"/>
      <c r="THW45" s="87"/>
      <c r="THX45" s="87"/>
      <c r="THY45" s="87"/>
      <c r="THZ45" s="87"/>
      <c r="TIA45" s="87"/>
      <c r="TIB45" s="87"/>
      <c r="TIC45" s="87"/>
      <c r="TID45" s="87"/>
      <c r="TIE45" s="87"/>
      <c r="TIF45" s="87"/>
      <c r="TIG45" s="87"/>
      <c r="TIH45" s="87"/>
      <c r="TII45" s="87"/>
      <c r="TIJ45" s="87"/>
      <c r="TIK45" s="87"/>
      <c r="TIL45" s="87"/>
      <c r="TIM45" s="87"/>
      <c r="TIN45" s="87"/>
      <c r="TIO45" s="87"/>
      <c r="TIP45" s="87"/>
      <c r="TIQ45" s="87"/>
      <c r="TIR45" s="87"/>
      <c r="TIS45" s="87"/>
      <c r="TIT45" s="87"/>
      <c r="TIU45" s="87"/>
      <c r="TIV45" s="87"/>
      <c r="TIW45" s="87"/>
      <c r="TIX45" s="87"/>
      <c r="TIY45" s="87"/>
      <c r="TIZ45" s="87"/>
      <c r="TJA45" s="87"/>
      <c r="TJB45" s="87"/>
      <c r="TJC45" s="87"/>
      <c r="TJD45" s="87"/>
      <c r="TJE45" s="87"/>
      <c r="TJF45" s="87"/>
      <c r="TJG45" s="87"/>
      <c r="TJH45" s="87"/>
      <c r="TJI45" s="87"/>
      <c r="TJJ45" s="87"/>
      <c r="TJK45" s="87"/>
      <c r="TJL45" s="87"/>
      <c r="TJM45" s="87"/>
      <c r="TJN45" s="87"/>
      <c r="TJO45" s="87"/>
      <c r="TJP45" s="87"/>
      <c r="TJQ45" s="87"/>
      <c r="TJR45" s="87"/>
      <c r="TJS45" s="87"/>
      <c r="TJT45" s="87"/>
      <c r="TJU45" s="87"/>
      <c r="TJV45" s="87"/>
      <c r="TJW45" s="87"/>
      <c r="TJX45" s="87"/>
      <c r="TJY45" s="87"/>
      <c r="TJZ45" s="87"/>
      <c r="TKA45" s="87"/>
      <c r="TKB45" s="87"/>
      <c r="TKC45" s="87"/>
      <c r="TKD45" s="87"/>
      <c r="TKE45" s="87"/>
      <c r="TKF45" s="87"/>
      <c r="TKG45" s="87"/>
      <c r="TKH45" s="87"/>
      <c r="TKI45" s="87"/>
      <c r="TKJ45" s="87"/>
      <c r="TKK45" s="87"/>
      <c r="TKL45" s="87"/>
      <c r="TKM45" s="87"/>
      <c r="TKN45" s="87"/>
      <c r="TKO45" s="87"/>
      <c r="TKP45" s="87"/>
      <c r="TKQ45" s="87"/>
      <c r="TKR45" s="87"/>
      <c r="TKS45" s="87"/>
      <c r="TKT45" s="87"/>
      <c r="TKU45" s="87"/>
      <c r="TKV45" s="87"/>
      <c r="TKW45" s="87"/>
      <c r="TKX45" s="87"/>
      <c r="TKY45" s="87"/>
      <c r="TKZ45" s="87"/>
      <c r="TLA45" s="87"/>
      <c r="TLB45" s="87"/>
      <c r="TLC45" s="87"/>
      <c r="TLD45" s="87"/>
      <c r="TLE45" s="87"/>
      <c r="TLF45" s="87"/>
      <c r="TLG45" s="87"/>
      <c r="TLH45" s="87"/>
      <c r="TLI45" s="87"/>
      <c r="TLJ45" s="87"/>
      <c r="TLK45" s="87"/>
      <c r="TLL45" s="87"/>
      <c r="TLM45" s="87"/>
      <c r="TLN45" s="87"/>
      <c r="TLO45" s="87"/>
      <c r="TLP45" s="87"/>
      <c r="TLQ45" s="87"/>
      <c r="TLR45" s="87"/>
      <c r="TLS45" s="87"/>
      <c r="TLT45" s="87"/>
      <c r="TLU45" s="87"/>
      <c r="TLV45" s="87"/>
      <c r="TLW45" s="87"/>
      <c r="TLX45" s="87"/>
      <c r="TLY45" s="87"/>
      <c r="TLZ45" s="87"/>
      <c r="TMA45" s="87"/>
      <c r="TMB45" s="87"/>
      <c r="TMC45" s="87"/>
      <c r="TMD45" s="87"/>
      <c r="TME45" s="87"/>
      <c r="TMF45" s="87"/>
      <c r="TMG45" s="87"/>
      <c r="TMH45" s="87"/>
      <c r="TMI45" s="87"/>
      <c r="TMJ45" s="87"/>
      <c r="TMK45" s="87"/>
      <c r="TML45" s="87"/>
      <c r="TMM45" s="87"/>
      <c r="TMN45" s="87"/>
      <c r="TMO45" s="87"/>
      <c r="TMP45" s="87"/>
      <c r="TMQ45" s="87"/>
      <c r="TMR45" s="87"/>
      <c r="TMS45" s="87"/>
      <c r="TMT45" s="87"/>
      <c r="TMU45" s="87"/>
      <c r="TMV45" s="87"/>
      <c r="TMW45" s="87"/>
      <c r="TMX45" s="87"/>
      <c r="TMY45" s="87"/>
      <c r="TMZ45" s="87"/>
      <c r="TNA45" s="87"/>
      <c r="TNB45" s="87"/>
      <c r="TNC45" s="87"/>
      <c r="TND45" s="87"/>
      <c r="TNE45" s="87"/>
      <c r="TNF45" s="87"/>
      <c r="TNG45" s="87"/>
      <c r="TNH45" s="87"/>
      <c r="TNI45" s="87"/>
      <c r="TNJ45" s="87"/>
      <c r="TNK45" s="87"/>
      <c r="TNL45" s="87"/>
      <c r="TNM45" s="87"/>
      <c r="TNN45" s="87"/>
      <c r="TNO45" s="87"/>
      <c r="TNP45" s="87"/>
      <c r="TNQ45" s="87"/>
      <c r="TNR45" s="87"/>
      <c r="TNS45" s="87"/>
      <c r="TNT45" s="87"/>
      <c r="TNU45" s="87"/>
      <c r="TNV45" s="87"/>
      <c r="TNW45" s="87"/>
      <c r="TNX45" s="87"/>
      <c r="TNY45" s="87"/>
      <c r="TNZ45" s="87"/>
      <c r="TOA45" s="87"/>
      <c r="TOB45" s="87"/>
      <c r="TOC45" s="87"/>
      <c r="TOD45" s="87"/>
      <c r="TOE45" s="87"/>
      <c r="TOF45" s="87"/>
      <c r="TOG45" s="87"/>
      <c r="TOH45" s="87"/>
      <c r="TOI45" s="87"/>
      <c r="TOJ45" s="87"/>
      <c r="TOK45" s="87"/>
      <c r="TOL45" s="87"/>
      <c r="TOM45" s="87"/>
      <c r="TON45" s="87"/>
      <c r="TOO45" s="87"/>
      <c r="TOP45" s="87"/>
      <c r="TOQ45" s="87"/>
      <c r="TOR45" s="87"/>
      <c r="TOS45" s="87"/>
      <c r="TOT45" s="87"/>
      <c r="TOU45" s="87"/>
      <c r="TOV45" s="87"/>
      <c r="TOW45" s="87"/>
      <c r="TOX45" s="87"/>
      <c r="TOY45" s="87"/>
      <c r="TOZ45" s="87"/>
      <c r="TPA45" s="87"/>
      <c r="TPB45" s="87"/>
      <c r="TPC45" s="87"/>
      <c r="TPD45" s="87"/>
      <c r="TPE45" s="87"/>
      <c r="TPF45" s="87"/>
      <c r="TPG45" s="87"/>
      <c r="TPH45" s="87"/>
      <c r="TPI45" s="87"/>
      <c r="TPJ45" s="87"/>
      <c r="TPK45" s="87"/>
      <c r="TPL45" s="87"/>
      <c r="TPM45" s="87"/>
      <c r="TPN45" s="87"/>
      <c r="TPO45" s="87"/>
      <c r="TPP45" s="87"/>
      <c r="TPQ45" s="87"/>
      <c r="TPR45" s="87"/>
      <c r="TPS45" s="87"/>
      <c r="TPT45" s="87"/>
      <c r="TPU45" s="87"/>
      <c r="TPV45" s="87"/>
      <c r="TPW45" s="87"/>
      <c r="TPX45" s="87"/>
      <c r="TPY45" s="87"/>
      <c r="TPZ45" s="87"/>
      <c r="TQA45" s="87"/>
      <c r="TQB45" s="87"/>
      <c r="TQC45" s="87"/>
      <c r="TQD45" s="87"/>
      <c r="TQE45" s="87"/>
      <c r="TQF45" s="87"/>
      <c r="TQG45" s="87"/>
      <c r="TQH45" s="87"/>
      <c r="TQI45" s="87"/>
      <c r="TQJ45" s="87"/>
      <c r="TQK45" s="87"/>
      <c r="TQL45" s="87"/>
      <c r="TQM45" s="87"/>
      <c r="TQN45" s="87"/>
      <c r="TQO45" s="87"/>
      <c r="TQP45" s="87"/>
      <c r="TQQ45" s="87"/>
      <c r="TQR45" s="87"/>
      <c r="TQS45" s="87"/>
      <c r="TQT45" s="87"/>
      <c r="TQU45" s="87"/>
      <c r="TQV45" s="87"/>
      <c r="TQW45" s="87"/>
      <c r="TQX45" s="87"/>
      <c r="TQY45" s="87"/>
      <c r="TQZ45" s="87"/>
      <c r="TRA45" s="87"/>
      <c r="TRB45" s="87"/>
      <c r="TRC45" s="87"/>
      <c r="TRD45" s="87"/>
      <c r="TRE45" s="87"/>
      <c r="TRF45" s="87"/>
      <c r="TRG45" s="87"/>
      <c r="TRH45" s="87"/>
      <c r="TRI45" s="87"/>
      <c r="TRJ45" s="87"/>
      <c r="TRK45" s="87"/>
      <c r="TRL45" s="87"/>
      <c r="TRM45" s="87"/>
      <c r="TRN45" s="87"/>
      <c r="TRO45" s="87"/>
      <c r="TRP45" s="87"/>
      <c r="TRQ45" s="87"/>
      <c r="TRR45" s="87"/>
      <c r="TRS45" s="87"/>
      <c r="TRT45" s="87"/>
      <c r="TRU45" s="87"/>
      <c r="TRV45" s="87"/>
      <c r="TRW45" s="87"/>
      <c r="TRX45" s="87"/>
      <c r="TRY45" s="87"/>
      <c r="TRZ45" s="87"/>
      <c r="TSA45" s="87"/>
      <c r="TSB45" s="87"/>
      <c r="TSC45" s="87"/>
      <c r="TSD45" s="87"/>
      <c r="TSE45" s="87"/>
      <c r="TSF45" s="87"/>
      <c r="TSG45" s="87"/>
      <c r="TSH45" s="87"/>
      <c r="TSI45" s="87"/>
      <c r="TSJ45" s="87"/>
      <c r="TSK45" s="87"/>
      <c r="TSL45" s="87"/>
      <c r="TSM45" s="87"/>
      <c r="TSN45" s="87"/>
      <c r="TSO45" s="87"/>
      <c r="TSP45" s="87"/>
      <c r="TSQ45" s="87"/>
      <c r="TSR45" s="87"/>
      <c r="TSS45" s="87"/>
      <c r="TST45" s="87"/>
      <c r="TSU45" s="87"/>
      <c r="TSV45" s="87"/>
      <c r="TSW45" s="87"/>
      <c r="TSX45" s="87"/>
      <c r="TSY45" s="87"/>
      <c r="TSZ45" s="87"/>
      <c r="TTA45" s="87"/>
      <c r="TTB45" s="87"/>
      <c r="TTC45" s="87"/>
      <c r="TTD45" s="87"/>
      <c r="TTE45" s="87"/>
      <c r="TTF45" s="87"/>
      <c r="TTG45" s="87"/>
      <c r="TTH45" s="87"/>
      <c r="TTI45" s="87"/>
      <c r="TTJ45" s="87"/>
      <c r="TTK45" s="87"/>
      <c r="TTL45" s="87"/>
      <c r="TTM45" s="87"/>
      <c r="TTN45" s="87"/>
      <c r="TTO45" s="87"/>
      <c r="TTP45" s="87"/>
      <c r="TTQ45" s="87"/>
      <c r="TTR45" s="87"/>
      <c r="TTS45" s="87"/>
      <c r="TTT45" s="87"/>
      <c r="TTU45" s="87"/>
      <c r="TTV45" s="87"/>
      <c r="TTW45" s="87"/>
      <c r="TTX45" s="87"/>
      <c r="TTY45" s="87"/>
      <c r="TTZ45" s="87"/>
      <c r="TUA45" s="87"/>
      <c r="TUB45" s="87"/>
      <c r="TUC45" s="87"/>
      <c r="TUD45" s="87"/>
      <c r="TUE45" s="87"/>
      <c r="TUF45" s="87"/>
      <c r="TUG45" s="87"/>
      <c r="TUH45" s="87"/>
      <c r="TUI45" s="87"/>
      <c r="TUJ45" s="87"/>
      <c r="TUK45" s="87"/>
      <c r="TUL45" s="87"/>
      <c r="TUM45" s="87"/>
      <c r="TUN45" s="87"/>
      <c r="TUO45" s="87"/>
      <c r="TUP45" s="87"/>
      <c r="TUQ45" s="87"/>
      <c r="TUR45" s="87"/>
      <c r="TUS45" s="87"/>
      <c r="TUT45" s="87"/>
      <c r="TUU45" s="87"/>
      <c r="TUV45" s="87"/>
      <c r="TUW45" s="87"/>
      <c r="TUX45" s="87"/>
      <c r="TUY45" s="87"/>
      <c r="TUZ45" s="87"/>
      <c r="TVA45" s="87"/>
      <c r="TVB45" s="87"/>
      <c r="TVC45" s="87"/>
      <c r="TVD45" s="87"/>
      <c r="TVE45" s="87"/>
      <c r="TVF45" s="87"/>
      <c r="TVG45" s="87"/>
      <c r="TVH45" s="87"/>
      <c r="TVI45" s="87"/>
      <c r="TVJ45" s="87"/>
      <c r="TVK45" s="87"/>
      <c r="TVL45" s="87"/>
      <c r="TVM45" s="87"/>
      <c r="TVN45" s="87"/>
      <c r="TVO45" s="87"/>
      <c r="TVP45" s="87"/>
      <c r="TVQ45" s="87"/>
      <c r="TVR45" s="87"/>
      <c r="TVS45" s="87"/>
      <c r="TVT45" s="87"/>
      <c r="TVU45" s="87"/>
      <c r="TVV45" s="87"/>
      <c r="TVW45" s="87"/>
      <c r="TVX45" s="87"/>
      <c r="TVY45" s="87"/>
      <c r="TVZ45" s="87"/>
      <c r="TWA45" s="87"/>
      <c r="TWB45" s="87"/>
      <c r="TWC45" s="87"/>
      <c r="TWD45" s="87"/>
      <c r="TWE45" s="87"/>
      <c r="TWF45" s="87"/>
      <c r="TWG45" s="87"/>
      <c r="TWH45" s="87"/>
      <c r="TWI45" s="87"/>
      <c r="TWJ45" s="87"/>
      <c r="TWK45" s="87"/>
      <c r="TWL45" s="87"/>
      <c r="TWM45" s="87"/>
      <c r="TWN45" s="87"/>
      <c r="TWO45" s="87"/>
      <c r="TWP45" s="87"/>
      <c r="TWQ45" s="87"/>
      <c r="TWR45" s="87"/>
      <c r="TWS45" s="87"/>
      <c r="TWT45" s="87"/>
      <c r="TWU45" s="87"/>
      <c r="TWV45" s="87"/>
      <c r="TWW45" s="87"/>
      <c r="TWX45" s="87"/>
      <c r="TWY45" s="87"/>
      <c r="TWZ45" s="87"/>
      <c r="TXA45" s="87"/>
      <c r="TXB45" s="87"/>
      <c r="TXC45" s="87"/>
      <c r="TXD45" s="87"/>
      <c r="TXE45" s="87"/>
      <c r="TXF45" s="87"/>
      <c r="TXG45" s="87"/>
      <c r="TXH45" s="87"/>
      <c r="TXI45" s="87"/>
      <c r="TXJ45" s="87"/>
      <c r="TXK45" s="87"/>
      <c r="TXL45" s="87"/>
      <c r="TXM45" s="87"/>
      <c r="TXN45" s="87"/>
      <c r="TXO45" s="87"/>
      <c r="TXP45" s="87"/>
      <c r="TXQ45" s="87"/>
      <c r="TXR45" s="87"/>
      <c r="TXS45" s="87"/>
      <c r="TXT45" s="87"/>
      <c r="TXU45" s="87"/>
      <c r="TXV45" s="87"/>
      <c r="TXW45" s="87"/>
      <c r="TXX45" s="87"/>
      <c r="TXY45" s="87"/>
      <c r="TXZ45" s="87"/>
      <c r="TYA45" s="87"/>
      <c r="TYB45" s="87"/>
      <c r="TYC45" s="87"/>
      <c r="TYD45" s="87"/>
      <c r="TYE45" s="87"/>
      <c r="TYF45" s="87"/>
      <c r="TYG45" s="87"/>
      <c r="TYH45" s="87"/>
      <c r="TYI45" s="87"/>
      <c r="TYJ45" s="87"/>
      <c r="TYK45" s="87"/>
      <c r="TYL45" s="87"/>
      <c r="TYM45" s="87"/>
      <c r="TYN45" s="87"/>
      <c r="TYO45" s="87"/>
      <c r="TYP45" s="87"/>
      <c r="TYQ45" s="87"/>
      <c r="TYR45" s="87"/>
      <c r="TYS45" s="87"/>
      <c r="TYT45" s="87"/>
      <c r="TYU45" s="87"/>
      <c r="TYV45" s="87"/>
      <c r="TYW45" s="87"/>
      <c r="TYX45" s="87"/>
      <c r="TYY45" s="87"/>
      <c r="TYZ45" s="87"/>
      <c r="TZA45" s="87"/>
      <c r="TZB45" s="87"/>
      <c r="TZC45" s="87"/>
      <c r="TZD45" s="87"/>
      <c r="TZE45" s="87"/>
      <c r="TZF45" s="87"/>
      <c r="TZG45" s="87"/>
      <c r="TZH45" s="87"/>
      <c r="TZI45" s="87"/>
      <c r="TZJ45" s="87"/>
      <c r="TZK45" s="87"/>
      <c r="TZL45" s="87"/>
      <c r="TZM45" s="87"/>
      <c r="TZN45" s="87"/>
      <c r="TZO45" s="87"/>
      <c r="TZP45" s="87"/>
      <c r="TZQ45" s="87"/>
      <c r="TZR45" s="87"/>
      <c r="TZS45" s="87"/>
      <c r="TZT45" s="87"/>
      <c r="TZU45" s="87"/>
      <c r="TZV45" s="87"/>
      <c r="TZW45" s="87"/>
      <c r="TZX45" s="87"/>
      <c r="TZY45" s="87"/>
      <c r="TZZ45" s="87"/>
      <c r="UAA45" s="87"/>
      <c r="UAB45" s="87"/>
      <c r="UAC45" s="87"/>
      <c r="UAD45" s="87"/>
      <c r="UAE45" s="87"/>
      <c r="UAF45" s="87"/>
      <c r="UAG45" s="87"/>
      <c r="UAH45" s="87"/>
      <c r="UAI45" s="87"/>
      <c r="UAJ45" s="87"/>
      <c r="UAK45" s="87"/>
      <c r="UAL45" s="87"/>
      <c r="UAM45" s="87"/>
      <c r="UAN45" s="87"/>
      <c r="UAO45" s="87"/>
      <c r="UAP45" s="87"/>
      <c r="UAQ45" s="87"/>
      <c r="UAR45" s="87"/>
      <c r="UAS45" s="87"/>
      <c r="UAT45" s="87"/>
      <c r="UAU45" s="87"/>
      <c r="UAV45" s="87"/>
      <c r="UAW45" s="87"/>
      <c r="UAX45" s="87"/>
      <c r="UAY45" s="87"/>
      <c r="UAZ45" s="87"/>
      <c r="UBA45" s="87"/>
      <c r="UBB45" s="87"/>
      <c r="UBC45" s="87"/>
      <c r="UBD45" s="87"/>
      <c r="UBE45" s="87"/>
      <c r="UBF45" s="87"/>
      <c r="UBG45" s="87"/>
      <c r="UBH45" s="87"/>
      <c r="UBI45" s="87"/>
      <c r="UBJ45" s="87"/>
      <c r="UBK45" s="87"/>
      <c r="UBL45" s="87"/>
      <c r="UBM45" s="87"/>
      <c r="UBN45" s="87"/>
      <c r="UBO45" s="87"/>
      <c r="UBP45" s="87"/>
      <c r="UBQ45" s="87"/>
      <c r="UBR45" s="87"/>
      <c r="UBS45" s="87"/>
      <c r="UBT45" s="87"/>
      <c r="UBU45" s="87"/>
      <c r="UBV45" s="87"/>
      <c r="UBW45" s="87"/>
      <c r="UBX45" s="87"/>
      <c r="UBY45" s="87"/>
      <c r="UBZ45" s="87"/>
      <c r="UCA45" s="87"/>
      <c r="UCB45" s="87"/>
      <c r="UCC45" s="87"/>
      <c r="UCD45" s="87"/>
      <c r="UCE45" s="87"/>
      <c r="UCF45" s="87"/>
      <c r="UCG45" s="87"/>
      <c r="UCH45" s="87"/>
      <c r="UCI45" s="87"/>
      <c r="UCJ45" s="87"/>
      <c r="UCK45" s="87"/>
      <c r="UCL45" s="87"/>
      <c r="UCM45" s="87"/>
      <c r="UCN45" s="87"/>
      <c r="UCO45" s="87"/>
      <c r="UCP45" s="87"/>
      <c r="UCQ45" s="87"/>
      <c r="UCR45" s="87"/>
      <c r="UCS45" s="87"/>
      <c r="UCT45" s="87"/>
      <c r="UCU45" s="87"/>
      <c r="UCV45" s="87"/>
      <c r="UCW45" s="87"/>
      <c r="UCX45" s="87"/>
      <c r="UCY45" s="87"/>
      <c r="UCZ45" s="87"/>
      <c r="UDA45" s="87"/>
      <c r="UDB45" s="87"/>
      <c r="UDC45" s="87"/>
      <c r="UDD45" s="87"/>
      <c r="UDE45" s="87"/>
      <c r="UDF45" s="87"/>
      <c r="UDG45" s="87"/>
      <c r="UDH45" s="87"/>
      <c r="UDI45" s="87"/>
      <c r="UDJ45" s="87"/>
      <c r="UDK45" s="87"/>
      <c r="UDL45" s="87"/>
      <c r="UDM45" s="87"/>
      <c r="UDN45" s="87"/>
      <c r="UDO45" s="87"/>
      <c r="UDP45" s="87"/>
      <c r="UDQ45" s="87"/>
      <c r="UDR45" s="87"/>
      <c r="UDS45" s="87"/>
      <c r="UDT45" s="87"/>
      <c r="UDU45" s="87"/>
      <c r="UDV45" s="87"/>
      <c r="UDW45" s="87"/>
      <c r="UDX45" s="87"/>
      <c r="UDY45" s="87"/>
      <c r="UDZ45" s="87"/>
      <c r="UEA45" s="87"/>
      <c r="UEB45" s="87"/>
      <c r="UEC45" s="87"/>
      <c r="UED45" s="87"/>
      <c r="UEE45" s="87"/>
      <c r="UEF45" s="87"/>
      <c r="UEG45" s="87"/>
      <c r="UEH45" s="87"/>
      <c r="UEI45" s="87"/>
      <c r="UEJ45" s="87"/>
      <c r="UEK45" s="87"/>
      <c r="UEL45" s="87"/>
      <c r="UEM45" s="87"/>
      <c r="UEN45" s="87"/>
      <c r="UEO45" s="87"/>
      <c r="UEP45" s="87"/>
      <c r="UEQ45" s="87"/>
      <c r="UER45" s="87"/>
      <c r="UES45" s="87"/>
      <c r="UET45" s="87"/>
      <c r="UEU45" s="87"/>
      <c r="UEV45" s="87"/>
      <c r="UEW45" s="87"/>
      <c r="UEX45" s="87"/>
      <c r="UEY45" s="87"/>
      <c r="UEZ45" s="87"/>
      <c r="UFA45" s="87"/>
      <c r="UFB45" s="87"/>
      <c r="UFC45" s="87"/>
      <c r="UFD45" s="87"/>
      <c r="UFE45" s="87"/>
      <c r="UFF45" s="87"/>
      <c r="UFG45" s="87"/>
      <c r="UFH45" s="87"/>
      <c r="UFI45" s="87"/>
      <c r="UFJ45" s="87"/>
      <c r="UFK45" s="87"/>
      <c r="UFL45" s="87"/>
      <c r="UFM45" s="87"/>
      <c r="UFN45" s="87"/>
      <c r="UFO45" s="87"/>
      <c r="UFP45" s="87"/>
      <c r="UFQ45" s="87"/>
      <c r="UFR45" s="87"/>
      <c r="UFS45" s="87"/>
      <c r="UFT45" s="87"/>
      <c r="UFU45" s="87"/>
      <c r="UFV45" s="87"/>
      <c r="UFW45" s="87"/>
      <c r="UFX45" s="87"/>
      <c r="UFY45" s="87"/>
      <c r="UFZ45" s="87"/>
      <c r="UGA45" s="87"/>
      <c r="UGB45" s="87"/>
      <c r="UGC45" s="87"/>
      <c r="UGD45" s="87"/>
      <c r="UGE45" s="87"/>
      <c r="UGF45" s="87"/>
      <c r="UGG45" s="87"/>
      <c r="UGH45" s="87"/>
      <c r="UGI45" s="87"/>
      <c r="UGJ45" s="87"/>
      <c r="UGK45" s="87"/>
      <c r="UGL45" s="87"/>
      <c r="UGM45" s="87"/>
      <c r="UGN45" s="87"/>
      <c r="UGO45" s="87"/>
      <c r="UGP45" s="87"/>
      <c r="UGQ45" s="87"/>
      <c r="UGR45" s="87"/>
      <c r="UGS45" s="87"/>
      <c r="UGT45" s="87"/>
      <c r="UGU45" s="87"/>
      <c r="UGV45" s="87"/>
      <c r="UGW45" s="87"/>
      <c r="UGX45" s="87"/>
      <c r="UGY45" s="87"/>
      <c r="UGZ45" s="87"/>
      <c r="UHA45" s="87"/>
      <c r="UHB45" s="87"/>
      <c r="UHC45" s="87"/>
      <c r="UHD45" s="87"/>
      <c r="UHE45" s="87"/>
      <c r="UHF45" s="87"/>
      <c r="UHG45" s="87"/>
      <c r="UHH45" s="87"/>
      <c r="UHI45" s="87"/>
      <c r="UHJ45" s="87"/>
      <c r="UHK45" s="87"/>
      <c r="UHL45" s="87"/>
      <c r="UHM45" s="87"/>
      <c r="UHN45" s="87"/>
      <c r="UHO45" s="87"/>
      <c r="UHP45" s="87"/>
      <c r="UHQ45" s="87"/>
      <c r="UHR45" s="87"/>
      <c r="UHS45" s="87"/>
      <c r="UHT45" s="87"/>
      <c r="UHU45" s="87"/>
      <c r="UHV45" s="87"/>
      <c r="UHW45" s="87"/>
      <c r="UHX45" s="87"/>
      <c r="UHY45" s="87"/>
      <c r="UHZ45" s="87"/>
      <c r="UIA45" s="87"/>
      <c r="UIB45" s="87"/>
      <c r="UIC45" s="87"/>
      <c r="UID45" s="87"/>
      <c r="UIE45" s="87"/>
      <c r="UIF45" s="87"/>
      <c r="UIG45" s="87"/>
      <c r="UIH45" s="87"/>
      <c r="UII45" s="87"/>
      <c r="UIJ45" s="87"/>
      <c r="UIK45" s="87"/>
      <c r="UIL45" s="87"/>
      <c r="UIM45" s="87"/>
      <c r="UIN45" s="87"/>
      <c r="UIO45" s="87"/>
      <c r="UIP45" s="87"/>
      <c r="UIQ45" s="87"/>
      <c r="UIR45" s="87"/>
      <c r="UIS45" s="87"/>
      <c r="UIT45" s="87"/>
      <c r="UIU45" s="87"/>
      <c r="UIV45" s="87"/>
      <c r="UIW45" s="87"/>
      <c r="UIX45" s="87"/>
      <c r="UIY45" s="87"/>
      <c r="UIZ45" s="87"/>
      <c r="UJA45" s="87"/>
      <c r="UJB45" s="87"/>
      <c r="UJC45" s="87"/>
      <c r="UJD45" s="87"/>
      <c r="UJE45" s="87"/>
      <c r="UJF45" s="87"/>
      <c r="UJG45" s="87"/>
      <c r="UJH45" s="87"/>
      <c r="UJI45" s="87"/>
      <c r="UJJ45" s="87"/>
      <c r="UJK45" s="87"/>
      <c r="UJL45" s="87"/>
      <c r="UJM45" s="87"/>
      <c r="UJN45" s="87"/>
      <c r="UJO45" s="87"/>
      <c r="UJP45" s="87"/>
      <c r="UJQ45" s="87"/>
      <c r="UJR45" s="87"/>
      <c r="UJS45" s="87"/>
      <c r="UJT45" s="87"/>
      <c r="UJU45" s="87"/>
      <c r="UJV45" s="87"/>
      <c r="UJW45" s="87"/>
      <c r="UJX45" s="87"/>
      <c r="UJY45" s="87"/>
      <c r="UJZ45" s="87"/>
      <c r="UKA45" s="87"/>
      <c r="UKB45" s="87"/>
      <c r="UKC45" s="87"/>
      <c r="UKD45" s="87"/>
      <c r="UKE45" s="87"/>
      <c r="UKF45" s="87"/>
      <c r="UKG45" s="87"/>
      <c r="UKH45" s="87"/>
      <c r="UKI45" s="87"/>
      <c r="UKJ45" s="87"/>
      <c r="UKK45" s="87"/>
      <c r="UKL45" s="87"/>
      <c r="UKM45" s="87"/>
      <c r="UKN45" s="87"/>
      <c r="UKO45" s="87"/>
      <c r="UKP45" s="87"/>
      <c r="UKQ45" s="87"/>
      <c r="UKR45" s="87"/>
      <c r="UKS45" s="87"/>
      <c r="UKT45" s="87"/>
      <c r="UKU45" s="87"/>
      <c r="UKV45" s="87"/>
      <c r="UKW45" s="87"/>
      <c r="UKX45" s="87"/>
      <c r="UKY45" s="87"/>
      <c r="UKZ45" s="87"/>
      <c r="ULA45" s="87"/>
      <c r="ULB45" s="87"/>
      <c r="ULC45" s="87"/>
      <c r="ULD45" s="87"/>
      <c r="ULE45" s="87"/>
      <c r="ULF45" s="87"/>
      <c r="ULG45" s="87"/>
      <c r="ULH45" s="87"/>
      <c r="ULI45" s="87"/>
      <c r="ULJ45" s="87"/>
      <c r="ULK45" s="87"/>
      <c r="ULL45" s="87"/>
      <c r="ULM45" s="87"/>
      <c r="ULN45" s="87"/>
      <c r="ULO45" s="87"/>
      <c r="ULP45" s="87"/>
      <c r="ULQ45" s="87"/>
      <c r="ULR45" s="87"/>
      <c r="ULS45" s="87"/>
      <c r="ULT45" s="87"/>
      <c r="ULU45" s="87"/>
      <c r="ULV45" s="87"/>
      <c r="ULW45" s="87"/>
      <c r="ULX45" s="87"/>
      <c r="ULY45" s="87"/>
      <c r="ULZ45" s="87"/>
      <c r="UMA45" s="87"/>
      <c r="UMB45" s="87"/>
      <c r="UMC45" s="87"/>
      <c r="UMD45" s="87"/>
      <c r="UME45" s="87"/>
      <c r="UMF45" s="87"/>
      <c r="UMG45" s="87"/>
      <c r="UMH45" s="87"/>
      <c r="UMI45" s="87"/>
      <c r="UMJ45" s="87"/>
      <c r="UMK45" s="87"/>
      <c r="UML45" s="87"/>
      <c r="UMM45" s="87"/>
      <c r="UMN45" s="87"/>
      <c r="UMO45" s="87"/>
      <c r="UMP45" s="87"/>
      <c r="UMQ45" s="87"/>
      <c r="UMR45" s="87"/>
      <c r="UMS45" s="87"/>
      <c r="UMT45" s="87"/>
      <c r="UMU45" s="87"/>
      <c r="UMV45" s="87"/>
      <c r="UMW45" s="87"/>
      <c r="UMX45" s="87"/>
      <c r="UMY45" s="87"/>
      <c r="UMZ45" s="87"/>
      <c r="UNA45" s="87"/>
      <c r="UNB45" s="87"/>
      <c r="UNC45" s="87"/>
      <c r="UND45" s="87"/>
      <c r="UNE45" s="87"/>
      <c r="UNF45" s="87"/>
      <c r="UNG45" s="87"/>
      <c r="UNH45" s="87"/>
      <c r="UNI45" s="87"/>
      <c r="UNJ45" s="87"/>
      <c r="UNK45" s="87"/>
      <c r="UNL45" s="87"/>
      <c r="UNM45" s="87"/>
      <c r="UNN45" s="87"/>
      <c r="UNO45" s="87"/>
      <c r="UNP45" s="87"/>
      <c r="UNQ45" s="87"/>
      <c r="UNR45" s="87"/>
      <c r="UNS45" s="87"/>
      <c r="UNT45" s="87"/>
      <c r="UNU45" s="87"/>
      <c r="UNV45" s="87"/>
      <c r="UNW45" s="87"/>
      <c r="UNX45" s="87"/>
      <c r="UNY45" s="87"/>
      <c r="UNZ45" s="87"/>
      <c r="UOA45" s="87"/>
      <c r="UOB45" s="87"/>
      <c r="UOC45" s="87"/>
      <c r="UOD45" s="87"/>
      <c r="UOE45" s="87"/>
      <c r="UOF45" s="87"/>
      <c r="UOG45" s="87"/>
      <c r="UOH45" s="87"/>
      <c r="UOI45" s="87"/>
      <c r="UOJ45" s="87"/>
      <c r="UOK45" s="87"/>
      <c r="UOL45" s="87"/>
      <c r="UOM45" s="87"/>
      <c r="UON45" s="87"/>
      <c r="UOO45" s="87"/>
      <c r="UOP45" s="87"/>
      <c r="UOQ45" s="87"/>
      <c r="UOR45" s="87"/>
      <c r="UOS45" s="87"/>
      <c r="UOT45" s="87"/>
      <c r="UOU45" s="87"/>
      <c r="UOV45" s="87"/>
      <c r="UOW45" s="87"/>
      <c r="UOX45" s="87"/>
      <c r="UOY45" s="87"/>
      <c r="UOZ45" s="87"/>
      <c r="UPA45" s="87"/>
      <c r="UPB45" s="87"/>
      <c r="UPC45" s="87"/>
      <c r="UPD45" s="87"/>
      <c r="UPE45" s="87"/>
      <c r="UPF45" s="87"/>
      <c r="UPG45" s="87"/>
      <c r="UPH45" s="87"/>
      <c r="UPI45" s="87"/>
      <c r="UPJ45" s="87"/>
      <c r="UPK45" s="87"/>
      <c r="UPL45" s="87"/>
      <c r="UPM45" s="87"/>
      <c r="UPN45" s="87"/>
      <c r="UPO45" s="87"/>
      <c r="UPP45" s="87"/>
      <c r="UPQ45" s="87"/>
      <c r="UPR45" s="87"/>
      <c r="UPS45" s="87"/>
      <c r="UPT45" s="87"/>
      <c r="UPU45" s="87"/>
      <c r="UPV45" s="87"/>
      <c r="UPW45" s="87"/>
      <c r="UPX45" s="87"/>
      <c r="UPY45" s="87"/>
      <c r="UPZ45" s="87"/>
      <c r="UQA45" s="87"/>
      <c r="UQB45" s="87"/>
      <c r="UQC45" s="87"/>
      <c r="UQD45" s="87"/>
      <c r="UQE45" s="87"/>
      <c r="UQF45" s="87"/>
      <c r="UQG45" s="87"/>
      <c r="UQH45" s="87"/>
      <c r="UQI45" s="87"/>
      <c r="UQJ45" s="87"/>
      <c r="UQK45" s="87"/>
      <c r="UQL45" s="87"/>
      <c r="UQM45" s="87"/>
      <c r="UQN45" s="87"/>
      <c r="UQO45" s="87"/>
      <c r="UQP45" s="87"/>
      <c r="UQQ45" s="87"/>
      <c r="UQR45" s="87"/>
      <c r="UQS45" s="87"/>
      <c r="UQT45" s="87"/>
      <c r="UQU45" s="87"/>
      <c r="UQV45" s="87"/>
      <c r="UQW45" s="87"/>
      <c r="UQX45" s="87"/>
      <c r="UQY45" s="87"/>
      <c r="UQZ45" s="87"/>
      <c r="URA45" s="87"/>
      <c r="URB45" s="87"/>
      <c r="URC45" s="87"/>
      <c r="URD45" s="87"/>
      <c r="URE45" s="87"/>
      <c r="URF45" s="87"/>
      <c r="URG45" s="87"/>
      <c r="URH45" s="87"/>
      <c r="URI45" s="87"/>
      <c r="URJ45" s="87"/>
      <c r="URK45" s="87"/>
      <c r="URL45" s="87"/>
      <c r="URM45" s="87"/>
      <c r="URN45" s="87"/>
      <c r="URO45" s="87"/>
      <c r="URP45" s="87"/>
      <c r="URQ45" s="87"/>
      <c r="URR45" s="87"/>
      <c r="URS45" s="87"/>
      <c r="URT45" s="87"/>
      <c r="URU45" s="87"/>
      <c r="URV45" s="87"/>
      <c r="URW45" s="87"/>
      <c r="URX45" s="87"/>
      <c r="URY45" s="87"/>
      <c r="URZ45" s="87"/>
      <c r="USA45" s="87"/>
      <c r="USB45" s="87"/>
      <c r="USC45" s="87"/>
      <c r="USD45" s="87"/>
      <c r="USE45" s="87"/>
      <c r="USF45" s="87"/>
      <c r="USG45" s="87"/>
      <c r="USH45" s="87"/>
      <c r="USI45" s="87"/>
      <c r="USJ45" s="87"/>
      <c r="USK45" s="87"/>
      <c r="USL45" s="87"/>
      <c r="USM45" s="87"/>
      <c r="USN45" s="87"/>
      <c r="USO45" s="87"/>
      <c r="USP45" s="87"/>
      <c r="USQ45" s="87"/>
      <c r="USR45" s="87"/>
      <c r="USS45" s="87"/>
      <c r="UST45" s="87"/>
      <c r="USU45" s="87"/>
      <c r="USV45" s="87"/>
      <c r="USW45" s="87"/>
      <c r="USX45" s="87"/>
      <c r="USY45" s="87"/>
      <c r="USZ45" s="87"/>
      <c r="UTA45" s="87"/>
      <c r="UTB45" s="87"/>
      <c r="UTC45" s="87"/>
      <c r="UTD45" s="87"/>
      <c r="UTE45" s="87"/>
      <c r="UTF45" s="87"/>
      <c r="UTG45" s="87"/>
      <c r="UTH45" s="87"/>
      <c r="UTI45" s="87"/>
      <c r="UTJ45" s="87"/>
      <c r="UTK45" s="87"/>
      <c r="UTL45" s="87"/>
      <c r="UTM45" s="87"/>
      <c r="UTN45" s="87"/>
      <c r="UTO45" s="87"/>
      <c r="UTP45" s="87"/>
      <c r="UTQ45" s="87"/>
      <c r="UTR45" s="87"/>
      <c r="UTS45" s="87"/>
      <c r="UTT45" s="87"/>
      <c r="UTU45" s="87"/>
      <c r="UTV45" s="87"/>
      <c r="UTW45" s="87"/>
      <c r="UTX45" s="87"/>
      <c r="UTY45" s="87"/>
      <c r="UTZ45" s="87"/>
      <c r="UUA45" s="87"/>
      <c r="UUB45" s="87"/>
      <c r="UUC45" s="87"/>
      <c r="UUD45" s="87"/>
      <c r="UUE45" s="87"/>
      <c r="UUF45" s="87"/>
      <c r="UUG45" s="87"/>
      <c r="UUH45" s="87"/>
      <c r="UUI45" s="87"/>
      <c r="UUJ45" s="87"/>
      <c r="UUK45" s="87"/>
      <c r="UUL45" s="87"/>
      <c r="UUM45" s="87"/>
      <c r="UUN45" s="87"/>
      <c r="UUO45" s="87"/>
      <c r="UUP45" s="87"/>
      <c r="UUQ45" s="87"/>
      <c r="UUR45" s="87"/>
      <c r="UUS45" s="87"/>
      <c r="UUT45" s="87"/>
      <c r="UUU45" s="87"/>
      <c r="UUV45" s="87"/>
      <c r="UUW45" s="87"/>
      <c r="UUX45" s="87"/>
      <c r="UUY45" s="87"/>
      <c r="UUZ45" s="87"/>
      <c r="UVA45" s="87"/>
      <c r="UVB45" s="87"/>
      <c r="UVC45" s="87"/>
      <c r="UVD45" s="87"/>
      <c r="UVE45" s="87"/>
      <c r="UVF45" s="87"/>
      <c r="UVG45" s="87"/>
      <c r="UVH45" s="87"/>
      <c r="UVI45" s="87"/>
      <c r="UVJ45" s="87"/>
      <c r="UVK45" s="87"/>
      <c r="UVL45" s="87"/>
      <c r="UVM45" s="87"/>
      <c r="UVN45" s="87"/>
      <c r="UVO45" s="87"/>
      <c r="UVP45" s="87"/>
      <c r="UVQ45" s="87"/>
      <c r="UVR45" s="87"/>
      <c r="UVS45" s="87"/>
      <c r="UVT45" s="87"/>
      <c r="UVU45" s="87"/>
      <c r="UVV45" s="87"/>
      <c r="UVW45" s="87"/>
      <c r="UVX45" s="87"/>
      <c r="UVY45" s="87"/>
      <c r="UVZ45" s="87"/>
      <c r="UWA45" s="87"/>
      <c r="UWB45" s="87"/>
      <c r="UWC45" s="87"/>
      <c r="UWD45" s="87"/>
      <c r="UWE45" s="87"/>
      <c r="UWF45" s="87"/>
      <c r="UWG45" s="87"/>
      <c r="UWH45" s="87"/>
      <c r="UWI45" s="87"/>
      <c r="UWJ45" s="87"/>
      <c r="UWK45" s="87"/>
      <c r="UWL45" s="87"/>
      <c r="UWM45" s="87"/>
      <c r="UWN45" s="87"/>
      <c r="UWO45" s="87"/>
      <c r="UWP45" s="87"/>
      <c r="UWQ45" s="87"/>
      <c r="UWR45" s="87"/>
      <c r="UWS45" s="87"/>
      <c r="UWT45" s="87"/>
      <c r="UWU45" s="87"/>
      <c r="UWV45" s="87"/>
      <c r="UWW45" s="87"/>
      <c r="UWX45" s="87"/>
      <c r="UWY45" s="87"/>
      <c r="UWZ45" s="87"/>
      <c r="UXA45" s="87"/>
      <c r="UXB45" s="87"/>
      <c r="UXC45" s="87"/>
      <c r="UXD45" s="87"/>
      <c r="UXE45" s="87"/>
      <c r="UXF45" s="87"/>
      <c r="UXG45" s="87"/>
      <c r="UXH45" s="87"/>
      <c r="UXI45" s="87"/>
      <c r="UXJ45" s="87"/>
      <c r="UXK45" s="87"/>
      <c r="UXL45" s="87"/>
      <c r="UXM45" s="87"/>
      <c r="UXN45" s="87"/>
      <c r="UXO45" s="87"/>
      <c r="UXP45" s="87"/>
      <c r="UXQ45" s="87"/>
      <c r="UXR45" s="87"/>
      <c r="UXS45" s="87"/>
      <c r="UXT45" s="87"/>
      <c r="UXU45" s="87"/>
      <c r="UXV45" s="87"/>
      <c r="UXW45" s="87"/>
      <c r="UXX45" s="87"/>
      <c r="UXY45" s="87"/>
      <c r="UXZ45" s="87"/>
      <c r="UYA45" s="87"/>
      <c r="UYB45" s="87"/>
      <c r="UYC45" s="87"/>
      <c r="UYD45" s="87"/>
      <c r="UYE45" s="87"/>
      <c r="UYF45" s="87"/>
      <c r="UYG45" s="87"/>
      <c r="UYH45" s="87"/>
      <c r="UYI45" s="87"/>
      <c r="UYJ45" s="87"/>
      <c r="UYK45" s="87"/>
      <c r="UYL45" s="87"/>
      <c r="UYM45" s="87"/>
      <c r="UYN45" s="87"/>
      <c r="UYO45" s="87"/>
      <c r="UYP45" s="87"/>
      <c r="UYQ45" s="87"/>
      <c r="UYR45" s="87"/>
      <c r="UYS45" s="87"/>
      <c r="UYT45" s="87"/>
      <c r="UYU45" s="87"/>
      <c r="UYV45" s="87"/>
      <c r="UYW45" s="87"/>
      <c r="UYX45" s="87"/>
      <c r="UYY45" s="87"/>
      <c r="UYZ45" s="87"/>
      <c r="UZA45" s="87"/>
      <c r="UZB45" s="87"/>
      <c r="UZC45" s="87"/>
      <c r="UZD45" s="87"/>
      <c r="UZE45" s="87"/>
      <c r="UZF45" s="87"/>
      <c r="UZG45" s="87"/>
      <c r="UZH45" s="87"/>
      <c r="UZI45" s="87"/>
      <c r="UZJ45" s="87"/>
      <c r="UZK45" s="87"/>
      <c r="UZL45" s="87"/>
      <c r="UZM45" s="87"/>
      <c r="UZN45" s="87"/>
      <c r="UZO45" s="87"/>
      <c r="UZP45" s="87"/>
      <c r="UZQ45" s="87"/>
      <c r="UZR45" s="87"/>
      <c r="UZS45" s="87"/>
      <c r="UZT45" s="87"/>
      <c r="UZU45" s="87"/>
      <c r="UZV45" s="87"/>
      <c r="UZW45" s="87"/>
      <c r="UZX45" s="87"/>
      <c r="UZY45" s="87"/>
      <c r="UZZ45" s="87"/>
      <c r="VAA45" s="87"/>
      <c r="VAB45" s="87"/>
      <c r="VAC45" s="87"/>
      <c r="VAD45" s="87"/>
      <c r="VAE45" s="87"/>
      <c r="VAF45" s="87"/>
      <c r="VAG45" s="87"/>
      <c r="VAH45" s="87"/>
      <c r="VAI45" s="87"/>
      <c r="VAJ45" s="87"/>
      <c r="VAK45" s="87"/>
      <c r="VAL45" s="87"/>
      <c r="VAM45" s="87"/>
      <c r="VAN45" s="87"/>
      <c r="VAO45" s="87"/>
      <c r="VAP45" s="87"/>
      <c r="VAQ45" s="87"/>
      <c r="VAR45" s="87"/>
      <c r="VAS45" s="87"/>
      <c r="VAT45" s="87"/>
      <c r="VAU45" s="87"/>
      <c r="VAV45" s="87"/>
      <c r="VAW45" s="87"/>
      <c r="VAX45" s="87"/>
      <c r="VAY45" s="87"/>
      <c r="VAZ45" s="87"/>
      <c r="VBA45" s="87"/>
      <c r="VBB45" s="87"/>
      <c r="VBC45" s="87"/>
      <c r="VBD45" s="87"/>
      <c r="VBE45" s="87"/>
      <c r="VBF45" s="87"/>
      <c r="VBG45" s="87"/>
      <c r="VBH45" s="87"/>
      <c r="VBI45" s="87"/>
      <c r="VBJ45" s="87"/>
      <c r="VBK45" s="87"/>
      <c r="VBL45" s="87"/>
      <c r="VBM45" s="87"/>
      <c r="VBN45" s="87"/>
      <c r="VBO45" s="87"/>
      <c r="VBP45" s="87"/>
      <c r="VBQ45" s="87"/>
      <c r="VBR45" s="87"/>
      <c r="VBS45" s="87"/>
      <c r="VBT45" s="87"/>
      <c r="VBU45" s="87"/>
      <c r="VBV45" s="87"/>
      <c r="VBW45" s="87"/>
      <c r="VBX45" s="87"/>
      <c r="VBY45" s="87"/>
      <c r="VBZ45" s="87"/>
      <c r="VCA45" s="87"/>
      <c r="VCB45" s="87"/>
      <c r="VCC45" s="87"/>
      <c r="VCD45" s="87"/>
      <c r="VCE45" s="87"/>
      <c r="VCF45" s="87"/>
      <c r="VCG45" s="87"/>
      <c r="VCH45" s="87"/>
      <c r="VCI45" s="87"/>
      <c r="VCJ45" s="87"/>
      <c r="VCK45" s="87"/>
      <c r="VCL45" s="87"/>
      <c r="VCM45" s="87"/>
      <c r="VCN45" s="87"/>
      <c r="VCO45" s="87"/>
      <c r="VCP45" s="87"/>
      <c r="VCQ45" s="87"/>
      <c r="VCR45" s="87"/>
      <c r="VCS45" s="87"/>
      <c r="VCT45" s="87"/>
      <c r="VCU45" s="87"/>
      <c r="VCV45" s="87"/>
      <c r="VCW45" s="87"/>
      <c r="VCX45" s="87"/>
      <c r="VCY45" s="87"/>
      <c r="VCZ45" s="87"/>
      <c r="VDA45" s="87"/>
      <c r="VDB45" s="87"/>
      <c r="VDC45" s="87"/>
      <c r="VDD45" s="87"/>
      <c r="VDE45" s="87"/>
      <c r="VDF45" s="87"/>
      <c r="VDG45" s="87"/>
      <c r="VDH45" s="87"/>
      <c r="VDI45" s="87"/>
      <c r="VDJ45" s="87"/>
      <c r="VDK45" s="87"/>
      <c r="VDL45" s="87"/>
      <c r="VDM45" s="87"/>
      <c r="VDN45" s="87"/>
      <c r="VDO45" s="87"/>
      <c r="VDP45" s="87"/>
      <c r="VDQ45" s="87"/>
      <c r="VDR45" s="87"/>
      <c r="VDS45" s="87"/>
      <c r="VDT45" s="87"/>
      <c r="VDU45" s="87"/>
      <c r="VDV45" s="87"/>
      <c r="VDW45" s="87"/>
      <c r="VDX45" s="87"/>
      <c r="VDY45" s="87"/>
      <c r="VDZ45" s="87"/>
      <c r="VEA45" s="87"/>
      <c r="VEB45" s="87"/>
      <c r="VEC45" s="87"/>
      <c r="VED45" s="87"/>
      <c r="VEE45" s="87"/>
      <c r="VEF45" s="87"/>
      <c r="VEG45" s="87"/>
      <c r="VEH45" s="87"/>
      <c r="VEI45" s="87"/>
      <c r="VEJ45" s="87"/>
      <c r="VEK45" s="87"/>
      <c r="VEL45" s="87"/>
      <c r="VEM45" s="87"/>
      <c r="VEN45" s="87"/>
      <c r="VEO45" s="87"/>
      <c r="VEP45" s="87"/>
      <c r="VEQ45" s="87"/>
      <c r="VER45" s="87"/>
      <c r="VES45" s="87"/>
      <c r="VET45" s="87"/>
      <c r="VEU45" s="87"/>
      <c r="VEV45" s="87"/>
      <c r="VEW45" s="87"/>
      <c r="VEX45" s="87"/>
      <c r="VEY45" s="87"/>
      <c r="VEZ45" s="87"/>
      <c r="VFA45" s="87"/>
      <c r="VFB45" s="87"/>
      <c r="VFC45" s="87"/>
      <c r="VFD45" s="87"/>
      <c r="VFE45" s="87"/>
      <c r="VFF45" s="87"/>
      <c r="VFG45" s="87"/>
      <c r="VFH45" s="87"/>
      <c r="VFI45" s="87"/>
      <c r="VFJ45" s="87"/>
      <c r="VFK45" s="87"/>
      <c r="VFL45" s="87"/>
      <c r="VFM45" s="87"/>
      <c r="VFN45" s="87"/>
      <c r="VFO45" s="87"/>
      <c r="VFP45" s="87"/>
      <c r="VFQ45" s="87"/>
      <c r="VFR45" s="87"/>
      <c r="VFS45" s="87"/>
      <c r="VFT45" s="87"/>
      <c r="VFU45" s="87"/>
      <c r="VFV45" s="87"/>
      <c r="VFW45" s="87"/>
      <c r="VFX45" s="87"/>
      <c r="VFY45" s="87"/>
      <c r="VFZ45" s="87"/>
      <c r="VGA45" s="87"/>
      <c r="VGB45" s="87"/>
      <c r="VGC45" s="87"/>
      <c r="VGD45" s="87"/>
      <c r="VGE45" s="87"/>
      <c r="VGF45" s="87"/>
      <c r="VGG45" s="87"/>
      <c r="VGH45" s="87"/>
      <c r="VGI45" s="87"/>
      <c r="VGJ45" s="87"/>
      <c r="VGK45" s="87"/>
      <c r="VGL45" s="87"/>
      <c r="VGM45" s="87"/>
      <c r="VGN45" s="87"/>
      <c r="VGO45" s="87"/>
      <c r="VGP45" s="87"/>
      <c r="VGQ45" s="87"/>
      <c r="VGR45" s="87"/>
      <c r="VGS45" s="87"/>
      <c r="VGT45" s="87"/>
      <c r="VGU45" s="87"/>
      <c r="VGV45" s="87"/>
      <c r="VGW45" s="87"/>
      <c r="VGX45" s="87"/>
      <c r="VGY45" s="87"/>
      <c r="VGZ45" s="87"/>
      <c r="VHA45" s="87"/>
      <c r="VHB45" s="87"/>
      <c r="VHC45" s="87"/>
      <c r="VHD45" s="87"/>
      <c r="VHE45" s="87"/>
      <c r="VHF45" s="87"/>
      <c r="VHG45" s="87"/>
      <c r="VHH45" s="87"/>
      <c r="VHI45" s="87"/>
      <c r="VHJ45" s="87"/>
      <c r="VHK45" s="87"/>
      <c r="VHL45" s="87"/>
      <c r="VHM45" s="87"/>
      <c r="VHN45" s="87"/>
      <c r="VHO45" s="87"/>
      <c r="VHP45" s="87"/>
      <c r="VHQ45" s="87"/>
      <c r="VHR45" s="87"/>
      <c r="VHS45" s="87"/>
      <c r="VHT45" s="87"/>
      <c r="VHU45" s="87"/>
      <c r="VHV45" s="87"/>
      <c r="VHW45" s="87"/>
      <c r="VHX45" s="87"/>
      <c r="VHY45" s="87"/>
      <c r="VHZ45" s="87"/>
      <c r="VIA45" s="87"/>
      <c r="VIB45" s="87"/>
      <c r="VIC45" s="87"/>
      <c r="VID45" s="87"/>
      <c r="VIE45" s="87"/>
      <c r="VIF45" s="87"/>
      <c r="VIG45" s="87"/>
      <c r="VIH45" s="87"/>
      <c r="VII45" s="87"/>
      <c r="VIJ45" s="87"/>
      <c r="VIK45" s="87"/>
      <c r="VIL45" s="87"/>
      <c r="VIM45" s="87"/>
      <c r="VIN45" s="87"/>
      <c r="VIO45" s="87"/>
      <c r="VIP45" s="87"/>
      <c r="VIQ45" s="87"/>
      <c r="VIR45" s="87"/>
      <c r="VIS45" s="87"/>
      <c r="VIT45" s="87"/>
      <c r="VIU45" s="87"/>
      <c r="VIV45" s="87"/>
      <c r="VIW45" s="87"/>
      <c r="VIX45" s="87"/>
      <c r="VIY45" s="87"/>
      <c r="VIZ45" s="87"/>
      <c r="VJA45" s="87"/>
      <c r="VJB45" s="87"/>
      <c r="VJC45" s="87"/>
      <c r="VJD45" s="87"/>
      <c r="VJE45" s="87"/>
      <c r="VJF45" s="87"/>
      <c r="VJG45" s="87"/>
      <c r="VJH45" s="87"/>
      <c r="VJI45" s="87"/>
      <c r="VJJ45" s="87"/>
      <c r="VJK45" s="87"/>
      <c r="VJL45" s="87"/>
      <c r="VJM45" s="87"/>
      <c r="VJN45" s="87"/>
      <c r="VJO45" s="87"/>
      <c r="VJP45" s="87"/>
      <c r="VJQ45" s="87"/>
      <c r="VJR45" s="87"/>
      <c r="VJS45" s="87"/>
      <c r="VJT45" s="87"/>
      <c r="VJU45" s="87"/>
      <c r="VJV45" s="87"/>
      <c r="VJW45" s="87"/>
      <c r="VJX45" s="87"/>
      <c r="VJY45" s="87"/>
      <c r="VJZ45" s="87"/>
      <c r="VKA45" s="87"/>
      <c r="VKB45" s="87"/>
      <c r="VKC45" s="87"/>
      <c r="VKD45" s="87"/>
      <c r="VKE45" s="87"/>
      <c r="VKF45" s="87"/>
      <c r="VKG45" s="87"/>
      <c r="VKH45" s="87"/>
      <c r="VKI45" s="87"/>
      <c r="VKJ45" s="87"/>
      <c r="VKK45" s="87"/>
      <c r="VKL45" s="87"/>
      <c r="VKM45" s="87"/>
      <c r="VKN45" s="87"/>
      <c r="VKO45" s="87"/>
      <c r="VKP45" s="87"/>
      <c r="VKQ45" s="87"/>
      <c r="VKR45" s="87"/>
      <c r="VKS45" s="87"/>
      <c r="VKT45" s="87"/>
      <c r="VKU45" s="87"/>
      <c r="VKV45" s="87"/>
      <c r="VKW45" s="87"/>
      <c r="VKX45" s="87"/>
      <c r="VKY45" s="87"/>
      <c r="VKZ45" s="87"/>
      <c r="VLA45" s="87"/>
      <c r="VLB45" s="87"/>
      <c r="VLC45" s="87"/>
      <c r="VLD45" s="87"/>
      <c r="VLE45" s="87"/>
      <c r="VLF45" s="87"/>
      <c r="VLG45" s="87"/>
      <c r="VLH45" s="87"/>
      <c r="VLI45" s="87"/>
      <c r="VLJ45" s="87"/>
      <c r="VLK45" s="87"/>
      <c r="VLL45" s="87"/>
      <c r="VLM45" s="87"/>
      <c r="VLN45" s="87"/>
      <c r="VLO45" s="87"/>
      <c r="VLP45" s="87"/>
      <c r="VLQ45" s="87"/>
      <c r="VLR45" s="87"/>
      <c r="VLS45" s="87"/>
      <c r="VLT45" s="87"/>
      <c r="VLU45" s="87"/>
      <c r="VLV45" s="87"/>
      <c r="VLW45" s="87"/>
      <c r="VLX45" s="87"/>
      <c r="VLY45" s="87"/>
      <c r="VLZ45" s="87"/>
      <c r="VMA45" s="87"/>
      <c r="VMB45" s="87"/>
      <c r="VMC45" s="87"/>
      <c r="VMD45" s="87"/>
      <c r="VME45" s="87"/>
      <c r="VMF45" s="87"/>
      <c r="VMG45" s="87"/>
      <c r="VMH45" s="87"/>
      <c r="VMI45" s="87"/>
      <c r="VMJ45" s="87"/>
      <c r="VMK45" s="87"/>
      <c r="VML45" s="87"/>
      <c r="VMM45" s="87"/>
      <c r="VMN45" s="87"/>
      <c r="VMO45" s="87"/>
      <c r="VMP45" s="87"/>
      <c r="VMQ45" s="87"/>
      <c r="VMR45" s="87"/>
      <c r="VMS45" s="87"/>
      <c r="VMT45" s="87"/>
      <c r="VMU45" s="87"/>
      <c r="VMV45" s="87"/>
      <c r="VMW45" s="87"/>
      <c r="VMX45" s="87"/>
      <c r="VMY45" s="87"/>
      <c r="VMZ45" s="87"/>
      <c r="VNA45" s="87"/>
      <c r="VNB45" s="87"/>
      <c r="VNC45" s="87"/>
      <c r="VND45" s="87"/>
      <c r="VNE45" s="87"/>
      <c r="VNF45" s="87"/>
      <c r="VNG45" s="87"/>
      <c r="VNH45" s="87"/>
      <c r="VNI45" s="87"/>
      <c r="VNJ45" s="87"/>
      <c r="VNK45" s="87"/>
      <c r="VNL45" s="87"/>
      <c r="VNM45" s="87"/>
      <c r="VNN45" s="87"/>
      <c r="VNO45" s="87"/>
      <c r="VNP45" s="87"/>
      <c r="VNQ45" s="87"/>
      <c r="VNR45" s="87"/>
      <c r="VNS45" s="87"/>
      <c r="VNT45" s="87"/>
      <c r="VNU45" s="87"/>
      <c r="VNV45" s="87"/>
      <c r="VNW45" s="87"/>
      <c r="VNX45" s="87"/>
      <c r="VNY45" s="87"/>
      <c r="VNZ45" s="87"/>
      <c r="VOA45" s="87"/>
      <c r="VOB45" s="87"/>
      <c r="VOC45" s="87"/>
      <c r="VOD45" s="87"/>
      <c r="VOE45" s="87"/>
      <c r="VOF45" s="87"/>
      <c r="VOG45" s="87"/>
      <c r="VOH45" s="87"/>
      <c r="VOI45" s="87"/>
      <c r="VOJ45" s="87"/>
      <c r="VOK45" s="87"/>
      <c r="VOL45" s="87"/>
      <c r="VOM45" s="87"/>
      <c r="VON45" s="87"/>
      <c r="VOO45" s="87"/>
      <c r="VOP45" s="87"/>
      <c r="VOQ45" s="87"/>
      <c r="VOR45" s="87"/>
      <c r="VOS45" s="87"/>
      <c r="VOT45" s="87"/>
      <c r="VOU45" s="87"/>
      <c r="VOV45" s="87"/>
      <c r="VOW45" s="87"/>
      <c r="VOX45" s="87"/>
      <c r="VOY45" s="87"/>
      <c r="VOZ45" s="87"/>
      <c r="VPA45" s="87"/>
      <c r="VPB45" s="87"/>
      <c r="VPC45" s="87"/>
      <c r="VPD45" s="87"/>
      <c r="VPE45" s="87"/>
      <c r="VPF45" s="87"/>
      <c r="VPG45" s="87"/>
      <c r="VPH45" s="87"/>
      <c r="VPI45" s="87"/>
      <c r="VPJ45" s="87"/>
      <c r="VPK45" s="87"/>
      <c r="VPL45" s="87"/>
      <c r="VPM45" s="87"/>
      <c r="VPN45" s="87"/>
      <c r="VPO45" s="87"/>
      <c r="VPP45" s="87"/>
      <c r="VPQ45" s="87"/>
      <c r="VPR45" s="87"/>
      <c r="VPS45" s="87"/>
      <c r="VPT45" s="87"/>
      <c r="VPU45" s="87"/>
      <c r="VPV45" s="87"/>
      <c r="VPW45" s="87"/>
      <c r="VPX45" s="87"/>
      <c r="VPY45" s="87"/>
      <c r="VPZ45" s="87"/>
      <c r="VQA45" s="87"/>
      <c r="VQB45" s="87"/>
      <c r="VQC45" s="87"/>
      <c r="VQD45" s="87"/>
      <c r="VQE45" s="87"/>
      <c r="VQF45" s="87"/>
      <c r="VQG45" s="87"/>
      <c r="VQH45" s="87"/>
      <c r="VQI45" s="87"/>
      <c r="VQJ45" s="87"/>
      <c r="VQK45" s="87"/>
      <c r="VQL45" s="87"/>
      <c r="VQM45" s="87"/>
      <c r="VQN45" s="87"/>
      <c r="VQO45" s="87"/>
      <c r="VQP45" s="87"/>
      <c r="VQQ45" s="87"/>
      <c r="VQR45" s="87"/>
      <c r="VQS45" s="87"/>
      <c r="VQT45" s="87"/>
      <c r="VQU45" s="87"/>
      <c r="VQV45" s="87"/>
      <c r="VQW45" s="87"/>
      <c r="VQX45" s="87"/>
      <c r="VQY45" s="87"/>
      <c r="VQZ45" s="87"/>
      <c r="VRA45" s="87"/>
      <c r="VRB45" s="87"/>
      <c r="VRC45" s="87"/>
      <c r="VRD45" s="87"/>
      <c r="VRE45" s="87"/>
      <c r="VRF45" s="87"/>
      <c r="VRG45" s="87"/>
      <c r="VRH45" s="87"/>
      <c r="VRI45" s="87"/>
      <c r="VRJ45" s="87"/>
      <c r="VRK45" s="87"/>
      <c r="VRL45" s="87"/>
      <c r="VRM45" s="87"/>
      <c r="VRN45" s="87"/>
      <c r="VRO45" s="87"/>
      <c r="VRP45" s="87"/>
      <c r="VRQ45" s="87"/>
      <c r="VRR45" s="87"/>
      <c r="VRS45" s="87"/>
      <c r="VRT45" s="87"/>
      <c r="VRU45" s="87"/>
      <c r="VRV45" s="87"/>
      <c r="VRW45" s="87"/>
      <c r="VRX45" s="87"/>
      <c r="VRY45" s="87"/>
      <c r="VRZ45" s="87"/>
      <c r="VSA45" s="87"/>
      <c r="VSB45" s="87"/>
      <c r="VSC45" s="87"/>
      <c r="VSD45" s="87"/>
      <c r="VSE45" s="87"/>
      <c r="VSF45" s="87"/>
      <c r="VSG45" s="87"/>
      <c r="VSH45" s="87"/>
      <c r="VSI45" s="87"/>
      <c r="VSJ45" s="87"/>
      <c r="VSK45" s="87"/>
      <c r="VSL45" s="87"/>
      <c r="VSM45" s="87"/>
      <c r="VSN45" s="87"/>
      <c r="VSO45" s="87"/>
      <c r="VSP45" s="87"/>
      <c r="VSQ45" s="87"/>
      <c r="VSR45" s="87"/>
      <c r="VSS45" s="87"/>
      <c r="VST45" s="87"/>
      <c r="VSU45" s="87"/>
      <c r="VSV45" s="87"/>
      <c r="VSW45" s="87"/>
      <c r="VSX45" s="87"/>
      <c r="VSY45" s="87"/>
      <c r="VSZ45" s="87"/>
      <c r="VTA45" s="87"/>
      <c r="VTB45" s="87"/>
      <c r="VTC45" s="87"/>
      <c r="VTD45" s="87"/>
      <c r="VTE45" s="87"/>
      <c r="VTF45" s="87"/>
      <c r="VTG45" s="87"/>
      <c r="VTH45" s="87"/>
      <c r="VTI45" s="87"/>
      <c r="VTJ45" s="87"/>
      <c r="VTK45" s="87"/>
      <c r="VTL45" s="87"/>
      <c r="VTM45" s="87"/>
      <c r="VTN45" s="87"/>
      <c r="VTO45" s="87"/>
      <c r="VTP45" s="87"/>
      <c r="VTQ45" s="87"/>
      <c r="VTR45" s="87"/>
      <c r="VTS45" s="87"/>
      <c r="VTT45" s="87"/>
      <c r="VTU45" s="87"/>
      <c r="VTV45" s="87"/>
      <c r="VTW45" s="87"/>
      <c r="VTX45" s="87"/>
      <c r="VTY45" s="87"/>
      <c r="VTZ45" s="87"/>
      <c r="VUA45" s="87"/>
      <c r="VUB45" s="87"/>
      <c r="VUC45" s="87"/>
      <c r="VUD45" s="87"/>
      <c r="VUE45" s="87"/>
      <c r="VUF45" s="87"/>
      <c r="VUG45" s="87"/>
      <c r="VUH45" s="87"/>
      <c r="VUI45" s="87"/>
      <c r="VUJ45" s="87"/>
      <c r="VUK45" s="87"/>
      <c r="VUL45" s="87"/>
      <c r="VUM45" s="87"/>
      <c r="VUN45" s="87"/>
      <c r="VUO45" s="87"/>
      <c r="VUP45" s="87"/>
      <c r="VUQ45" s="87"/>
      <c r="VUR45" s="87"/>
      <c r="VUS45" s="87"/>
      <c r="VUT45" s="87"/>
      <c r="VUU45" s="87"/>
      <c r="VUV45" s="87"/>
      <c r="VUW45" s="87"/>
      <c r="VUX45" s="87"/>
      <c r="VUY45" s="87"/>
      <c r="VUZ45" s="87"/>
      <c r="VVA45" s="87"/>
      <c r="VVB45" s="87"/>
      <c r="VVC45" s="87"/>
      <c r="VVD45" s="87"/>
      <c r="VVE45" s="87"/>
      <c r="VVF45" s="87"/>
      <c r="VVG45" s="87"/>
      <c r="VVH45" s="87"/>
      <c r="VVI45" s="87"/>
      <c r="VVJ45" s="87"/>
      <c r="VVK45" s="87"/>
      <c r="VVL45" s="87"/>
      <c r="VVM45" s="87"/>
      <c r="VVN45" s="87"/>
      <c r="VVO45" s="87"/>
      <c r="VVP45" s="87"/>
      <c r="VVQ45" s="87"/>
      <c r="VVR45" s="87"/>
      <c r="VVS45" s="87"/>
      <c r="VVT45" s="87"/>
      <c r="VVU45" s="87"/>
      <c r="VVV45" s="87"/>
      <c r="VVW45" s="87"/>
      <c r="VVX45" s="87"/>
      <c r="VVY45" s="87"/>
      <c r="VVZ45" s="87"/>
      <c r="VWA45" s="87"/>
      <c r="VWB45" s="87"/>
      <c r="VWC45" s="87"/>
      <c r="VWD45" s="87"/>
      <c r="VWE45" s="87"/>
      <c r="VWF45" s="87"/>
      <c r="VWG45" s="87"/>
      <c r="VWH45" s="87"/>
      <c r="VWI45" s="87"/>
      <c r="VWJ45" s="87"/>
      <c r="VWK45" s="87"/>
      <c r="VWL45" s="87"/>
      <c r="VWM45" s="87"/>
      <c r="VWN45" s="87"/>
      <c r="VWO45" s="87"/>
      <c r="VWP45" s="87"/>
      <c r="VWQ45" s="87"/>
      <c r="VWR45" s="87"/>
      <c r="VWS45" s="87"/>
      <c r="VWT45" s="87"/>
      <c r="VWU45" s="87"/>
      <c r="VWV45" s="87"/>
      <c r="VWW45" s="87"/>
      <c r="VWX45" s="87"/>
      <c r="VWY45" s="87"/>
      <c r="VWZ45" s="87"/>
      <c r="VXA45" s="87"/>
      <c r="VXB45" s="87"/>
      <c r="VXC45" s="87"/>
      <c r="VXD45" s="87"/>
      <c r="VXE45" s="87"/>
      <c r="VXF45" s="87"/>
      <c r="VXG45" s="87"/>
      <c r="VXH45" s="87"/>
      <c r="VXI45" s="87"/>
      <c r="VXJ45" s="87"/>
      <c r="VXK45" s="87"/>
      <c r="VXL45" s="87"/>
      <c r="VXM45" s="87"/>
      <c r="VXN45" s="87"/>
      <c r="VXO45" s="87"/>
      <c r="VXP45" s="87"/>
      <c r="VXQ45" s="87"/>
      <c r="VXR45" s="87"/>
      <c r="VXS45" s="87"/>
      <c r="VXT45" s="87"/>
      <c r="VXU45" s="87"/>
      <c r="VXV45" s="87"/>
      <c r="VXW45" s="87"/>
      <c r="VXX45" s="87"/>
      <c r="VXY45" s="87"/>
      <c r="VXZ45" s="87"/>
      <c r="VYA45" s="87"/>
      <c r="VYB45" s="87"/>
      <c r="VYC45" s="87"/>
      <c r="VYD45" s="87"/>
      <c r="VYE45" s="87"/>
      <c r="VYF45" s="87"/>
      <c r="VYG45" s="87"/>
      <c r="VYH45" s="87"/>
      <c r="VYI45" s="87"/>
      <c r="VYJ45" s="87"/>
      <c r="VYK45" s="87"/>
      <c r="VYL45" s="87"/>
      <c r="VYM45" s="87"/>
      <c r="VYN45" s="87"/>
      <c r="VYO45" s="87"/>
      <c r="VYP45" s="87"/>
      <c r="VYQ45" s="87"/>
      <c r="VYR45" s="87"/>
      <c r="VYS45" s="87"/>
      <c r="VYT45" s="87"/>
      <c r="VYU45" s="87"/>
      <c r="VYV45" s="87"/>
      <c r="VYW45" s="87"/>
      <c r="VYX45" s="87"/>
      <c r="VYY45" s="87"/>
      <c r="VYZ45" s="87"/>
      <c r="VZA45" s="87"/>
      <c r="VZB45" s="87"/>
      <c r="VZC45" s="87"/>
      <c r="VZD45" s="87"/>
      <c r="VZE45" s="87"/>
      <c r="VZF45" s="87"/>
      <c r="VZG45" s="87"/>
      <c r="VZH45" s="87"/>
      <c r="VZI45" s="87"/>
      <c r="VZJ45" s="87"/>
      <c r="VZK45" s="87"/>
      <c r="VZL45" s="87"/>
      <c r="VZM45" s="87"/>
      <c r="VZN45" s="87"/>
      <c r="VZO45" s="87"/>
      <c r="VZP45" s="87"/>
      <c r="VZQ45" s="87"/>
      <c r="VZR45" s="87"/>
      <c r="VZS45" s="87"/>
      <c r="VZT45" s="87"/>
      <c r="VZU45" s="87"/>
      <c r="VZV45" s="87"/>
      <c r="VZW45" s="87"/>
      <c r="VZX45" s="87"/>
      <c r="VZY45" s="87"/>
      <c r="VZZ45" s="87"/>
      <c r="WAA45" s="87"/>
      <c r="WAB45" s="87"/>
      <c r="WAC45" s="87"/>
      <c r="WAD45" s="87"/>
      <c r="WAE45" s="87"/>
      <c r="WAF45" s="87"/>
      <c r="WAG45" s="87"/>
      <c r="WAH45" s="87"/>
      <c r="WAI45" s="87"/>
      <c r="WAJ45" s="87"/>
      <c r="WAK45" s="87"/>
      <c r="WAL45" s="87"/>
      <c r="WAM45" s="87"/>
      <c r="WAN45" s="87"/>
      <c r="WAO45" s="87"/>
      <c r="WAP45" s="87"/>
      <c r="WAQ45" s="87"/>
      <c r="WAR45" s="87"/>
      <c r="WAS45" s="87"/>
      <c r="WAT45" s="87"/>
      <c r="WAU45" s="87"/>
      <c r="WAV45" s="87"/>
      <c r="WAW45" s="87"/>
      <c r="WAX45" s="87"/>
      <c r="WAY45" s="87"/>
      <c r="WAZ45" s="87"/>
      <c r="WBA45" s="87"/>
      <c r="WBB45" s="87"/>
      <c r="WBC45" s="87"/>
      <c r="WBD45" s="87"/>
      <c r="WBE45" s="87"/>
      <c r="WBF45" s="87"/>
      <c r="WBG45" s="87"/>
      <c r="WBH45" s="87"/>
      <c r="WBI45" s="87"/>
      <c r="WBJ45" s="87"/>
      <c r="WBK45" s="87"/>
      <c r="WBL45" s="87"/>
      <c r="WBM45" s="87"/>
      <c r="WBN45" s="87"/>
      <c r="WBO45" s="87"/>
      <c r="WBP45" s="87"/>
      <c r="WBQ45" s="87"/>
      <c r="WBR45" s="87"/>
      <c r="WBS45" s="87"/>
      <c r="WBT45" s="87"/>
      <c r="WBU45" s="87"/>
      <c r="WBV45" s="87"/>
      <c r="WBW45" s="87"/>
      <c r="WBX45" s="87"/>
      <c r="WBY45" s="87"/>
      <c r="WBZ45" s="87"/>
      <c r="WCA45" s="87"/>
      <c r="WCB45" s="87"/>
      <c r="WCC45" s="87"/>
      <c r="WCD45" s="87"/>
      <c r="WCE45" s="87"/>
      <c r="WCF45" s="87"/>
      <c r="WCG45" s="87"/>
      <c r="WCH45" s="87"/>
      <c r="WCI45" s="87"/>
      <c r="WCJ45" s="87"/>
      <c r="WCK45" s="87"/>
      <c r="WCL45" s="87"/>
      <c r="WCM45" s="87"/>
      <c r="WCN45" s="87"/>
      <c r="WCO45" s="87"/>
      <c r="WCP45" s="87"/>
      <c r="WCQ45" s="87"/>
      <c r="WCR45" s="87"/>
      <c r="WCS45" s="87"/>
      <c r="WCT45" s="87"/>
      <c r="WCU45" s="87"/>
      <c r="WCV45" s="87"/>
      <c r="WCW45" s="87"/>
      <c r="WCX45" s="87"/>
      <c r="WCY45" s="87"/>
      <c r="WCZ45" s="87"/>
      <c r="WDA45" s="87"/>
      <c r="WDB45" s="87"/>
      <c r="WDC45" s="87"/>
      <c r="WDD45" s="87"/>
      <c r="WDE45" s="87"/>
      <c r="WDF45" s="87"/>
      <c r="WDG45" s="87"/>
      <c r="WDH45" s="87"/>
      <c r="WDI45" s="87"/>
      <c r="WDJ45" s="87"/>
      <c r="WDK45" s="87"/>
      <c r="WDL45" s="87"/>
      <c r="WDM45" s="87"/>
      <c r="WDN45" s="87"/>
      <c r="WDO45" s="87"/>
      <c r="WDP45" s="87"/>
      <c r="WDQ45" s="87"/>
      <c r="WDR45" s="87"/>
      <c r="WDS45" s="87"/>
      <c r="WDT45" s="87"/>
      <c r="WDU45" s="87"/>
      <c r="WDV45" s="87"/>
      <c r="WDW45" s="87"/>
      <c r="WDX45" s="87"/>
      <c r="WDY45" s="87"/>
      <c r="WDZ45" s="87"/>
      <c r="WEA45" s="87"/>
      <c r="WEB45" s="87"/>
      <c r="WEC45" s="87"/>
      <c r="WED45" s="87"/>
      <c r="WEE45" s="87"/>
      <c r="WEF45" s="87"/>
      <c r="WEG45" s="87"/>
      <c r="WEH45" s="87"/>
      <c r="WEI45" s="87"/>
      <c r="WEJ45" s="87"/>
      <c r="WEK45" s="87"/>
      <c r="WEL45" s="87"/>
      <c r="WEM45" s="87"/>
      <c r="WEN45" s="87"/>
      <c r="WEO45" s="87"/>
      <c r="WEP45" s="87"/>
      <c r="WEQ45" s="87"/>
      <c r="WER45" s="87"/>
      <c r="WES45" s="87"/>
      <c r="WET45" s="87"/>
      <c r="WEU45" s="87"/>
      <c r="WEV45" s="87"/>
      <c r="WEW45" s="87"/>
      <c r="WEX45" s="87"/>
      <c r="WEY45" s="87"/>
      <c r="WEZ45" s="87"/>
      <c r="WFA45" s="87"/>
      <c r="WFB45" s="87"/>
      <c r="WFC45" s="87"/>
      <c r="WFD45" s="87"/>
      <c r="WFE45" s="87"/>
      <c r="WFF45" s="87"/>
      <c r="WFG45" s="87"/>
      <c r="WFH45" s="87"/>
      <c r="WFI45" s="87"/>
      <c r="WFJ45" s="87"/>
      <c r="WFK45" s="87"/>
      <c r="WFL45" s="87"/>
      <c r="WFM45" s="87"/>
      <c r="WFN45" s="87"/>
      <c r="WFO45" s="87"/>
      <c r="WFP45" s="87"/>
      <c r="WFQ45" s="87"/>
      <c r="WFR45" s="87"/>
      <c r="WFS45" s="87"/>
      <c r="WFT45" s="87"/>
      <c r="WFU45" s="87"/>
      <c r="WFV45" s="87"/>
      <c r="WFW45" s="87"/>
      <c r="WFX45" s="87"/>
      <c r="WFY45" s="87"/>
      <c r="WFZ45" s="87"/>
      <c r="WGA45" s="87"/>
      <c r="WGB45" s="87"/>
      <c r="WGC45" s="87"/>
      <c r="WGD45" s="87"/>
      <c r="WGE45" s="87"/>
      <c r="WGF45" s="87"/>
      <c r="WGG45" s="87"/>
      <c r="WGH45" s="87"/>
      <c r="WGI45" s="87"/>
      <c r="WGJ45" s="87"/>
      <c r="WGK45" s="87"/>
      <c r="WGL45" s="87"/>
      <c r="WGM45" s="87"/>
      <c r="WGN45" s="87"/>
      <c r="WGO45" s="87"/>
      <c r="WGP45" s="87"/>
      <c r="WGQ45" s="87"/>
      <c r="WGR45" s="87"/>
      <c r="WGS45" s="87"/>
      <c r="WGT45" s="87"/>
      <c r="WGU45" s="87"/>
      <c r="WGV45" s="87"/>
      <c r="WGW45" s="87"/>
      <c r="WGX45" s="87"/>
      <c r="WGY45" s="87"/>
      <c r="WGZ45" s="87"/>
      <c r="WHA45" s="87"/>
      <c r="WHB45" s="87"/>
      <c r="WHC45" s="87"/>
      <c r="WHD45" s="87"/>
      <c r="WHE45" s="87"/>
      <c r="WHF45" s="87"/>
      <c r="WHG45" s="87"/>
      <c r="WHH45" s="87"/>
      <c r="WHI45" s="87"/>
      <c r="WHJ45" s="87"/>
      <c r="WHK45" s="87"/>
      <c r="WHL45" s="87"/>
      <c r="WHM45" s="87"/>
      <c r="WHN45" s="87"/>
      <c r="WHO45" s="87"/>
      <c r="WHP45" s="87"/>
      <c r="WHQ45" s="87"/>
      <c r="WHR45" s="87"/>
      <c r="WHS45" s="87"/>
      <c r="WHT45" s="87"/>
      <c r="WHU45" s="87"/>
      <c r="WHV45" s="87"/>
      <c r="WHW45" s="87"/>
      <c r="WHX45" s="87"/>
      <c r="WHY45" s="87"/>
      <c r="WHZ45" s="87"/>
      <c r="WIA45" s="87"/>
      <c r="WIB45" s="87"/>
      <c r="WIC45" s="87"/>
      <c r="WID45" s="87"/>
      <c r="WIE45" s="87"/>
      <c r="WIF45" s="87"/>
      <c r="WIG45" s="87"/>
      <c r="WIH45" s="87"/>
      <c r="WII45" s="87"/>
      <c r="WIJ45" s="87"/>
      <c r="WIK45" s="87"/>
      <c r="WIL45" s="87"/>
      <c r="WIM45" s="87"/>
      <c r="WIN45" s="87"/>
      <c r="WIO45" s="87"/>
      <c r="WIP45" s="87"/>
      <c r="WIQ45" s="87"/>
      <c r="WIR45" s="87"/>
      <c r="WIS45" s="87"/>
      <c r="WIT45" s="87"/>
      <c r="WIU45" s="87"/>
      <c r="WIV45" s="87"/>
      <c r="WIW45" s="87"/>
      <c r="WIX45" s="87"/>
      <c r="WIY45" s="87"/>
      <c r="WIZ45" s="87"/>
      <c r="WJA45" s="87"/>
      <c r="WJB45" s="87"/>
      <c r="WJC45" s="87"/>
      <c r="WJD45" s="87"/>
      <c r="WJE45" s="87"/>
      <c r="WJF45" s="87"/>
      <c r="WJG45" s="87"/>
      <c r="WJH45" s="87"/>
      <c r="WJI45" s="87"/>
      <c r="WJJ45" s="87"/>
      <c r="WJK45" s="87"/>
      <c r="WJL45" s="87"/>
      <c r="WJM45" s="87"/>
      <c r="WJN45" s="87"/>
      <c r="WJO45" s="87"/>
      <c r="WJP45" s="87"/>
      <c r="WJQ45" s="87"/>
      <c r="WJR45" s="87"/>
      <c r="WJS45" s="87"/>
      <c r="WJT45" s="87"/>
      <c r="WJU45" s="87"/>
      <c r="WJV45" s="87"/>
      <c r="WJW45" s="87"/>
      <c r="WJX45" s="87"/>
      <c r="WJY45" s="87"/>
      <c r="WJZ45" s="87"/>
      <c r="WKA45" s="87"/>
      <c r="WKB45" s="87"/>
      <c r="WKC45" s="87"/>
      <c r="WKD45" s="87"/>
      <c r="WKE45" s="87"/>
      <c r="WKF45" s="87"/>
      <c r="WKG45" s="87"/>
      <c r="WKH45" s="87"/>
      <c r="WKI45" s="87"/>
      <c r="WKJ45" s="87"/>
      <c r="WKK45" s="87"/>
      <c r="WKL45" s="87"/>
      <c r="WKM45" s="87"/>
      <c r="WKN45" s="87"/>
      <c r="WKO45" s="87"/>
      <c r="WKP45" s="87"/>
      <c r="WKQ45" s="87"/>
      <c r="WKR45" s="87"/>
      <c r="WKS45" s="87"/>
      <c r="WKT45" s="87"/>
      <c r="WKU45" s="87"/>
      <c r="WKV45" s="87"/>
      <c r="WKW45" s="87"/>
      <c r="WKX45" s="87"/>
      <c r="WKY45" s="87"/>
      <c r="WKZ45" s="87"/>
      <c r="WLA45" s="87"/>
      <c r="WLB45" s="87"/>
      <c r="WLC45" s="87"/>
      <c r="WLD45" s="87"/>
      <c r="WLE45" s="87"/>
      <c r="WLF45" s="87"/>
      <c r="WLG45" s="87"/>
      <c r="WLH45" s="87"/>
      <c r="WLI45" s="87"/>
      <c r="WLJ45" s="87"/>
      <c r="WLK45" s="87"/>
      <c r="WLL45" s="87"/>
      <c r="WLM45" s="87"/>
      <c r="WLN45" s="87"/>
      <c r="WLO45" s="87"/>
      <c r="WLP45" s="87"/>
      <c r="WLQ45" s="87"/>
      <c r="WLR45" s="87"/>
      <c r="WLS45" s="87"/>
      <c r="WLT45" s="87"/>
      <c r="WLU45" s="87"/>
      <c r="WLV45" s="87"/>
      <c r="WLW45" s="87"/>
      <c r="WLX45" s="87"/>
      <c r="WLY45" s="87"/>
      <c r="WLZ45" s="87"/>
      <c r="WMA45" s="87"/>
      <c r="WMB45" s="87"/>
      <c r="WMC45" s="87"/>
      <c r="WMD45" s="87"/>
      <c r="WME45" s="87"/>
      <c r="WMF45" s="87"/>
      <c r="WMG45" s="87"/>
      <c r="WMH45" s="87"/>
      <c r="WMI45" s="87"/>
      <c r="WMJ45" s="87"/>
      <c r="WMK45" s="87"/>
      <c r="WML45" s="87"/>
      <c r="WMM45" s="87"/>
      <c r="WMN45" s="87"/>
      <c r="WMO45" s="87"/>
      <c r="WMP45" s="87"/>
      <c r="WMQ45" s="87"/>
      <c r="WMR45" s="87"/>
      <c r="WMS45" s="87"/>
      <c r="WMT45" s="87"/>
      <c r="WMU45" s="87"/>
      <c r="WMV45" s="87"/>
      <c r="WMW45" s="87"/>
      <c r="WMX45" s="87"/>
      <c r="WMY45" s="87"/>
      <c r="WMZ45" s="87"/>
      <c r="WNA45" s="87"/>
      <c r="WNB45" s="87"/>
      <c r="WNC45" s="87"/>
      <c r="WND45" s="87"/>
      <c r="WNE45" s="87"/>
      <c r="WNF45" s="87"/>
      <c r="WNG45" s="87"/>
      <c r="WNH45" s="87"/>
      <c r="WNI45" s="87"/>
      <c r="WNJ45" s="87"/>
      <c r="WNK45" s="87"/>
      <c r="WNL45" s="87"/>
      <c r="WNM45" s="87"/>
      <c r="WNN45" s="87"/>
      <c r="WNO45" s="87"/>
      <c r="WNP45" s="87"/>
      <c r="WNQ45" s="87"/>
      <c r="WNR45" s="87"/>
      <c r="WNS45" s="87"/>
      <c r="WNT45" s="87"/>
      <c r="WNU45" s="87"/>
      <c r="WNV45" s="87"/>
      <c r="WNW45" s="87"/>
      <c r="WNX45" s="87"/>
      <c r="WNY45" s="87"/>
      <c r="WNZ45" s="87"/>
      <c r="WOA45" s="87"/>
      <c r="WOB45" s="87"/>
      <c r="WOC45" s="87"/>
      <c r="WOD45" s="87"/>
      <c r="WOE45" s="87"/>
      <c r="WOF45" s="87"/>
      <c r="WOG45" s="87"/>
      <c r="WOH45" s="87"/>
      <c r="WOI45" s="87"/>
      <c r="WOJ45" s="87"/>
      <c r="WOK45" s="87"/>
      <c r="WOL45" s="87"/>
      <c r="WOM45" s="87"/>
      <c r="WON45" s="87"/>
      <c r="WOO45" s="87"/>
      <c r="WOP45" s="87"/>
      <c r="WOQ45" s="87"/>
      <c r="WOR45" s="87"/>
      <c r="WOS45" s="87"/>
      <c r="WOT45" s="87"/>
      <c r="WOU45" s="87"/>
      <c r="WOV45" s="87"/>
      <c r="WOW45" s="87"/>
      <c r="WOX45" s="87"/>
      <c r="WOY45" s="87"/>
      <c r="WOZ45" s="87"/>
      <c r="WPA45" s="87"/>
      <c r="WPB45" s="87"/>
      <c r="WPC45" s="87"/>
      <c r="WPD45" s="87"/>
      <c r="WPE45" s="87"/>
      <c r="WPF45" s="87"/>
      <c r="WPG45" s="87"/>
      <c r="WPH45" s="87"/>
      <c r="WPI45" s="87"/>
      <c r="WPJ45" s="87"/>
      <c r="WPK45" s="87"/>
      <c r="WPL45" s="87"/>
      <c r="WPM45" s="87"/>
      <c r="WPN45" s="87"/>
      <c r="WPO45" s="87"/>
      <c r="WPP45" s="87"/>
      <c r="WPQ45" s="87"/>
      <c r="WPR45" s="87"/>
      <c r="WPS45" s="87"/>
      <c r="WPT45" s="87"/>
      <c r="WPU45" s="87"/>
      <c r="WPV45" s="87"/>
      <c r="WPW45" s="87"/>
      <c r="WPX45" s="87"/>
      <c r="WPY45" s="87"/>
      <c r="WPZ45" s="87"/>
      <c r="WQA45" s="87"/>
      <c r="WQB45" s="87"/>
      <c r="WQC45" s="87"/>
      <c r="WQD45" s="87"/>
      <c r="WQE45" s="87"/>
      <c r="WQF45" s="87"/>
      <c r="WQG45" s="87"/>
      <c r="WQH45" s="87"/>
      <c r="WQI45" s="87"/>
      <c r="WQJ45" s="87"/>
      <c r="WQK45" s="87"/>
      <c r="WQL45" s="87"/>
      <c r="WQM45" s="87"/>
      <c r="WQN45" s="87"/>
      <c r="WQO45" s="87"/>
      <c r="WQP45" s="87"/>
      <c r="WQQ45" s="87"/>
      <c r="WQR45" s="87"/>
      <c r="WQS45" s="87"/>
      <c r="WQT45" s="87"/>
      <c r="WQU45" s="87"/>
      <c r="WQV45" s="87"/>
      <c r="WQW45" s="87"/>
      <c r="WQX45" s="87"/>
      <c r="WQY45" s="87"/>
      <c r="WQZ45" s="87"/>
      <c r="WRA45" s="87"/>
      <c r="WRB45" s="87"/>
      <c r="WRC45" s="87"/>
      <c r="WRD45" s="87"/>
      <c r="WRE45" s="87"/>
      <c r="WRF45" s="87"/>
      <c r="WRG45" s="87"/>
      <c r="WRH45" s="87"/>
      <c r="WRI45" s="87"/>
      <c r="WRJ45" s="87"/>
      <c r="WRK45" s="87"/>
      <c r="WRL45" s="87"/>
      <c r="WRM45" s="87"/>
      <c r="WRN45" s="87"/>
      <c r="WRO45" s="87"/>
      <c r="WRP45" s="87"/>
      <c r="WRQ45" s="87"/>
      <c r="WRR45" s="87"/>
      <c r="WRS45" s="87"/>
      <c r="WRT45" s="87"/>
      <c r="WRU45" s="87"/>
      <c r="WRV45" s="87"/>
      <c r="WRW45" s="87"/>
      <c r="WRX45" s="87"/>
      <c r="WRY45" s="87"/>
      <c r="WRZ45" s="87"/>
      <c r="WSA45" s="87"/>
      <c r="WSB45" s="87"/>
      <c r="WSC45" s="87"/>
      <c r="WSD45" s="87"/>
      <c r="WSE45" s="87"/>
      <c r="WSF45" s="87"/>
      <c r="WSG45" s="87"/>
      <c r="WSH45" s="87"/>
      <c r="WSI45" s="87"/>
      <c r="WSJ45" s="87"/>
      <c r="WSK45" s="87"/>
      <c r="WSL45" s="87"/>
      <c r="WSM45" s="87"/>
      <c r="WSN45" s="87"/>
      <c r="WSO45" s="87"/>
      <c r="WSP45" s="87"/>
      <c r="WSQ45" s="87"/>
      <c r="WSR45" s="87"/>
      <c r="WSS45" s="87"/>
      <c r="WST45" s="87"/>
      <c r="WSU45" s="87"/>
      <c r="WSV45" s="87"/>
      <c r="WSW45" s="87"/>
      <c r="WSX45" s="87"/>
      <c r="WSY45" s="87"/>
      <c r="WSZ45" s="87"/>
      <c r="WTA45" s="87"/>
      <c r="WTB45" s="87"/>
      <c r="WTC45" s="87"/>
      <c r="WTD45" s="87"/>
      <c r="WTE45" s="87"/>
      <c r="WTF45" s="87"/>
      <c r="WTG45" s="87"/>
      <c r="WTH45" s="87"/>
      <c r="WTI45" s="87"/>
      <c r="WTJ45" s="87"/>
      <c r="WTK45" s="87"/>
      <c r="WTL45" s="87"/>
      <c r="WTM45" s="87"/>
      <c r="WTN45" s="87"/>
      <c r="WTO45" s="87"/>
      <c r="WTP45" s="87"/>
      <c r="WTQ45" s="87"/>
      <c r="WTR45" s="87"/>
      <c r="WTS45" s="87"/>
      <c r="WTT45" s="87"/>
      <c r="WTU45" s="87"/>
      <c r="WTV45" s="87"/>
      <c r="WTW45" s="87"/>
      <c r="WTX45" s="87"/>
      <c r="WTY45" s="87"/>
      <c r="WTZ45" s="87"/>
      <c r="WUA45" s="87"/>
      <c r="WUB45" s="87"/>
      <c r="WUC45" s="87"/>
      <c r="WUD45" s="87"/>
      <c r="WUE45" s="87"/>
      <c r="WUF45" s="87"/>
      <c r="WUG45" s="87"/>
      <c r="WUH45" s="87"/>
      <c r="WUI45" s="87"/>
      <c r="WUJ45" s="87"/>
      <c r="WUK45" s="87"/>
      <c r="WUL45" s="87"/>
      <c r="WUM45" s="87"/>
      <c r="WUN45" s="87"/>
      <c r="WUO45" s="87"/>
      <c r="WUP45" s="87"/>
      <c r="WUQ45" s="87"/>
      <c r="WUR45" s="87"/>
      <c r="WUS45" s="87"/>
      <c r="WUT45" s="87"/>
      <c r="WUU45" s="87"/>
      <c r="WUV45" s="87"/>
      <c r="WUW45" s="87"/>
      <c r="WUX45" s="87"/>
      <c r="WUY45" s="87"/>
      <c r="WUZ45" s="87"/>
      <c r="WVA45" s="87"/>
      <c r="WVB45" s="87"/>
      <c r="WVC45" s="87"/>
      <c r="WVD45" s="87"/>
      <c r="WVE45" s="87"/>
      <c r="WVF45" s="87"/>
      <c r="WVG45" s="87"/>
      <c r="WVH45" s="87"/>
      <c r="WVI45" s="87"/>
      <c r="WVJ45" s="87"/>
      <c r="WVK45" s="87"/>
      <c r="WVL45" s="87"/>
      <c r="WVM45" s="87"/>
      <c r="WVN45" s="87"/>
      <c r="WVO45" s="87"/>
      <c r="WVP45" s="87"/>
      <c r="WVQ45" s="87"/>
      <c r="WVR45" s="87"/>
      <c r="WVS45" s="87"/>
      <c r="WVT45" s="87"/>
      <c r="WVU45" s="87"/>
      <c r="WVV45" s="87"/>
      <c r="WVW45" s="87"/>
      <c r="WVX45" s="87"/>
      <c r="WVY45" s="87"/>
      <c r="WVZ45" s="87"/>
      <c r="WWA45" s="87"/>
      <c r="WWB45" s="87"/>
      <c r="WWC45" s="87"/>
      <c r="WWD45" s="87"/>
      <c r="WWE45" s="87"/>
      <c r="WWF45" s="87"/>
      <c r="WWG45" s="87"/>
      <c r="WWH45" s="87"/>
      <c r="WWI45" s="87"/>
      <c r="WWJ45" s="87"/>
      <c r="WWK45" s="87"/>
      <c r="WWL45" s="87"/>
      <c r="WWM45" s="87"/>
      <c r="WWN45" s="87"/>
      <c r="WWO45" s="87"/>
      <c r="WWP45" s="87"/>
      <c r="WWQ45" s="87"/>
      <c r="WWR45" s="87"/>
      <c r="WWS45" s="87"/>
      <c r="WWT45" s="87"/>
      <c r="WWU45" s="87"/>
      <c r="WWV45" s="87"/>
      <c r="WWW45" s="87"/>
      <c r="WWX45" s="87"/>
      <c r="WWY45" s="87"/>
      <c r="WWZ45" s="87"/>
      <c r="WXA45" s="87"/>
      <c r="WXB45" s="87"/>
      <c r="WXC45" s="87"/>
      <c r="WXD45" s="87"/>
      <c r="WXE45" s="87"/>
      <c r="WXF45" s="87"/>
      <c r="WXG45" s="87"/>
      <c r="WXH45" s="87"/>
      <c r="WXI45" s="87"/>
      <c r="WXJ45" s="87"/>
      <c r="WXK45" s="87"/>
      <c r="WXL45" s="87"/>
      <c r="WXM45" s="87"/>
      <c r="WXN45" s="87"/>
      <c r="WXO45" s="87"/>
      <c r="WXP45" s="87"/>
      <c r="WXQ45" s="87"/>
      <c r="WXR45" s="87"/>
      <c r="WXS45" s="87"/>
      <c r="WXT45" s="87"/>
      <c r="WXU45" s="87"/>
      <c r="WXV45" s="87"/>
      <c r="WXW45" s="87"/>
      <c r="WXX45" s="87"/>
      <c r="WXY45" s="87"/>
      <c r="WXZ45" s="87"/>
      <c r="WYA45" s="87"/>
      <c r="WYB45" s="87"/>
      <c r="WYC45" s="87"/>
      <c r="WYD45" s="87"/>
      <c r="WYE45" s="87"/>
      <c r="WYF45" s="87"/>
      <c r="WYG45" s="87"/>
      <c r="WYH45" s="87"/>
      <c r="WYI45" s="87"/>
      <c r="WYJ45" s="87"/>
      <c r="WYK45" s="87"/>
      <c r="WYL45" s="87"/>
      <c r="WYM45" s="87"/>
      <c r="WYN45" s="87"/>
      <c r="WYO45" s="87"/>
      <c r="WYP45" s="87"/>
      <c r="WYQ45" s="87"/>
      <c r="WYR45" s="87"/>
      <c r="WYS45" s="87"/>
      <c r="WYT45" s="87"/>
      <c r="WYU45" s="87"/>
      <c r="WYV45" s="87"/>
      <c r="WYW45" s="87"/>
      <c r="WYX45" s="87"/>
      <c r="WYY45" s="87"/>
      <c r="WYZ45" s="87"/>
      <c r="WZA45" s="87"/>
      <c r="WZB45" s="87"/>
      <c r="WZC45" s="87"/>
      <c r="WZD45" s="87"/>
      <c r="WZE45" s="87"/>
      <c r="WZF45" s="87"/>
      <c r="WZG45" s="87"/>
      <c r="WZH45" s="87"/>
      <c r="WZI45" s="87"/>
      <c r="WZJ45" s="87"/>
      <c r="WZK45" s="87"/>
      <c r="WZL45" s="87"/>
      <c r="WZM45" s="87"/>
      <c r="WZN45" s="87"/>
      <c r="WZO45" s="87"/>
      <c r="WZP45" s="87"/>
      <c r="WZQ45" s="87"/>
      <c r="WZR45" s="87"/>
      <c r="WZS45" s="87"/>
      <c r="WZT45" s="87"/>
      <c r="WZU45" s="87"/>
      <c r="WZV45" s="87"/>
      <c r="WZW45" s="87"/>
      <c r="WZX45" s="87"/>
      <c r="WZY45" s="87"/>
      <c r="WZZ45" s="87"/>
      <c r="XAA45" s="87"/>
      <c r="XAB45" s="87"/>
      <c r="XAC45" s="87"/>
      <c r="XAD45" s="87"/>
      <c r="XAE45" s="87"/>
      <c r="XAF45" s="87"/>
      <c r="XAG45" s="87"/>
      <c r="XAH45" s="87"/>
      <c r="XAI45" s="87"/>
      <c r="XAJ45" s="87"/>
      <c r="XAK45" s="87"/>
      <c r="XAL45" s="87"/>
      <c r="XAM45" s="87"/>
      <c r="XAN45" s="87"/>
      <c r="XAO45" s="87"/>
      <c r="XAP45" s="87"/>
      <c r="XAQ45" s="87"/>
      <c r="XAR45" s="87"/>
      <c r="XAS45" s="87"/>
      <c r="XAT45" s="87"/>
      <c r="XAU45" s="87"/>
      <c r="XAV45" s="87"/>
      <c r="XAW45" s="87"/>
      <c r="XAX45" s="87"/>
      <c r="XAY45" s="87"/>
      <c r="XAZ45" s="87"/>
      <c r="XBA45" s="87"/>
      <c r="XBB45" s="87"/>
      <c r="XBC45" s="87"/>
      <c r="XBD45" s="87"/>
      <c r="XBE45" s="87"/>
      <c r="XBF45" s="87"/>
      <c r="XBG45" s="87"/>
      <c r="XBH45" s="87"/>
      <c r="XBI45" s="87"/>
      <c r="XBJ45" s="87"/>
      <c r="XBK45" s="87"/>
      <c r="XBL45" s="87"/>
      <c r="XBM45" s="87"/>
      <c r="XBN45" s="87"/>
      <c r="XBO45" s="87"/>
      <c r="XBP45" s="87"/>
      <c r="XBQ45" s="87"/>
      <c r="XBR45" s="87"/>
      <c r="XBS45" s="87"/>
      <c r="XBT45" s="87"/>
      <c r="XBU45" s="87"/>
      <c r="XBV45" s="87"/>
      <c r="XBW45" s="87"/>
      <c r="XBX45" s="87"/>
      <c r="XBY45" s="87"/>
      <c r="XBZ45" s="87"/>
      <c r="XCA45" s="87"/>
      <c r="XCB45" s="87"/>
      <c r="XCC45" s="87"/>
      <c r="XCD45" s="87"/>
      <c r="XCE45" s="87"/>
      <c r="XCF45" s="87"/>
      <c r="XCG45" s="87"/>
      <c r="XCH45" s="87"/>
      <c r="XCI45" s="87"/>
      <c r="XCJ45" s="87"/>
      <c r="XCK45" s="87"/>
      <c r="XCL45" s="87"/>
      <c r="XCM45" s="87"/>
      <c r="XCN45" s="87"/>
      <c r="XCO45" s="87"/>
      <c r="XCP45" s="87"/>
      <c r="XCQ45" s="87"/>
      <c r="XCR45" s="87"/>
      <c r="XCS45" s="87"/>
      <c r="XCT45" s="87"/>
      <c r="XCU45" s="87"/>
      <c r="XCV45" s="87"/>
    </row>
    <row r="46" spans="1:16324" ht="14.5">
      <c r="A46" s="102">
        <v>12</v>
      </c>
      <c r="B46" s="94">
        <v>100</v>
      </c>
      <c r="C46" s="103" t="s">
        <v>1069</v>
      </c>
      <c r="D46" s="100" t="s">
        <v>1071</v>
      </c>
      <c r="E46" s="95">
        <v>220</v>
      </c>
      <c r="F46" s="19" t="s">
        <v>888</v>
      </c>
      <c r="G46" s="96">
        <v>0</v>
      </c>
      <c r="H46" s="96">
        <f t="shared" ref="H46:H47" si="328">IF(E46&lt;=230,(G46)/((E46/1000)*J46*(B46/100)),(G46)/(1.732*(E46/1000)*J46*(B46/100)))</f>
        <v>0</v>
      </c>
      <c r="I46" s="95">
        <v>1</v>
      </c>
      <c r="J46" s="96">
        <v>1</v>
      </c>
      <c r="K46" s="96">
        <f t="shared" ref="K46:K47" si="329">ROUND(SQRT(1-(J46)^2)/J46,2)</f>
        <v>0</v>
      </c>
      <c r="L46" s="97">
        <f t="shared" ref="L46:L47" si="330">I46*G46</f>
        <v>0</v>
      </c>
      <c r="M46" s="97">
        <f t="shared" ref="M46:M47" si="331">I46*G46*K46</f>
        <v>0</v>
      </c>
      <c r="N46" s="97">
        <f t="shared" ref="N46:N47" si="332">1*G46^2</f>
        <v>0</v>
      </c>
      <c r="O46" s="97"/>
      <c r="P46" s="97"/>
      <c r="Q46" s="97"/>
      <c r="R46" s="97"/>
      <c r="S46" s="97"/>
      <c r="T46" s="97"/>
      <c r="U46" s="86">
        <f>16</f>
        <v>16</v>
      </c>
      <c r="V46" s="86">
        <f t="shared" ref="V46" si="333">7*H46</f>
        <v>0</v>
      </c>
      <c r="W46" s="116" t="s">
        <v>875</v>
      </c>
      <c r="X46" s="87" t="s">
        <v>301</v>
      </c>
      <c r="Y46" s="87">
        <f t="shared" ref="Y46" si="334">IF(U46&lt;=6,6,IF(U46&lt;=10,10,IF(U46&lt;=16,16,IF(U46&lt;=20,20,IF(U46&lt;=25,25,IF(U46&lt;=32,32,IF(U46&lt;=40,40,IF(U46&lt;=50,50,IF(U46&lt;=63,63,"др.выкл")))))))))</f>
        <v>16</v>
      </c>
      <c r="Z46" s="87" t="str">
        <f>INDEX(автоматы!$B$3:$D$11,MATCH(Y46,автоматы!$A$3:$A$11,0),MATCH(X46,кол_пол,0))</f>
        <v>EZ9F34216</v>
      </c>
      <c r="AA46" s="87">
        <f t="shared" ref="AA46" si="335">IF(U46&lt;=0.16,0.16,IF(U46&lt;=0.25,0.25,IF(U46&lt;=0.4,0.4,IF(U46&lt;=0.63,0.63,IF(U46&lt;=1,1,IF(U46&lt;=1.6,1.6,IF(U46&lt;=2.5,2.5,IF(U46&lt;=4,4,IF(U46&lt;=6.3,6.3,IF(U46&lt;=10,10,IF(U46&lt;=14,14,IF(U46&lt;=18,18,IF(U46&lt;=23,23,IF(U46&lt;=25,25,IF(U46&lt;=32,32,"др.авт")))))))))))))))</f>
        <v>18</v>
      </c>
      <c r="AB46" s="87" t="str">
        <f>VLOOKUP(AA46,автоматы!$H$3:$I$17,2,0)</f>
        <v>GZ1 E20</v>
      </c>
      <c r="AC46" s="87">
        <f t="shared" ref="AC46" si="336">IF(U46&lt;=20,20,IF(U46&lt;=25,25,IF(U46&lt;=32,32,IF(U46&lt;=40,40,IF(U46&lt;=50,50,IF(U46&lt;=63,63,IF(U46&lt;=80,80,IF(U46&lt;=100,100,IF(U46&lt;=125,125,IF(U46&lt;=160,160,IF(U46&lt;=200,200,IF(U46&lt;=250,250,IF(U46&lt;=300,300,IF(U46&lt;=320,320,IF(U46&lt;=400,400,IF(U46&lt;=500,500,IF(U46&lt;=630,630,"др.авт")))))))))))))))))</f>
        <v>20</v>
      </c>
      <c r="AD46" s="87" t="str">
        <f>VLOOKUP(AC46,автоматы!$N$3:$O$19,2,0)</f>
        <v>LZMB1-A20-I</v>
      </c>
      <c r="AE46" s="88">
        <f t="shared" ref="AE46" si="337">IF(U46&lt;=6,6,IF(U46&lt;=10,10,IF(U46&lt;=16,16,IF(U46&lt;=20,20,IF(U46&lt;=25,25,IF(U46&lt;=32,32,IF(U46&lt;=40,40,IF(U46&lt;=50,50,IF(U46&lt;=63,63,"др.выкл")))))))))</f>
        <v>16</v>
      </c>
      <c r="AF46" s="87" t="str">
        <f>INDEX(автоматы!$T$2:$V$15,MATCH(AE46,автоматы!$S$2:$S$15,0),MATCH(X46,автоматы!$T$1:$V$1,0))</f>
        <v>iC60N C16 2P</v>
      </c>
      <c r="AG46" s="87">
        <f t="shared" ref="AG46" si="338">IF(U46&lt;=6,6,IF(U46&lt;=10,10,IF(U46&lt;=16,16,IF(U46&lt;=20,20,IF(U46&lt;=25,25,IF(U46&lt;=32,32,IF(U46&lt;=40,40,"др.выкл")))))))</f>
        <v>16</v>
      </c>
      <c r="AH46" s="87" t="str">
        <f>VLOOKUP(AG46,автоматы!$Z$3:$AA$9,2,0)</f>
        <v>A9D31616</v>
      </c>
      <c r="AI46" s="2">
        <f t="shared" ref="AI46" si="339">IF(U46&lt;=15,15,IF(U46&lt;=16,16,IF(U46&lt;=20,20,IF(U46&lt;=25,25,IF(U46&lt;=32,32,IF(U46&lt;=40,40,IF(U46&lt;=45,45,IF(U46&lt;=50,50,IF(U46&lt;=60,60,IF(U46&lt;=63,63,IF(U46&lt;=75,75,IF(U46&lt;=80,80,IF(U46&lt;=100,100,IF(U46&lt;=125,125,IF(U46&lt;=150,150,IF(U46&lt;=160,160,IF(U46&lt;=175,175,IF(U46&lt;=200,200,IF(U46&lt;=225,225,IF(U46&lt;=250,250,IF(U46&lt;=320,320,IF(U46&lt;=350,350,IF(U46&lt;=400,400,"др.выкл")))))))))))))))))))))))</f>
        <v>16</v>
      </c>
      <c r="AJ46" t="str">
        <f>VLOOKUP(AI46,автоматы!$AE$3:$AF$26,2,0)</f>
        <v>EZC100F3016</v>
      </c>
      <c r="AK46" s="3">
        <f t="shared" ref="AK46" si="340">IF(U46&lt;=0.16,0.16,IF(U46&lt;=0.25,0.25,IF(U46&lt;=0.4,0.4,IF(U46&lt;=0.63,0.63,IF(U46&lt;=1,1,IF(U46&lt;=1.6,1.6,IF(U46&lt;=2.5,2.5,IF(U46&lt;=4,4,IF(U46&lt;=6.3,6.3,IF(U46&lt;=10,10,IF(U46&lt;=14,14,IF(U46&lt;=18,18,IF(U46&lt;=23,23,IF(U46&lt;=25,25,IF(U46&lt;=32,32,"др.авт")))))))))))))))</f>
        <v>18</v>
      </c>
      <c r="AL46" t="str">
        <f>VLOOKUP(AK46,DEKraft!$I$2:$J$16,2,0)</f>
        <v>21231DEK</v>
      </c>
      <c r="AM46">
        <f t="shared" ref="AM46" si="341">IF(U46&lt;=0.16,0.16,IF(U46&lt;=0.25,0.25,IF(U46&lt;=0.4,0.4,IF(U46&lt;=0.63,0.63,IF(U46&lt;=1,1,IF(U46&lt;=1.6,1.6,IF(U46&lt;=2.5,2.5,IF(U46&lt;=4,4,IF(U46&lt;=6.3,6.3,IF(U46&lt;=10,10,IF(U46&lt;=14,14,IF(U46&lt;=18,18,IF(U46&lt;=23,23,IF(U46&lt;=25,25,IF(U46&lt;=32,32,"др.авт")))))))))))))))</f>
        <v>18</v>
      </c>
      <c r="AN46" t="str">
        <f>VLOOKUP(AM46,systeme!$A$33:$B$47,2,0)</f>
        <v>GM2ME20</v>
      </c>
      <c r="AO46">
        <f t="shared" ref="AO46" si="342">IF(U46&lt;=0.16,0.16,IF(U46&lt;=0.25,0.25,IF(U46&lt;=0.4,0.4,IF(U46&lt;=0.63,0.63,IF(U46&lt;=1,1,IF(U46&lt;=1.6,1.6,IF(U46&lt;=2.5,2.5,IF(U46&lt;=4,4,IF(U46&lt;=6.3,6.3,IF(U46&lt;=10,10,IF(U46&lt;=14,14,IF(U46&lt;=18,18,IF(U46&lt;=23,23,IF(U46&lt;=25,25,IF(U46&lt;=32,32,"др.авт")))))))))))))))</f>
        <v>18</v>
      </c>
      <c r="AP46">
        <f>VLOOKUP(AO46,chint!$A$34:$B$48,2,0)</f>
        <v>495083</v>
      </c>
      <c r="AQ46" s="3">
        <f t="shared" ref="AQ46" si="343">IF(U46&lt;=6,6,IF(U46&lt;=10,10,IF(U46&lt;=16,16,IF(U46&lt;=20,20,IF(U46&lt;=25,25,IF(U46&lt;=32,32,IF(U46&lt;=40,40,IF(U46&lt;=50,50,IF(U46&lt;=63,63,"др.выкл")))))))))</f>
        <v>16</v>
      </c>
      <c r="AR46" t="str">
        <f>INDEX(DEKraft!$B$2:$D$13,MATCH(AQ46,DEKraft!$A$2:$A$13,0),MATCH(X46,DEKraft!$B$1:$D$1,0))</f>
        <v>13165DEK</v>
      </c>
      <c r="AS46" t="str">
        <f>INDEX(DEKraft!$B$21:$D$32,MATCH(AQ46,DEKraft!$A$21:$A$32,0),MATCH(X46,DEKraft!$B$20:$D$20,0))</f>
        <v>12289DEK</v>
      </c>
      <c r="AT46" t="str">
        <f>INDEX(systeme!$B$2:$D$10,MATCH(AQ46,systeme!$A$2:$A$10,0),MATCH(X46,systeme!$B$1:$D$1,0))</f>
        <v>C9F36216</v>
      </c>
      <c r="AU46">
        <f>INDEX(chint!$B$2:$D$10,MATCH(AQ46,chint!$A$2:$A$10,0),MATCH(X46,chint!$B$1:$D$1,0))</f>
        <v>179658</v>
      </c>
      <c r="AV46" s="3">
        <f t="shared" ref="AV46" si="344">IF(U46&lt;=6,6,IF(U46&lt;=10,10,IF(U46&lt;=16,16,IF(U46&lt;=20,20,IF(U46&lt;=25,25,IF(U46&lt;=32,32,IF(U46&lt;=40,40,"др.выкл")))))))</f>
        <v>16</v>
      </c>
      <c r="AW46" t="str">
        <f>VLOOKUP(AV46,DEKraft!$A$41:$B$47,2,0)</f>
        <v>16204DEK</v>
      </c>
      <c r="AX46">
        <f t="shared" ref="AX46" si="345">IF(U46&lt;=10,10,IF(U46&lt;=16,16,IF(U46&lt;=20,20,IF(U46&lt;=25,25,IF(U46&lt;=32,32,IF(U46&lt;=40,40,"др.выкл"))))))</f>
        <v>16</v>
      </c>
      <c r="AY46" t="str">
        <f>VLOOKUP(AX46,systeme!$G$2:$H$7,2,0)</f>
        <v>C9D36616</v>
      </c>
      <c r="AZ46">
        <f t="shared" ref="AZ46" si="346">IF(U46&lt;=6,6,IF(U46&lt;=10,10,IF(U46&lt;=16,16,IF(U46&lt;=20,20,IF(U46&lt;=25,25,IF(U46&lt;=32,32,IF(U46&lt;=40,40,"др.выкл")))))))</f>
        <v>16</v>
      </c>
      <c r="BA46">
        <f>VLOOKUP(AV46,chint!$G$2:$H$8,2,0)</f>
        <v>689002</v>
      </c>
      <c r="BB46" s="3">
        <f t="shared" ref="BB46" si="347">IF(U46&lt;=25,25,IF(U46&lt;=32,32,IF(U46&lt;=40,40,IF(U46&lt;=50,50,IF(U46&lt;=63,63,IF(U46&lt;=80,80,IF(U46&lt;=100,100,IF(U46&lt;=125,125,IF(U46&lt;=140,140,IF(U46&lt;=160,160,IF(U46&lt;=200,200,IF(U46&lt;=250,250,IF(U46&lt;=320,320,IF(U46&lt;=400,400,IF(U46&lt;=500,500,IF(U46&lt;=630,630,"др.выкл"))))))))))))))))</f>
        <v>25</v>
      </c>
      <c r="BC46" t="str">
        <f>VLOOKUP(BB46,DEKraft!$I$21:$J$36,2,0)</f>
        <v>28100DEK</v>
      </c>
      <c r="BD46">
        <f t="shared" ref="BD46" si="348">IF(U46&lt;=16,16,IF(U46&lt;=25,25,IF(U46&lt;=32,32,IF(U46&lt;=40,40,IF(U46&lt;=50,50,IF(U46&lt;=63,63,IF(U46&lt;=80,80,IF(U46&lt;=100,100,IF(U46&lt;=125,125,IF(U46&lt;=160,160,IF(U46&lt;=200,200,IF(U46&lt;=250,250,IF(U46&lt;=400,400,IF(U46&lt;=500,500,IF(U46&lt;=600,600,"др.авт")))))))))))))))</f>
        <v>16</v>
      </c>
      <c r="BE46" t="str">
        <f>VLOOKUP(BD46,systeme!$A$16:$B$30,2,0)</f>
        <v>SPC100F016L3DF</v>
      </c>
      <c r="BF46">
        <f t="shared" ref="BF46" si="349">IF(U46&lt;=16,16,IF(U46&lt;=25,25,IF(U46&lt;=32,32,IF(U46&lt;=40,40,IF(U46&lt;=50,50,IF(U46&lt;=63,63,IF(U46&lt;=80,80,IF(U46&lt;=100,100,IF(U46&lt;=125,125,IF(U46&lt;=160,160,IF(U46&lt;=200,200,IF(U46&lt;=225,225,IF(U46&lt;=250,250,IF(U46&lt;=315,315,IF(U46&lt;=350,350,IF(U46&lt;=400,400,IF(U46&lt;=500,500,IF(U46&lt;=630,630,"др.выкл"))))))))))))))))))</f>
        <v>16</v>
      </c>
      <c r="BG46" s="4">
        <f>VLOOKUP(BF46,chint!$A$14:$B$31,2,0)</f>
        <v>271581</v>
      </c>
      <c r="BH46">
        <f t="shared" ref="BH46" si="350">IF(U46&lt;=6,6,IF(U46&lt;=10,10,IF(U46&lt;=16,16,IF(U46&lt;=20,20,IF(U46&lt;=25,25,IF(U46&lt;=32,32,IF(U46&lt;=40,40,IF(U46&lt;=50,50,IF(U46&lt;=63,63,"др.выкл")))))))))</f>
        <v>16</v>
      </c>
      <c r="BI46" t="str">
        <f>INDEX(КЭАЗ!$B$2:$E$14,MATCH(BH46,КЭАЗ!$A$2:$A$14,0),MATCH(X46,КЭАЗ!$B$1:$D$1,0))</f>
        <v>kea.341920</v>
      </c>
      <c r="BJ46">
        <f t="shared" ref="BJ46" si="351">IF(U46&lt;=6,6,IF(U46&lt;=10,10,IF(U46&lt;=16,16,IF(U46&lt;=20,20,IF(U46&lt;=25,25,IF(U46&lt;=32,32,IF(U46&lt;=40,40,IF(U46&lt;=50,50,IF(U46&lt;=63,63,IF(U46&lt;=80,80,IF(U46&lt;=100,100,IF(U46&lt;=125,125,"др.выкл"))))))))))))</f>
        <v>16</v>
      </c>
      <c r="BK46" t="str">
        <f>INDEX(hy!$B$2:$D$18,MATCH(BJ46,hy!$A$2:$A$18,0),MATCH(X46,hy!$B$1:$D$1,0))</f>
        <v>HGD63M 2PMCS0000C 00016</v>
      </c>
      <c r="BL46" t="str">
        <f>VLOOKUP(BJ46,hy!$G$2:$H$15,2,0)</f>
        <v>HRO63M 1NG4С0000C00016G</v>
      </c>
      <c r="BM46">
        <f t="shared" ref="BM46" si="352">IF(U46&lt;=0.16,0.16,IF(U46&lt;=0.25,0.25,IF(U46&lt;=0.4,0.4,IF(U46&lt;=0.63,0.63,IF(U46&lt;=1,1,IF(U46&lt;=1.6,1.6,IF(U46&lt;=2.5,2.5,IF(U46&lt;=4,4,IF(U46&lt;=6.3,6.3,IF(U46&lt;=10,10,IF(U46&lt;=14,14,IF(U46&lt;=18,18,IF(U46&lt;=23,23,IF(U46&lt;=25,25,IF(U46&lt;=32,32,"др.авт")))))))))))))))</f>
        <v>18</v>
      </c>
      <c r="BN46" t="str">
        <f>VLOOKUP(BM46,hy!$A$41:$B$55,2,0)</f>
        <v>MMS32K 0018</v>
      </c>
      <c r="BO46">
        <f t="shared" ref="BO46" si="353">IF(U46&lt;=100,100,IF(U46&lt;=125,125,IF(U46&lt;=150,150,IF(U46&lt;=160,160,IF(U46&lt;=175,175,IF(U46&lt;=200,200,IF(U46&lt;=225,225,IF(U46&lt;=250,250,IF(U46&lt;=300,300,IF(U46&lt;=350,350,IF(U46&lt;=400,400,IF(U46&lt;=500,500,IF(U46&lt;=630,630,IF(U46&lt;=700,700,IF(U46&lt;=800,800,"др.выкл")))))))))))))))</f>
        <v>100</v>
      </c>
      <c r="BP46" t="str">
        <f>VLOOKUP(BO46,hy!$A$21:$B$35,2,0)</f>
        <v>HGP100S-G 3PT4S0000C 00100H</v>
      </c>
      <c r="BQ46" s="89">
        <f>IF($W46=автоматы!$D$45,Z46,IF($W46=автоматы!$D$46,AF46,IF($W46=автоматы!$D$47,AH46,IF($W46=автоматы!$D$48,AB46,IF($W46=автоматы!$D$49,AJ46,IF($W46=автоматы!$D$50,AD46,IF($W46=автоматы!$D$51,BI46,IF($W46=автоматы!$D$52,AR46,IF($W46=автоматы!$D$53,AS46,IF($W46=автоматы!$D$54,AW46,IF($W46=автоматы!$D$55,AL46,IF($W46=автоматы!$D$56,BC46,IF($W46=автоматы!$D$57,AT46,IF($W46=автоматы!$D$58,AY46,IF($W46=автоматы!$D$59,AN46,IF($W46=автоматы!$D$60,BE46,IF($W46=автоматы!$D$61,AU46,IF($W46=автоматы!$D$62,BA46,IF($W46=автоматы!$D$63,AP46,IF($W46=автоматы!$D$64,BG46,IF($W46=автоматы!$D$65,BK46,IF($W46=автоматы!$D$66,BL46,IF($W46=автоматы!$D$67,BN46,IF($W46=автоматы!$D$68,BP46,"др"))))))))))))))))))))))))</f>
        <v>689002</v>
      </c>
      <c r="BR46" s="89">
        <f>IF($W46=автоматы!$D$45,Y46,IF($W46=автоматы!$D$46,AE46,IF($W46=автоматы!$D$47,AG46,IF($W46=автоматы!$D$48,AA46,IF($W46=автоматы!$D$49,AI46,IF($W46=автоматы!$D$50,AC46,IF($W46=автоматы!$D$51,BH46,IF($W46=автоматы!$D$52,AQ46,IF($W46=автоматы!$D$53,AQ46,IF($W46=автоматы!$D$54,AV46,IF($W46=автоматы!$D$55,AK46,IF($W46=автоматы!$D$56,BB46,IF($W46=автоматы!$D$57,AQ46,IF($W46=автоматы!$D$58,AX46,IF($W46=автоматы!$D$59,AM46,IF($W46=автоматы!$D$60,BD46,IF($W46=автоматы!$D$61,AQ46,IF($W46=автоматы!$D$62,AZ46,IF($W46=автоматы!$D$63,AO46,IF($W46=автоматы!$D$64,BF46,IF($W46=автоматы!$D$65,BJ46,IF($W46=автоматы!$D$66,BJ46,IF($W46=автоматы!$D$67,BM46,IF($W46=автоматы!$D$68,BO46,"др"))))))))))))))))))))))))</f>
        <v>16</v>
      </c>
      <c r="BS46" s="89" t="str">
        <f>CONCATENATE(IF($W46=автоматы!$A$1,Y46,IF($W46=автоматы!$H$1,VLOOKUP(AA46,автоматы!$H$3:$K$17,3,0),IF($W46=автоматы!$N$1,VLOOKUP(AC46,автоматы!$N$3:$Q$19,3,0),IF($W46=автоматы!$S$17,AE46,IF($W46=автоматы!$Z$1,AG46,IF($W46=автоматы!$AE$1,AI46,"др"))))))," А")</f>
        <v>др А</v>
      </c>
      <c r="BT46" s="89" t="str">
        <f>IF($W46=автоматы!$A$1,Y46*10,IF($W46=автоматы!$H$1,VLOOKUP(AA46,автоматы!$H$3:$K$17,4,0),IF($W46=автоматы!$N$1,VLOOKUP(AC46,автоматы!$N$3:$Q$19,4,0),IF($W46=автоматы!$S$17,AE46*10,IF($W46=автоматы!$Z$1,AG46*10,IF($W46=автоматы!$AE$1,AI46*10,"др"))))))</f>
        <v>др</v>
      </c>
      <c r="BU46" s="85"/>
      <c r="BV46" s="90" t="s">
        <v>147</v>
      </c>
      <c r="BW46" s="90">
        <v>1</v>
      </c>
      <c r="BX46" s="91">
        <v>3</v>
      </c>
      <c r="BY46" s="92">
        <v>1.5</v>
      </c>
      <c r="BZ46" s="91">
        <f>HLOOKUP(BV46,каталог!$CG$1:$CO$22,MATCH(BY46,каталог!$CF$1:$CF$22,0),0)*BW46</f>
        <v>19</v>
      </c>
      <c r="CA46" s="87" t="str">
        <f t="shared" ref="CA46" si="354">CONCATENATE("н",C46,"")</f>
        <v>нЕК4</v>
      </c>
      <c r="CB46" s="87" t="str">
        <f t="shared" ref="CB46" si="355">CONCATENATE(BV46," ",BX46,"x",BY46)</f>
        <v>ВВГнг(А)-LS 3x1,5</v>
      </c>
      <c r="CC46" s="87"/>
      <c r="CD46" s="87"/>
      <c r="CE46" s="87"/>
      <c r="CF46" s="87"/>
      <c r="CG46" s="87"/>
      <c r="CH46" s="87"/>
      <c r="CI46" s="87"/>
      <c r="CJ46" s="87"/>
      <c r="CK46" s="87"/>
      <c r="CL46" s="87"/>
      <c r="CM46" s="87"/>
      <c r="CN46" s="87"/>
      <c r="CO46" s="87"/>
      <c r="CP46" s="87"/>
      <c r="CQ46" s="87"/>
      <c r="CR46" s="87"/>
      <c r="CS46" s="87"/>
      <c r="CT46" s="87"/>
      <c r="CU46" s="87"/>
      <c r="CV46" s="87"/>
      <c r="CW46" s="87"/>
      <c r="CX46" s="87"/>
      <c r="CY46" s="87"/>
      <c r="CZ46" s="87"/>
      <c r="DA46" s="87"/>
      <c r="DB46" s="87"/>
      <c r="DC46" s="87"/>
      <c r="DD46" s="87"/>
      <c r="DE46" s="87"/>
      <c r="DF46" s="87"/>
      <c r="DG46" s="87"/>
      <c r="DH46" s="87"/>
      <c r="DI46" s="87"/>
      <c r="DJ46" s="87"/>
      <c r="DK46" s="87"/>
      <c r="DL46" s="87"/>
      <c r="DM46" s="87"/>
      <c r="DN46" s="87"/>
      <c r="DO46" s="87"/>
      <c r="DP46" s="87"/>
      <c r="DQ46" s="87"/>
      <c r="DR46" s="87"/>
      <c r="DS46" s="87"/>
      <c r="DT46" s="87"/>
      <c r="DU46" s="87"/>
      <c r="DV46" s="87"/>
      <c r="DW46" s="87"/>
      <c r="DX46" s="87"/>
      <c r="DY46" s="87"/>
      <c r="DZ46" s="87"/>
      <c r="EA46" s="87"/>
      <c r="EB46" s="87"/>
      <c r="EC46" s="87"/>
      <c r="ED46" s="87"/>
      <c r="EE46" s="87"/>
      <c r="EF46" s="87"/>
      <c r="EG46" s="87"/>
      <c r="EH46" s="87"/>
      <c r="EI46" s="87"/>
      <c r="EJ46" s="87"/>
      <c r="EK46" s="87"/>
      <c r="EL46" s="87"/>
      <c r="EM46" s="87"/>
      <c r="EN46" s="87"/>
      <c r="EO46" s="87"/>
      <c r="EP46" s="87"/>
      <c r="EQ46" s="87"/>
      <c r="ER46" s="87"/>
      <c r="ES46" s="87"/>
      <c r="ET46" s="87"/>
      <c r="EU46" s="87"/>
      <c r="EV46" s="87"/>
      <c r="EW46" s="87"/>
      <c r="EX46" s="87"/>
      <c r="EY46" s="87"/>
      <c r="EZ46" s="87"/>
      <c r="FA46" s="87"/>
      <c r="FB46" s="87"/>
      <c r="FC46" s="87"/>
      <c r="FD46" s="87"/>
      <c r="FE46" s="87"/>
      <c r="FF46" s="87"/>
      <c r="FG46" s="87"/>
      <c r="FH46" s="87"/>
      <c r="FI46" s="87"/>
      <c r="FJ46" s="87"/>
      <c r="FK46" s="87"/>
      <c r="FL46" s="87"/>
      <c r="FM46" s="87"/>
      <c r="FN46" s="87"/>
      <c r="FO46" s="87"/>
      <c r="FP46" s="87"/>
      <c r="FQ46" s="87"/>
      <c r="FR46" s="87"/>
      <c r="FS46" s="87"/>
      <c r="FT46" s="87"/>
      <c r="FU46" s="87"/>
      <c r="FV46" s="87"/>
      <c r="FW46" s="87"/>
      <c r="FX46" s="87"/>
      <c r="FY46" s="87"/>
      <c r="FZ46" s="87"/>
      <c r="GA46" s="87"/>
      <c r="GB46" s="87"/>
      <c r="GC46" s="87"/>
      <c r="GD46" s="87"/>
      <c r="GE46" s="87"/>
      <c r="GF46" s="87"/>
      <c r="GG46" s="87"/>
      <c r="GH46" s="87"/>
      <c r="GI46" s="87"/>
      <c r="GJ46" s="87"/>
      <c r="GK46" s="87"/>
      <c r="GL46" s="87"/>
      <c r="GM46" s="87"/>
      <c r="GN46" s="87"/>
      <c r="GO46" s="87"/>
      <c r="GP46" s="87"/>
      <c r="GQ46" s="87"/>
      <c r="GR46" s="87"/>
      <c r="GS46" s="87"/>
      <c r="GT46" s="87"/>
      <c r="GU46" s="87"/>
      <c r="GV46" s="87"/>
      <c r="GW46" s="87"/>
      <c r="GX46" s="87"/>
      <c r="GY46" s="87"/>
      <c r="GZ46" s="87"/>
      <c r="HA46" s="87"/>
      <c r="HB46" s="87"/>
      <c r="HC46" s="87"/>
      <c r="HD46" s="87"/>
      <c r="HE46" s="87"/>
      <c r="HF46" s="87"/>
      <c r="HG46" s="87"/>
      <c r="HH46" s="87"/>
      <c r="HI46" s="87"/>
      <c r="HJ46" s="87"/>
      <c r="HK46" s="87"/>
      <c r="HL46" s="87"/>
      <c r="HM46" s="87"/>
      <c r="HN46" s="87"/>
      <c r="HO46" s="87"/>
      <c r="HP46" s="87"/>
      <c r="HQ46" s="87"/>
      <c r="HR46" s="87"/>
      <c r="HS46" s="87"/>
      <c r="HT46" s="87"/>
      <c r="HU46" s="87"/>
      <c r="HV46" s="87"/>
      <c r="HW46" s="87"/>
      <c r="HX46" s="87"/>
      <c r="HY46" s="87"/>
      <c r="HZ46" s="87"/>
      <c r="IA46" s="87"/>
      <c r="IB46" s="87"/>
      <c r="IC46" s="87"/>
      <c r="ID46" s="87"/>
      <c r="IE46" s="87"/>
      <c r="IF46" s="87"/>
      <c r="IG46" s="87"/>
      <c r="IH46" s="87"/>
      <c r="II46" s="87"/>
      <c r="IJ46" s="87"/>
      <c r="IK46" s="87"/>
      <c r="IL46" s="87"/>
      <c r="IM46" s="87"/>
      <c r="IN46" s="87"/>
      <c r="IO46" s="87"/>
      <c r="IP46" s="87"/>
      <c r="IQ46" s="87"/>
      <c r="IR46" s="87"/>
      <c r="IS46" s="87"/>
      <c r="IT46" s="87"/>
      <c r="IU46" s="87"/>
      <c r="IV46" s="87"/>
      <c r="IW46" s="87"/>
      <c r="IX46" s="87"/>
      <c r="IY46" s="87"/>
      <c r="IZ46" s="87"/>
      <c r="JA46" s="87"/>
      <c r="JB46" s="87"/>
      <c r="JC46" s="87"/>
      <c r="JD46" s="87"/>
      <c r="JE46" s="87"/>
      <c r="JF46" s="87"/>
      <c r="JG46" s="87"/>
      <c r="JH46" s="87"/>
      <c r="JI46" s="87"/>
      <c r="JJ46" s="87"/>
      <c r="JK46" s="87"/>
      <c r="JL46" s="87"/>
      <c r="JM46" s="87"/>
      <c r="JN46" s="87"/>
      <c r="JO46" s="87"/>
      <c r="JP46" s="87"/>
      <c r="JQ46" s="87"/>
      <c r="JR46" s="87"/>
      <c r="JS46" s="87"/>
      <c r="JT46" s="87"/>
      <c r="JU46" s="87"/>
      <c r="JV46" s="87"/>
      <c r="JW46" s="87"/>
      <c r="JX46" s="87"/>
      <c r="JY46" s="87"/>
      <c r="JZ46" s="87"/>
      <c r="KA46" s="87"/>
      <c r="KB46" s="87"/>
      <c r="KC46" s="87"/>
      <c r="KD46" s="87"/>
      <c r="KE46" s="87"/>
      <c r="KF46" s="87"/>
      <c r="KG46" s="87"/>
      <c r="KH46" s="87"/>
      <c r="KI46" s="87"/>
      <c r="KJ46" s="87"/>
      <c r="KK46" s="87"/>
      <c r="KL46" s="87"/>
      <c r="KM46" s="87"/>
      <c r="KN46" s="87"/>
      <c r="KO46" s="87"/>
      <c r="KP46" s="87"/>
      <c r="KQ46" s="87"/>
      <c r="KR46" s="87"/>
      <c r="KS46" s="87"/>
      <c r="KT46" s="87"/>
      <c r="KU46" s="87"/>
      <c r="KV46" s="87"/>
      <c r="KW46" s="87"/>
      <c r="KX46" s="87"/>
      <c r="KY46" s="87"/>
      <c r="KZ46" s="87"/>
      <c r="LA46" s="87"/>
      <c r="LB46" s="87"/>
      <c r="LC46" s="87"/>
      <c r="LD46" s="87"/>
      <c r="LE46" s="87"/>
      <c r="LF46" s="87"/>
      <c r="LG46" s="87"/>
      <c r="LH46" s="87"/>
      <c r="LI46" s="87"/>
      <c r="LJ46" s="87"/>
      <c r="LK46" s="87"/>
      <c r="LL46" s="87"/>
      <c r="LM46" s="87"/>
      <c r="LN46" s="87"/>
      <c r="LO46" s="87"/>
      <c r="LP46" s="87"/>
      <c r="LQ46" s="87"/>
      <c r="LR46" s="87"/>
      <c r="LS46" s="87"/>
      <c r="LT46" s="87"/>
      <c r="LU46" s="87"/>
      <c r="LV46" s="87"/>
      <c r="LW46" s="87"/>
      <c r="LX46" s="87"/>
      <c r="LY46" s="87"/>
      <c r="LZ46" s="87"/>
      <c r="MA46" s="87"/>
      <c r="MB46" s="87"/>
      <c r="MC46" s="87"/>
      <c r="MD46" s="87"/>
      <c r="ME46" s="87"/>
      <c r="MF46" s="87"/>
      <c r="MG46" s="87"/>
      <c r="MH46" s="87"/>
      <c r="MI46" s="87"/>
      <c r="MJ46" s="87"/>
      <c r="MK46" s="87"/>
      <c r="ML46" s="87"/>
      <c r="MM46" s="87"/>
      <c r="MN46" s="87"/>
      <c r="MO46" s="87"/>
      <c r="MP46" s="87"/>
      <c r="MQ46" s="87"/>
      <c r="MR46" s="87"/>
      <c r="MS46" s="87"/>
      <c r="MT46" s="87"/>
      <c r="MU46" s="87"/>
      <c r="MV46" s="87"/>
      <c r="MW46" s="87"/>
      <c r="MX46" s="87"/>
      <c r="MY46" s="87"/>
      <c r="MZ46" s="87"/>
      <c r="NA46" s="87"/>
      <c r="NB46" s="87"/>
      <c r="NC46" s="87"/>
      <c r="ND46" s="87"/>
      <c r="NE46" s="87"/>
      <c r="NF46" s="87"/>
      <c r="NG46" s="87"/>
      <c r="NH46" s="87"/>
      <c r="NI46" s="87"/>
      <c r="NJ46" s="87"/>
      <c r="NK46" s="87"/>
      <c r="NL46" s="87"/>
      <c r="NM46" s="87"/>
      <c r="NN46" s="87"/>
      <c r="NO46" s="87"/>
      <c r="NP46" s="87"/>
      <c r="NQ46" s="87"/>
      <c r="NR46" s="87"/>
      <c r="NS46" s="87"/>
      <c r="NT46" s="87"/>
      <c r="NU46" s="87"/>
      <c r="NV46" s="87"/>
      <c r="NW46" s="87"/>
      <c r="NX46" s="87"/>
      <c r="NY46" s="87"/>
      <c r="NZ46" s="87"/>
      <c r="OA46" s="87"/>
      <c r="OB46" s="87"/>
      <c r="OC46" s="87"/>
      <c r="OD46" s="87"/>
      <c r="OE46" s="87"/>
      <c r="OF46" s="87"/>
      <c r="OG46" s="87"/>
      <c r="OH46" s="87"/>
      <c r="OI46" s="87"/>
      <c r="OJ46" s="87"/>
      <c r="OK46" s="87"/>
      <c r="OL46" s="87"/>
      <c r="OM46" s="87"/>
      <c r="ON46" s="87"/>
      <c r="OO46" s="87"/>
      <c r="OP46" s="87"/>
      <c r="OQ46" s="87"/>
      <c r="OR46" s="87"/>
      <c r="OS46" s="87"/>
      <c r="OT46" s="87"/>
      <c r="OU46" s="87"/>
      <c r="OV46" s="87"/>
      <c r="OW46" s="87"/>
      <c r="OX46" s="87"/>
      <c r="OY46" s="87"/>
      <c r="OZ46" s="87"/>
      <c r="PA46" s="87"/>
      <c r="PB46" s="87"/>
      <c r="PC46" s="87"/>
      <c r="PD46" s="87"/>
      <c r="PE46" s="87"/>
      <c r="PF46" s="87"/>
      <c r="PG46" s="87"/>
      <c r="PH46" s="87"/>
      <c r="PI46" s="87"/>
      <c r="PJ46" s="87"/>
      <c r="PK46" s="87"/>
      <c r="PL46" s="87"/>
      <c r="PM46" s="87"/>
      <c r="PN46" s="87"/>
      <c r="PO46" s="87"/>
      <c r="PP46" s="87"/>
      <c r="PQ46" s="87"/>
      <c r="PR46" s="87"/>
      <c r="PS46" s="87"/>
      <c r="PT46" s="87"/>
      <c r="PU46" s="87"/>
      <c r="PV46" s="87"/>
      <c r="PW46" s="87"/>
      <c r="PX46" s="87"/>
      <c r="PY46" s="87"/>
      <c r="PZ46" s="87"/>
      <c r="QA46" s="87"/>
      <c r="QB46" s="87"/>
      <c r="QC46" s="87"/>
      <c r="QD46" s="87"/>
      <c r="QE46" s="87"/>
      <c r="QF46" s="87"/>
      <c r="QG46" s="87"/>
      <c r="QH46" s="87"/>
      <c r="QI46" s="87"/>
      <c r="QJ46" s="87"/>
      <c r="QK46" s="87"/>
      <c r="QL46" s="87"/>
      <c r="QM46" s="87"/>
      <c r="QN46" s="87"/>
      <c r="QO46" s="87"/>
      <c r="QP46" s="87"/>
      <c r="QQ46" s="87"/>
      <c r="QR46" s="87"/>
      <c r="QS46" s="87"/>
      <c r="QT46" s="87"/>
      <c r="QU46" s="87"/>
      <c r="QV46" s="87"/>
      <c r="QW46" s="87"/>
      <c r="QX46" s="87"/>
      <c r="QY46" s="87"/>
      <c r="QZ46" s="87"/>
      <c r="RA46" s="87"/>
      <c r="RB46" s="87"/>
      <c r="RC46" s="87"/>
      <c r="RD46" s="87"/>
      <c r="RE46" s="87"/>
      <c r="RF46" s="87"/>
      <c r="RG46" s="87"/>
      <c r="RH46" s="87"/>
      <c r="RI46" s="87"/>
      <c r="RJ46" s="87"/>
      <c r="RK46" s="87"/>
      <c r="RL46" s="87"/>
      <c r="RM46" s="87"/>
      <c r="RN46" s="87"/>
      <c r="RO46" s="87"/>
      <c r="RP46" s="87"/>
      <c r="RQ46" s="87"/>
      <c r="RR46" s="87"/>
      <c r="RS46" s="87"/>
      <c r="RT46" s="87"/>
      <c r="RU46" s="87"/>
      <c r="RV46" s="87"/>
      <c r="RW46" s="87"/>
      <c r="RX46" s="87"/>
      <c r="RY46" s="87"/>
      <c r="RZ46" s="87"/>
      <c r="SA46" s="87"/>
      <c r="SB46" s="87"/>
      <c r="SC46" s="87"/>
      <c r="SD46" s="87"/>
      <c r="SE46" s="87"/>
      <c r="SF46" s="87"/>
      <c r="SG46" s="87"/>
      <c r="SH46" s="87"/>
      <c r="SI46" s="87"/>
      <c r="SJ46" s="87"/>
      <c r="SK46" s="87"/>
      <c r="SL46" s="87"/>
      <c r="SM46" s="87"/>
      <c r="SN46" s="87"/>
      <c r="SO46" s="87"/>
      <c r="SP46" s="87"/>
      <c r="SQ46" s="87"/>
      <c r="SR46" s="87"/>
      <c r="SS46" s="87"/>
      <c r="ST46" s="87"/>
      <c r="SU46" s="87"/>
      <c r="SV46" s="87"/>
      <c r="SW46" s="87"/>
      <c r="SX46" s="87"/>
      <c r="SY46" s="87"/>
      <c r="SZ46" s="87"/>
      <c r="TA46" s="87"/>
      <c r="TB46" s="87"/>
      <c r="TC46" s="87"/>
      <c r="TD46" s="87"/>
      <c r="TE46" s="87"/>
      <c r="TF46" s="87"/>
      <c r="TG46" s="87"/>
      <c r="TH46" s="87"/>
      <c r="TI46" s="87"/>
      <c r="TJ46" s="87"/>
      <c r="TK46" s="87"/>
      <c r="TL46" s="87"/>
      <c r="TM46" s="87"/>
      <c r="TN46" s="87"/>
      <c r="TO46" s="87"/>
      <c r="TP46" s="87"/>
      <c r="TQ46" s="87"/>
      <c r="TR46" s="87"/>
      <c r="TS46" s="87"/>
      <c r="TT46" s="87"/>
      <c r="TU46" s="87"/>
      <c r="TV46" s="87"/>
      <c r="TW46" s="87"/>
      <c r="TX46" s="87"/>
      <c r="TY46" s="87"/>
      <c r="TZ46" s="87"/>
      <c r="UA46" s="87"/>
      <c r="UB46" s="87"/>
      <c r="UC46" s="87"/>
      <c r="UD46" s="87"/>
      <c r="UE46" s="87"/>
      <c r="UF46" s="87"/>
      <c r="UG46" s="87"/>
      <c r="UH46" s="87"/>
      <c r="UI46" s="87"/>
      <c r="UJ46" s="87"/>
      <c r="UK46" s="87"/>
      <c r="UL46" s="87"/>
      <c r="UM46" s="87"/>
      <c r="UN46" s="87"/>
      <c r="UO46" s="87"/>
      <c r="UP46" s="87"/>
      <c r="UQ46" s="87"/>
      <c r="UR46" s="87"/>
      <c r="US46" s="87"/>
      <c r="UT46" s="87"/>
      <c r="UU46" s="87"/>
      <c r="UV46" s="87"/>
      <c r="UW46" s="87"/>
      <c r="UX46" s="87"/>
      <c r="UY46" s="87"/>
      <c r="UZ46" s="87"/>
      <c r="VA46" s="87"/>
      <c r="VB46" s="87"/>
      <c r="VC46" s="87"/>
      <c r="VD46" s="87"/>
      <c r="VE46" s="87"/>
      <c r="VF46" s="87"/>
      <c r="VG46" s="87"/>
      <c r="VH46" s="87"/>
      <c r="VI46" s="87"/>
      <c r="VJ46" s="87"/>
      <c r="VK46" s="87"/>
      <c r="VL46" s="87"/>
      <c r="VM46" s="87"/>
      <c r="VN46" s="87"/>
      <c r="VO46" s="87"/>
      <c r="VP46" s="87"/>
      <c r="VQ46" s="87"/>
      <c r="VR46" s="87"/>
      <c r="VS46" s="87"/>
      <c r="VT46" s="87"/>
      <c r="VU46" s="87"/>
      <c r="VV46" s="87"/>
      <c r="VW46" s="87"/>
      <c r="VX46" s="87"/>
      <c r="VY46" s="87"/>
      <c r="VZ46" s="87"/>
      <c r="WA46" s="87"/>
      <c r="WB46" s="87"/>
      <c r="WC46" s="87"/>
      <c r="WD46" s="87"/>
      <c r="WE46" s="87"/>
      <c r="WF46" s="87"/>
      <c r="WG46" s="87"/>
      <c r="WH46" s="87"/>
      <c r="WI46" s="87"/>
      <c r="WJ46" s="87"/>
      <c r="WK46" s="87"/>
      <c r="WL46" s="87"/>
      <c r="WM46" s="87"/>
      <c r="WN46" s="87"/>
      <c r="WO46" s="87"/>
      <c r="WP46" s="87"/>
      <c r="WQ46" s="87"/>
      <c r="WR46" s="87"/>
      <c r="WS46" s="87"/>
      <c r="WT46" s="87"/>
      <c r="WU46" s="87"/>
      <c r="WV46" s="87"/>
      <c r="WW46" s="87"/>
      <c r="WX46" s="87"/>
      <c r="WY46" s="87"/>
      <c r="WZ46" s="87"/>
      <c r="XA46" s="87"/>
      <c r="XB46" s="87"/>
      <c r="XC46" s="87"/>
      <c r="XD46" s="87"/>
      <c r="XE46" s="87"/>
      <c r="XF46" s="87"/>
      <c r="XG46" s="87"/>
      <c r="XH46" s="87"/>
      <c r="XI46" s="87"/>
      <c r="XJ46" s="87"/>
      <c r="XK46" s="87"/>
      <c r="XL46" s="87"/>
      <c r="XM46" s="87"/>
      <c r="XN46" s="87"/>
      <c r="XO46" s="87"/>
      <c r="XP46" s="87"/>
      <c r="XQ46" s="87"/>
      <c r="XR46" s="87"/>
      <c r="XS46" s="87"/>
      <c r="XT46" s="87"/>
      <c r="XU46" s="87"/>
      <c r="XV46" s="87"/>
      <c r="XW46" s="87"/>
      <c r="XX46" s="87"/>
      <c r="XY46" s="87"/>
      <c r="XZ46" s="87"/>
      <c r="YA46" s="87"/>
      <c r="YB46" s="87"/>
      <c r="YC46" s="87"/>
      <c r="YD46" s="87"/>
      <c r="YE46" s="87"/>
      <c r="YF46" s="87"/>
      <c r="YG46" s="87"/>
      <c r="YH46" s="87"/>
      <c r="YI46" s="87"/>
      <c r="YJ46" s="87"/>
      <c r="YK46" s="87"/>
      <c r="YL46" s="87"/>
      <c r="YM46" s="87"/>
      <c r="YN46" s="87"/>
      <c r="YO46" s="87"/>
      <c r="YP46" s="87"/>
      <c r="YQ46" s="87"/>
      <c r="YR46" s="87"/>
      <c r="YS46" s="87"/>
      <c r="YT46" s="87"/>
      <c r="YU46" s="87"/>
      <c r="YV46" s="87"/>
      <c r="YW46" s="87"/>
      <c r="YX46" s="87"/>
      <c r="YY46" s="87"/>
      <c r="YZ46" s="87"/>
      <c r="ZA46" s="87"/>
      <c r="ZB46" s="87"/>
      <c r="ZC46" s="87"/>
      <c r="ZD46" s="87"/>
      <c r="ZE46" s="87"/>
      <c r="ZF46" s="87"/>
      <c r="ZG46" s="87"/>
      <c r="ZH46" s="87"/>
      <c r="ZI46" s="87"/>
      <c r="ZJ46" s="87"/>
      <c r="ZK46" s="87"/>
      <c r="ZL46" s="87"/>
      <c r="ZM46" s="87"/>
      <c r="ZN46" s="87"/>
      <c r="ZO46" s="87"/>
      <c r="ZP46" s="87"/>
      <c r="ZQ46" s="87"/>
      <c r="ZR46" s="87"/>
      <c r="ZS46" s="87"/>
      <c r="ZT46" s="87"/>
      <c r="ZU46" s="87"/>
      <c r="ZV46" s="87"/>
      <c r="ZW46" s="87"/>
      <c r="ZX46" s="87"/>
      <c r="ZY46" s="87"/>
      <c r="ZZ46" s="87"/>
      <c r="AAA46" s="87"/>
      <c r="AAB46" s="87"/>
      <c r="AAC46" s="87"/>
      <c r="AAD46" s="87"/>
      <c r="AAE46" s="87"/>
      <c r="AAF46" s="87"/>
      <c r="AAG46" s="87"/>
      <c r="AAH46" s="87"/>
      <c r="AAI46" s="87"/>
      <c r="AAJ46" s="87"/>
      <c r="AAK46" s="87"/>
      <c r="AAL46" s="87"/>
      <c r="AAM46" s="87"/>
      <c r="AAN46" s="87"/>
      <c r="AAO46" s="87"/>
      <c r="AAP46" s="87"/>
      <c r="AAQ46" s="87"/>
      <c r="AAR46" s="87"/>
      <c r="AAS46" s="87"/>
      <c r="AAT46" s="87"/>
      <c r="AAU46" s="87"/>
      <c r="AAV46" s="87"/>
      <c r="AAW46" s="87"/>
      <c r="AAX46" s="87"/>
      <c r="AAY46" s="87"/>
      <c r="AAZ46" s="87"/>
      <c r="ABA46" s="87"/>
      <c r="ABB46" s="87"/>
      <c r="ABC46" s="87"/>
      <c r="ABD46" s="87"/>
      <c r="ABE46" s="87"/>
      <c r="ABF46" s="87"/>
      <c r="ABG46" s="87"/>
      <c r="ABH46" s="87"/>
      <c r="ABI46" s="87"/>
      <c r="ABJ46" s="87"/>
      <c r="ABK46" s="87"/>
      <c r="ABL46" s="87"/>
      <c r="ABM46" s="87"/>
      <c r="ABN46" s="87"/>
      <c r="ABO46" s="87"/>
      <c r="ABP46" s="87"/>
      <c r="ABQ46" s="87"/>
      <c r="ABR46" s="87"/>
      <c r="ABS46" s="87"/>
      <c r="ABT46" s="87"/>
      <c r="ABU46" s="87"/>
      <c r="ABV46" s="87"/>
      <c r="ABW46" s="87"/>
      <c r="ABX46" s="87"/>
      <c r="ABY46" s="87"/>
      <c r="ABZ46" s="87"/>
      <c r="ACA46" s="87"/>
      <c r="ACB46" s="87"/>
      <c r="ACC46" s="87"/>
      <c r="ACD46" s="87"/>
      <c r="ACE46" s="87"/>
      <c r="ACF46" s="87"/>
      <c r="ACG46" s="87"/>
      <c r="ACH46" s="87"/>
      <c r="ACI46" s="87"/>
      <c r="ACJ46" s="87"/>
      <c r="ACK46" s="87"/>
      <c r="ACL46" s="87"/>
      <c r="ACM46" s="87"/>
      <c r="ACN46" s="87"/>
      <c r="ACO46" s="87"/>
      <c r="ACP46" s="87"/>
      <c r="ACQ46" s="87"/>
      <c r="ACR46" s="87"/>
      <c r="ACS46" s="87"/>
      <c r="ACT46" s="87"/>
      <c r="ACU46" s="87"/>
      <c r="ACV46" s="87"/>
      <c r="ACW46" s="87"/>
      <c r="ACX46" s="87"/>
      <c r="ACY46" s="87"/>
      <c r="ACZ46" s="87"/>
      <c r="ADA46" s="87"/>
      <c r="ADB46" s="87"/>
      <c r="ADC46" s="87"/>
      <c r="ADD46" s="87"/>
      <c r="ADE46" s="87"/>
      <c r="ADF46" s="87"/>
      <c r="ADG46" s="87"/>
      <c r="ADH46" s="87"/>
      <c r="ADI46" s="87"/>
      <c r="ADJ46" s="87"/>
      <c r="ADK46" s="87"/>
      <c r="ADL46" s="87"/>
      <c r="ADM46" s="87"/>
      <c r="ADN46" s="87"/>
      <c r="ADO46" s="87"/>
      <c r="ADP46" s="87"/>
      <c r="ADQ46" s="87"/>
      <c r="ADR46" s="87"/>
      <c r="ADS46" s="87"/>
      <c r="ADT46" s="87"/>
      <c r="ADU46" s="87"/>
      <c r="ADV46" s="87"/>
      <c r="ADW46" s="87"/>
      <c r="ADX46" s="87"/>
      <c r="ADY46" s="87"/>
      <c r="ADZ46" s="87"/>
      <c r="AEA46" s="87"/>
      <c r="AEB46" s="87"/>
      <c r="AEC46" s="87"/>
      <c r="AED46" s="87"/>
      <c r="AEE46" s="87"/>
      <c r="AEF46" s="87"/>
      <c r="AEG46" s="87"/>
      <c r="AEH46" s="87"/>
      <c r="AEI46" s="87"/>
      <c r="AEJ46" s="87"/>
      <c r="AEK46" s="87"/>
      <c r="AEL46" s="87"/>
      <c r="AEM46" s="87"/>
      <c r="AEN46" s="87"/>
      <c r="AEO46" s="87"/>
      <c r="AEP46" s="87"/>
      <c r="AEQ46" s="87"/>
      <c r="AER46" s="87"/>
      <c r="AES46" s="87"/>
      <c r="AET46" s="87"/>
      <c r="AEU46" s="87"/>
      <c r="AEV46" s="87"/>
      <c r="AEW46" s="87"/>
      <c r="AEX46" s="87"/>
      <c r="AEY46" s="87"/>
      <c r="AEZ46" s="87"/>
      <c r="AFA46" s="87"/>
      <c r="AFB46" s="87"/>
      <c r="AFC46" s="87"/>
      <c r="AFD46" s="87"/>
      <c r="AFE46" s="87"/>
      <c r="AFF46" s="87"/>
      <c r="AFG46" s="87"/>
      <c r="AFH46" s="87"/>
      <c r="AFI46" s="87"/>
      <c r="AFJ46" s="87"/>
      <c r="AFK46" s="87"/>
      <c r="AFL46" s="87"/>
      <c r="AFM46" s="87"/>
      <c r="AFN46" s="87"/>
      <c r="AFO46" s="87"/>
      <c r="AFP46" s="87"/>
      <c r="AFQ46" s="87"/>
      <c r="AFR46" s="87"/>
      <c r="AFS46" s="87"/>
      <c r="AFT46" s="87"/>
      <c r="AFU46" s="87"/>
      <c r="AFV46" s="87"/>
      <c r="AFW46" s="87"/>
      <c r="AFX46" s="87"/>
      <c r="AFY46" s="87"/>
      <c r="AFZ46" s="87"/>
      <c r="AGA46" s="87"/>
      <c r="AGB46" s="87"/>
      <c r="AGC46" s="87"/>
      <c r="AGD46" s="87"/>
      <c r="AGE46" s="87"/>
      <c r="AGF46" s="87"/>
      <c r="AGG46" s="87"/>
      <c r="AGH46" s="87"/>
      <c r="AGI46" s="87"/>
      <c r="AGJ46" s="87"/>
      <c r="AGK46" s="87"/>
      <c r="AGL46" s="87"/>
      <c r="AGM46" s="87"/>
      <c r="AGN46" s="87"/>
      <c r="AGO46" s="87"/>
      <c r="AGP46" s="87"/>
      <c r="AGQ46" s="87"/>
      <c r="AGR46" s="87"/>
      <c r="AGS46" s="87"/>
      <c r="AGT46" s="87"/>
      <c r="AGU46" s="87"/>
      <c r="AGV46" s="87"/>
      <c r="AGW46" s="87"/>
      <c r="AGX46" s="87"/>
      <c r="AGY46" s="87"/>
      <c r="AGZ46" s="87"/>
      <c r="AHA46" s="87"/>
      <c r="AHB46" s="87"/>
      <c r="AHC46" s="87"/>
      <c r="AHD46" s="87"/>
      <c r="AHE46" s="87"/>
      <c r="AHF46" s="87"/>
      <c r="AHG46" s="87"/>
      <c r="AHH46" s="87"/>
      <c r="AHI46" s="87"/>
      <c r="AHJ46" s="87"/>
      <c r="AHK46" s="87"/>
      <c r="AHL46" s="87"/>
      <c r="AHM46" s="87"/>
      <c r="AHN46" s="87"/>
      <c r="AHO46" s="87"/>
      <c r="AHP46" s="87"/>
      <c r="AHQ46" s="87"/>
      <c r="AHR46" s="87"/>
      <c r="AHS46" s="87"/>
      <c r="AHT46" s="87"/>
      <c r="AHU46" s="87"/>
      <c r="AHV46" s="87"/>
      <c r="AHW46" s="87"/>
      <c r="AHX46" s="87"/>
      <c r="AHY46" s="87"/>
      <c r="AHZ46" s="87"/>
      <c r="AIA46" s="87"/>
      <c r="AIB46" s="87"/>
      <c r="AIC46" s="87"/>
      <c r="AID46" s="87"/>
      <c r="AIE46" s="87"/>
      <c r="AIF46" s="87"/>
      <c r="AIG46" s="87"/>
      <c r="AIH46" s="87"/>
      <c r="AII46" s="87"/>
      <c r="AIJ46" s="87"/>
      <c r="AIK46" s="87"/>
      <c r="AIL46" s="87"/>
      <c r="AIM46" s="87"/>
      <c r="AIN46" s="87"/>
      <c r="AIO46" s="87"/>
      <c r="AIP46" s="87"/>
      <c r="AIQ46" s="87"/>
      <c r="AIR46" s="87"/>
      <c r="AIS46" s="87"/>
      <c r="AIT46" s="87"/>
      <c r="AIU46" s="87"/>
      <c r="AIV46" s="87"/>
      <c r="AIW46" s="87"/>
      <c r="AIX46" s="87"/>
      <c r="AIY46" s="87"/>
      <c r="AIZ46" s="87"/>
      <c r="AJA46" s="87"/>
      <c r="AJB46" s="87"/>
      <c r="AJC46" s="87"/>
      <c r="AJD46" s="87"/>
      <c r="AJE46" s="87"/>
      <c r="AJF46" s="87"/>
      <c r="AJG46" s="87"/>
      <c r="AJH46" s="87"/>
      <c r="AJI46" s="87"/>
      <c r="AJJ46" s="87"/>
      <c r="AJK46" s="87"/>
      <c r="AJL46" s="87"/>
      <c r="AJM46" s="87"/>
      <c r="AJN46" s="87"/>
      <c r="AJO46" s="87"/>
      <c r="AJP46" s="87"/>
      <c r="AJQ46" s="87"/>
      <c r="AJR46" s="87"/>
      <c r="AJS46" s="87"/>
      <c r="AJT46" s="87"/>
      <c r="AJU46" s="87"/>
      <c r="AJV46" s="87"/>
      <c r="AJW46" s="87"/>
      <c r="AJX46" s="87"/>
      <c r="AJY46" s="87"/>
      <c r="AJZ46" s="87"/>
      <c r="AKA46" s="87"/>
      <c r="AKB46" s="87"/>
      <c r="AKC46" s="87"/>
      <c r="AKD46" s="87"/>
      <c r="AKE46" s="87"/>
      <c r="AKF46" s="87"/>
      <c r="AKG46" s="87"/>
      <c r="AKH46" s="87"/>
      <c r="AKI46" s="87"/>
      <c r="AKJ46" s="87"/>
      <c r="AKK46" s="87"/>
      <c r="AKL46" s="87"/>
      <c r="AKM46" s="87"/>
      <c r="AKN46" s="87"/>
      <c r="AKO46" s="87"/>
      <c r="AKP46" s="87"/>
      <c r="AKQ46" s="87"/>
      <c r="AKR46" s="87"/>
      <c r="AKS46" s="87"/>
      <c r="AKT46" s="87"/>
      <c r="AKU46" s="87"/>
      <c r="AKV46" s="87"/>
      <c r="AKW46" s="87"/>
      <c r="AKX46" s="87"/>
      <c r="AKY46" s="87"/>
      <c r="AKZ46" s="87"/>
      <c r="ALA46" s="87"/>
      <c r="ALB46" s="87"/>
      <c r="ALC46" s="87"/>
      <c r="ALD46" s="87"/>
      <c r="ALE46" s="87"/>
      <c r="ALF46" s="87"/>
      <c r="ALG46" s="87"/>
      <c r="ALH46" s="87"/>
      <c r="ALI46" s="87"/>
      <c r="ALJ46" s="87"/>
      <c r="ALK46" s="87"/>
      <c r="ALL46" s="87"/>
      <c r="ALM46" s="87"/>
      <c r="ALN46" s="87"/>
      <c r="ALO46" s="87"/>
      <c r="ALP46" s="87"/>
      <c r="ALQ46" s="87"/>
      <c r="ALR46" s="87"/>
      <c r="ALS46" s="87"/>
      <c r="ALT46" s="87"/>
      <c r="ALU46" s="87"/>
      <c r="ALV46" s="87"/>
      <c r="ALW46" s="87"/>
      <c r="ALX46" s="87"/>
      <c r="ALY46" s="87"/>
      <c r="ALZ46" s="87"/>
      <c r="AMA46" s="87"/>
      <c r="AMB46" s="87"/>
      <c r="AMC46" s="87"/>
      <c r="AMD46" s="87"/>
      <c r="AME46" s="87"/>
      <c r="AMF46" s="87"/>
      <c r="AMG46" s="87"/>
      <c r="AMH46" s="87"/>
      <c r="AMI46" s="87"/>
      <c r="AMJ46" s="87"/>
      <c r="AMK46" s="87"/>
      <c r="AML46" s="87"/>
      <c r="AMM46" s="87"/>
      <c r="AMN46" s="87"/>
      <c r="AMO46" s="87"/>
      <c r="AMP46" s="87"/>
      <c r="AMQ46" s="87"/>
      <c r="AMR46" s="87"/>
      <c r="AMS46" s="87"/>
      <c r="AMT46" s="87"/>
      <c r="AMU46" s="87"/>
      <c r="AMV46" s="87"/>
      <c r="AMW46" s="87"/>
      <c r="AMX46" s="87"/>
      <c r="AMY46" s="87"/>
      <c r="AMZ46" s="87"/>
      <c r="ANA46" s="87"/>
      <c r="ANB46" s="87"/>
      <c r="ANC46" s="87"/>
      <c r="AND46" s="87"/>
      <c r="ANE46" s="87"/>
      <c r="ANF46" s="87"/>
      <c r="ANG46" s="87"/>
      <c r="ANH46" s="87"/>
      <c r="ANI46" s="87"/>
      <c r="ANJ46" s="87"/>
      <c r="ANK46" s="87"/>
      <c r="ANL46" s="87"/>
      <c r="ANM46" s="87"/>
      <c r="ANN46" s="87"/>
      <c r="ANO46" s="87"/>
      <c r="ANP46" s="87"/>
      <c r="ANQ46" s="87"/>
      <c r="ANR46" s="87"/>
      <c r="ANS46" s="87"/>
      <c r="ANT46" s="87"/>
      <c r="ANU46" s="87"/>
      <c r="ANV46" s="87"/>
      <c r="ANW46" s="87"/>
      <c r="ANX46" s="87"/>
      <c r="ANY46" s="87"/>
      <c r="ANZ46" s="87"/>
      <c r="AOA46" s="87"/>
      <c r="AOB46" s="87"/>
      <c r="AOC46" s="87"/>
      <c r="AOD46" s="87"/>
      <c r="AOE46" s="87"/>
      <c r="AOF46" s="87"/>
      <c r="AOG46" s="87"/>
      <c r="AOH46" s="87"/>
      <c r="AOI46" s="87"/>
      <c r="AOJ46" s="87"/>
      <c r="AOK46" s="87"/>
      <c r="AOL46" s="87"/>
      <c r="AOM46" s="87"/>
      <c r="AON46" s="87"/>
      <c r="AOO46" s="87"/>
      <c r="AOP46" s="87"/>
      <c r="AOQ46" s="87"/>
      <c r="AOR46" s="87"/>
      <c r="AOS46" s="87"/>
      <c r="AOT46" s="87"/>
      <c r="AOU46" s="87"/>
      <c r="AOV46" s="87"/>
      <c r="AOW46" s="87"/>
      <c r="AOX46" s="87"/>
      <c r="AOY46" s="87"/>
      <c r="AOZ46" s="87"/>
      <c r="APA46" s="87"/>
      <c r="APB46" s="87"/>
      <c r="APC46" s="87"/>
      <c r="APD46" s="87"/>
      <c r="APE46" s="87"/>
      <c r="APF46" s="87"/>
      <c r="APG46" s="87"/>
      <c r="APH46" s="87"/>
      <c r="API46" s="87"/>
      <c r="APJ46" s="87"/>
      <c r="APK46" s="87"/>
      <c r="APL46" s="87"/>
      <c r="APM46" s="87"/>
      <c r="APN46" s="87"/>
      <c r="APO46" s="87"/>
      <c r="APP46" s="87"/>
      <c r="APQ46" s="87"/>
      <c r="APR46" s="87"/>
      <c r="APS46" s="87"/>
      <c r="APT46" s="87"/>
      <c r="APU46" s="87"/>
      <c r="APV46" s="87"/>
      <c r="APW46" s="87"/>
      <c r="APX46" s="87"/>
      <c r="APY46" s="87"/>
      <c r="APZ46" s="87"/>
      <c r="AQA46" s="87"/>
      <c r="AQB46" s="87"/>
      <c r="AQC46" s="87"/>
      <c r="AQD46" s="87"/>
      <c r="AQE46" s="87"/>
      <c r="AQF46" s="87"/>
      <c r="AQG46" s="87"/>
      <c r="AQH46" s="87"/>
      <c r="AQI46" s="87"/>
      <c r="AQJ46" s="87"/>
      <c r="AQK46" s="87"/>
      <c r="AQL46" s="87"/>
      <c r="AQM46" s="87"/>
      <c r="AQN46" s="87"/>
      <c r="AQO46" s="87"/>
      <c r="AQP46" s="87"/>
      <c r="AQQ46" s="87"/>
      <c r="AQR46" s="87"/>
      <c r="AQS46" s="87"/>
      <c r="AQT46" s="87"/>
      <c r="AQU46" s="87"/>
      <c r="AQV46" s="87"/>
      <c r="AQW46" s="87"/>
      <c r="AQX46" s="87"/>
      <c r="AQY46" s="87"/>
      <c r="AQZ46" s="87"/>
      <c r="ARA46" s="87"/>
      <c r="ARB46" s="87"/>
      <c r="ARC46" s="87"/>
      <c r="ARD46" s="87"/>
      <c r="ARE46" s="87"/>
      <c r="ARF46" s="87"/>
      <c r="ARG46" s="87"/>
      <c r="ARH46" s="87"/>
      <c r="ARI46" s="87"/>
      <c r="ARJ46" s="87"/>
      <c r="ARK46" s="87"/>
      <c r="ARL46" s="87"/>
      <c r="ARM46" s="87"/>
      <c r="ARN46" s="87"/>
      <c r="ARO46" s="87"/>
      <c r="ARP46" s="87"/>
      <c r="ARQ46" s="87"/>
      <c r="ARR46" s="87"/>
      <c r="ARS46" s="87"/>
      <c r="ART46" s="87"/>
      <c r="ARU46" s="87"/>
      <c r="ARV46" s="87"/>
      <c r="ARW46" s="87"/>
      <c r="ARX46" s="87"/>
      <c r="ARY46" s="87"/>
      <c r="ARZ46" s="87"/>
      <c r="ASA46" s="87"/>
      <c r="ASB46" s="87"/>
      <c r="ASC46" s="87"/>
      <c r="ASD46" s="87"/>
      <c r="ASE46" s="87"/>
      <c r="ASF46" s="87"/>
      <c r="ASG46" s="87"/>
      <c r="ASH46" s="87"/>
      <c r="ASI46" s="87"/>
      <c r="ASJ46" s="87"/>
      <c r="ASK46" s="87"/>
      <c r="ASL46" s="87"/>
      <c r="ASM46" s="87"/>
      <c r="ASN46" s="87"/>
      <c r="ASO46" s="87"/>
      <c r="ASP46" s="87"/>
      <c r="ASQ46" s="87"/>
      <c r="ASR46" s="87"/>
      <c r="ASS46" s="87"/>
      <c r="AST46" s="87"/>
      <c r="ASU46" s="87"/>
      <c r="ASV46" s="87"/>
      <c r="ASW46" s="87"/>
      <c r="ASX46" s="87"/>
      <c r="ASY46" s="87"/>
      <c r="ASZ46" s="87"/>
      <c r="ATA46" s="87"/>
      <c r="ATB46" s="87"/>
      <c r="ATC46" s="87"/>
      <c r="ATD46" s="87"/>
      <c r="ATE46" s="87"/>
      <c r="ATF46" s="87"/>
      <c r="ATG46" s="87"/>
      <c r="ATH46" s="87"/>
      <c r="ATI46" s="87"/>
      <c r="ATJ46" s="87"/>
      <c r="ATK46" s="87"/>
      <c r="ATL46" s="87"/>
      <c r="ATM46" s="87"/>
      <c r="ATN46" s="87"/>
      <c r="ATO46" s="87"/>
      <c r="ATP46" s="87"/>
      <c r="ATQ46" s="87"/>
      <c r="ATR46" s="87"/>
      <c r="ATS46" s="87"/>
      <c r="ATT46" s="87"/>
      <c r="ATU46" s="87"/>
      <c r="ATV46" s="87"/>
      <c r="ATW46" s="87"/>
      <c r="ATX46" s="87"/>
      <c r="ATY46" s="87"/>
      <c r="ATZ46" s="87"/>
      <c r="AUA46" s="87"/>
      <c r="AUB46" s="87"/>
      <c r="AUC46" s="87"/>
      <c r="AUD46" s="87"/>
      <c r="AUE46" s="87"/>
      <c r="AUF46" s="87"/>
      <c r="AUG46" s="87"/>
      <c r="AUH46" s="87"/>
      <c r="AUI46" s="87"/>
      <c r="AUJ46" s="87"/>
      <c r="AUK46" s="87"/>
      <c r="AUL46" s="87"/>
      <c r="AUM46" s="87"/>
      <c r="AUN46" s="87"/>
      <c r="AUO46" s="87"/>
      <c r="AUP46" s="87"/>
      <c r="AUQ46" s="87"/>
      <c r="AUR46" s="87"/>
      <c r="AUS46" s="87"/>
      <c r="AUT46" s="87"/>
      <c r="AUU46" s="87"/>
      <c r="AUV46" s="87"/>
      <c r="AUW46" s="87"/>
      <c r="AUX46" s="87"/>
      <c r="AUY46" s="87"/>
      <c r="AUZ46" s="87"/>
      <c r="AVA46" s="87"/>
      <c r="AVB46" s="87"/>
      <c r="AVC46" s="87"/>
      <c r="AVD46" s="87"/>
      <c r="AVE46" s="87"/>
      <c r="AVF46" s="87"/>
      <c r="AVG46" s="87"/>
      <c r="AVH46" s="87"/>
      <c r="AVI46" s="87"/>
      <c r="AVJ46" s="87"/>
      <c r="AVK46" s="87"/>
      <c r="AVL46" s="87"/>
      <c r="AVM46" s="87"/>
      <c r="AVN46" s="87"/>
      <c r="AVO46" s="87"/>
      <c r="AVP46" s="87"/>
      <c r="AVQ46" s="87"/>
      <c r="AVR46" s="87"/>
      <c r="AVS46" s="87"/>
      <c r="AVT46" s="87"/>
      <c r="AVU46" s="87"/>
      <c r="AVV46" s="87"/>
      <c r="AVW46" s="87"/>
      <c r="AVX46" s="87"/>
      <c r="AVY46" s="87"/>
      <c r="AVZ46" s="87"/>
      <c r="AWA46" s="87"/>
      <c r="AWB46" s="87"/>
      <c r="AWC46" s="87"/>
      <c r="AWD46" s="87"/>
      <c r="AWE46" s="87"/>
      <c r="AWF46" s="87"/>
      <c r="AWG46" s="87"/>
      <c r="AWH46" s="87"/>
      <c r="AWI46" s="87"/>
      <c r="AWJ46" s="87"/>
      <c r="AWK46" s="87"/>
      <c r="AWL46" s="87"/>
      <c r="AWM46" s="87"/>
      <c r="AWN46" s="87"/>
      <c r="AWO46" s="87"/>
      <c r="AWP46" s="87"/>
      <c r="AWQ46" s="87"/>
      <c r="AWR46" s="87"/>
      <c r="AWS46" s="87"/>
      <c r="AWT46" s="87"/>
      <c r="AWU46" s="87"/>
      <c r="AWV46" s="87"/>
      <c r="AWW46" s="87"/>
      <c r="AWX46" s="87"/>
      <c r="AWY46" s="87"/>
      <c r="AWZ46" s="87"/>
      <c r="AXA46" s="87"/>
      <c r="AXB46" s="87"/>
      <c r="AXC46" s="87"/>
      <c r="AXD46" s="87"/>
      <c r="AXE46" s="87"/>
      <c r="AXF46" s="87"/>
      <c r="AXG46" s="87"/>
      <c r="AXH46" s="87"/>
      <c r="AXI46" s="87"/>
      <c r="AXJ46" s="87"/>
      <c r="AXK46" s="87"/>
      <c r="AXL46" s="87"/>
      <c r="AXM46" s="87"/>
      <c r="AXN46" s="87"/>
      <c r="AXO46" s="87"/>
      <c r="AXP46" s="87"/>
      <c r="AXQ46" s="87"/>
      <c r="AXR46" s="87"/>
      <c r="AXS46" s="87"/>
      <c r="AXT46" s="87"/>
      <c r="AXU46" s="87"/>
      <c r="AXV46" s="87"/>
      <c r="AXW46" s="87"/>
      <c r="AXX46" s="87"/>
      <c r="AXY46" s="87"/>
      <c r="AXZ46" s="87"/>
      <c r="AYA46" s="87"/>
      <c r="AYB46" s="87"/>
      <c r="AYC46" s="87"/>
      <c r="AYD46" s="87"/>
      <c r="AYE46" s="87"/>
      <c r="AYF46" s="87"/>
      <c r="AYG46" s="87"/>
      <c r="AYH46" s="87"/>
      <c r="AYI46" s="87"/>
      <c r="AYJ46" s="87"/>
      <c r="AYK46" s="87"/>
      <c r="AYL46" s="87"/>
      <c r="AYM46" s="87"/>
      <c r="AYN46" s="87"/>
      <c r="AYO46" s="87"/>
      <c r="AYP46" s="87"/>
      <c r="AYQ46" s="87"/>
      <c r="AYR46" s="87"/>
      <c r="AYS46" s="87"/>
      <c r="AYT46" s="87"/>
      <c r="AYU46" s="87"/>
      <c r="AYV46" s="87"/>
      <c r="AYW46" s="87"/>
      <c r="AYX46" s="87"/>
      <c r="AYY46" s="87"/>
      <c r="AYZ46" s="87"/>
      <c r="AZA46" s="87"/>
      <c r="AZB46" s="87"/>
      <c r="AZC46" s="87"/>
      <c r="AZD46" s="87"/>
      <c r="AZE46" s="87"/>
      <c r="AZF46" s="87"/>
      <c r="AZG46" s="87"/>
      <c r="AZH46" s="87"/>
      <c r="AZI46" s="87"/>
      <c r="AZJ46" s="87"/>
      <c r="AZK46" s="87"/>
      <c r="AZL46" s="87"/>
      <c r="AZM46" s="87"/>
      <c r="AZN46" s="87"/>
      <c r="AZO46" s="87"/>
      <c r="AZP46" s="87"/>
      <c r="AZQ46" s="87"/>
      <c r="AZR46" s="87"/>
      <c r="AZS46" s="87"/>
      <c r="AZT46" s="87"/>
      <c r="AZU46" s="87"/>
      <c r="AZV46" s="87"/>
      <c r="AZW46" s="87"/>
      <c r="AZX46" s="87"/>
      <c r="AZY46" s="87"/>
      <c r="AZZ46" s="87"/>
      <c r="BAA46" s="87"/>
      <c r="BAB46" s="87"/>
      <c r="BAC46" s="87"/>
      <c r="BAD46" s="87"/>
      <c r="BAE46" s="87"/>
      <c r="BAF46" s="87"/>
      <c r="BAG46" s="87"/>
      <c r="BAH46" s="87"/>
      <c r="BAI46" s="87"/>
      <c r="BAJ46" s="87"/>
      <c r="BAK46" s="87"/>
      <c r="BAL46" s="87"/>
      <c r="BAM46" s="87"/>
      <c r="BAN46" s="87"/>
      <c r="BAO46" s="87"/>
      <c r="BAP46" s="87"/>
      <c r="BAQ46" s="87"/>
      <c r="BAR46" s="87"/>
      <c r="BAS46" s="87"/>
      <c r="BAT46" s="87"/>
      <c r="BAU46" s="87"/>
      <c r="BAV46" s="87"/>
      <c r="BAW46" s="87"/>
      <c r="BAX46" s="87"/>
      <c r="BAY46" s="87"/>
      <c r="BAZ46" s="87"/>
      <c r="BBA46" s="87"/>
      <c r="BBB46" s="87"/>
      <c r="BBC46" s="87"/>
      <c r="BBD46" s="87"/>
      <c r="BBE46" s="87"/>
      <c r="BBF46" s="87"/>
      <c r="BBG46" s="87"/>
      <c r="BBH46" s="87"/>
      <c r="BBI46" s="87"/>
      <c r="BBJ46" s="87"/>
      <c r="BBK46" s="87"/>
      <c r="BBL46" s="87"/>
      <c r="BBM46" s="87"/>
      <c r="BBN46" s="87"/>
      <c r="BBO46" s="87"/>
      <c r="BBP46" s="87"/>
      <c r="BBQ46" s="87"/>
      <c r="BBR46" s="87"/>
      <c r="BBS46" s="87"/>
      <c r="BBT46" s="87"/>
      <c r="BBU46" s="87"/>
      <c r="BBV46" s="87"/>
      <c r="BBW46" s="87"/>
      <c r="BBX46" s="87"/>
      <c r="BBY46" s="87"/>
      <c r="BBZ46" s="87"/>
      <c r="BCA46" s="87"/>
      <c r="BCB46" s="87"/>
      <c r="BCC46" s="87"/>
      <c r="BCD46" s="87"/>
      <c r="BCE46" s="87"/>
      <c r="BCF46" s="87"/>
      <c r="BCG46" s="87"/>
      <c r="BCH46" s="87"/>
      <c r="BCI46" s="87"/>
      <c r="BCJ46" s="87"/>
      <c r="BCK46" s="87"/>
      <c r="BCL46" s="87"/>
      <c r="BCM46" s="87"/>
      <c r="BCN46" s="87"/>
      <c r="BCO46" s="87"/>
      <c r="BCP46" s="87"/>
      <c r="BCQ46" s="87"/>
      <c r="BCR46" s="87"/>
      <c r="BCS46" s="87"/>
      <c r="BCT46" s="87"/>
      <c r="BCU46" s="87"/>
      <c r="BCV46" s="87"/>
      <c r="BCW46" s="87"/>
      <c r="BCX46" s="87"/>
      <c r="BCY46" s="87"/>
      <c r="BCZ46" s="87"/>
      <c r="BDA46" s="87"/>
      <c r="BDB46" s="87"/>
      <c r="BDC46" s="87"/>
      <c r="BDD46" s="87"/>
      <c r="BDE46" s="87"/>
      <c r="BDF46" s="87"/>
      <c r="BDG46" s="87"/>
      <c r="BDH46" s="87"/>
      <c r="BDI46" s="87"/>
      <c r="BDJ46" s="87"/>
      <c r="BDK46" s="87"/>
      <c r="BDL46" s="87"/>
      <c r="BDM46" s="87"/>
      <c r="BDN46" s="87"/>
      <c r="BDO46" s="87"/>
      <c r="BDP46" s="87"/>
      <c r="BDQ46" s="87"/>
      <c r="BDR46" s="87"/>
      <c r="BDS46" s="87"/>
      <c r="BDT46" s="87"/>
      <c r="BDU46" s="87"/>
      <c r="BDV46" s="87"/>
      <c r="BDW46" s="87"/>
      <c r="BDX46" s="87"/>
      <c r="BDY46" s="87"/>
      <c r="BDZ46" s="87"/>
      <c r="BEA46" s="87"/>
      <c r="BEB46" s="87"/>
      <c r="BEC46" s="87"/>
      <c r="BED46" s="87"/>
      <c r="BEE46" s="87"/>
      <c r="BEF46" s="87"/>
      <c r="BEG46" s="87"/>
      <c r="BEH46" s="87"/>
      <c r="BEI46" s="87"/>
      <c r="BEJ46" s="87"/>
      <c r="BEK46" s="87"/>
      <c r="BEL46" s="87"/>
      <c r="BEM46" s="87"/>
      <c r="BEN46" s="87"/>
      <c r="BEO46" s="87"/>
      <c r="BEP46" s="87"/>
      <c r="BEQ46" s="87"/>
      <c r="BER46" s="87"/>
      <c r="BES46" s="87"/>
      <c r="BET46" s="87"/>
      <c r="BEU46" s="87"/>
      <c r="BEV46" s="87"/>
      <c r="BEW46" s="87"/>
      <c r="BEX46" s="87"/>
      <c r="BEY46" s="87"/>
      <c r="BEZ46" s="87"/>
      <c r="BFA46" s="87"/>
      <c r="BFB46" s="87"/>
      <c r="BFC46" s="87"/>
      <c r="BFD46" s="87"/>
      <c r="BFE46" s="87"/>
      <c r="BFF46" s="87"/>
      <c r="BFG46" s="87"/>
      <c r="BFH46" s="87"/>
      <c r="BFI46" s="87"/>
      <c r="BFJ46" s="87"/>
      <c r="BFK46" s="87"/>
      <c r="BFL46" s="87"/>
      <c r="BFM46" s="87"/>
      <c r="BFN46" s="87"/>
      <c r="BFO46" s="87"/>
      <c r="BFP46" s="87"/>
      <c r="BFQ46" s="87"/>
      <c r="BFR46" s="87"/>
      <c r="BFS46" s="87"/>
      <c r="BFT46" s="87"/>
      <c r="BFU46" s="87"/>
      <c r="BFV46" s="87"/>
      <c r="BFW46" s="87"/>
      <c r="BFX46" s="87"/>
      <c r="BFY46" s="87"/>
      <c r="BFZ46" s="87"/>
      <c r="BGA46" s="87"/>
      <c r="BGB46" s="87"/>
      <c r="BGC46" s="87"/>
      <c r="BGD46" s="87"/>
      <c r="BGE46" s="87"/>
      <c r="BGF46" s="87"/>
      <c r="BGG46" s="87"/>
      <c r="BGH46" s="87"/>
      <c r="BGI46" s="87"/>
      <c r="BGJ46" s="87"/>
      <c r="BGK46" s="87"/>
      <c r="BGL46" s="87"/>
      <c r="BGM46" s="87"/>
      <c r="BGN46" s="87"/>
      <c r="BGO46" s="87"/>
      <c r="BGP46" s="87"/>
      <c r="BGQ46" s="87"/>
      <c r="BGR46" s="87"/>
      <c r="BGS46" s="87"/>
      <c r="BGT46" s="87"/>
      <c r="BGU46" s="87"/>
      <c r="BGV46" s="87"/>
      <c r="BGW46" s="87"/>
      <c r="BGX46" s="87"/>
      <c r="BGY46" s="87"/>
      <c r="BGZ46" s="87"/>
      <c r="BHA46" s="87"/>
      <c r="BHB46" s="87"/>
      <c r="BHC46" s="87"/>
      <c r="BHD46" s="87"/>
      <c r="BHE46" s="87"/>
      <c r="BHF46" s="87"/>
      <c r="BHG46" s="87"/>
      <c r="BHH46" s="87"/>
      <c r="BHI46" s="87"/>
      <c r="BHJ46" s="87"/>
      <c r="BHK46" s="87"/>
      <c r="BHL46" s="87"/>
      <c r="BHM46" s="87"/>
      <c r="BHN46" s="87"/>
      <c r="BHO46" s="87"/>
      <c r="BHP46" s="87"/>
      <c r="BHQ46" s="87"/>
      <c r="BHR46" s="87"/>
      <c r="BHS46" s="87"/>
      <c r="BHT46" s="87"/>
      <c r="BHU46" s="87"/>
      <c r="BHV46" s="87"/>
      <c r="BHW46" s="87"/>
      <c r="BHX46" s="87"/>
      <c r="BHY46" s="87"/>
      <c r="BHZ46" s="87"/>
      <c r="BIA46" s="87"/>
      <c r="BIB46" s="87"/>
      <c r="BIC46" s="87"/>
      <c r="BID46" s="87"/>
      <c r="BIE46" s="87"/>
      <c r="BIF46" s="87"/>
      <c r="BIG46" s="87"/>
      <c r="BIH46" s="87"/>
      <c r="BII46" s="87"/>
      <c r="BIJ46" s="87"/>
      <c r="BIK46" s="87"/>
      <c r="BIL46" s="87"/>
      <c r="BIM46" s="87"/>
      <c r="BIN46" s="87"/>
      <c r="BIO46" s="87"/>
      <c r="BIP46" s="87"/>
      <c r="BIQ46" s="87"/>
      <c r="BIR46" s="87"/>
      <c r="BIS46" s="87"/>
      <c r="BIT46" s="87"/>
      <c r="BIU46" s="87"/>
      <c r="BIV46" s="87"/>
      <c r="BIW46" s="87"/>
      <c r="BIX46" s="87"/>
      <c r="BIY46" s="87"/>
      <c r="BIZ46" s="87"/>
      <c r="BJA46" s="87"/>
      <c r="BJB46" s="87"/>
      <c r="BJC46" s="87"/>
      <c r="BJD46" s="87"/>
      <c r="BJE46" s="87"/>
      <c r="BJF46" s="87"/>
      <c r="BJG46" s="87"/>
      <c r="BJH46" s="87"/>
      <c r="BJI46" s="87"/>
      <c r="BJJ46" s="87"/>
      <c r="BJK46" s="87"/>
      <c r="BJL46" s="87"/>
      <c r="BJM46" s="87"/>
      <c r="BJN46" s="87"/>
      <c r="BJO46" s="87"/>
      <c r="BJP46" s="87"/>
      <c r="BJQ46" s="87"/>
      <c r="BJR46" s="87"/>
      <c r="BJS46" s="87"/>
      <c r="BJT46" s="87"/>
      <c r="BJU46" s="87"/>
      <c r="BJV46" s="87"/>
      <c r="BJW46" s="87"/>
      <c r="BJX46" s="87"/>
      <c r="BJY46" s="87"/>
      <c r="BJZ46" s="87"/>
      <c r="BKA46" s="87"/>
      <c r="BKB46" s="87"/>
      <c r="BKC46" s="87"/>
      <c r="BKD46" s="87"/>
      <c r="BKE46" s="87"/>
      <c r="BKF46" s="87"/>
      <c r="BKG46" s="87"/>
      <c r="BKH46" s="87"/>
      <c r="BKI46" s="87"/>
      <c r="BKJ46" s="87"/>
      <c r="BKK46" s="87"/>
      <c r="BKL46" s="87"/>
      <c r="BKM46" s="87"/>
      <c r="BKN46" s="87"/>
      <c r="BKO46" s="87"/>
      <c r="BKP46" s="87"/>
      <c r="BKQ46" s="87"/>
      <c r="BKR46" s="87"/>
      <c r="BKS46" s="87"/>
      <c r="BKT46" s="87"/>
      <c r="BKU46" s="87"/>
      <c r="BKV46" s="87"/>
      <c r="BKW46" s="87"/>
      <c r="BKX46" s="87"/>
      <c r="BKY46" s="87"/>
      <c r="BKZ46" s="87"/>
      <c r="BLA46" s="87"/>
      <c r="BLB46" s="87"/>
      <c r="BLC46" s="87"/>
      <c r="BLD46" s="87"/>
      <c r="BLE46" s="87"/>
      <c r="BLF46" s="87"/>
      <c r="BLG46" s="87"/>
      <c r="BLH46" s="87"/>
      <c r="BLI46" s="87"/>
      <c r="BLJ46" s="87"/>
      <c r="BLK46" s="87"/>
      <c r="BLL46" s="87"/>
      <c r="BLM46" s="87"/>
      <c r="BLN46" s="87"/>
      <c r="BLO46" s="87"/>
      <c r="BLP46" s="87"/>
      <c r="BLQ46" s="87"/>
      <c r="BLR46" s="87"/>
      <c r="BLS46" s="87"/>
      <c r="BLT46" s="87"/>
      <c r="BLU46" s="87"/>
      <c r="BLV46" s="87"/>
      <c r="BLW46" s="87"/>
      <c r="BLX46" s="87"/>
      <c r="BLY46" s="87"/>
      <c r="BLZ46" s="87"/>
      <c r="BMA46" s="87"/>
      <c r="BMB46" s="87"/>
      <c r="BMC46" s="87"/>
      <c r="BMD46" s="87"/>
      <c r="BME46" s="87"/>
      <c r="BMF46" s="87"/>
      <c r="BMG46" s="87"/>
      <c r="BMH46" s="87"/>
      <c r="BMI46" s="87"/>
      <c r="BMJ46" s="87"/>
      <c r="BMK46" s="87"/>
      <c r="BML46" s="87"/>
      <c r="BMM46" s="87"/>
      <c r="BMN46" s="87"/>
      <c r="BMO46" s="87"/>
      <c r="BMP46" s="87"/>
      <c r="BMQ46" s="87"/>
      <c r="BMR46" s="87"/>
      <c r="BMS46" s="87"/>
      <c r="BMT46" s="87"/>
      <c r="BMU46" s="87"/>
      <c r="BMV46" s="87"/>
      <c r="BMW46" s="87"/>
      <c r="BMX46" s="87"/>
      <c r="BMY46" s="87"/>
      <c r="BMZ46" s="87"/>
      <c r="BNA46" s="87"/>
      <c r="BNB46" s="87"/>
      <c r="BNC46" s="87"/>
      <c r="BND46" s="87"/>
      <c r="BNE46" s="87"/>
      <c r="BNF46" s="87"/>
      <c r="BNG46" s="87"/>
      <c r="BNH46" s="87"/>
      <c r="BNI46" s="87"/>
      <c r="BNJ46" s="87"/>
      <c r="BNK46" s="87"/>
      <c r="BNL46" s="87"/>
      <c r="BNM46" s="87"/>
      <c r="BNN46" s="87"/>
      <c r="BNO46" s="87"/>
      <c r="BNP46" s="87"/>
      <c r="BNQ46" s="87"/>
      <c r="BNR46" s="87"/>
      <c r="BNS46" s="87"/>
      <c r="BNT46" s="87"/>
      <c r="BNU46" s="87"/>
      <c r="BNV46" s="87"/>
      <c r="BNW46" s="87"/>
      <c r="BNX46" s="87"/>
      <c r="BNY46" s="87"/>
      <c r="BNZ46" s="87"/>
      <c r="BOA46" s="87"/>
      <c r="BOB46" s="87"/>
      <c r="BOC46" s="87"/>
      <c r="BOD46" s="87"/>
      <c r="BOE46" s="87"/>
      <c r="BOF46" s="87"/>
      <c r="BOG46" s="87"/>
      <c r="BOH46" s="87"/>
      <c r="BOI46" s="87"/>
      <c r="BOJ46" s="87"/>
      <c r="BOK46" s="87"/>
      <c r="BOL46" s="87"/>
      <c r="BOM46" s="87"/>
      <c r="BON46" s="87"/>
      <c r="BOO46" s="87"/>
      <c r="BOP46" s="87"/>
      <c r="BOQ46" s="87"/>
      <c r="BOR46" s="87"/>
      <c r="BOS46" s="87"/>
      <c r="BOT46" s="87"/>
      <c r="BOU46" s="87"/>
      <c r="BOV46" s="87"/>
      <c r="BOW46" s="87"/>
      <c r="BOX46" s="87"/>
      <c r="BOY46" s="87"/>
      <c r="BOZ46" s="87"/>
      <c r="BPA46" s="87"/>
      <c r="BPB46" s="87"/>
      <c r="BPC46" s="87"/>
      <c r="BPD46" s="87"/>
      <c r="BPE46" s="87"/>
      <c r="BPF46" s="87"/>
      <c r="BPG46" s="87"/>
      <c r="BPH46" s="87"/>
      <c r="BPI46" s="87"/>
      <c r="BPJ46" s="87"/>
      <c r="BPK46" s="87"/>
      <c r="BPL46" s="87"/>
      <c r="BPM46" s="87"/>
      <c r="BPN46" s="87"/>
      <c r="BPO46" s="87"/>
      <c r="BPP46" s="87"/>
      <c r="BPQ46" s="87"/>
      <c r="BPR46" s="87"/>
      <c r="BPS46" s="87"/>
      <c r="BPT46" s="87"/>
      <c r="BPU46" s="87"/>
      <c r="BPV46" s="87"/>
      <c r="BPW46" s="87"/>
      <c r="BPX46" s="87"/>
      <c r="BPY46" s="87"/>
      <c r="BPZ46" s="87"/>
      <c r="BQA46" s="87"/>
      <c r="BQB46" s="87"/>
      <c r="BQC46" s="87"/>
      <c r="BQD46" s="87"/>
      <c r="BQE46" s="87"/>
      <c r="BQF46" s="87"/>
      <c r="BQG46" s="87"/>
      <c r="BQH46" s="87"/>
      <c r="BQI46" s="87"/>
      <c r="BQJ46" s="87"/>
      <c r="BQK46" s="87"/>
      <c r="BQL46" s="87"/>
      <c r="BQM46" s="87"/>
      <c r="BQN46" s="87"/>
      <c r="BQO46" s="87"/>
      <c r="BQP46" s="87"/>
      <c r="BQQ46" s="87"/>
      <c r="BQR46" s="87"/>
      <c r="BQS46" s="87"/>
      <c r="BQT46" s="87"/>
      <c r="BQU46" s="87"/>
      <c r="BQV46" s="87"/>
      <c r="BQW46" s="87"/>
      <c r="BQX46" s="87"/>
      <c r="BQY46" s="87"/>
      <c r="BQZ46" s="87"/>
      <c r="BRA46" s="87"/>
      <c r="BRB46" s="87"/>
      <c r="BRC46" s="87"/>
      <c r="BRD46" s="87"/>
      <c r="BRE46" s="87"/>
      <c r="BRF46" s="87"/>
      <c r="BRG46" s="87"/>
      <c r="BRH46" s="87"/>
      <c r="BRI46" s="87"/>
      <c r="BRJ46" s="87"/>
      <c r="BRK46" s="87"/>
      <c r="BRL46" s="87"/>
      <c r="BRM46" s="87"/>
      <c r="BRN46" s="87"/>
      <c r="BRO46" s="87"/>
      <c r="BRP46" s="87"/>
      <c r="BRQ46" s="87"/>
      <c r="BRR46" s="87"/>
      <c r="BRS46" s="87"/>
      <c r="BRT46" s="87"/>
      <c r="BRU46" s="87"/>
      <c r="BRV46" s="87"/>
      <c r="BRW46" s="87"/>
      <c r="BRX46" s="87"/>
      <c r="BRY46" s="87"/>
      <c r="BRZ46" s="87"/>
      <c r="BSA46" s="87"/>
      <c r="BSB46" s="87"/>
      <c r="BSC46" s="87"/>
      <c r="BSD46" s="87"/>
      <c r="BSE46" s="87"/>
      <c r="BSF46" s="87"/>
      <c r="BSG46" s="87"/>
      <c r="BSH46" s="87"/>
      <c r="BSI46" s="87"/>
      <c r="BSJ46" s="87"/>
      <c r="BSK46" s="87"/>
      <c r="BSL46" s="87"/>
      <c r="BSM46" s="87"/>
      <c r="BSN46" s="87"/>
      <c r="BSO46" s="87"/>
      <c r="BSP46" s="87"/>
      <c r="BSQ46" s="87"/>
      <c r="BSR46" s="87"/>
      <c r="BSS46" s="87"/>
      <c r="BST46" s="87"/>
      <c r="BSU46" s="87"/>
      <c r="BSV46" s="87"/>
      <c r="BSW46" s="87"/>
      <c r="BSX46" s="87"/>
      <c r="BSY46" s="87"/>
      <c r="BSZ46" s="87"/>
      <c r="BTA46" s="87"/>
      <c r="BTB46" s="87"/>
      <c r="BTC46" s="87"/>
      <c r="BTD46" s="87"/>
      <c r="BTE46" s="87"/>
      <c r="BTF46" s="87"/>
      <c r="BTG46" s="87"/>
      <c r="BTH46" s="87"/>
      <c r="BTI46" s="87"/>
      <c r="BTJ46" s="87"/>
      <c r="BTK46" s="87"/>
      <c r="BTL46" s="87"/>
      <c r="BTM46" s="87"/>
      <c r="BTN46" s="87"/>
      <c r="BTO46" s="87"/>
      <c r="BTP46" s="87"/>
      <c r="BTQ46" s="87"/>
      <c r="BTR46" s="87"/>
      <c r="BTS46" s="87"/>
      <c r="BTT46" s="87"/>
      <c r="BTU46" s="87"/>
      <c r="BTV46" s="87"/>
      <c r="BTW46" s="87"/>
      <c r="BTX46" s="87"/>
      <c r="BTY46" s="87"/>
      <c r="BTZ46" s="87"/>
      <c r="BUA46" s="87"/>
      <c r="BUB46" s="87"/>
      <c r="BUC46" s="87"/>
      <c r="BUD46" s="87"/>
      <c r="BUE46" s="87"/>
      <c r="BUF46" s="87"/>
      <c r="BUG46" s="87"/>
      <c r="BUH46" s="87"/>
      <c r="BUI46" s="87"/>
      <c r="BUJ46" s="87"/>
      <c r="BUK46" s="87"/>
      <c r="BUL46" s="87"/>
      <c r="BUM46" s="87"/>
      <c r="BUN46" s="87"/>
      <c r="BUO46" s="87"/>
      <c r="BUP46" s="87"/>
      <c r="BUQ46" s="87"/>
      <c r="BUR46" s="87"/>
      <c r="BUS46" s="87"/>
      <c r="BUT46" s="87"/>
      <c r="BUU46" s="87"/>
      <c r="BUV46" s="87"/>
      <c r="BUW46" s="87"/>
      <c r="BUX46" s="87"/>
      <c r="BUY46" s="87"/>
      <c r="BUZ46" s="87"/>
      <c r="BVA46" s="87"/>
      <c r="BVB46" s="87"/>
      <c r="BVC46" s="87"/>
      <c r="BVD46" s="87"/>
      <c r="BVE46" s="87"/>
      <c r="BVF46" s="87"/>
      <c r="BVG46" s="87"/>
      <c r="BVH46" s="87"/>
      <c r="BVI46" s="87"/>
      <c r="BVJ46" s="87"/>
      <c r="BVK46" s="87"/>
      <c r="BVL46" s="87"/>
      <c r="BVM46" s="87"/>
      <c r="BVN46" s="87"/>
      <c r="BVO46" s="87"/>
      <c r="BVP46" s="87"/>
      <c r="BVQ46" s="87"/>
      <c r="BVR46" s="87"/>
      <c r="BVS46" s="87"/>
      <c r="BVT46" s="87"/>
      <c r="BVU46" s="87"/>
      <c r="BVV46" s="87"/>
      <c r="BVW46" s="87"/>
      <c r="BVX46" s="87"/>
      <c r="BVY46" s="87"/>
      <c r="BVZ46" s="87"/>
      <c r="BWA46" s="87"/>
      <c r="BWB46" s="87"/>
      <c r="BWC46" s="87"/>
      <c r="BWD46" s="87"/>
      <c r="BWE46" s="87"/>
      <c r="BWF46" s="87"/>
      <c r="BWG46" s="87"/>
      <c r="BWH46" s="87"/>
      <c r="BWI46" s="87"/>
      <c r="BWJ46" s="87"/>
      <c r="BWK46" s="87"/>
      <c r="BWL46" s="87"/>
      <c r="BWM46" s="87"/>
      <c r="BWN46" s="87"/>
      <c r="BWO46" s="87"/>
      <c r="BWP46" s="87"/>
      <c r="BWQ46" s="87"/>
      <c r="BWR46" s="87"/>
      <c r="BWS46" s="87"/>
      <c r="BWT46" s="87"/>
      <c r="BWU46" s="87"/>
      <c r="BWV46" s="87"/>
      <c r="BWW46" s="87"/>
      <c r="BWX46" s="87"/>
      <c r="BWY46" s="87"/>
      <c r="BWZ46" s="87"/>
      <c r="BXA46" s="87"/>
      <c r="BXB46" s="87"/>
      <c r="BXC46" s="87"/>
      <c r="BXD46" s="87"/>
      <c r="BXE46" s="87"/>
      <c r="BXF46" s="87"/>
      <c r="BXG46" s="87"/>
      <c r="BXH46" s="87"/>
      <c r="BXI46" s="87"/>
      <c r="BXJ46" s="87"/>
      <c r="BXK46" s="87"/>
      <c r="BXL46" s="87"/>
      <c r="BXM46" s="87"/>
      <c r="BXN46" s="87"/>
      <c r="BXO46" s="87"/>
      <c r="BXP46" s="87"/>
      <c r="BXQ46" s="87"/>
      <c r="BXR46" s="87"/>
      <c r="BXS46" s="87"/>
      <c r="BXT46" s="87"/>
      <c r="BXU46" s="87"/>
      <c r="BXV46" s="87"/>
      <c r="BXW46" s="87"/>
      <c r="BXX46" s="87"/>
      <c r="BXY46" s="87"/>
      <c r="BXZ46" s="87"/>
      <c r="BYA46" s="87"/>
      <c r="BYB46" s="87"/>
      <c r="BYC46" s="87"/>
      <c r="BYD46" s="87"/>
      <c r="BYE46" s="87"/>
      <c r="BYF46" s="87"/>
      <c r="BYG46" s="87"/>
      <c r="BYH46" s="87"/>
      <c r="BYI46" s="87"/>
      <c r="BYJ46" s="87"/>
      <c r="BYK46" s="87"/>
      <c r="BYL46" s="87"/>
      <c r="BYM46" s="87"/>
      <c r="BYN46" s="87"/>
      <c r="BYO46" s="87"/>
      <c r="BYP46" s="87"/>
      <c r="BYQ46" s="87"/>
      <c r="BYR46" s="87"/>
      <c r="BYS46" s="87"/>
      <c r="BYT46" s="87"/>
      <c r="BYU46" s="87"/>
      <c r="BYV46" s="87"/>
      <c r="BYW46" s="87"/>
      <c r="BYX46" s="87"/>
      <c r="BYY46" s="87"/>
      <c r="BYZ46" s="87"/>
      <c r="BZA46" s="87"/>
      <c r="BZB46" s="87"/>
      <c r="BZC46" s="87"/>
      <c r="BZD46" s="87"/>
      <c r="BZE46" s="87"/>
      <c r="BZF46" s="87"/>
      <c r="BZG46" s="87"/>
      <c r="BZH46" s="87"/>
      <c r="BZI46" s="87"/>
      <c r="BZJ46" s="87"/>
      <c r="BZK46" s="87"/>
      <c r="BZL46" s="87"/>
      <c r="BZM46" s="87"/>
      <c r="BZN46" s="87"/>
      <c r="BZO46" s="87"/>
      <c r="BZP46" s="87"/>
      <c r="BZQ46" s="87"/>
      <c r="BZR46" s="87"/>
      <c r="BZS46" s="87"/>
      <c r="BZT46" s="87"/>
      <c r="BZU46" s="87"/>
      <c r="BZV46" s="87"/>
      <c r="BZW46" s="87"/>
      <c r="BZX46" s="87"/>
      <c r="BZY46" s="87"/>
      <c r="BZZ46" s="87"/>
      <c r="CAA46" s="87"/>
      <c r="CAB46" s="87"/>
      <c r="CAC46" s="87"/>
      <c r="CAD46" s="87"/>
      <c r="CAE46" s="87"/>
      <c r="CAF46" s="87"/>
      <c r="CAG46" s="87"/>
      <c r="CAH46" s="87"/>
      <c r="CAI46" s="87"/>
      <c r="CAJ46" s="87"/>
      <c r="CAK46" s="87"/>
      <c r="CAL46" s="87"/>
      <c r="CAM46" s="87"/>
      <c r="CAN46" s="87"/>
      <c r="CAO46" s="87"/>
      <c r="CAP46" s="87"/>
      <c r="CAQ46" s="87"/>
      <c r="CAR46" s="87"/>
      <c r="CAS46" s="87"/>
      <c r="CAT46" s="87"/>
      <c r="CAU46" s="87"/>
      <c r="CAV46" s="87"/>
      <c r="CAW46" s="87"/>
      <c r="CAX46" s="87"/>
      <c r="CAY46" s="87"/>
      <c r="CAZ46" s="87"/>
      <c r="CBA46" s="87"/>
      <c r="CBB46" s="87"/>
      <c r="CBC46" s="87"/>
      <c r="CBD46" s="87"/>
      <c r="CBE46" s="87"/>
      <c r="CBF46" s="87"/>
      <c r="CBG46" s="87"/>
      <c r="CBH46" s="87"/>
      <c r="CBI46" s="87"/>
      <c r="CBJ46" s="87"/>
      <c r="CBK46" s="87"/>
      <c r="CBL46" s="87"/>
      <c r="CBM46" s="87"/>
      <c r="CBN46" s="87"/>
      <c r="CBO46" s="87"/>
      <c r="CBP46" s="87"/>
      <c r="CBQ46" s="87"/>
      <c r="CBR46" s="87"/>
      <c r="CBS46" s="87"/>
      <c r="CBT46" s="87"/>
      <c r="CBU46" s="87"/>
      <c r="CBV46" s="87"/>
      <c r="CBW46" s="87"/>
      <c r="CBX46" s="87"/>
      <c r="CBY46" s="87"/>
      <c r="CBZ46" s="87"/>
      <c r="CCA46" s="87"/>
      <c r="CCB46" s="87"/>
      <c r="CCC46" s="87"/>
      <c r="CCD46" s="87"/>
      <c r="CCE46" s="87"/>
      <c r="CCF46" s="87"/>
      <c r="CCG46" s="87"/>
      <c r="CCH46" s="87"/>
      <c r="CCI46" s="87"/>
      <c r="CCJ46" s="87"/>
      <c r="CCK46" s="87"/>
      <c r="CCL46" s="87"/>
      <c r="CCM46" s="87"/>
      <c r="CCN46" s="87"/>
      <c r="CCO46" s="87"/>
      <c r="CCP46" s="87"/>
      <c r="CCQ46" s="87"/>
      <c r="CCR46" s="87"/>
      <c r="CCS46" s="87"/>
      <c r="CCT46" s="87"/>
      <c r="CCU46" s="87"/>
      <c r="CCV46" s="87"/>
      <c r="CCW46" s="87"/>
      <c r="CCX46" s="87"/>
      <c r="CCY46" s="87"/>
      <c r="CCZ46" s="87"/>
      <c r="CDA46" s="87"/>
      <c r="CDB46" s="87"/>
      <c r="CDC46" s="87"/>
      <c r="CDD46" s="87"/>
      <c r="CDE46" s="87"/>
      <c r="CDF46" s="87"/>
      <c r="CDG46" s="87"/>
      <c r="CDH46" s="87"/>
      <c r="CDI46" s="87"/>
      <c r="CDJ46" s="87"/>
      <c r="CDK46" s="87"/>
      <c r="CDL46" s="87"/>
      <c r="CDM46" s="87"/>
      <c r="CDN46" s="87"/>
      <c r="CDO46" s="87"/>
      <c r="CDP46" s="87"/>
      <c r="CDQ46" s="87"/>
      <c r="CDR46" s="87"/>
      <c r="CDS46" s="87"/>
      <c r="CDT46" s="87"/>
      <c r="CDU46" s="87"/>
      <c r="CDV46" s="87"/>
      <c r="CDW46" s="87"/>
      <c r="CDX46" s="87"/>
      <c r="CDY46" s="87"/>
      <c r="CDZ46" s="87"/>
      <c r="CEA46" s="87"/>
      <c r="CEB46" s="87"/>
      <c r="CEC46" s="87"/>
      <c r="CED46" s="87"/>
      <c r="CEE46" s="87"/>
      <c r="CEF46" s="87"/>
      <c r="CEG46" s="87"/>
      <c r="CEH46" s="87"/>
      <c r="CEI46" s="87"/>
      <c r="CEJ46" s="87"/>
      <c r="CEK46" s="87"/>
      <c r="CEL46" s="87"/>
      <c r="CEM46" s="87"/>
      <c r="CEN46" s="87"/>
      <c r="CEO46" s="87"/>
      <c r="CEP46" s="87"/>
      <c r="CEQ46" s="87"/>
      <c r="CER46" s="87"/>
      <c r="CES46" s="87"/>
      <c r="CET46" s="87"/>
      <c r="CEU46" s="87"/>
      <c r="CEV46" s="87"/>
      <c r="CEW46" s="87"/>
      <c r="CEX46" s="87"/>
      <c r="CEY46" s="87"/>
      <c r="CEZ46" s="87"/>
      <c r="CFA46" s="87"/>
      <c r="CFB46" s="87"/>
      <c r="CFC46" s="87"/>
      <c r="CFD46" s="87"/>
      <c r="CFE46" s="87"/>
      <c r="CFF46" s="87"/>
      <c r="CFG46" s="87"/>
      <c r="CFH46" s="87"/>
      <c r="CFI46" s="87"/>
      <c r="CFJ46" s="87"/>
      <c r="CFK46" s="87"/>
      <c r="CFL46" s="87"/>
      <c r="CFM46" s="87"/>
      <c r="CFN46" s="87"/>
      <c r="CFO46" s="87"/>
      <c r="CFP46" s="87"/>
      <c r="CFQ46" s="87"/>
      <c r="CFR46" s="87"/>
      <c r="CFS46" s="87"/>
      <c r="CFT46" s="87"/>
      <c r="CFU46" s="87"/>
      <c r="CFV46" s="87"/>
      <c r="CFW46" s="87"/>
      <c r="CFX46" s="87"/>
      <c r="CFY46" s="87"/>
      <c r="CFZ46" s="87"/>
      <c r="CGA46" s="87"/>
      <c r="CGB46" s="87"/>
      <c r="CGC46" s="87"/>
      <c r="CGD46" s="87"/>
      <c r="CGE46" s="87"/>
      <c r="CGF46" s="87"/>
      <c r="CGG46" s="87"/>
      <c r="CGH46" s="87"/>
      <c r="CGI46" s="87"/>
      <c r="CGJ46" s="87"/>
      <c r="CGK46" s="87"/>
      <c r="CGL46" s="87"/>
      <c r="CGM46" s="87"/>
      <c r="CGN46" s="87"/>
      <c r="CGO46" s="87"/>
      <c r="CGP46" s="87"/>
      <c r="CGQ46" s="87"/>
      <c r="CGR46" s="87"/>
      <c r="CGS46" s="87"/>
      <c r="CGT46" s="87"/>
      <c r="CGU46" s="87"/>
      <c r="CGV46" s="87"/>
      <c r="CGW46" s="87"/>
      <c r="CGX46" s="87"/>
      <c r="CGY46" s="87"/>
      <c r="CGZ46" s="87"/>
      <c r="CHA46" s="87"/>
      <c r="CHB46" s="87"/>
      <c r="CHC46" s="87"/>
      <c r="CHD46" s="87"/>
      <c r="CHE46" s="87"/>
      <c r="CHF46" s="87"/>
      <c r="CHG46" s="87"/>
      <c r="CHH46" s="87"/>
      <c r="CHI46" s="87"/>
      <c r="CHJ46" s="87"/>
      <c r="CHK46" s="87"/>
      <c r="CHL46" s="87"/>
      <c r="CHM46" s="87"/>
      <c r="CHN46" s="87"/>
      <c r="CHO46" s="87"/>
      <c r="CHP46" s="87"/>
      <c r="CHQ46" s="87"/>
      <c r="CHR46" s="87"/>
      <c r="CHS46" s="87"/>
      <c r="CHT46" s="87"/>
      <c r="CHU46" s="87"/>
      <c r="CHV46" s="87"/>
      <c r="CHW46" s="87"/>
      <c r="CHX46" s="87"/>
      <c r="CHY46" s="87"/>
      <c r="CHZ46" s="87"/>
      <c r="CIA46" s="87"/>
      <c r="CIB46" s="87"/>
      <c r="CIC46" s="87"/>
      <c r="CID46" s="87"/>
      <c r="CIE46" s="87"/>
      <c r="CIF46" s="87"/>
      <c r="CIG46" s="87"/>
      <c r="CIH46" s="87"/>
      <c r="CII46" s="87"/>
      <c r="CIJ46" s="87"/>
      <c r="CIK46" s="87"/>
      <c r="CIL46" s="87"/>
      <c r="CIM46" s="87"/>
      <c r="CIN46" s="87"/>
      <c r="CIO46" s="87"/>
      <c r="CIP46" s="87"/>
      <c r="CIQ46" s="87"/>
      <c r="CIR46" s="87"/>
      <c r="CIS46" s="87"/>
      <c r="CIT46" s="87"/>
      <c r="CIU46" s="87"/>
      <c r="CIV46" s="87"/>
      <c r="CIW46" s="87"/>
      <c r="CIX46" s="87"/>
      <c r="CIY46" s="87"/>
      <c r="CIZ46" s="87"/>
      <c r="CJA46" s="87"/>
      <c r="CJB46" s="87"/>
      <c r="CJC46" s="87"/>
      <c r="CJD46" s="87"/>
      <c r="CJE46" s="87"/>
      <c r="CJF46" s="87"/>
      <c r="CJG46" s="87"/>
      <c r="CJH46" s="87"/>
      <c r="CJI46" s="87"/>
      <c r="CJJ46" s="87"/>
      <c r="CJK46" s="87"/>
      <c r="CJL46" s="87"/>
      <c r="CJM46" s="87"/>
      <c r="CJN46" s="87"/>
      <c r="CJO46" s="87"/>
      <c r="CJP46" s="87"/>
      <c r="CJQ46" s="87"/>
      <c r="CJR46" s="87"/>
      <c r="CJS46" s="87"/>
      <c r="CJT46" s="87"/>
      <c r="CJU46" s="87"/>
      <c r="CJV46" s="87"/>
      <c r="CJW46" s="87"/>
      <c r="CJX46" s="87"/>
      <c r="CJY46" s="87"/>
      <c r="CJZ46" s="87"/>
      <c r="CKA46" s="87"/>
      <c r="CKB46" s="87"/>
      <c r="CKC46" s="87"/>
      <c r="CKD46" s="87"/>
      <c r="CKE46" s="87"/>
      <c r="CKF46" s="87"/>
      <c r="CKG46" s="87"/>
      <c r="CKH46" s="87"/>
      <c r="CKI46" s="87"/>
      <c r="CKJ46" s="87"/>
      <c r="CKK46" s="87"/>
      <c r="CKL46" s="87"/>
      <c r="CKM46" s="87"/>
      <c r="CKN46" s="87"/>
      <c r="CKO46" s="87"/>
      <c r="CKP46" s="87"/>
      <c r="CKQ46" s="87"/>
      <c r="CKR46" s="87"/>
      <c r="CKS46" s="87"/>
      <c r="CKT46" s="87"/>
      <c r="CKU46" s="87"/>
      <c r="CKV46" s="87"/>
      <c r="CKW46" s="87"/>
      <c r="CKX46" s="87"/>
      <c r="CKY46" s="87"/>
      <c r="CKZ46" s="87"/>
      <c r="CLA46" s="87"/>
      <c r="CLB46" s="87"/>
      <c r="CLC46" s="87"/>
      <c r="CLD46" s="87"/>
      <c r="CLE46" s="87"/>
      <c r="CLF46" s="87"/>
      <c r="CLG46" s="87"/>
      <c r="CLH46" s="87"/>
      <c r="CLI46" s="87"/>
      <c r="CLJ46" s="87"/>
      <c r="CLK46" s="87"/>
      <c r="CLL46" s="87"/>
      <c r="CLM46" s="87"/>
      <c r="CLN46" s="87"/>
      <c r="CLO46" s="87"/>
      <c r="CLP46" s="87"/>
      <c r="CLQ46" s="87"/>
      <c r="CLR46" s="87"/>
      <c r="CLS46" s="87"/>
      <c r="CLT46" s="87"/>
      <c r="CLU46" s="87"/>
      <c r="CLV46" s="87"/>
      <c r="CLW46" s="87"/>
      <c r="CLX46" s="87"/>
      <c r="CLY46" s="87"/>
      <c r="CLZ46" s="87"/>
      <c r="CMA46" s="87"/>
      <c r="CMB46" s="87"/>
      <c r="CMC46" s="87"/>
      <c r="CMD46" s="87"/>
      <c r="CME46" s="87"/>
      <c r="CMF46" s="87"/>
      <c r="CMG46" s="87"/>
      <c r="CMH46" s="87"/>
      <c r="CMI46" s="87"/>
      <c r="CMJ46" s="87"/>
      <c r="CMK46" s="87"/>
      <c r="CML46" s="87"/>
      <c r="CMM46" s="87"/>
      <c r="CMN46" s="87"/>
      <c r="CMO46" s="87"/>
      <c r="CMP46" s="87"/>
      <c r="CMQ46" s="87"/>
      <c r="CMR46" s="87"/>
      <c r="CMS46" s="87"/>
      <c r="CMT46" s="87"/>
      <c r="CMU46" s="87"/>
      <c r="CMV46" s="87"/>
      <c r="CMW46" s="87"/>
      <c r="CMX46" s="87"/>
      <c r="CMY46" s="87"/>
      <c r="CMZ46" s="87"/>
      <c r="CNA46" s="87"/>
      <c r="CNB46" s="87"/>
      <c r="CNC46" s="87"/>
      <c r="CND46" s="87"/>
      <c r="CNE46" s="87"/>
      <c r="CNF46" s="87"/>
      <c r="CNG46" s="87"/>
      <c r="CNH46" s="87"/>
      <c r="CNI46" s="87"/>
      <c r="CNJ46" s="87"/>
      <c r="CNK46" s="87"/>
      <c r="CNL46" s="87"/>
      <c r="CNM46" s="87"/>
      <c r="CNN46" s="87"/>
      <c r="CNO46" s="87"/>
      <c r="CNP46" s="87"/>
      <c r="CNQ46" s="87"/>
      <c r="CNR46" s="87"/>
      <c r="CNS46" s="87"/>
      <c r="CNT46" s="87"/>
      <c r="CNU46" s="87"/>
      <c r="CNV46" s="87"/>
      <c r="CNW46" s="87"/>
      <c r="CNX46" s="87"/>
      <c r="CNY46" s="87"/>
      <c r="CNZ46" s="87"/>
      <c r="COA46" s="87"/>
      <c r="COB46" s="87"/>
      <c r="COC46" s="87"/>
      <c r="COD46" s="87"/>
      <c r="COE46" s="87"/>
      <c r="COF46" s="87"/>
      <c r="COG46" s="87"/>
      <c r="COH46" s="87"/>
      <c r="COI46" s="87"/>
      <c r="COJ46" s="87"/>
      <c r="COK46" s="87"/>
      <c r="COL46" s="87"/>
      <c r="COM46" s="87"/>
      <c r="CON46" s="87"/>
      <c r="COO46" s="87"/>
      <c r="COP46" s="87"/>
      <c r="COQ46" s="87"/>
      <c r="COR46" s="87"/>
      <c r="COS46" s="87"/>
      <c r="COT46" s="87"/>
      <c r="COU46" s="87"/>
      <c r="COV46" s="87"/>
      <c r="COW46" s="87"/>
      <c r="COX46" s="87"/>
      <c r="COY46" s="87"/>
      <c r="COZ46" s="87"/>
      <c r="CPA46" s="87"/>
      <c r="CPB46" s="87"/>
      <c r="CPC46" s="87"/>
      <c r="CPD46" s="87"/>
      <c r="CPE46" s="87"/>
      <c r="CPF46" s="87"/>
      <c r="CPG46" s="87"/>
      <c r="CPH46" s="87"/>
      <c r="CPI46" s="87"/>
      <c r="CPJ46" s="87"/>
      <c r="CPK46" s="87"/>
      <c r="CPL46" s="87"/>
      <c r="CPM46" s="87"/>
      <c r="CPN46" s="87"/>
      <c r="CPO46" s="87"/>
      <c r="CPP46" s="87"/>
      <c r="CPQ46" s="87"/>
      <c r="CPR46" s="87"/>
      <c r="CPS46" s="87"/>
      <c r="CPT46" s="87"/>
      <c r="CPU46" s="87"/>
      <c r="CPV46" s="87"/>
      <c r="CPW46" s="87"/>
      <c r="CPX46" s="87"/>
      <c r="CPY46" s="87"/>
      <c r="CPZ46" s="87"/>
      <c r="CQA46" s="87"/>
      <c r="CQB46" s="87"/>
      <c r="CQC46" s="87"/>
      <c r="CQD46" s="87"/>
      <c r="CQE46" s="87"/>
      <c r="CQF46" s="87"/>
      <c r="CQG46" s="87"/>
      <c r="CQH46" s="87"/>
      <c r="CQI46" s="87"/>
      <c r="CQJ46" s="87"/>
      <c r="CQK46" s="87"/>
      <c r="CQL46" s="87"/>
      <c r="CQM46" s="87"/>
      <c r="CQN46" s="87"/>
      <c r="CQO46" s="87"/>
      <c r="CQP46" s="87"/>
      <c r="CQQ46" s="87"/>
      <c r="CQR46" s="87"/>
      <c r="CQS46" s="87"/>
      <c r="CQT46" s="87"/>
      <c r="CQU46" s="87"/>
      <c r="CQV46" s="87"/>
      <c r="CQW46" s="87"/>
      <c r="CQX46" s="87"/>
      <c r="CQY46" s="87"/>
      <c r="CQZ46" s="87"/>
      <c r="CRA46" s="87"/>
      <c r="CRB46" s="87"/>
      <c r="CRC46" s="87"/>
      <c r="CRD46" s="87"/>
      <c r="CRE46" s="87"/>
      <c r="CRF46" s="87"/>
      <c r="CRG46" s="87"/>
      <c r="CRH46" s="87"/>
      <c r="CRI46" s="87"/>
      <c r="CRJ46" s="87"/>
      <c r="CRK46" s="87"/>
      <c r="CRL46" s="87"/>
      <c r="CRM46" s="87"/>
      <c r="CRN46" s="87"/>
      <c r="CRO46" s="87"/>
      <c r="CRP46" s="87"/>
      <c r="CRQ46" s="87"/>
      <c r="CRR46" s="87"/>
      <c r="CRS46" s="87"/>
      <c r="CRT46" s="87"/>
      <c r="CRU46" s="87"/>
      <c r="CRV46" s="87"/>
      <c r="CRW46" s="87"/>
      <c r="CRX46" s="87"/>
      <c r="CRY46" s="87"/>
      <c r="CRZ46" s="87"/>
      <c r="CSA46" s="87"/>
      <c r="CSB46" s="87"/>
      <c r="CSC46" s="87"/>
      <c r="CSD46" s="87"/>
      <c r="CSE46" s="87"/>
      <c r="CSF46" s="87"/>
      <c r="CSG46" s="87"/>
      <c r="CSH46" s="87"/>
      <c r="CSI46" s="87"/>
      <c r="CSJ46" s="87"/>
      <c r="CSK46" s="87"/>
      <c r="CSL46" s="87"/>
      <c r="CSM46" s="87"/>
      <c r="CSN46" s="87"/>
      <c r="CSO46" s="87"/>
      <c r="CSP46" s="87"/>
      <c r="CSQ46" s="87"/>
      <c r="CSR46" s="87"/>
      <c r="CSS46" s="87"/>
      <c r="CST46" s="87"/>
      <c r="CSU46" s="87"/>
      <c r="CSV46" s="87"/>
      <c r="CSW46" s="87"/>
      <c r="CSX46" s="87"/>
      <c r="CSY46" s="87"/>
      <c r="CSZ46" s="87"/>
      <c r="CTA46" s="87"/>
      <c r="CTB46" s="87"/>
      <c r="CTC46" s="87"/>
      <c r="CTD46" s="87"/>
      <c r="CTE46" s="87"/>
      <c r="CTF46" s="87"/>
      <c r="CTG46" s="87"/>
      <c r="CTH46" s="87"/>
      <c r="CTI46" s="87"/>
      <c r="CTJ46" s="87"/>
      <c r="CTK46" s="87"/>
      <c r="CTL46" s="87"/>
      <c r="CTM46" s="87"/>
      <c r="CTN46" s="87"/>
      <c r="CTO46" s="87"/>
      <c r="CTP46" s="87"/>
      <c r="CTQ46" s="87"/>
      <c r="CTR46" s="87"/>
      <c r="CTS46" s="87"/>
      <c r="CTT46" s="87"/>
      <c r="CTU46" s="87"/>
      <c r="CTV46" s="87"/>
      <c r="CTW46" s="87"/>
      <c r="CTX46" s="87"/>
      <c r="CTY46" s="87"/>
      <c r="CTZ46" s="87"/>
      <c r="CUA46" s="87"/>
      <c r="CUB46" s="87"/>
      <c r="CUC46" s="87"/>
      <c r="CUD46" s="87"/>
      <c r="CUE46" s="87"/>
      <c r="CUF46" s="87"/>
      <c r="CUG46" s="87"/>
      <c r="CUH46" s="87"/>
      <c r="CUI46" s="87"/>
      <c r="CUJ46" s="87"/>
      <c r="CUK46" s="87"/>
      <c r="CUL46" s="87"/>
      <c r="CUM46" s="87"/>
      <c r="CUN46" s="87"/>
      <c r="CUO46" s="87"/>
      <c r="CUP46" s="87"/>
      <c r="CUQ46" s="87"/>
      <c r="CUR46" s="87"/>
      <c r="CUS46" s="87"/>
      <c r="CUT46" s="87"/>
      <c r="CUU46" s="87"/>
      <c r="CUV46" s="87"/>
      <c r="CUW46" s="87"/>
      <c r="CUX46" s="87"/>
      <c r="CUY46" s="87"/>
      <c r="CUZ46" s="87"/>
      <c r="CVA46" s="87"/>
      <c r="CVB46" s="87"/>
      <c r="CVC46" s="87"/>
      <c r="CVD46" s="87"/>
      <c r="CVE46" s="87"/>
      <c r="CVF46" s="87"/>
      <c r="CVG46" s="87"/>
      <c r="CVH46" s="87"/>
      <c r="CVI46" s="87"/>
      <c r="CVJ46" s="87"/>
      <c r="CVK46" s="87"/>
      <c r="CVL46" s="87"/>
      <c r="CVM46" s="87"/>
      <c r="CVN46" s="87"/>
      <c r="CVO46" s="87"/>
      <c r="CVP46" s="87"/>
      <c r="CVQ46" s="87"/>
      <c r="CVR46" s="87"/>
      <c r="CVS46" s="87"/>
      <c r="CVT46" s="87"/>
      <c r="CVU46" s="87"/>
      <c r="CVV46" s="87"/>
      <c r="CVW46" s="87"/>
      <c r="CVX46" s="87"/>
      <c r="CVY46" s="87"/>
      <c r="CVZ46" s="87"/>
      <c r="CWA46" s="87"/>
      <c r="CWB46" s="87"/>
      <c r="CWC46" s="87"/>
      <c r="CWD46" s="87"/>
      <c r="CWE46" s="87"/>
      <c r="CWF46" s="87"/>
      <c r="CWG46" s="87"/>
      <c r="CWH46" s="87"/>
      <c r="CWI46" s="87"/>
      <c r="CWJ46" s="87"/>
      <c r="CWK46" s="87"/>
      <c r="CWL46" s="87"/>
      <c r="CWM46" s="87"/>
      <c r="CWN46" s="87"/>
      <c r="CWO46" s="87"/>
      <c r="CWP46" s="87"/>
      <c r="CWQ46" s="87"/>
      <c r="CWR46" s="87"/>
      <c r="CWS46" s="87"/>
      <c r="CWT46" s="87"/>
      <c r="CWU46" s="87"/>
      <c r="CWV46" s="87"/>
      <c r="CWW46" s="87"/>
      <c r="CWX46" s="87"/>
      <c r="CWY46" s="87"/>
      <c r="CWZ46" s="87"/>
      <c r="CXA46" s="87"/>
      <c r="CXB46" s="87"/>
      <c r="CXC46" s="87"/>
      <c r="CXD46" s="87"/>
      <c r="CXE46" s="87"/>
      <c r="CXF46" s="87"/>
      <c r="CXG46" s="87"/>
      <c r="CXH46" s="87"/>
      <c r="CXI46" s="87"/>
      <c r="CXJ46" s="87"/>
      <c r="CXK46" s="87"/>
      <c r="CXL46" s="87"/>
      <c r="CXM46" s="87"/>
      <c r="CXN46" s="87"/>
      <c r="CXO46" s="87"/>
      <c r="CXP46" s="87"/>
      <c r="CXQ46" s="87"/>
      <c r="CXR46" s="87"/>
      <c r="CXS46" s="87"/>
      <c r="CXT46" s="87"/>
      <c r="CXU46" s="87"/>
      <c r="CXV46" s="87"/>
      <c r="CXW46" s="87"/>
      <c r="CXX46" s="87"/>
      <c r="CXY46" s="87"/>
      <c r="CXZ46" s="87"/>
      <c r="CYA46" s="87"/>
      <c r="CYB46" s="87"/>
      <c r="CYC46" s="87"/>
      <c r="CYD46" s="87"/>
      <c r="CYE46" s="87"/>
      <c r="CYF46" s="87"/>
      <c r="CYG46" s="87"/>
      <c r="CYH46" s="87"/>
      <c r="CYI46" s="87"/>
      <c r="CYJ46" s="87"/>
      <c r="CYK46" s="87"/>
      <c r="CYL46" s="87"/>
      <c r="CYM46" s="87"/>
      <c r="CYN46" s="87"/>
      <c r="CYO46" s="87"/>
      <c r="CYP46" s="87"/>
      <c r="CYQ46" s="87"/>
      <c r="CYR46" s="87"/>
      <c r="CYS46" s="87"/>
      <c r="CYT46" s="87"/>
      <c r="CYU46" s="87"/>
      <c r="CYV46" s="87"/>
      <c r="CYW46" s="87"/>
      <c r="CYX46" s="87"/>
      <c r="CYY46" s="87"/>
      <c r="CYZ46" s="87"/>
      <c r="CZA46" s="87"/>
      <c r="CZB46" s="87"/>
      <c r="CZC46" s="87"/>
      <c r="CZD46" s="87"/>
      <c r="CZE46" s="87"/>
      <c r="CZF46" s="87"/>
      <c r="CZG46" s="87"/>
      <c r="CZH46" s="87"/>
      <c r="CZI46" s="87"/>
      <c r="CZJ46" s="87"/>
      <c r="CZK46" s="87"/>
      <c r="CZL46" s="87"/>
      <c r="CZM46" s="87"/>
      <c r="CZN46" s="87"/>
      <c r="CZO46" s="87"/>
      <c r="CZP46" s="87"/>
      <c r="CZQ46" s="87"/>
      <c r="CZR46" s="87"/>
      <c r="CZS46" s="87"/>
      <c r="CZT46" s="87"/>
      <c r="CZU46" s="87"/>
      <c r="CZV46" s="87"/>
      <c r="CZW46" s="87"/>
      <c r="CZX46" s="87"/>
      <c r="CZY46" s="87"/>
      <c r="CZZ46" s="87"/>
      <c r="DAA46" s="87"/>
      <c r="DAB46" s="87"/>
      <c r="DAC46" s="87"/>
      <c r="DAD46" s="87"/>
      <c r="DAE46" s="87"/>
      <c r="DAF46" s="87"/>
      <c r="DAG46" s="87"/>
      <c r="DAH46" s="87"/>
      <c r="DAI46" s="87"/>
      <c r="DAJ46" s="87"/>
      <c r="DAK46" s="87"/>
      <c r="DAL46" s="87"/>
      <c r="DAM46" s="87"/>
      <c r="DAN46" s="87"/>
      <c r="DAO46" s="87"/>
      <c r="DAP46" s="87"/>
      <c r="DAQ46" s="87"/>
      <c r="DAR46" s="87"/>
      <c r="DAS46" s="87"/>
      <c r="DAT46" s="87"/>
      <c r="DAU46" s="87"/>
      <c r="DAV46" s="87"/>
      <c r="DAW46" s="87"/>
      <c r="DAX46" s="87"/>
      <c r="DAY46" s="87"/>
      <c r="DAZ46" s="87"/>
      <c r="DBA46" s="87"/>
      <c r="DBB46" s="87"/>
      <c r="DBC46" s="87"/>
      <c r="DBD46" s="87"/>
      <c r="DBE46" s="87"/>
      <c r="DBF46" s="87"/>
      <c r="DBG46" s="87"/>
      <c r="DBH46" s="87"/>
      <c r="DBI46" s="87"/>
      <c r="DBJ46" s="87"/>
      <c r="DBK46" s="87"/>
      <c r="DBL46" s="87"/>
      <c r="DBM46" s="87"/>
      <c r="DBN46" s="87"/>
      <c r="DBO46" s="87"/>
      <c r="DBP46" s="87"/>
      <c r="DBQ46" s="87"/>
      <c r="DBR46" s="87"/>
      <c r="DBS46" s="87"/>
      <c r="DBT46" s="87"/>
      <c r="DBU46" s="87"/>
      <c r="DBV46" s="87"/>
      <c r="DBW46" s="87"/>
      <c r="DBX46" s="87"/>
      <c r="DBY46" s="87"/>
      <c r="DBZ46" s="87"/>
      <c r="DCA46" s="87"/>
      <c r="DCB46" s="87"/>
      <c r="DCC46" s="87"/>
      <c r="DCD46" s="87"/>
      <c r="DCE46" s="87"/>
      <c r="DCF46" s="87"/>
      <c r="DCG46" s="87"/>
      <c r="DCH46" s="87"/>
      <c r="DCI46" s="87"/>
      <c r="DCJ46" s="87"/>
      <c r="DCK46" s="87"/>
      <c r="DCL46" s="87"/>
      <c r="DCM46" s="87"/>
      <c r="DCN46" s="87"/>
      <c r="DCO46" s="87"/>
      <c r="DCP46" s="87"/>
      <c r="DCQ46" s="87"/>
      <c r="DCR46" s="87"/>
      <c r="DCS46" s="87"/>
      <c r="DCT46" s="87"/>
      <c r="DCU46" s="87"/>
      <c r="DCV46" s="87"/>
      <c r="DCW46" s="87"/>
      <c r="DCX46" s="87"/>
      <c r="DCY46" s="87"/>
      <c r="DCZ46" s="87"/>
      <c r="DDA46" s="87"/>
      <c r="DDB46" s="87"/>
      <c r="DDC46" s="87"/>
      <c r="DDD46" s="87"/>
      <c r="DDE46" s="87"/>
      <c r="DDF46" s="87"/>
      <c r="DDG46" s="87"/>
      <c r="DDH46" s="87"/>
      <c r="DDI46" s="87"/>
      <c r="DDJ46" s="87"/>
      <c r="DDK46" s="87"/>
      <c r="DDL46" s="87"/>
      <c r="DDM46" s="87"/>
      <c r="DDN46" s="87"/>
      <c r="DDO46" s="87"/>
      <c r="DDP46" s="87"/>
      <c r="DDQ46" s="87"/>
      <c r="DDR46" s="87"/>
      <c r="DDS46" s="87"/>
      <c r="DDT46" s="87"/>
      <c r="DDU46" s="87"/>
      <c r="DDV46" s="87"/>
      <c r="DDW46" s="87"/>
      <c r="DDX46" s="87"/>
      <c r="DDY46" s="87"/>
      <c r="DDZ46" s="87"/>
      <c r="DEA46" s="87"/>
      <c r="DEB46" s="87"/>
      <c r="DEC46" s="87"/>
      <c r="DED46" s="87"/>
      <c r="DEE46" s="87"/>
      <c r="DEF46" s="87"/>
      <c r="DEG46" s="87"/>
      <c r="DEH46" s="87"/>
      <c r="DEI46" s="87"/>
      <c r="DEJ46" s="87"/>
      <c r="DEK46" s="87"/>
      <c r="DEL46" s="87"/>
      <c r="DEM46" s="87"/>
      <c r="DEN46" s="87"/>
      <c r="DEO46" s="87"/>
      <c r="DEP46" s="87"/>
      <c r="DEQ46" s="87"/>
      <c r="DER46" s="87"/>
      <c r="DES46" s="87"/>
      <c r="DET46" s="87"/>
      <c r="DEU46" s="87"/>
      <c r="DEV46" s="87"/>
      <c r="DEW46" s="87"/>
      <c r="DEX46" s="87"/>
      <c r="DEY46" s="87"/>
      <c r="DEZ46" s="87"/>
      <c r="DFA46" s="87"/>
      <c r="DFB46" s="87"/>
      <c r="DFC46" s="87"/>
      <c r="DFD46" s="87"/>
      <c r="DFE46" s="87"/>
      <c r="DFF46" s="87"/>
      <c r="DFG46" s="87"/>
      <c r="DFH46" s="87"/>
      <c r="DFI46" s="87"/>
      <c r="DFJ46" s="87"/>
      <c r="DFK46" s="87"/>
      <c r="DFL46" s="87"/>
      <c r="DFM46" s="87"/>
      <c r="DFN46" s="87"/>
      <c r="DFO46" s="87"/>
      <c r="DFP46" s="87"/>
      <c r="DFQ46" s="87"/>
      <c r="DFR46" s="87"/>
      <c r="DFS46" s="87"/>
      <c r="DFT46" s="87"/>
      <c r="DFU46" s="87"/>
      <c r="DFV46" s="87"/>
      <c r="DFW46" s="87"/>
      <c r="DFX46" s="87"/>
      <c r="DFY46" s="87"/>
      <c r="DFZ46" s="87"/>
      <c r="DGA46" s="87"/>
      <c r="DGB46" s="87"/>
      <c r="DGC46" s="87"/>
      <c r="DGD46" s="87"/>
      <c r="DGE46" s="87"/>
      <c r="DGF46" s="87"/>
      <c r="DGG46" s="87"/>
      <c r="DGH46" s="87"/>
      <c r="DGI46" s="87"/>
      <c r="DGJ46" s="87"/>
      <c r="DGK46" s="87"/>
      <c r="DGL46" s="87"/>
      <c r="DGM46" s="87"/>
      <c r="DGN46" s="87"/>
      <c r="DGO46" s="87"/>
      <c r="DGP46" s="87"/>
      <c r="DGQ46" s="87"/>
      <c r="DGR46" s="87"/>
      <c r="DGS46" s="87"/>
      <c r="DGT46" s="87"/>
      <c r="DGU46" s="87"/>
      <c r="DGV46" s="87"/>
      <c r="DGW46" s="87"/>
      <c r="DGX46" s="87"/>
      <c r="DGY46" s="87"/>
      <c r="DGZ46" s="87"/>
      <c r="DHA46" s="87"/>
      <c r="DHB46" s="87"/>
      <c r="DHC46" s="87"/>
      <c r="DHD46" s="87"/>
      <c r="DHE46" s="87"/>
      <c r="DHF46" s="87"/>
      <c r="DHG46" s="87"/>
      <c r="DHH46" s="87"/>
      <c r="DHI46" s="87"/>
      <c r="DHJ46" s="87"/>
      <c r="DHK46" s="87"/>
      <c r="DHL46" s="87"/>
      <c r="DHM46" s="87"/>
      <c r="DHN46" s="87"/>
      <c r="DHO46" s="87"/>
      <c r="DHP46" s="87"/>
      <c r="DHQ46" s="87"/>
      <c r="DHR46" s="87"/>
      <c r="DHS46" s="87"/>
      <c r="DHT46" s="87"/>
      <c r="DHU46" s="87"/>
      <c r="DHV46" s="87"/>
      <c r="DHW46" s="87"/>
      <c r="DHX46" s="87"/>
      <c r="DHY46" s="87"/>
      <c r="DHZ46" s="87"/>
      <c r="DIA46" s="87"/>
      <c r="DIB46" s="87"/>
      <c r="DIC46" s="87"/>
      <c r="DID46" s="87"/>
      <c r="DIE46" s="87"/>
      <c r="DIF46" s="87"/>
      <c r="DIG46" s="87"/>
      <c r="DIH46" s="87"/>
      <c r="DII46" s="87"/>
      <c r="DIJ46" s="87"/>
      <c r="DIK46" s="87"/>
      <c r="DIL46" s="87"/>
      <c r="DIM46" s="87"/>
      <c r="DIN46" s="87"/>
      <c r="DIO46" s="87"/>
      <c r="DIP46" s="87"/>
      <c r="DIQ46" s="87"/>
      <c r="DIR46" s="87"/>
      <c r="DIS46" s="87"/>
      <c r="DIT46" s="87"/>
      <c r="DIU46" s="87"/>
      <c r="DIV46" s="87"/>
      <c r="DIW46" s="87"/>
      <c r="DIX46" s="87"/>
      <c r="DIY46" s="87"/>
      <c r="DIZ46" s="87"/>
      <c r="DJA46" s="87"/>
      <c r="DJB46" s="87"/>
      <c r="DJC46" s="87"/>
      <c r="DJD46" s="87"/>
      <c r="DJE46" s="87"/>
      <c r="DJF46" s="87"/>
      <c r="DJG46" s="87"/>
      <c r="DJH46" s="87"/>
      <c r="DJI46" s="87"/>
      <c r="DJJ46" s="87"/>
      <c r="DJK46" s="87"/>
      <c r="DJL46" s="87"/>
      <c r="DJM46" s="87"/>
      <c r="DJN46" s="87"/>
      <c r="DJO46" s="87"/>
      <c r="DJP46" s="87"/>
      <c r="DJQ46" s="87"/>
      <c r="DJR46" s="87"/>
      <c r="DJS46" s="87"/>
      <c r="DJT46" s="87"/>
      <c r="DJU46" s="87"/>
      <c r="DJV46" s="87"/>
      <c r="DJW46" s="87"/>
      <c r="DJX46" s="87"/>
      <c r="DJY46" s="87"/>
      <c r="DJZ46" s="87"/>
      <c r="DKA46" s="87"/>
      <c r="DKB46" s="87"/>
      <c r="DKC46" s="87"/>
      <c r="DKD46" s="87"/>
      <c r="DKE46" s="87"/>
      <c r="DKF46" s="87"/>
      <c r="DKG46" s="87"/>
      <c r="DKH46" s="87"/>
      <c r="DKI46" s="87"/>
      <c r="DKJ46" s="87"/>
      <c r="DKK46" s="87"/>
      <c r="DKL46" s="87"/>
      <c r="DKM46" s="87"/>
      <c r="DKN46" s="87"/>
      <c r="DKO46" s="87"/>
      <c r="DKP46" s="87"/>
      <c r="DKQ46" s="87"/>
      <c r="DKR46" s="87"/>
      <c r="DKS46" s="87"/>
      <c r="DKT46" s="87"/>
      <c r="DKU46" s="87"/>
      <c r="DKV46" s="87"/>
      <c r="DKW46" s="87"/>
      <c r="DKX46" s="87"/>
      <c r="DKY46" s="87"/>
      <c r="DKZ46" s="87"/>
      <c r="DLA46" s="87"/>
      <c r="DLB46" s="87"/>
      <c r="DLC46" s="87"/>
      <c r="DLD46" s="87"/>
      <c r="DLE46" s="87"/>
      <c r="DLF46" s="87"/>
      <c r="DLG46" s="87"/>
      <c r="DLH46" s="87"/>
      <c r="DLI46" s="87"/>
      <c r="DLJ46" s="87"/>
      <c r="DLK46" s="87"/>
      <c r="DLL46" s="87"/>
      <c r="DLM46" s="87"/>
      <c r="DLN46" s="87"/>
      <c r="DLO46" s="87"/>
      <c r="DLP46" s="87"/>
      <c r="DLQ46" s="87"/>
      <c r="DLR46" s="87"/>
      <c r="DLS46" s="87"/>
      <c r="DLT46" s="87"/>
      <c r="DLU46" s="87"/>
      <c r="DLV46" s="87"/>
      <c r="DLW46" s="87"/>
      <c r="DLX46" s="87"/>
      <c r="DLY46" s="87"/>
      <c r="DLZ46" s="87"/>
      <c r="DMA46" s="87"/>
      <c r="DMB46" s="87"/>
      <c r="DMC46" s="87"/>
      <c r="DMD46" s="87"/>
      <c r="DME46" s="87"/>
      <c r="DMF46" s="87"/>
      <c r="DMG46" s="87"/>
      <c r="DMH46" s="87"/>
      <c r="DMI46" s="87"/>
      <c r="DMJ46" s="87"/>
      <c r="DMK46" s="87"/>
      <c r="DML46" s="87"/>
      <c r="DMM46" s="87"/>
      <c r="DMN46" s="87"/>
      <c r="DMO46" s="87"/>
      <c r="DMP46" s="87"/>
      <c r="DMQ46" s="87"/>
      <c r="DMR46" s="87"/>
      <c r="DMS46" s="87"/>
      <c r="DMT46" s="87"/>
      <c r="DMU46" s="87"/>
      <c r="DMV46" s="87"/>
      <c r="DMW46" s="87"/>
      <c r="DMX46" s="87"/>
      <c r="DMY46" s="87"/>
      <c r="DMZ46" s="87"/>
      <c r="DNA46" s="87"/>
      <c r="DNB46" s="87"/>
      <c r="DNC46" s="87"/>
      <c r="DND46" s="87"/>
      <c r="DNE46" s="87"/>
      <c r="DNF46" s="87"/>
      <c r="DNG46" s="87"/>
      <c r="DNH46" s="87"/>
      <c r="DNI46" s="87"/>
      <c r="DNJ46" s="87"/>
      <c r="DNK46" s="87"/>
      <c r="DNL46" s="87"/>
      <c r="DNM46" s="87"/>
      <c r="DNN46" s="87"/>
      <c r="DNO46" s="87"/>
      <c r="DNP46" s="87"/>
      <c r="DNQ46" s="87"/>
      <c r="DNR46" s="87"/>
      <c r="DNS46" s="87"/>
      <c r="DNT46" s="87"/>
      <c r="DNU46" s="87"/>
      <c r="DNV46" s="87"/>
      <c r="DNW46" s="87"/>
      <c r="DNX46" s="87"/>
      <c r="DNY46" s="87"/>
      <c r="DNZ46" s="87"/>
      <c r="DOA46" s="87"/>
      <c r="DOB46" s="87"/>
      <c r="DOC46" s="87"/>
      <c r="DOD46" s="87"/>
      <c r="DOE46" s="87"/>
      <c r="DOF46" s="87"/>
      <c r="DOG46" s="87"/>
      <c r="DOH46" s="87"/>
      <c r="DOI46" s="87"/>
      <c r="DOJ46" s="87"/>
      <c r="DOK46" s="87"/>
      <c r="DOL46" s="87"/>
      <c r="DOM46" s="87"/>
      <c r="DON46" s="87"/>
      <c r="DOO46" s="87"/>
      <c r="DOP46" s="87"/>
      <c r="DOQ46" s="87"/>
      <c r="DOR46" s="87"/>
      <c r="DOS46" s="87"/>
      <c r="DOT46" s="87"/>
      <c r="DOU46" s="87"/>
      <c r="DOV46" s="87"/>
      <c r="DOW46" s="87"/>
      <c r="DOX46" s="87"/>
      <c r="DOY46" s="87"/>
      <c r="DOZ46" s="87"/>
      <c r="DPA46" s="87"/>
      <c r="DPB46" s="87"/>
      <c r="DPC46" s="87"/>
      <c r="DPD46" s="87"/>
      <c r="DPE46" s="87"/>
      <c r="DPF46" s="87"/>
      <c r="DPG46" s="87"/>
      <c r="DPH46" s="87"/>
      <c r="DPI46" s="87"/>
      <c r="DPJ46" s="87"/>
      <c r="DPK46" s="87"/>
      <c r="DPL46" s="87"/>
      <c r="DPM46" s="87"/>
      <c r="DPN46" s="87"/>
      <c r="DPO46" s="87"/>
      <c r="DPP46" s="87"/>
      <c r="DPQ46" s="87"/>
      <c r="DPR46" s="87"/>
      <c r="DPS46" s="87"/>
      <c r="DPT46" s="87"/>
      <c r="DPU46" s="87"/>
      <c r="DPV46" s="87"/>
      <c r="DPW46" s="87"/>
      <c r="DPX46" s="87"/>
      <c r="DPY46" s="87"/>
      <c r="DPZ46" s="87"/>
      <c r="DQA46" s="87"/>
      <c r="DQB46" s="87"/>
      <c r="DQC46" s="87"/>
      <c r="DQD46" s="87"/>
      <c r="DQE46" s="87"/>
      <c r="DQF46" s="87"/>
      <c r="DQG46" s="87"/>
      <c r="DQH46" s="87"/>
      <c r="DQI46" s="87"/>
      <c r="DQJ46" s="87"/>
      <c r="DQK46" s="87"/>
      <c r="DQL46" s="87"/>
      <c r="DQM46" s="87"/>
      <c r="DQN46" s="87"/>
      <c r="DQO46" s="87"/>
      <c r="DQP46" s="87"/>
      <c r="DQQ46" s="87"/>
      <c r="DQR46" s="87"/>
      <c r="DQS46" s="87"/>
      <c r="DQT46" s="87"/>
      <c r="DQU46" s="87"/>
      <c r="DQV46" s="87"/>
      <c r="DQW46" s="87"/>
      <c r="DQX46" s="87"/>
      <c r="DQY46" s="87"/>
      <c r="DQZ46" s="87"/>
      <c r="DRA46" s="87"/>
      <c r="DRB46" s="87"/>
      <c r="DRC46" s="87"/>
      <c r="DRD46" s="87"/>
      <c r="DRE46" s="87"/>
      <c r="DRF46" s="87"/>
      <c r="DRG46" s="87"/>
      <c r="DRH46" s="87"/>
      <c r="DRI46" s="87"/>
      <c r="DRJ46" s="87"/>
      <c r="DRK46" s="87"/>
      <c r="DRL46" s="87"/>
      <c r="DRM46" s="87"/>
      <c r="DRN46" s="87"/>
      <c r="DRO46" s="87"/>
      <c r="DRP46" s="87"/>
      <c r="DRQ46" s="87"/>
      <c r="DRR46" s="87"/>
      <c r="DRS46" s="87"/>
      <c r="DRT46" s="87"/>
      <c r="DRU46" s="87"/>
      <c r="DRV46" s="87"/>
      <c r="DRW46" s="87"/>
      <c r="DRX46" s="87"/>
      <c r="DRY46" s="87"/>
      <c r="DRZ46" s="87"/>
      <c r="DSA46" s="87"/>
      <c r="DSB46" s="87"/>
      <c r="DSC46" s="87"/>
      <c r="DSD46" s="87"/>
      <c r="DSE46" s="87"/>
      <c r="DSF46" s="87"/>
      <c r="DSG46" s="87"/>
      <c r="DSH46" s="87"/>
      <c r="DSI46" s="87"/>
      <c r="DSJ46" s="87"/>
      <c r="DSK46" s="87"/>
      <c r="DSL46" s="87"/>
      <c r="DSM46" s="87"/>
      <c r="DSN46" s="87"/>
      <c r="DSO46" s="87"/>
      <c r="DSP46" s="87"/>
      <c r="DSQ46" s="87"/>
      <c r="DSR46" s="87"/>
      <c r="DSS46" s="87"/>
      <c r="DST46" s="87"/>
      <c r="DSU46" s="87"/>
      <c r="DSV46" s="87"/>
      <c r="DSW46" s="87"/>
      <c r="DSX46" s="87"/>
      <c r="DSY46" s="87"/>
      <c r="DSZ46" s="87"/>
      <c r="DTA46" s="87"/>
      <c r="DTB46" s="87"/>
      <c r="DTC46" s="87"/>
      <c r="DTD46" s="87"/>
      <c r="DTE46" s="87"/>
      <c r="DTF46" s="87"/>
      <c r="DTG46" s="87"/>
      <c r="DTH46" s="87"/>
      <c r="DTI46" s="87"/>
      <c r="DTJ46" s="87"/>
      <c r="DTK46" s="87"/>
      <c r="DTL46" s="87"/>
      <c r="DTM46" s="87"/>
      <c r="DTN46" s="87"/>
      <c r="DTO46" s="87"/>
      <c r="DTP46" s="87"/>
      <c r="DTQ46" s="87"/>
      <c r="DTR46" s="87"/>
      <c r="DTS46" s="87"/>
      <c r="DTT46" s="87"/>
      <c r="DTU46" s="87"/>
      <c r="DTV46" s="87"/>
      <c r="DTW46" s="87"/>
      <c r="DTX46" s="87"/>
      <c r="DTY46" s="87"/>
      <c r="DTZ46" s="87"/>
      <c r="DUA46" s="87"/>
      <c r="DUB46" s="87"/>
      <c r="DUC46" s="87"/>
      <c r="DUD46" s="87"/>
      <c r="DUE46" s="87"/>
      <c r="DUF46" s="87"/>
      <c r="DUG46" s="87"/>
      <c r="DUH46" s="87"/>
      <c r="DUI46" s="87"/>
      <c r="DUJ46" s="87"/>
      <c r="DUK46" s="87"/>
      <c r="DUL46" s="87"/>
      <c r="DUM46" s="87"/>
      <c r="DUN46" s="87"/>
      <c r="DUO46" s="87"/>
      <c r="DUP46" s="87"/>
      <c r="DUQ46" s="87"/>
      <c r="DUR46" s="87"/>
      <c r="DUS46" s="87"/>
      <c r="DUT46" s="87"/>
      <c r="DUU46" s="87"/>
      <c r="DUV46" s="87"/>
      <c r="DUW46" s="87"/>
      <c r="DUX46" s="87"/>
      <c r="DUY46" s="87"/>
      <c r="DUZ46" s="87"/>
      <c r="DVA46" s="87"/>
      <c r="DVB46" s="87"/>
      <c r="DVC46" s="87"/>
      <c r="DVD46" s="87"/>
      <c r="DVE46" s="87"/>
      <c r="DVF46" s="87"/>
      <c r="DVG46" s="87"/>
      <c r="DVH46" s="87"/>
      <c r="DVI46" s="87"/>
      <c r="DVJ46" s="87"/>
      <c r="DVK46" s="87"/>
      <c r="DVL46" s="87"/>
      <c r="DVM46" s="87"/>
      <c r="DVN46" s="87"/>
      <c r="DVO46" s="87"/>
      <c r="DVP46" s="87"/>
      <c r="DVQ46" s="87"/>
      <c r="DVR46" s="87"/>
      <c r="DVS46" s="87"/>
      <c r="DVT46" s="87"/>
      <c r="DVU46" s="87"/>
      <c r="DVV46" s="87"/>
      <c r="DVW46" s="87"/>
      <c r="DVX46" s="87"/>
      <c r="DVY46" s="87"/>
      <c r="DVZ46" s="87"/>
      <c r="DWA46" s="87"/>
      <c r="DWB46" s="87"/>
      <c r="DWC46" s="87"/>
      <c r="DWD46" s="87"/>
      <c r="DWE46" s="87"/>
      <c r="DWF46" s="87"/>
      <c r="DWG46" s="87"/>
      <c r="DWH46" s="87"/>
      <c r="DWI46" s="87"/>
      <c r="DWJ46" s="87"/>
      <c r="DWK46" s="87"/>
      <c r="DWL46" s="87"/>
      <c r="DWM46" s="87"/>
      <c r="DWN46" s="87"/>
      <c r="DWO46" s="87"/>
      <c r="DWP46" s="87"/>
      <c r="DWQ46" s="87"/>
      <c r="DWR46" s="87"/>
      <c r="DWS46" s="87"/>
      <c r="DWT46" s="87"/>
      <c r="DWU46" s="87"/>
      <c r="DWV46" s="87"/>
      <c r="DWW46" s="87"/>
      <c r="DWX46" s="87"/>
      <c r="DWY46" s="87"/>
      <c r="DWZ46" s="87"/>
      <c r="DXA46" s="87"/>
      <c r="DXB46" s="87"/>
      <c r="DXC46" s="87"/>
      <c r="DXD46" s="87"/>
      <c r="DXE46" s="87"/>
      <c r="DXF46" s="87"/>
      <c r="DXG46" s="87"/>
      <c r="DXH46" s="87"/>
      <c r="DXI46" s="87"/>
      <c r="DXJ46" s="87"/>
      <c r="DXK46" s="87"/>
      <c r="DXL46" s="87"/>
      <c r="DXM46" s="87"/>
      <c r="DXN46" s="87"/>
      <c r="DXO46" s="87"/>
      <c r="DXP46" s="87"/>
      <c r="DXQ46" s="87"/>
      <c r="DXR46" s="87"/>
      <c r="DXS46" s="87"/>
      <c r="DXT46" s="87"/>
      <c r="DXU46" s="87"/>
      <c r="DXV46" s="87"/>
      <c r="DXW46" s="87"/>
      <c r="DXX46" s="87"/>
      <c r="DXY46" s="87"/>
      <c r="DXZ46" s="87"/>
      <c r="DYA46" s="87"/>
      <c r="DYB46" s="87"/>
      <c r="DYC46" s="87"/>
      <c r="DYD46" s="87"/>
      <c r="DYE46" s="87"/>
      <c r="DYF46" s="87"/>
      <c r="DYG46" s="87"/>
      <c r="DYH46" s="87"/>
      <c r="DYI46" s="87"/>
      <c r="DYJ46" s="87"/>
      <c r="DYK46" s="87"/>
      <c r="DYL46" s="87"/>
      <c r="DYM46" s="87"/>
      <c r="DYN46" s="87"/>
      <c r="DYO46" s="87"/>
      <c r="DYP46" s="87"/>
      <c r="DYQ46" s="87"/>
      <c r="DYR46" s="87"/>
      <c r="DYS46" s="87"/>
      <c r="DYT46" s="87"/>
      <c r="DYU46" s="87"/>
      <c r="DYV46" s="87"/>
      <c r="DYW46" s="87"/>
      <c r="DYX46" s="87"/>
      <c r="DYY46" s="87"/>
      <c r="DYZ46" s="87"/>
      <c r="DZA46" s="87"/>
      <c r="DZB46" s="87"/>
      <c r="DZC46" s="87"/>
      <c r="DZD46" s="87"/>
      <c r="DZE46" s="87"/>
      <c r="DZF46" s="87"/>
      <c r="DZG46" s="87"/>
      <c r="DZH46" s="87"/>
      <c r="DZI46" s="87"/>
      <c r="DZJ46" s="87"/>
      <c r="DZK46" s="87"/>
      <c r="DZL46" s="87"/>
      <c r="DZM46" s="87"/>
      <c r="DZN46" s="87"/>
      <c r="DZO46" s="87"/>
      <c r="DZP46" s="87"/>
      <c r="DZQ46" s="87"/>
      <c r="DZR46" s="87"/>
      <c r="DZS46" s="87"/>
      <c r="DZT46" s="87"/>
      <c r="DZU46" s="87"/>
      <c r="DZV46" s="87"/>
      <c r="DZW46" s="87"/>
      <c r="DZX46" s="87"/>
      <c r="DZY46" s="87"/>
      <c r="DZZ46" s="87"/>
      <c r="EAA46" s="87"/>
      <c r="EAB46" s="87"/>
      <c r="EAC46" s="87"/>
      <c r="EAD46" s="87"/>
      <c r="EAE46" s="87"/>
      <c r="EAF46" s="87"/>
      <c r="EAG46" s="87"/>
      <c r="EAH46" s="87"/>
      <c r="EAI46" s="87"/>
      <c r="EAJ46" s="87"/>
      <c r="EAK46" s="87"/>
      <c r="EAL46" s="87"/>
      <c r="EAM46" s="87"/>
      <c r="EAN46" s="87"/>
      <c r="EAO46" s="87"/>
      <c r="EAP46" s="87"/>
      <c r="EAQ46" s="87"/>
      <c r="EAR46" s="87"/>
      <c r="EAS46" s="87"/>
      <c r="EAT46" s="87"/>
      <c r="EAU46" s="87"/>
      <c r="EAV46" s="87"/>
      <c r="EAW46" s="87"/>
      <c r="EAX46" s="87"/>
      <c r="EAY46" s="87"/>
      <c r="EAZ46" s="87"/>
      <c r="EBA46" s="87"/>
      <c r="EBB46" s="87"/>
      <c r="EBC46" s="87"/>
      <c r="EBD46" s="87"/>
      <c r="EBE46" s="87"/>
      <c r="EBF46" s="87"/>
      <c r="EBG46" s="87"/>
      <c r="EBH46" s="87"/>
      <c r="EBI46" s="87"/>
      <c r="EBJ46" s="87"/>
      <c r="EBK46" s="87"/>
      <c r="EBL46" s="87"/>
      <c r="EBM46" s="87"/>
      <c r="EBN46" s="87"/>
      <c r="EBO46" s="87"/>
      <c r="EBP46" s="87"/>
      <c r="EBQ46" s="87"/>
      <c r="EBR46" s="87"/>
      <c r="EBS46" s="87"/>
      <c r="EBT46" s="87"/>
      <c r="EBU46" s="87"/>
      <c r="EBV46" s="87"/>
      <c r="EBW46" s="87"/>
      <c r="EBX46" s="87"/>
      <c r="EBY46" s="87"/>
      <c r="EBZ46" s="87"/>
      <c r="ECA46" s="87"/>
      <c r="ECB46" s="87"/>
      <c r="ECC46" s="87"/>
      <c r="ECD46" s="87"/>
      <c r="ECE46" s="87"/>
      <c r="ECF46" s="87"/>
      <c r="ECG46" s="87"/>
      <c r="ECH46" s="87"/>
      <c r="ECI46" s="87"/>
      <c r="ECJ46" s="87"/>
      <c r="ECK46" s="87"/>
      <c r="ECL46" s="87"/>
      <c r="ECM46" s="87"/>
      <c r="ECN46" s="87"/>
      <c r="ECO46" s="87"/>
      <c r="ECP46" s="87"/>
      <c r="ECQ46" s="87"/>
      <c r="ECR46" s="87"/>
      <c r="ECS46" s="87"/>
      <c r="ECT46" s="87"/>
      <c r="ECU46" s="87"/>
      <c r="ECV46" s="87"/>
      <c r="ECW46" s="87"/>
      <c r="ECX46" s="87"/>
      <c r="ECY46" s="87"/>
      <c r="ECZ46" s="87"/>
      <c r="EDA46" s="87"/>
      <c r="EDB46" s="87"/>
      <c r="EDC46" s="87"/>
      <c r="EDD46" s="87"/>
      <c r="EDE46" s="87"/>
      <c r="EDF46" s="87"/>
      <c r="EDG46" s="87"/>
      <c r="EDH46" s="87"/>
      <c r="EDI46" s="87"/>
      <c r="EDJ46" s="87"/>
      <c r="EDK46" s="87"/>
      <c r="EDL46" s="87"/>
      <c r="EDM46" s="87"/>
      <c r="EDN46" s="87"/>
      <c r="EDO46" s="87"/>
      <c r="EDP46" s="87"/>
      <c r="EDQ46" s="87"/>
      <c r="EDR46" s="87"/>
      <c r="EDS46" s="87"/>
      <c r="EDT46" s="87"/>
      <c r="EDU46" s="87"/>
      <c r="EDV46" s="87"/>
      <c r="EDW46" s="87"/>
      <c r="EDX46" s="87"/>
      <c r="EDY46" s="87"/>
      <c r="EDZ46" s="87"/>
      <c r="EEA46" s="87"/>
      <c r="EEB46" s="87"/>
      <c r="EEC46" s="87"/>
      <c r="EED46" s="87"/>
      <c r="EEE46" s="87"/>
      <c r="EEF46" s="87"/>
      <c r="EEG46" s="87"/>
      <c r="EEH46" s="87"/>
      <c r="EEI46" s="87"/>
      <c r="EEJ46" s="87"/>
      <c r="EEK46" s="87"/>
      <c r="EEL46" s="87"/>
      <c r="EEM46" s="87"/>
      <c r="EEN46" s="87"/>
      <c r="EEO46" s="87"/>
      <c r="EEP46" s="87"/>
      <c r="EEQ46" s="87"/>
      <c r="EER46" s="87"/>
      <c r="EES46" s="87"/>
      <c r="EET46" s="87"/>
      <c r="EEU46" s="87"/>
      <c r="EEV46" s="87"/>
      <c r="EEW46" s="87"/>
      <c r="EEX46" s="87"/>
      <c r="EEY46" s="87"/>
      <c r="EEZ46" s="87"/>
      <c r="EFA46" s="87"/>
      <c r="EFB46" s="87"/>
      <c r="EFC46" s="87"/>
      <c r="EFD46" s="87"/>
      <c r="EFE46" s="87"/>
      <c r="EFF46" s="87"/>
      <c r="EFG46" s="87"/>
      <c r="EFH46" s="87"/>
      <c r="EFI46" s="87"/>
      <c r="EFJ46" s="87"/>
      <c r="EFK46" s="87"/>
      <c r="EFL46" s="87"/>
      <c r="EFM46" s="87"/>
      <c r="EFN46" s="87"/>
      <c r="EFO46" s="87"/>
      <c r="EFP46" s="87"/>
      <c r="EFQ46" s="87"/>
      <c r="EFR46" s="87"/>
      <c r="EFS46" s="87"/>
      <c r="EFT46" s="87"/>
      <c r="EFU46" s="87"/>
      <c r="EFV46" s="87"/>
      <c r="EFW46" s="87"/>
      <c r="EFX46" s="87"/>
      <c r="EFY46" s="87"/>
      <c r="EFZ46" s="87"/>
      <c r="EGA46" s="87"/>
      <c r="EGB46" s="87"/>
      <c r="EGC46" s="87"/>
      <c r="EGD46" s="87"/>
      <c r="EGE46" s="87"/>
      <c r="EGF46" s="87"/>
      <c r="EGG46" s="87"/>
      <c r="EGH46" s="87"/>
      <c r="EGI46" s="87"/>
      <c r="EGJ46" s="87"/>
      <c r="EGK46" s="87"/>
      <c r="EGL46" s="87"/>
      <c r="EGM46" s="87"/>
      <c r="EGN46" s="87"/>
      <c r="EGO46" s="87"/>
      <c r="EGP46" s="87"/>
      <c r="EGQ46" s="87"/>
      <c r="EGR46" s="87"/>
      <c r="EGS46" s="87"/>
      <c r="EGT46" s="87"/>
      <c r="EGU46" s="87"/>
      <c r="EGV46" s="87"/>
      <c r="EGW46" s="87"/>
      <c r="EGX46" s="87"/>
      <c r="EGY46" s="87"/>
      <c r="EGZ46" s="87"/>
      <c r="EHA46" s="87"/>
      <c r="EHB46" s="87"/>
      <c r="EHC46" s="87"/>
      <c r="EHD46" s="87"/>
      <c r="EHE46" s="87"/>
      <c r="EHF46" s="87"/>
      <c r="EHG46" s="87"/>
      <c r="EHH46" s="87"/>
      <c r="EHI46" s="87"/>
      <c r="EHJ46" s="87"/>
      <c r="EHK46" s="87"/>
      <c r="EHL46" s="87"/>
      <c r="EHM46" s="87"/>
      <c r="EHN46" s="87"/>
      <c r="EHO46" s="87"/>
      <c r="EHP46" s="87"/>
      <c r="EHQ46" s="87"/>
      <c r="EHR46" s="87"/>
      <c r="EHS46" s="87"/>
      <c r="EHT46" s="87"/>
      <c r="EHU46" s="87"/>
      <c r="EHV46" s="87"/>
      <c r="EHW46" s="87"/>
      <c r="EHX46" s="87"/>
      <c r="EHY46" s="87"/>
      <c r="EHZ46" s="87"/>
      <c r="EIA46" s="87"/>
      <c r="EIB46" s="87"/>
      <c r="EIC46" s="87"/>
      <c r="EID46" s="87"/>
      <c r="EIE46" s="87"/>
      <c r="EIF46" s="87"/>
      <c r="EIG46" s="87"/>
      <c r="EIH46" s="87"/>
      <c r="EII46" s="87"/>
      <c r="EIJ46" s="87"/>
      <c r="EIK46" s="87"/>
      <c r="EIL46" s="87"/>
      <c r="EIM46" s="87"/>
      <c r="EIN46" s="87"/>
      <c r="EIO46" s="87"/>
      <c r="EIP46" s="87"/>
      <c r="EIQ46" s="87"/>
      <c r="EIR46" s="87"/>
      <c r="EIS46" s="87"/>
      <c r="EIT46" s="87"/>
      <c r="EIU46" s="87"/>
      <c r="EIV46" s="87"/>
      <c r="EIW46" s="87"/>
      <c r="EIX46" s="87"/>
      <c r="EIY46" s="87"/>
      <c r="EIZ46" s="87"/>
      <c r="EJA46" s="87"/>
      <c r="EJB46" s="87"/>
      <c r="EJC46" s="87"/>
      <c r="EJD46" s="87"/>
      <c r="EJE46" s="87"/>
      <c r="EJF46" s="87"/>
      <c r="EJG46" s="87"/>
      <c r="EJH46" s="87"/>
      <c r="EJI46" s="87"/>
      <c r="EJJ46" s="87"/>
      <c r="EJK46" s="87"/>
      <c r="EJL46" s="87"/>
      <c r="EJM46" s="87"/>
      <c r="EJN46" s="87"/>
      <c r="EJO46" s="87"/>
      <c r="EJP46" s="87"/>
      <c r="EJQ46" s="87"/>
      <c r="EJR46" s="87"/>
      <c r="EJS46" s="87"/>
      <c r="EJT46" s="87"/>
      <c r="EJU46" s="87"/>
      <c r="EJV46" s="87"/>
      <c r="EJW46" s="87"/>
      <c r="EJX46" s="87"/>
      <c r="EJY46" s="87"/>
      <c r="EJZ46" s="87"/>
      <c r="EKA46" s="87"/>
      <c r="EKB46" s="87"/>
      <c r="EKC46" s="87"/>
      <c r="EKD46" s="87"/>
      <c r="EKE46" s="87"/>
      <c r="EKF46" s="87"/>
      <c r="EKG46" s="87"/>
      <c r="EKH46" s="87"/>
      <c r="EKI46" s="87"/>
      <c r="EKJ46" s="87"/>
      <c r="EKK46" s="87"/>
      <c r="EKL46" s="87"/>
      <c r="EKM46" s="87"/>
      <c r="EKN46" s="87"/>
      <c r="EKO46" s="87"/>
      <c r="EKP46" s="87"/>
      <c r="EKQ46" s="87"/>
      <c r="EKR46" s="87"/>
      <c r="EKS46" s="87"/>
      <c r="EKT46" s="87"/>
      <c r="EKU46" s="87"/>
      <c r="EKV46" s="87"/>
      <c r="EKW46" s="87"/>
      <c r="EKX46" s="87"/>
      <c r="EKY46" s="87"/>
      <c r="EKZ46" s="87"/>
      <c r="ELA46" s="87"/>
      <c r="ELB46" s="87"/>
      <c r="ELC46" s="87"/>
      <c r="ELD46" s="87"/>
      <c r="ELE46" s="87"/>
      <c r="ELF46" s="87"/>
      <c r="ELG46" s="87"/>
      <c r="ELH46" s="87"/>
      <c r="ELI46" s="87"/>
      <c r="ELJ46" s="87"/>
      <c r="ELK46" s="87"/>
      <c r="ELL46" s="87"/>
      <c r="ELM46" s="87"/>
      <c r="ELN46" s="87"/>
      <c r="ELO46" s="87"/>
      <c r="ELP46" s="87"/>
      <c r="ELQ46" s="87"/>
      <c r="ELR46" s="87"/>
      <c r="ELS46" s="87"/>
      <c r="ELT46" s="87"/>
      <c r="ELU46" s="87"/>
      <c r="ELV46" s="87"/>
      <c r="ELW46" s="87"/>
      <c r="ELX46" s="87"/>
      <c r="ELY46" s="87"/>
      <c r="ELZ46" s="87"/>
      <c r="EMA46" s="87"/>
      <c r="EMB46" s="87"/>
      <c r="EMC46" s="87"/>
      <c r="EMD46" s="87"/>
      <c r="EME46" s="87"/>
      <c r="EMF46" s="87"/>
      <c r="EMG46" s="87"/>
      <c r="EMH46" s="87"/>
      <c r="EMI46" s="87"/>
      <c r="EMJ46" s="87"/>
      <c r="EMK46" s="87"/>
      <c r="EML46" s="87"/>
      <c r="EMM46" s="87"/>
      <c r="EMN46" s="87"/>
      <c r="EMO46" s="87"/>
      <c r="EMP46" s="87"/>
      <c r="EMQ46" s="87"/>
      <c r="EMR46" s="87"/>
      <c r="EMS46" s="87"/>
      <c r="EMT46" s="87"/>
      <c r="EMU46" s="87"/>
      <c r="EMV46" s="87"/>
      <c r="EMW46" s="87"/>
      <c r="EMX46" s="87"/>
      <c r="EMY46" s="87"/>
      <c r="EMZ46" s="87"/>
      <c r="ENA46" s="87"/>
      <c r="ENB46" s="87"/>
      <c r="ENC46" s="87"/>
      <c r="END46" s="87"/>
      <c r="ENE46" s="87"/>
      <c r="ENF46" s="87"/>
      <c r="ENG46" s="87"/>
      <c r="ENH46" s="87"/>
      <c r="ENI46" s="87"/>
      <c r="ENJ46" s="87"/>
      <c r="ENK46" s="87"/>
      <c r="ENL46" s="87"/>
      <c r="ENM46" s="87"/>
      <c r="ENN46" s="87"/>
      <c r="ENO46" s="87"/>
      <c r="ENP46" s="87"/>
      <c r="ENQ46" s="87"/>
      <c r="ENR46" s="87"/>
      <c r="ENS46" s="87"/>
      <c r="ENT46" s="87"/>
      <c r="ENU46" s="87"/>
      <c r="ENV46" s="87"/>
      <c r="ENW46" s="87"/>
      <c r="ENX46" s="87"/>
      <c r="ENY46" s="87"/>
      <c r="ENZ46" s="87"/>
      <c r="EOA46" s="87"/>
      <c r="EOB46" s="87"/>
      <c r="EOC46" s="87"/>
      <c r="EOD46" s="87"/>
      <c r="EOE46" s="87"/>
      <c r="EOF46" s="87"/>
      <c r="EOG46" s="87"/>
      <c r="EOH46" s="87"/>
      <c r="EOI46" s="87"/>
      <c r="EOJ46" s="87"/>
      <c r="EOK46" s="87"/>
      <c r="EOL46" s="87"/>
      <c r="EOM46" s="87"/>
      <c r="EON46" s="87"/>
      <c r="EOO46" s="87"/>
      <c r="EOP46" s="87"/>
      <c r="EOQ46" s="87"/>
      <c r="EOR46" s="87"/>
      <c r="EOS46" s="87"/>
      <c r="EOT46" s="87"/>
      <c r="EOU46" s="87"/>
      <c r="EOV46" s="87"/>
      <c r="EOW46" s="87"/>
      <c r="EOX46" s="87"/>
      <c r="EOY46" s="87"/>
      <c r="EOZ46" s="87"/>
      <c r="EPA46" s="87"/>
      <c r="EPB46" s="87"/>
      <c r="EPC46" s="87"/>
      <c r="EPD46" s="87"/>
      <c r="EPE46" s="87"/>
      <c r="EPF46" s="87"/>
      <c r="EPG46" s="87"/>
      <c r="EPH46" s="87"/>
      <c r="EPI46" s="87"/>
      <c r="EPJ46" s="87"/>
      <c r="EPK46" s="87"/>
      <c r="EPL46" s="87"/>
      <c r="EPM46" s="87"/>
      <c r="EPN46" s="87"/>
      <c r="EPO46" s="87"/>
      <c r="EPP46" s="87"/>
      <c r="EPQ46" s="87"/>
      <c r="EPR46" s="87"/>
      <c r="EPS46" s="87"/>
      <c r="EPT46" s="87"/>
      <c r="EPU46" s="87"/>
      <c r="EPV46" s="87"/>
      <c r="EPW46" s="87"/>
      <c r="EPX46" s="87"/>
      <c r="EPY46" s="87"/>
      <c r="EPZ46" s="87"/>
      <c r="EQA46" s="87"/>
      <c r="EQB46" s="87"/>
      <c r="EQC46" s="87"/>
      <c r="EQD46" s="87"/>
      <c r="EQE46" s="87"/>
      <c r="EQF46" s="87"/>
      <c r="EQG46" s="87"/>
      <c r="EQH46" s="87"/>
      <c r="EQI46" s="87"/>
      <c r="EQJ46" s="87"/>
      <c r="EQK46" s="87"/>
      <c r="EQL46" s="87"/>
      <c r="EQM46" s="87"/>
      <c r="EQN46" s="87"/>
      <c r="EQO46" s="87"/>
      <c r="EQP46" s="87"/>
      <c r="EQQ46" s="87"/>
      <c r="EQR46" s="87"/>
      <c r="EQS46" s="87"/>
      <c r="EQT46" s="87"/>
      <c r="EQU46" s="87"/>
      <c r="EQV46" s="87"/>
      <c r="EQW46" s="87"/>
      <c r="EQX46" s="87"/>
      <c r="EQY46" s="87"/>
      <c r="EQZ46" s="87"/>
      <c r="ERA46" s="87"/>
      <c r="ERB46" s="87"/>
      <c r="ERC46" s="87"/>
      <c r="ERD46" s="87"/>
      <c r="ERE46" s="87"/>
      <c r="ERF46" s="87"/>
      <c r="ERG46" s="87"/>
      <c r="ERH46" s="87"/>
      <c r="ERI46" s="87"/>
      <c r="ERJ46" s="87"/>
      <c r="ERK46" s="87"/>
      <c r="ERL46" s="87"/>
      <c r="ERM46" s="87"/>
      <c r="ERN46" s="87"/>
      <c r="ERO46" s="87"/>
      <c r="ERP46" s="87"/>
      <c r="ERQ46" s="87"/>
      <c r="ERR46" s="87"/>
      <c r="ERS46" s="87"/>
      <c r="ERT46" s="87"/>
      <c r="ERU46" s="87"/>
      <c r="ERV46" s="87"/>
      <c r="ERW46" s="87"/>
      <c r="ERX46" s="87"/>
      <c r="ERY46" s="87"/>
      <c r="ERZ46" s="87"/>
      <c r="ESA46" s="87"/>
      <c r="ESB46" s="87"/>
      <c r="ESC46" s="87"/>
      <c r="ESD46" s="87"/>
      <c r="ESE46" s="87"/>
      <c r="ESF46" s="87"/>
      <c r="ESG46" s="87"/>
      <c r="ESH46" s="87"/>
      <c r="ESI46" s="87"/>
      <c r="ESJ46" s="87"/>
      <c r="ESK46" s="87"/>
      <c r="ESL46" s="87"/>
      <c r="ESM46" s="87"/>
      <c r="ESN46" s="87"/>
      <c r="ESO46" s="87"/>
      <c r="ESP46" s="87"/>
      <c r="ESQ46" s="87"/>
      <c r="ESR46" s="87"/>
      <c r="ESS46" s="87"/>
      <c r="EST46" s="87"/>
      <c r="ESU46" s="87"/>
      <c r="ESV46" s="87"/>
      <c r="ESW46" s="87"/>
      <c r="ESX46" s="87"/>
      <c r="ESY46" s="87"/>
      <c r="ESZ46" s="87"/>
      <c r="ETA46" s="87"/>
      <c r="ETB46" s="87"/>
      <c r="ETC46" s="87"/>
      <c r="ETD46" s="87"/>
      <c r="ETE46" s="87"/>
      <c r="ETF46" s="87"/>
      <c r="ETG46" s="87"/>
      <c r="ETH46" s="87"/>
      <c r="ETI46" s="87"/>
      <c r="ETJ46" s="87"/>
      <c r="ETK46" s="87"/>
      <c r="ETL46" s="87"/>
      <c r="ETM46" s="87"/>
      <c r="ETN46" s="87"/>
      <c r="ETO46" s="87"/>
      <c r="ETP46" s="87"/>
      <c r="ETQ46" s="87"/>
      <c r="ETR46" s="87"/>
      <c r="ETS46" s="87"/>
      <c r="ETT46" s="87"/>
      <c r="ETU46" s="87"/>
      <c r="ETV46" s="87"/>
      <c r="ETW46" s="87"/>
      <c r="ETX46" s="87"/>
      <c r="ETY46" s="87"/>
      <c r="ETZ46" s="87"/>
      <c r="EUA46" s="87"/>
      <c r="EUB46" s="87"/>
      <c r="EUC46" s="87"/>
      <c r="EUD46" s="87"/>
      <c r="EUE46" s="87"/>
      <c r="EUF46" s="87"/>
      <c r="EUG46" s="87"/>
      <c r="EUH46" s="87"/>
      <c r="EUI46" s="87"/>
      <c r="EUJ46" s="87"/>
      <c r="EUK46" s="87"/>
      <c r="EUL46" s="87"/>
      <c r="EUM46" s="87"/>
      <c r="EUN46" s="87"/>
      <c r="EUO46" s="87"/>
      <c r="EUP46" s="87"/>
      <c r="EUQ46" s="87"/>
      <c r="EUR46" s="87"/>
      <c r="EUS46" s="87"/>
      <c r="EUT46" s="87"/>
      <c r="EUU46" s="87"/>
      <c r="EUV46" s="87"/>
      <c r="EUW46" s="87"/>
      <c r="EUX46" s="87"/>
      <c r="EUY46" s="87"/>
      <c r="EUZ46" s="87"/>
      <c r="EVA46" s="87"/>
      <c r="EVB46" s="87"/>
      <c r="EVC46" s="87"/>
      <c r="EVD46" s="87"/>
      <c r="EVE46" s="87"/>
      <c r="EVF46" s="87"/>
      <c r="EVG46" s="87"/>
      <c r="EVH46" s="87"/>
      <c r="EVI46" s="87"/>
      <c r="EVJ46" s="87"/>
      <c r="EVK46" s="87"/>
      <c r="EVL46" s="87"/>
      <c r="EVM46" s="87"/>
      <c r="EVN46" s="87"/>
      <c r="EVO46" s="87"/>
      <c r="EVP46" s="87"/>
      <c r="EVQ46" s="87"/>
      <c r="EVR46" s="87"/>
      <c r="EVS46" s="87"/>
      <c r="EVT46" s="87"/>
      <c r="EVU46" s="87"/>
      <c r="EVV46" s="87"/>
      <c r="EVW46" s="87"/>
      <c r="EVX46" s="87"/>
      <c r="EVY46" s="87"/>
      <c r="EVZ46" s="87"/>
      <c r="EWA46" s="87"/>
      <c r="EWB46" s="87"/>
      <c r="EWC46" s="87"/>
      <c r="EWD46" s="87"/>
      <c r="EWE46" s="87"/>
      <c r="EWF46" s="87"/>
      <c r="EWG46" s="87"/>
      <c r="EWH46" s="87"/>
      <c r="EWI46" s="87"/>
      <c r="EWJ46" s="87"/>
      <c r="EWK46" s="87"/>
      <c r="EWL46" s="87"/>
      <c r="EWM46" s="87"/>
      <c r="EWN46" s="87"/>
      <c r="EWO46" s="87"/>
      <c r="EWP46" s="87"/>
      <c r="EWQ46" s="87"/>
      <c r="EWR46" s="87"/>
      <c r="EWS46" s="87"/>
      <c r="EWT46" s="87"/>
      <c r="EWU46" s="87"/>
      <c r="EWV46" s="87"/>
      <c r="EWW46" s="87"/>
      <c r="EWX46" s="87"/>
      <c r="EWY46" s="87"/>
      <c r="EWZ46" s="87"/>
      <c r="EXA46" s="87"/>
      <c r="EXB46" s="87"/>
      <c r="EXC46" s="87"/>
      <c r="EXD46" s="87"/>
      <c r="EXE46" s="87"/>
      <c r="EXF46" s="87"/>
      <c r="EXG46" s="87"/>
      <c r="EXH46" s="87"/>
      <c r="EXI46" s="87"/>
      <c r="EXJ46" s="87"/>
      <c r="EXK46" s="87"/>
      <c r="EXL46" s="87"/>
      <c r="EXM46" s="87"/>
      <c r="EXN46" s="87"/>
      <c r="EXO46" s="87"/>
      <c r="EXP46" s="87"/>
      <c r="EXQ46" s="87"/>
      <c r="EXR46" s="87"/>
      <c r="EXS46" s="87"/>
      <c r="EXT46" s="87"/>
      <c r="EXU46" s="87"/>
      <c r="EXV46" s="87"/>
      <c r="EXW46" s="87"/>
      <c r="EXX46" s="87"/>
      <c r="EXY46" s="87"/>
      <c r="EXZ46" s="87"/>
      <c r="EYA46" s="87"/>
      <c r="EYB46" s="87"/>
      <c r="EYC46" s="87"/>
      <c r="EYD46" s="87"/>
      <c r="EYE46" s="87"/>
      <c r="EYF46" s="87"/>
      <c r="EYG46" s="87"/>
      <c r="EYH46" s="87"/>
      <c r="EYI46" s="87"/>
      <c r="EYJ46" s="87"/>
      <c r="EYK46" s="87"/>
      <c r="EYL46" s="87"/>
      <c r="EYM46" s="87"/>
      <c r="EYN46" s="87"/>
      <c r="EYO46" s="87"/>
      <c r="EYP46" s="87"/>
      <c r="EYQ46" s="87"/>
      <c r="EYR46" s="87"/>
      <c r="EYS46" s="87"/>
      <c r="EYT46" s="87"/>
      <c r="EYU46" s="87"/>
      <c r="EYV46" s="87"/>
      <c r="EYW46" s="87"/>
      <c r="EYX46" s="87"/>
      <c r="EYY46" s="87"/>
      <c r="EYZ46" s="87"/>
      <c r="EZA46" s="87"/>
      <c r="EZB46" s="87"/>
      <c r="EZC46" s="87"/>
      <c r="EZD46" s="87"/>
      <c r="EZE46" s="87"/>
      <c r="EZF46" s="87"/>
      <c r="EZG46" s="87"/>
      <c r="EZH46" s="87"/>
      <c r="EZI46" s="87"/>
      <c r="EZJ46" s="87"/>
      <c r="EZK46" s="87"/>
      <c r="EZL46" s="87"/>
      <c r="EZM46" s="87"/>
      <c r="EZN46" s="87"/>
      <c r="EZO46" s="87"/>
      <c r="EZP46" s="87"/>
      <c r="EZQ46" s="87"/>
      <c r="EZR46" s="87"/>
      <c r="EZS46" s="87"/>
      <c r="EZT46" s="87"/>
      <c r="EZU46" s="87"/>
      <c r="EZV46" s="87"/>
      <c r="EZW46" s="87"/>
      <c r="EZX46" s="87"/>
      <c r="EZY46" s="87"/>
      <c r="EZZ46" s="87"/>
      <c r="FAA46" s="87"/>
      <c r="FAB46" s="87"/>
      <c r="FAC46" s="87"/>
      <c r="FAD46" s="87"/>
      <c r="FAE46" s="87"/>
      <c r="FAF46" s="87"/>
      <c r="FAG46" s="87"/>
      <c r="FAH46" s="87"/>
      <c r="FAI46" s="87"/>
      <c r="FAJ46" s="87"/>
      <c r="FAK46" s="87"/>
      <c r="FAL46" s="87"/>
      <c r="FAM46" s="87"/>
      <c r="FAN46" s="87"/>
      <c r="FAO46" s="87"/>
      <c r="FAP46" s="87"/>
      <c r="FAQ46" s="87"/>
      <c r="FAR46" s="87"/>
      <c r="FAS46" s="87"/>
      <c r="FAT46" s="87"/>
      <c r="FAU46" s="87"/>
      <c r="FAV46" s="87"/>
      <c r="FAW46" s="87"/>
      <c r="FAX46" s="87"/>
      <c r="FAY46" s="87"/>
      <c r="FAZ46" s="87"/>
      <c r="FBA46" s="87"/>
      <c r="FBB46" s="87"/>
      <c r="FBC46" s="87"/>
      <c r="FBD46" s="87"/>
      <c r="FBE46" s="87"/>
      <c r="FBF46" s="87"/>
      <c r="FBG46" s="87"/>
      <c r="FBH46" s="87"/>
      <c r="FBI46" s="87"/>
      <c r="FBJ46" s="87"/>
      <c r="FBK46" s="87"/>
      <c r="FBL46" s="87"/>
      <c r="FBM46" s="87"/>
      <c r="FBN46" s="87"/>
      <c r="FBO46" s="87"/>
      <c r="FBP46" s="87"/>
      <c r="FBQ46" s="87"/>
      <c r="FBR46" s="87"/>
      <c r="FBS46" s="87"/>
      <c r="FBT46" s="87"/>
      <c r="FBU46" s="87"/>
      <c r="FBV46" s="87"/>
      <c r="FBW46" s="87"/>
      <c r="FBX46" s="87"/>
      <c r="FBY46" s="87"/>
      <c r="FBZ46" s="87"/>
      <c r="FCA46" s="87"/>
      <c r="FCB46" s="87"/>
      <c r="FCC46" s="87"/>
      <c r="FCD46" s="87"/>
      <c r="FCE46" s="87"/>
      <c r="FCF46" s="87"/>
      <c r="FCG46" s="87"/>
      <c r="FCH46" s="87"/>
      <c r="FCI46" s="87"/>
      <c r="FCJ46" s="87"/>
      <c r="FCK46" s="87"/>
      <c r="FCL46" s="87"/>
      <c r="FCM46" s="87"/>
      <c r="FCN46" s="87"/>
      <c r="FCO46" s="87"/>
      <c r="FCP46" s="87"/>
      <c r="FCQ46" s="87"/>
      <c r="FCR46" s="87"/>
      <c r="FCS46" s="87"/>
      <c r="FCT46" s="87"/>
      <c r="FCU46" s="87"/>
      <c r="FCV46" s="87"/>
      <c r="FCW46" s="87"/>
      <c r="FCX46" s="87"/>
      <c r="FCY46" s="87"/>
      <c r="FCZ46" s="87"/>
      <c r="FDA46" s="87"/>
      <c r="FDB46" s="87"/>
      <c r="FDC46" s="87"/>
      <c r="FDD46" s="87"/>
      <c r="FDE46" s="87"/>
      <c r="FDF46" s="87"/>
      <c r="FDG46" s="87"/>
      <c r="FDH46" s="87"/>
      <c r="FDI46" s="87"/>
      <c r="FDJ46" s="87"/>
      <c r="FDK46" s="87"/>
      <c r="FDL46" s="87"/>
      <c r="FDM46" s="87"/>
      <c r="FDN46" s="87"/>
      <c r="FDO46" s="87"/>
      <c r="FDP46" s="87"/>
      <c r="FDQ46" s="87"/>
      <c r="FDR46" s="87"/>
      <c r="FDS46" s="87"/>
      <c r="FDT46" s="87"/>
      <c r="FDU46" s="87"/>
      <c r="FDV46" s="87"/>
      <c r="FDW46" s="87"/>
      <c r="FDX46" s="87"/>
      <c r="FDY46" s="87"/>
      <c r="FDZ46" s="87"/>
      <c r="FEA46" s="87"/>
      <c r="FEB46" s="87"/>
      <c r="FEC46" s="87"/>
      <c r="FED46" s="87"/>
      <c r="FEE46" s="87"/>
      <c r="FEF46" s="87"/>
      <c r="FEG46" s="87"/>
      <c r="FEH46" s="87"/>
      <c r="FEI46" s="87"/>
      <c r="FEJ46" s="87"/>
      <c r="FEK46" s="87"/>
      <c r="FEL46" s="87"/>
      <c r="FEM46" s="87"/>
      <c r="FEN46" s="87"/>
      <c r="FEO46" s="87"/>
      <c r="FEP46" s="87"/>
      <c r="FEQ46" s="87"/>
      <c r="FER46" s="87"/>
      <c r="FES46" s="87"/>
      <c r="FET46" s="87"/>
      <c r="FEU46" s="87"/>
      <c r="FEV46" s="87"/>
      <c r="FEW46" s="87"/>
      <c r="FEX46" s="87"/>
      <c r="FEY46" s="87"/>
      <c r="FEZ46" s="87"/>
      <c r="FFA46" s="87"/>
      <c r="FFB46" s="87"/>
      <c r="FFC46" s="87"/>
      <c r="FFD46" s="87"/>
      <c r="FFE46" s="87"/>
      <c r="FFF46" s="87"/>
      <c r="FFG46" s="87"/>
      <c r="FFH46" s="87"/>
      <c r="FFI46" s="87"/>
      <c r="FFJ46" s="87"/>
      <c r="FFK46" s="87"/>
      <c r="FFL46" s="87"/>
      <c r="FFM46" s="87"/>
      <c r="FFN46" s="87"/>
      <c r="FFO46" s="87"/>
      <c r="FFP46" s="87"/>
      <c r="FFQ46" s="87"/>
      <c r="FFR46" s="87"/>
      <c r="FFS46" s="87"/>
      <c r="FFT46" s="87"/>
      <c r="FFU46" s="87"/>
      <c r="FFV46" s="87"/>
      <c r="FFW46" s="87"/>
      <c r="FFX46" s="87"/>
      <c r="FFY46" s="87"/>
      <c r="FFZ46" s="87"/>
      <c r="FGA46" s="87"/>
      <c r="FGB46" s="87"/>
      <c r="FGC46" s="87"/>
      <c r="FGD46" s="87"/>
      <c r="FGE46" s="87"/>
      <c r="FGF46" s="87"/>
      <c r="FGG46" s="87"/>
      <c r="FGH46" s="87"/>
      <c r="FGI46" s="87"/>
      <c r="FGJ46" s="87"/>
      <c r="FGK46" s="87"/>
      <c r="FGL46" s="87"/>
      <c r="FGM46" s="87"/>
      <c r="FGN46" s="87"/>
      <c r="FGO46" s="87"/>
      <c r="FGP46" s="87"/>
      <c r="FGQ46" s="87"/>
      <c r="FGR46" s="87"/>
      <c r="FGS46" s="87"/>
      <c r="FGT46" s="87"/>
      <c r="FGU46" s="87"/>
      <c r="FGV46" s="87"/>
      <c r="FGW46" s="87"/>
      <c r="FGX46" s="87"/>
      <c r="FGY46" s="87"/>
      <c r="FGZ46" s="87"/>
      <c r="FHA46" s="87"/>
      <c r="FHB46" s="87"/>
      <c r="FHC46" s="87"/>
      <c r="FHD46" s="87"/>
      <c r="FHE46" s="87"/>
      <c r="FHF46" s="87"/>
      <c r="FHG46" s="87"/>
      <c r="FHH46" s="87"/>
      <c r="FHI46" s="87"/>
      <c r="FHJ46" s="87"/>
      <c r="FHK46" s="87"/>
      <c r="FHL46" s="87"/>
      <c r="FHM46" s="87"/>
      <c r="FHN46" s="87"/>
      <c r="FHO46" s="87"/>
      <c r="FHP46" s="87"/>
      <c r="FHQ46" s="87"/>
      <c r="FHR46" s="87"/>
      <c r="FHS46" s="87"/>
      <c r="FHT46" s="87"/>
      <c r="FHU46" s="87"/>
      <c r="FHV46" s="87"/>
      <c r="FHW46" s="87"/>
      <c r="FHX46" s="87"/>
      <c r="FHY46" s="87"/>
      <c r="FHZ46" s="87"/>
      <c r="FIA46" s="87"/>
      <c r="FIB46" s="87"/>
      <c r="FIC46" s="87"/>
      <c r="FID46" s="87"/>
      <c r="FIE46" s="87"/>
      <c r="FIF46" s="87"/>
      <c r="FIG46" s="87"/>
      <c r="FIH46" s="87"/>
      <c r="FII46" s="87"/>
      <c r="FIJ46" s="87"/>
      <c r="FIK46" s="87"/>
      <c r="FIL46" s="87"/>
      <c r="FIM46" s="87"/>
      <c r="FIN46" s="87"/>
      <c r="FIO46" s="87"/>
      <c r="FIP46" s="87"/>
      <c r="FIQ46" s="87"/>
      <c r="FIR46" s="87"/>
      <c r="FIS46" s="87"/>
      <c r="FIT46" s="87"/>
      <c r="FIU46" s="87"/>
      <c r="FIV46" s="87"/>
      <c r="FIW46" s="87"/>
      <c r="FIX46" s="87"/>
      <c r="FIY46" s="87"/>
      <c r="FIZ46" s="87"/>
      <c r="FJA46" s="87"/>
      <c r="FJB46" s="87"/>
      <c r="FJC46" s="87"/>
      <c r="FJD46" s="87"/>
      <c r="FJE46" s="87"/>
      <c r="FJF46" s="87"/>
      <c r="FJG46" s="87"/>
      <c r="FJH46" s="87"/>
      <c r="FJI46" s="87"/>
      <c r="FJJ46" s="87"/>
      <c r="FJK46" s="87"/>
      <c r="FJL46" s="87"/>
      <c r="FJM46" s="87"/>
      <c r="FJN46" s="87"/>
      <c r="FJO46" s="87"/>
      <c r="FJP46" s="87"/>
      <c r="FJQ46" s="87"/>
      <c r="FJR46" s="87"/>
      <c r="FJS46" s="87"/>
      <c r="FJT46" s="87"/>
      <c r="FJU46" s="87"/>
      <c r="FJV46" s="87"/>
      <c r="FJW46" s="87"/>
      <c r="FJX46" s="87"/>
      <c r="FJY46" s="87"/>
      <c r="FJZ46" s="87"/>
      <c r="FKA46" s="87"/>
      <c r="FKB46" s="87"/>
      <c r="FKC46" s="87"/>
      <c r="FKD46" s="87"/>
      <c r="FKE46" s="87"/>
      <c r="FKF46" s="87"/>
      <c r="FKG46" s="87"/>
      <c r="FKH46" s="87"/>
      <c r="FKI46" s="87"/>
      <c r="FKJ46" s="87"/>
      <c r="FKK46" s="87"/>
      <c r="FKL46" s="87"/>
      <c r="FKM46" s="87"/>
      <c r="FKN46" s="87"/>
      <c r="FKO46" s="87"/>
      <c r="FKP46" s="87"/>
      <c r="FKQ46" s="87"/>
      <c r="FKR46" s="87"/>
      <c r="FKS46" s="87"/>
      <c r="FKT46" s="87"/>
      <c r="FKU46" s="87"/>
      <c r="FKV46" s="87"/>
      <c r="FKW46" s="87"/>
      <c r="FKX46" s="87"/>
      <c r="FKY46" s="87"/>
      <c r="FKZ46" s="87"/>
      <c r="FLA46" s="87"/>
      <c r="FLB46" s="87"/>
      <c r="FLC46" s="87"/>
      <c r="FLD46" s="87"/>
      <c r="FLE46" s="87"/>
      <c r="FLF46" s="87"/>
      <c r="FLG46" s="87"/>
      <c r="FLH46" s="87"/>
      <c r="FLI46" s="87"/>
      <c r="FLJ46" s="87"/>
      <c r="FLK46" s="87"/>
      <c r="FLL46" s="87"/>
      <c r="FLM46" s="87"/>
      <c r="FLN46" s="87"/>
      <c r="FLO46" s="87"/>
      <c r="FLP46" s="87"/>
      <c r="FLQ46" s="87"/>
      <c r="FLR46" s="87"/>
      <c r="FLS46" s="87"/>
      <c r="FLT46" s="87"/>
      <c r="FLU46" s="87"/>
      <c r="FLV46" s="87"/>
      <c r="FLW46" s="87"/>
      <c r="FLX46" s="87"/>
      <c r="FLY46" s="87"/>
      <c r="FLZ46" s="87"/>
      <c r="FMA46" s="87"/>
      <c r="FMB46" s="87"/>
      <c r="FMC46" s="87"/>
      <c r="FMD46" s="87"/>
      <c r="FME46" s="87"/>
      <c r="FMF46" s="87"/>
      <c r="FMG46" s="87"/>
      <c r="FMH46" s="87"/>
      <c r="FMI46" s="87"/>
      <c r="FMJ46" s="87"/>
      <c r="FMK46" s="87"/>
      <c r="FML46" s="87"/>
      <c r="FMM46" s="87"/>
      <c r="FMN46" s="87"/>
      <c r="FMO46" s="87"/>
      <c r="FMP46" s="87"/>
      <c r="FMQ46" s="87"/>
      <c r="FMR46" s="87"/>
      <c r="FMS46" s="87"/>
      <c r="FMT46" s="87"/>
      <c r="FMU46" s="87"/>
      <c r="FMV46" s="87"/>
      <c r="FMW46" s="87"/>
      <c r="FMX46" s="87"/>
      <c r="FMY46" s="87"/>
      <c r="FMZ46" s="87"/>
      <c r="FNA46" s="87"/>
      <c r="FNB46" s="87"/>
      <c r="FNC46" s="87"/>
      <c r="FND46" s="87"/>
      <c r="FNE46" s="87"/>
      <c r="FNF46" s="87"/>
      <c r="FNG46" s="87"/>
      <c r="FNH46" s="87"/>
      <c r="FNI46" s="87"/>
      <c r="FNJ46" s="87"/>
      <c r="FNK46" s="87"/>
      <c r="FNL46" s="87"/>
      <c r="FNM46" s="87"/>
      <c r="FNN46" s="87"/>
      <c r="FNO46" s="87"/>
      <c r="FNP46" s="87"/>
      <c r="FNQ46" s="87"/>
      <c r="FNR46" s="87"/>
      <c r="FNS46" s="87"/>
      <c r="FNT46" s="87"/>
      <c r="FNU46" s="87"/>
      <c r="FNV46" s="87"/>
      <c r="FNW46" s="87"/>
      <c r="FNX46" s="87"/>
      <c r="FNY46" s="87"/>
      <c r="FNZ46" s="87"/>
      <c r="FOA46" s="87"/>
      <c r="FOB46" s="87"/>
      <c r="FOC46" s="87"/>
      <c r="FOD46" s="87"/>
      <c r="FOE46" s="87"/>
      <c r="FOF46" s="87"/>
      <c r="FOG46" s="87"/>
      <c r="FOH46" s="87"/>
      <c r="FOI46" s="87"/>
      <c r="FOJ46" s="87"/>
      <c r="FOK46" s="87"/>
      <c r="FOL46" s="87"/>
      <c r="FOM46" s="87"/>
      <c r="FON46" s="87"/>
      <c r="FOO46" s="87"/>
      <c r="FOP46" s="87"/>
      <c r="FOQ46" s="87"/>
      <c r="FOR46" s="87"/>
      <c r="FOS46" s="87"/>
      <c r="FOT46" s="87"/>
      <c r="FOU46" s="87"/>
      <c r="FOV46" s="87"/>
      <c r="FOW46" s="87"/>
      <c r="FOX46" s="87"/>
      <c r="FOY46" s="87"/>
      <c r="FOZ46" s="87"/>
      <c r="FPA46" s="87"/>
      <c r="FPB46" s="87"/>
      <c r="FPC46" s="87"/>
      <c r="FPD46" s="87"/>
      <c r="FPE46" s="87"/>
      <c r="FPF46" s="87"/>
      <c r="FPG46" s="87"/>
      <c r="FPH46" s="87"/>
      <c r="FPI46" s="87"/>
      <c r="FPJ46" s="87"/>
      <c r="FPK46" s="87"/>
      <c r="FPL46" s="87"/>
      <c r="FPM46" s="87"/>
      <c r="FPN46" s="87"/>
      <c r="FPO46" s="87"/>
      <c r="FPP46" s="87"/>
      <c r="FPQ46" s="87"/>
      <c r="FPR46" s="87"/>
      <c r="FPS46" s="87"/>
      <c r="FPT46" s="87"/>
      <c r="FPU46" s="87"/>
      <c r="FPV46" s="87"/>
      <c r="FPW46" s="87"/>
      <c r="FPX46" s="87"/>
      <c r="FPY46" s="87"/>
      <c r="FPZ46" s="87"/>
      <c r="FQA46" s="87"/>
      <c r="FQB46" s="87"/>
      <c r="FQC46" s="87"/>
      <c r="FQD46" s="87"/>
      <c r="FQE46" s="87"/>
      <c r="FQF46" s="87"/>
      <c r="FQG46" s="87"/>
      <c r="FQH46" s="87"/>
      <c r="FQI46" s="87"/>
      <c r="FQJ46" s="87"/>
      <c r="FQK46" s="87"/>
      <c r="FQL46" s="87"/>
      <c r="FQM46" s="87"/>
      <c r="FQN46" s="87"/>
      <c r="FQO46" s="87"/>
      <c r="FQP46" s="87"/>
      <c r="FQQ46" s="87"/>
      <c r="FQR46" s="87"/>
      <c r="FQS46" s="87"/>
      <c r="FQT46" s="87"/>
      <c r="FQU46" s="87"/>
      <c r="FQV46" s="87"/>
      <c r="FQW46" s="87"/>
      <c r="FQX46" s="87"/>
      <c r="FQY46" s="87"/>
      <c r="FQZ46" s="87"/>
      <c r="FRA46" s="87"/>
      <c r="FRB46" s="87"/>
      <c r="FRC46" s="87"/>
      <c r="FRD46" s="87"/>
      <c r="FRE46" s="87"/>
      <c r="FRF46" s="87"/>
      <c r="FRG46" s="87"/>
      <c r="FRH46" s="87"/>
      <c r="FRI46" s="87"/>
      <c r="FRJ46" s="87"/>
      <c r="FRK46" s="87"/>
      <c r="FRL46" s="87"/>
      <c r="FRM46" s="87"/>
      <c r="FRN46" s="87"/>
      <c r="FRO46" s="87"/>
      <c r="FRP46" s="87"/>
      <c r="FRQ46" s="87"/>
      <c r="FRR46" s="87"/>
      <c r="FRS46" s="87"/>
      <c r="FRT46" s="87"/>
      <c r="FRU46" s="87"/>
      <c r="FRV46" s="87"/>
      <c r="FRW46" s="87"/>
      <c r="FRX46" s="87"/>
      <c r="FRY46" s="87"/>
      <c r="FRZ46" s="87"/>
      <c r="FSA46" s="87"/>
      <c r="FSB46" s="87"/>
      <c r="FSC46" s="87"/>
      <c r="FSD46" s="87"/>
      <c r="FSE46" s="87"/>
      <c r="FSF46" s="87"/>
      <c r="FSG46" s="87"/>
      <c r="FSH46" s="87"/>
      <c r="FSI46" s="87"/>
      <c r="FSJ46" s="87"/>
      <c r="FSK46" s="87"/>
      <c r="FSL46" s="87"/>
      <c r="FSM46" s="87"/>
      <c r="FSN46" s="87"/>
      <c r="FSO46" s="87"/>
      <c r="FSP46" s="87"/>
      <c r="FSQ46" s="87"/>
      <c r="FSR46" s="87"/>
      <c r="FSS46" s="87"/>
      <c r="FST46" s="87"/>
      <c r="FSU46" s="87"/>
      <c r="FSV46" s="87"/>
      <c r="FSW46" s="87"/>
      <c r="FSX46" s="87"/>
      <c r="FSY46" s="87"/>
      <c r="FSZ46" s="87"/>
      <c r="FTA46" s="87"/>
      <c r="FTB46" s="87"/>
      <c r="FTC46" s="87"/>
      <c r="FTD46" s="87"/>
      <c r="FTE46" s="87"/>
      <c r="FTF46" s="87"/>
      <c r="FTG46" s="87"/>
      <c r="FTH46" s="87"/>
      <c r="FTI46" s="87"/>
      <c r="FTJ46" s="87"/>
      <c r="FTK46" s="87"/>
      <c r="FTL46" s="87"/>
      <c r="FTM46" s="87"/>
      <c r="FTN46" s="87"/>
      <c r="FTO46" s="87"/>
      <c r="FTP46" s="87"/>
      <c r="FTQ46" s="87"/>
      <c r="FTR46" s="87"/>
      <c r="FTS46" s="87"/>
      <c r="FTT46" s="87"/>
      <c r="FTU46" s="87"/>
      <c r="FTV46" s="87"/>
      <c r="FTW46" s="87"/>
      <c r="FTX46" s="87"/>
      <c r="FTY46" s="87"/>
      <c r="FTZ46" s="87"/>
      <c r="FUA46" s="87"/>
      <c r="FUB46" s="87"/>
      <c r="FUC46" s="87"/>
      <c r="FUD46" s="87"/>
      <c r="FUE46" s="87"/>
      <c r="FUF46" s="87"/>
      <c r="FUG46" s="87"/>
      <c r="FUH46" s="87"/>
      <c r="FUI46" s="87"/>
      <c r="FUJ46" s="87"/>
      <c r="FUK46" s="87"/>
      <c r="FUL46" s="87"/>
      <c r="FUM46" s="87"/>
      <c r="FUN46" s="87"/>
      <c r="FUO46" s="87"/>
      <c r="FUP46" s="87"/>
      <c r="FUQ46" s="87"/>
      <c r="FUR46" s="87"/>
      <c r="FUS46" s="87"/>
      <c r="FUT46" s="87"/>
      <c r="FUU46" s="87"/>
      <c r="FUV46" s="87"/>
      <c r="FUW46" s="87"/>
      <c r="FUX46" s="87"/>
      <c r="FUY46" s="87"/>
      <c r="FUZ46" s="87"/>
      <c r="FVA46" s="87"/>
      <c r="FVB46" s="87"/>
      <c r="FVC46" s="87"/>
      <c r="FVD46" s="87"/>
      <c r="FVE46" s="87"/>
      <c r="FVF46" s="87"/>
      <c r="FVG46" s="87"/>
      <c r="FVH46" s="87"/>
      <c r="FVI46" s="87"/>
      <c r="FVJ46" s="87"/>
      <c r="FVK46" s="87"/>
      <c r="FVL46" s="87"/>
      <c r="FVM46" s="87"/>
      <c r="FVN46" s="87"/>
      <c r="FVO46" s="87"/>
      <c r="FVP46" s="87"/>
      <c r="FVQ46" s="87"/>
      <c r="FVR46" s="87"/>
      <c r="FVS46" s="87"/>
      <c r="FVT46" s="87"/>
      <c r="FVU46" s="87"/>
      <c r="FVV46" s="87"/>
      <c r="FVW46" s="87"/>
      <c r="FVX46" s="87"/>
      <c r="FVY46" s="87"/>
      <c r="FVZ46" s="87"/>
      <c r="FWA46" s="87"/>
      <c r="FWB46" s="87"/>
      <c r="FWC46" s="87"/>
      <c r="FWD46" s="87"/>
      <c r="FWE46" s="87"/>
      <c r="FWF46" s="87"/>
      <c r="FWG46" s="87"/>
      <c r="FWH46" s="87"/>
      <c r="FWI46" s="87"/>
      <c r="FWJ46" s="87"/>
      <c r="FWK46" s="87"/>
      <c r="FWL46" s="87"/>
      <c r="FWM46" s="87"/>
      <c r="FWN46" s="87"/>
      <c r="FWO46" s="87"/>
      <c r="FWP46" s="87"/>
      <c r="FWQ46" s="87"/>
      <c r="FWR46" s="87"/>
      <c r="FWS46" s="87"/>
      <c r="FWT46" s="87"/>
      <c r="FWU46" s="87"/>
      <c r="FWV46" s="87"/>
      <c r="FWW46" s="87"/>
      <c r="FWX46" s="87"/>
      <c r="FWY46" s="87"/>
      <c r="FWZ46" s="87"/>
      <c r="FXA46" s="87"/>
      <c r="FXB46" s="87"/>
      <c r="FXC46" s="87"/>
      <c r="FXD46" s="87"/>
      <c r="FXE46" s="87"/>
      <c r="FXF46" s="87"/>
      <c r="FXG46" s="87"/>
      <c r="FXH46" s="87"/>
      <c r="FXI46" s="87"/>
      <c r="FXJ46" s="87"/>
      <c r="FXK46" s="87"/>
      <c r="FXL46" s="87"/>
      <c r="FXM46" s="87"/>
      <c r="FXN46" s="87"/>
      <c r="FXO46" s="87"/>
      <c r="FXP46" s="87"/>
      <c r="FXQ46" s="87"/>
      <c r="FXR46" s="87"/>
      <c r="FXS46" s="87"/>
      <c r="FXT46" s="87"/>
      <c r="FXU46" s="87"/>
      <c r="FXV46" s="87"/>
      <c r="FXW46" s="87"/>
      <c r="FXX46" s="87"/>
      <c r="FXY46" s="87"/>
      <c r="FXZ46" s="87"/>
      <c r="FYA46" s="87"/>
      <c r="FYB46" s="87"/>
      <c r="FYC46" s="87"/>
      <c r="FYD46" s="87"/>
      <c r="FYE46" s="87"/>
      <c r="FYF46" s="87"/>
      <c r="FYG46" s="87"/>
      <c r="FYH46" s="87"/>
      <c r="FYI46" s="87"/>
      <c r="FYJ46" s="87"/>
      <c r="FYK46" s="87"/>
      <c r="FYL46" s="87"/>
      <c r="FYM46" s="87"/>
      <c r="FYN46" s="87"/>
      <c r="FYO46" s="87"/>
      <c r="FYP46" s="87"/>
      <c r="FYQ46" s="87"/>
      <c r="FYR46" s="87"/>
      <c r="FYS46" s="87"/>
      <c r="FYT46" s="87"/>
      <c r="FYU46" s="87"/>
      <c r="FYV46" s="87"/>
      <c r="FYW46" s="87"/>
      <c r="FYX46" s="87"/>
      <c r="FYY46" s="87"/>
      <c r="FYZ46" s="87"/>
      <c r="FZA46" s="87"/>
      <c r="FZB46" s="87"/>
      <c r="FZC46" s="87"/>
      <c r="FZD46" s="87"/>
      <c r="FZE46" s="87"/>
      <c r="FZF46" s="87"/>
      <c r="FZG46" s="87"/>
      <c r="FZH46" s="87"/>
      <c r="FZI46" s="87"/>
      <c r="FZJ46" s="87"/>
      <c r="FZK46" s="87"/>
      <c r="FZL46" s="87"/>
      <c r="FZM46" s="87"/>
      <c r="FZN46" s="87"/>
      <c r="FZO46" s="87"/>
      <c r="FZP46" s="87"/>
      <c r="FZQ46" s="87"/>
      <c r="FZR46" s="87"/>
      <c r="FZS46" s="87"/>
      <c r="FZT46" s="87"/>
      <c r="FZU46" s="87"/>
      <c r="FZV46" s="87"/>
      <c r="FZW46" s="87"/>
      <c r="FZX46" s="87"/>
      <c r="FZY46" s="87"/>
      <c r="FZZ46" s="87"/>
      <c r="GAA46" s="87"/>
      <c r="GAB46" s="87"/>
      <c r="GAC46" s="87"/>
      <c r="GAD46" s="87"/>
      <c r="GAE46" s="87"/>
      <c r="GAF46" s="87"/>
      <c r="GAG46" s="87"/>
      <c r="GAH46" s="87"/>
      <c r="GAI46" s="87"/>
      <c r="GAJ46" s="87"/>
      <c r="GAK46" s="87"/>
      <c r="GAL46" s="87"/>
      <c r="GAM46" s="87"/>
      <c r="GAN46" s="87"/>
      <c r="GAO46" s="87"/>
      <c r="GAP46" s="87"/>
      <c r="GAQ46" s="87"/>
      <c r="GAR46" s="87"/>
      <c r="GAS46" s="87"/>
      <c r="GAT46" s="87"/>
      <c r="GAU46" s="87"/>
      <c r="GAV46" s="87"/>
      <c r="GAW46" s="87"/>
      <c r="GAX46" s="87"/>
      <c r="GAY46" s="87"/>
      <c r="GAZ46" s="87"/>
      <c r="GBA46" s="87"/>
      <c r="GBB46" s="87"/>
      <c r="GBC46" s="87"/>
      <c r="GBD46" s="87"/>
      <c r="GBE46" s="87"/>
      <c r="GBF46" s="87"/>
      <c r="GBG46" s="87"/>
      <c r="GBH46" s="87"/>
      <c r="GBI46" s="87"/>
      <c r="GBJ46" s="87"/>
      <c r="GBK46" s="87"/>
      <c r="GBL46" s="87"/>
      <c r="GBM46" s="87"/>
      <c r="GBN46" s="87"/>
      <c r="GBO46" s="87"/>
      <c r="GBP46" s="87"/>
      <c r="GBQ46" s="87"/>
      <c r="GBR46" s="87"/>
      <c r="GBS46" s="87"/>
      <c r="GBT46" s="87"/>
      <c r="GBU46" s="87"/>
      <c r="GBV46" s="87"/>
      <c r="GBW46" s="87"/>
      <c r="GBX46" s="87"/>
      <c r="GBY46" s="87"/>
      <c r="GBZ46" s="87"/>
      <c r="GCA46" s="87"/>
      <c r="GCB46" s="87"/>
      <c r="GCC46" s="87"/>
      <c r="GCD46" s="87"/>
      <c r="GCE46" s="87"/>
      <c r="GCF46" s="87"/>
      <c r="GCG46" s="87"/>
      <c r="GCH46" s="87"/>
      <c r="GCI46" s="87"/>
      <c r="GCJ46" s="87"/>
      <c r="GCK46" s="87"/>
      <c r="GCL46" s="87"/>
      <c r="GCM46" s="87"/>
      <c r="GCN46" s="87"/>
      <c r="GCO46" s="87"/>
      <c r="GCP46" s="87"/>
      <c r="GCQ46" s="87"/>
      <c r="GCR46" s="87"/>
      <c r="GCS46" s="87"/>
      <c r="GCT46" s="87"/>
      <c r="GCU46" s="87"/>
      <c r="GCV46" s="87"/>
      <c r="GCW46" s="87"/>
      <c r="GCX46" s="87"/>
      <c r="GCY46" s="87"/>
      <c r="GCZ46" s="87"/>
      <c r="GDA46" s="87"/>
      <c r="GDB46" s="87"/>
      <c r="GDC46" s="87"/>
      <c r="GDD46" s="87"/>
      <c r="GDE46" s="87"/>
      <c r="GDF46" s="87"/>
      <c r="GDG46" s="87"/>
      <c r="GDH46" s="87"/>
      <c r="GDI46" s="87"/>
      <c r="GDJ46" s="87"/>
      <c r="GDK46" s="87"/>
      <c r="GDL46" s="87"/>
      <c r="GDM46" s="87"/>
      <c r="GDN46" s="87"/>
      <c r="GDO46" s="87"/>
      <c r="GDP46" s="87"/>
      <c r="GDQ46" s="87"/>
      <c r="GDR46" s="87"/>
      <c r="GDS46" s="87"/>
      <c r="GDT46" s="87"/>
      <c r="GDU46" s="87"/>
      <c r="GDV46" s="87"/>
      <c r="GDW46" s="87"/>
      <c r="GDX46" s="87"/>
      <c r="GDY46" s="87"/>
      <c r="GDZ46" s="87"/>
      <c r="GEA46" s="87"/>
      <c r="GEB46" s="87"/>
      <c r="GEC46" s="87"/>
      <c r="GED46" s="87"/>
      <c r="GEE46" s="87"/>
      <c r="GEF46" s="87"/>
      <c r="GEG46" s="87"/>
      <c r="GEH46" s="87"/>
      <c r="GEI46" s="87"/>
      <c r="GEJ46" s="87"/>
      <c r="GEK46" s="87"/>
      <c r="GEL46" s="87"/>
      <c r="GEM46" s="87"/>
      <c r="GEN46" s="87"/>
      <c r="GEO46" s="87"/>
      <c r="GEP46" s="87"/>
      <c r="GEQ46" s="87"/>
      <c r="GER46" s="87"/>
      <c r="GES46" s="87"/>
      <c r="GET46" s="87"/>
      <c r="GEU46" s="87"/>
      <c r="GEV46" s="87"/>
      <c r="GEW46" s="87"/>
      <c r="GEX46" s="87"/>
      <c r="GEY46" s="87"/>
      <c r="GEZ46" s="87"/>
      <c r="GFA46" s="87"/>
      <c r="GFB46" s="87"/>
      <c r="GFC46" s="87"/>
      <c r="GFD46" s="87"/>
      <c r="GFE46" s="87"/>
      <c r="GFF46" s="87"/>
      <c r="GFG46" s="87"/>
      <c r="GFH46" s="87"/>
      <c r="GFI46" s="87"/>
      <c r="GFJ46" s="87"/>
      <c r="GFK46" s="87"/>
      <c r="GFL46" s="87"/>
      <c r="GFM46" s="87"/>
      <c r="GFN46" s="87"/>
      <c r="GFO46" s="87"/>
      <c r="GFP46" s="87"/>
      <c r="GFQ46" s="87"/>
      <c r="GFR46" s="87"/>
      <c r="GFS46" s="87"/>
      <c r="GFT46" s="87"/>
      <c r="GFU46" s="87"/>
      <c r="GFV46" s="87"/>
      <c r="GFW46" s="87"/>
      <c r="GFX46" s="87"/>
      <c r="GFY46" s="87"/>
      <c r="GFZ46" s="87"/>
      <c r="GGA46" s="87"/>
      <c r="GGB46" s="87"/>
      <c r="GGC46" s="87"/>
      <c r="GGD46" s="87"/>
      <c r="GGE46" s="87"/>
      <c r="GGF46" s="87"/>
      <c r="GGG46" s="87"/>
      <c r="GGH46" s="87"/>
      <c r="GGI46" s="87"/>
      <c r="GGJ46" s="87"/>
      <c r="GGK46" s="87"/>
      <c r="GGL46" s="87"/>
      <c r="GGM46" s="87"/>
      <c r="GGN46" s="87"/>
      <c r="GGO46" s="87"/>
      <c r="GGP46" s="87"/>
      <c r="GGQ46" s="87"/>
      <c r="GGR46" s="87"/>
      <c r="GGS46" s="87"/>
      <c r="GGT46" s="87"/>
      <c r="GGU46" s="87"/>
      <c r="GGV46" s="87"/>
      <c r="GGW46" s="87"/>
      <c r="GGX46" s="87"/>
      <c r="GGY46" s="87"/>
      <c r="GGZ46" s="87"/>
      <c r="GHA46" s="87"/>
      <c r="GHB46" s="87"/>
      <c r="GHC46" s="87"/>
      <c r="GHD46" s="87"/>
      <c r="GHE46" s="87"/>
      <c r="GHF46" s="87"/>
      <c r="GHG46" s="87"/>
      <c r="GHH46" s="87"/>
      <c r="GHI46" s="87"/>
      <c r="GHJ46" s="87"/>
      <c r="GHK46" s="87"/>
      <c r="GHL46" s="87"/>
      <c r="GHM46" s="87"/>
      <c r="GHN46" s="87"/>
      <c r="GHO46" s="87"/>
      <c r="GHP46" s="87"/>
      <c r="GHQ46" s="87"/>
      <c r="GHR46" s="87"/>
      <c r="GHS46" s="87"/>
      <c r="GHT46" s="87"/>
      <c r="GHU46" s="87"/>
      <c r="GHV46" s="87"/>
      <c r="GHW46" s="87"/>
      <c r="GHX46" s="87"/>
      <c r="GHY46" s="87"/>
      <c r="GHZ46" s="87"/>
      <c r="GIA46" s="87"/>
      <c r="GIB46" s="87"/>
      <c r="GIC46" s="87"/>
      <c r="GID46" s="87"/>
      <c r="GIE46" s="87"/>
      <c r="GIF46" s="87"/>
      <c r="GIG46" s="87"/>
      <c r="GIH46" s="87"/>
      <c r="GII46" s="87"/>
      <c r="GIJ46" s="87"/>
      <c r="GIK46" s="87"/>
      <c r="GIL46" s="87"/>
      <c r="GIM46" s="87"/>
      <c r="GIN46" s="87"/>
      <c r="GIO46" s="87"/>
      <c r="GIP46" s="87"/>
      <c r="GIQ46" s="87"/>
      <c r="GIR46" s="87"/>
      <c r="GIS46" s="87"/>
      <c r="GIT46" s="87"/>
      <c r="GIU46" s="87"/>
      <c r="GIV46" s="87"/>
      <c r="GIW46" s="87"/>
      <c r="GIX46" s="87"/>
      <c r="GIY46" s="87"/>
      <c r="GIZ46" s="87"/>
      <c r="GJA46" s="87"/>
      <c r="GJB46" s="87"/>
      <c r="GJC46" s="87"/>
      <c r="GJD46" s="87"/>
      <c r="GJE46" s="87"/>
      <c r="GJF46" s="87"/>
      <c r="GJG46" s="87"/>
      <c r="GJH46" s="87"/>
      <c r="GJI46" s="87"/>
      <c r="GJJ46" s="87"/>
      <c r="GJK46" s="87"/>
      <c r="GJL46" s="87"/>
      <c r="GJM46" s="87"/>
      <c r="GJN46" s="87"/>
      <c r="GJO46" s="87"/>
      <c r="GJP46" s="87"/>
      <c r="GJQ46" s="87"/>
      <c r="GJR46" s="87"/>
      <c r="GJS46" s="87"/>
      <c r="GJT46" s="87"/>
      <c r="GJU46" s="87"/>
      <c r="GJV46" s="87"/>
      <c r="GJW46" s="87"/>
      <c r="GJX46" s="87"/>
      <c r="GJY46" s="87"/>
      <c r="GJZ46" s="87"/>
      <c r="GKA46" s="87"/>
      <c r="GKB46" s="87"/>
      <c r="GKC46" s="87"/>
      <c r="GKD46" s="87"/>
      <c r="GKE46" s="87"/>
      <c r="GKF46" s="87"/>
      <c r="GKG46" s="87"/>
      <c r="GKH46" s="87"/>
      <c r="GKI46" s="87"/>
      <c r="GKJ46" s="87"/>
      <c r="GKK46" s="87"/>
      <c r="GKL46" s="87"/>
      <c r="GKM46" s="87"/>
      <c r="GKN46" s="87"/>
      <c r="GKO46" s="87"/>
      <c r="GKP46" s="87"/>
      <c r="GKQ46" s="87"/>
      <c r="GKR46" s="87"/>
      <c r="GKS46" s="87"/>
      <c r="GKT46" s="87"/>
      <c r="GKU46" s="87"/>
      <c r="GKV46" s="87"/>
      <c r="GKW46" s="87"/>
      <c r="GKX46" s="87"/>
      <c r="GKY46" s="87"/>
      <c r="GKZ46" s="87"/>
      <c r="GLA46" s="87"/>
      <c r="GLB46" s="87"/>
      <c r="GLC46" s="87"/>
      <c r="GLD46" s="87"/>
      <c r="GLE46" s="87"/>
      <c r="GLF46" s="87"/>
      <c r="GLG46" s="87"/>
      <c r="GLH46" s="87"/>
      <c r="GLI46" s="87"/>
      <c r="GLJ46" s="87"/>
      <c r="GLK46" s="87"/>
      <c r="GLL46" s="87"/>
      <c r="GLM46" s="87"/>
      <c r="GLN46" s="87"/>
      <c r="GLO46" s="87"/>
      <c r="GLP46" s="87"/>
      <c r="GLQ46" s="87"/>
      <c r="GLR46" s="87"/>
      <c r="GLS46" s="87"/>
      <c r="GLT46" s="87"/>
      <c r="GLU46" s="87"/>
      <c r="GLV46" s="87"/>
      <c r="GLW46" s="87"/>
      <c r="GLX46" s="87"/>
      <c r="GLY46" s="87"/>
      <c r="GLZ46" s="87"/>
      <c r="GMA46" s="87"/>
      <c r="GMB46" s="87"/>
      <c r="GMC46" s="87"/>
      <c r="GMD46" s="87"/>
      <c r="GME46" s="87"/>
      <c r="GMF46" s="87"/>
      <c r="GMG46" s="87"/>
      <c r="GMH46" s="87"/>
      <c r="GMI46" s="87"/>
      <c r="GMJ46" s="87"/>
      <c r="GMK46" s="87"/>
      <c r="GML46" s="87"/>
      <c r="GMM46" s="87"/>
      <c r="GMN46" s="87"/>
      <c r="GMO46" s="87"/>
      <c r="GMP46" s="87"/>
      <c r="GMQ46" s="87"/>
      <c r="GMR46" s="87"/>
      <c r="GMS46" s="87"/>
      <c r="GMT46" s="87"/>
      <c r="GMU46" s="87"/>
      <c r="GMV46" s="87"/>
      <c r="GMW46" s="87"/>
      <c r="GMX46" s="87"/>
      <c r="GMY46" s="87"/>
      <c r="GMZ46" s="87"/>
      <c r="GNA46" s="87"/>
      <c r="GNB46" s="87"/>
      <c r="GNC46" s="87"/>
      <c r="GND46" s="87"/>
      <c r="GNE46" s="87"/>
      <c r="GNF46" s="87"/>
      <c r="GNG46" s="87"/>
      <c r="GNH46" s="87"/>
      <c r="GNI46" s="87"/>
      <c r="GNJ46" s="87"/>
      <c r="GNK46" s="87"/>
      <c r="GNL46" s="87"/>
      <c r="GNM46" s="87"/>
      <c r="GNN46" s="87"/>
      <c r="GNO46" s="87"/>
      <c r="GNP46" s="87"/>
      <c r="GNQ46" s="87"/>
      <c r="GNR46" s="87"/>
      <c r="GNS46" s="87"/>
      <c r="GNT46" s="87"/>
      <c r="GNU46" s="87"/>
      <c r="GNV46" s="87"/>
      <c r="GNW46" s="87"/>
      <c r="GNX46" s="87"/>
      <c r="GNY46" s="87"/>
      <c r="GNZ46" s="87"/>
      <c r="GOA46" s="87"/>
      <c r="GOB46" s="87"/>
      <c r="GOC46" s="87"/>
      <c r="GOD46" s="87"/>
      <c r="GOE46" s="87"/>
      <c r="GOF46" s="87"/>
      <c r="GOG46" s="87"/>
      <c r="GOH46" s="87"/>
      <c r="GOI46" s="87"/>
      <c r="GOJ46" s="87"/>
      <c r="GOK46" s="87"/>
      <c r="GOL46" s="87"/>
      <c r="GOM46" s="87"/>
      <c r="GON46" s="87"/>
      <c r="GOO46" s="87"/>
      <c r="GOP46" s="87"/>
      <c r="GOQ46" s="87"/>
      <c r="GOR46" s="87"/>
      <c r="GOS46" s="87"/>
      <c r="GOT46" s="87"/>
      <c r="GOU46" s="87"/>
      <c r="GOV46" s="87"/>
      <c r="GOW46" s="87"/>
      <c r="GOX46" s="87"/>
      <c r="GOY46" s="87"/>
      <c r="GOZ46" s="87"/>
      <c r="GPA46" s="87"/>
      <c r="GPB46" s="87"/>
      <c r="GPC46" s="87"/>
      <c r="GPD46" s="87"/>
      <c r="GPE46" s="87"/>
      <c r="GPF46" s="87"/>
      <c r="GPG46" s="87"/>
      <c r="GPH46" s="87"/>
      <c r="GPI46" s="87"/>
      <c r="GPJ46" s="87"/>
      <c r="GPK46" s="87"/>
      <c r="GPL46" s="87"/>
      <c r="GPM46" s="87"/>
      <c r="GPN46" s="87"/>
      <c r="GPO46" s="87"/>
      <c r="GPP46" s="87"/>
      <c r="GPQ46" s="87"/>
      <c r="GPR46" s="87"/>
      <c r="GPS46" s="87"/>
      <c r="GPT46" s="87"/>
      <c r="GPU46" s="87"/>
      <c r="GPV46" s="87"/>
      <c r="GPW46" s="87"/>
      <c r="GPX46" s="87"/>
      <c r="GPY46" s="87"/>
      <c r="GPZ46" s="87"/>
      <c r="GQA46" s="87"/>
      <c r="GQB46" s="87"/>
      <c r="GQC46" s="87"/>
      <c r="GQD46" s="87"/>
      <c r="GQE46" s="87"/>
      <c r="GQF46" s="87"/>
      <c r="GQG46" s="87"/>
      <c r="GQH46" s="87"/>
      <c r="GQI46" s="87"/>
      <c r="GQJ46" s="87"/>
      <c r="GQK46" s="87"/>
      <c r="GQL46" s="87"/>
      <c r="GQM46" s="87"/>
      <c r="GQN46" s="87"/>
      <c r="GQO46" s="87"/>
      <c r="GQP46" s="87"/>
      <c r="GQQ46" s="87"/>
      <c r="GQR46" s="87"/>
      <c r="GQS46" s="87"/>
      <c r="GQT46" s="87"/>
      <c r="GQU46" s="87"/>
      <c r="GQV46" s="87"/>
      <c r="GQW46" s="87"/>
      <c r="GQX46" s="87"/>
      <c r="GQY46" s="87"/>
      <c r="GQZ46" s="87"/>
      <c r="GRA46" s="87"/>
      <c r="GRB46" s="87"/>
      <c r="GRC46" s="87"/>
      <c r="GRD46" s="87"/>
      <c r="GRE46" s="87"/>
      <c r="GRF46" s="87"/>
      <c r="GRG46" s="87"/>
      <c r="GRH46" s="87"/>
      <c r="GRI46" s="87"/>
      <c r="GRJ46" s="87"/>
      <c r="GRK46" s="87"/>
      <c r="GRL46" s="87"/>
      <c r="GRM46" s="87"/>
      <c r="GRN46" s="87"/>
      <c r="GRO46" s="87"/>
      <c r="GRP46" s="87"/>
      <c r="GRQ46" s="87"/>
      <c r="GRR46" s="87"/>
      <c r="GRS46" s="87"/>
      <c r="GRT46" s="87"/>
      <c r="GRU46" s="87"/>
      <c r="GRV46" s="87"/>
      <c r="GRW46" s="87"/>
      <c r="GRX46" s="87"/>
      <c r="GRY46" s="87"/>
      <c r="GRZ46" s="87"/>
      <c r="GSA46" s="87"/>
      <c r="GSB46" s="87"/>
      <c r="GSC46" s="87"/>
      <c r="GSD46" s="87"/>
      <c r="GSE46" s="87"/>
      <c r="GSF46" s="87"/>
      <c r="GSG46" s="87"/>
      <c r="GSH46" s="87"/>
      <c r="GSI46" s="87"/>
      <c r="GSJ46" s="87"/>
      <c r="GSK46" s="87"/>
      <c r="GSL46" s="87"/>
      <c r="GSM46" s="87"/>
      <c r="GSN46" s="87"/>
      <c r="GSO46" s="87"/>
      <c r="GSP46" s="87"/>
      <c r="GSQ46" s="87"/>
      <c r="GSR46" s="87"/>
      <c r="GSS46" s="87"/>
      <c r="GST46" s="87"/>
      <c r="GSU46" s="87"/>
      <c r="GSV46" s="87"/>
      <c r="GSW46" s="87"/>
      <c r="GSX46" s="87"/>
      <c r="GSY46" s="87"/>
      <c r="GSZ46" s="87"/>
      <c r="GTA46" s="87"/>
      <c r="GTB46" s="87"/>
      <c r="GTC46" s="87"/>
      <c r="GTD46" s="87"/>
      <c r="GTE46" s="87"/>
      <c r="GTF46" s="87"/>
      <c r="GTG46" s="87"/>
      <c r="GTH46" s="87"/>
      <c r="GTI46" s="87"/>
      <c r="GTJ46" s="87"/>
      <c r="GTK46" s="87"/>
      <c r="GTL46" s="87"/>
      <c r="GTM46" s="87"/>
      <c r="GTN46" s="87"/>
      <c r="GTO46" s="87"/>
      <c r="GTP46" s="87"/>
      <c r="GTQ46" s="87"/>
      <c r="GTR46" s="87"/>
      <c r="GTS46" s="87"/>
      <c r="GTT46" s="87"/>
      <c r="GTU46" s="87"/>
      <c r="GTV46" s="87"/>
      <c r="GTW46" s="87"/>
      <c r="GTX46" s="87"/>
      <c r="GTY46" s="87"/>
      <c r="GTZ46" s="87"/>
      <c r="GUA46" s="87"/>
      <c r="GUB46" s="87"/>
      <c r="GUC46" s="87"/>
      <c r="GUD46" s="87"/>
      <c r="GUE46" s="87"/>
      <c r="GUF46" s="87"/>
      <c r="GUG46" s="87"/>
      <c r="GUH46" s="87"/>
      <c r="GUI46" s="87"/>
      <c r="GUJ46" s="87"/>
      <c r="GUK46" s="87"/>
      <c r="GUL46" s="87"/>
      <c r="GUM46" s="87"/>
      <c r="GUN46" s="87"/>
      <c r="GUO46" s="87"/>
      <c r="GUP46" s="87"/>
      <c r="GUQ46" s="87"/>
      <c r="GUR46" s="87"/>
      <c r="GUS46" s="87"/>
      <c r="GUT46" s="87"/>
      <c r="GUU46" s="87"/>
      <c r="GUV46" s="87"/>
      <c r="GUW46" s="87"/>
      <c r="GUX46" s="87"/>
      <c r="GUY46" s="87"/>
      <c r="GUZ46" s="87"/>
      <c r="GVA46" s="87"/>
      <c r="GVB46" s="87"/>
      <c r="GVC46" s="87"/>
      <c r="GVD46" s="87"/>
      <c r="GVE46" s="87"/>
      <c r="GVF46" s="87"/>
      <c r="GVG46" s="87"/>
      <c r="GVH46" s="87"/>
      <c r="GVI46" s="87"/>
      <c r="GVJ46" s="87"/>
      <c r="GVK46" s="87"/>
      <c r="GVL46" s="87"/>
      <c r="GVM46" s="87"/>
      <c r="GVN46" s="87"/>
      <c r="GVO46" s="87"/>
      <c r="GVP46" s="87"/>
      <c r="GVQ46" s="87"/>
      <c r="GVR46" s="87"/>
      <c r="GVS46" s="87"/>
      <c r="GVT46" s="87"/>
      <c r="GVU46" s="87"/>
      <c r="GVV46" s="87"/>
      <c r="GVW46" s="87"/>
      <c r="GVX46" s="87"/>
      <c r="GVY46" s="87"/>
      <c r="GVZ46" s="87"/>
      <c r="GWA46" s="87"/>
      <c r="GWB46" s="87"/>
      <c r="GWC46" s="87"/>
      <c r="GWD46" s="87"/>
      <c r="GWE46" s="87"/>
      <c r="GWF46" s="87"/>
      <c r="GWG46" s="87"/>
      <c r="GWH46" s="87"/>
      <c r="GWI46" s="87"/>
      <c r="GWJ46" s="87"/>
      <c r="GWK46" s="87"/>
      <c r="GWL46" s="87"/>
      <c r="GWM46" s="87"/>
      <c r="GWN46" s="87"/>
      <c r="GWO46" s="87"/>
      <c r="GWP46" s="87"/>
      <c r="GWQ46" s="87"/>
      <c r="GWR46" s="87"/>
      <c r="GWS46" s="87"/>
      <c r="GWT46" s="87"/>
      <c r="GWU46" s="87"/>
      <c r="GWV46" s="87"/>
      <c r="GWW46" s="87"/>
      <c r="GWX46" s="87"/>
      <c r="GWY46" s="87"/>
      <c r="GWZ46" s="87"/>
      <c r="GXA46" s="87"/>
      <c r="GXB46" s="87"/>
      <c r="GXC46" s="87"/>
      <c r="GXD46" s="87"/>
      <c r="GXE46" s="87"/>
      <c r="GXF46" s="87"/>
      <c r="GXG46" s="87"/>
      <c r="GXH46" s="87"/>
      <c r="GXI46" s="87"/>
      <c r="GXJ46" s="87"/>
      <c r="GXK46" s="87"/>
      <c r="GXL46" s="87"/>
      <c r="GXM46" s="87"/>
      <c r="GXN46" s="87"/>
      <c r="GXO46" s="87"/>
      <c r="GXP46" s="87"/>
      <c r="GXQ46" s="87"/>
      <c r="GXR46" s="87"/>
      <c r="GXS46" s="87"/>
      <c r="GXT46" s="87"/>
      <c r="GXU46" s="87"/>
      <c r="GXV46" s="87"/>
      <c r="GXW46" s="87"/>
      <c r="GXX46" s="87"/>
      <c r="GXY46" s="87"/>
      <c r="GXZ46" s="87"/>
      <c r="GYA46" s="87"/>
      <c r="GYB46" s="87"/>
      <c r="GYC46" s="87"/>
      <c r="GYD46" s="87"/>
      <c r="GYE46" s="87"/>
      <c r="GYF46" s="87"/>
      <c r="GYG46" s="87"/>
      <c r="GYH46" s="87"/>
      <c r="GYI46" s="87"/>
      <c r="GYJ46" s="87"/>
      <c r="GYK46" s="87"/>
      <c r="GYL46" s="87"/>
      <c r="GYM46" s="87"/>
      <c r="GYN46" s="87"/>
      <c r="GYO46" s="87"/>
      <c r="GYP46" s="87"/>
      <c r="GYQ46" s="87"/>
      <c r="GYR46" s="87"/>
      <c r="GYS46" s="87"/>
      <c r="GYT46" s="87"/>
      <c r="GYU46" s="87"/>
      <c r="GYV46" s="87"/>
      <c r="GYW46" s="87"/>
      <c r="GYX46" s="87"/>
      <c r="GYY46" s="87"/>
      <c r="GYZ46" s="87"/>
      <c r="GZA46" s="87"/>
      <c r="GZB46" s="87"/>
      <c r="GZC46" s="87"/>
      <c r="GZD46" s="87"/>
      <c r="GZE46" s="87"/>
      <c r="GZF46" s="87"/>
      <c r="GZG46" s="87"/>
      <c r="GZH46" s="87"/>
      <c r="GZI46" s="87"/>
      <c r="GZJ46" s="87"/>
      <c r="GZK46" s="87"/>
      <c r="GZL46" s="87"/>
      <c r="GZM46" s="87"/>
      <c r="GZN46" s="87"/>
      <c r="GZO46" s="87"/>
      <c r="GZP46" s="87"/>
      <c r="GZQ46" s="87"/>
      <c r="GZR46" s="87"/>
      <c r="GZS46" s="87"/>
      <c r="GZT46" s="87"/>
      <c r="GZU46" s="87"/>
      <c r="GZV46" s="87"/>
      <c r="GZW46" s="87"/>
      <c r="GZX46" s="87"/>
      <c r="GZY46" s="87"/>
      <c r="GZZ46" s="87"/>
      <c r="HAA46" s="87"/>
      <c r="HAB46" s="87"/>
      <c r="HAC46" s="87"/>
      <c r="HAD46" s="87"/>
      <c r="HAE46" s="87"/>
      <c r="HAF46" s="87"/>
      <c r="HAG46" s="87"/>
      <c r="HAH46" s="87"/>
      <c r="HAI46" s="87"/>
      <c r="HAJ46" s="87"/>
      <c r="HAK46" s="87"/>
      <c r="HAL46" s="87"/>
      <c r="HAM46" s="87"/>
      <c r="HAN46" s="87"/>
      <c r="HAO46" s="87"/>
      <c r="HAP46" s="87"/>
      <c r="HAQ46" s="87"/>
      <c r="HAR46" s="87"/>
      <c r="HAS46" s="87"/>
      <c r="HAT46" s="87"/>
      <c r="HAU46" s="87"/>
      <c r="HAV46" s="87"/>
      <c r="HAW46" s="87"/>
      <c r="HAX46" s="87"/>
      <c r="HAY46" s="87"/>
      <c r="HAZ46" s="87"/>
      <c r="HBA46" s="87"/>
      <c r="HBB46" s="87"/>
      <c r="HBC46" s="87"/>
      <c r="HBD46" s="87"/>
      <c r="HBE46" s="87"/>
      <c r="HBF46" s="87"/>
      <c r="HBG46" s="87"/>
      <c r="HBH46" s="87"/>
      <c r="HBI46" s="87"/>
      <c r="HBJ46" s="87"/>
      <c r="HBK46" s="87"/>
      <c r="HBL46" s="87"/>
      <c r="HBM46" s="87"/>
      <c r="HBN46" s="87"/>
      <c r="HBO46" s="87"/>
      <c r="HBP46" s="87"/>
      <c r="HBQ46" s="87"/>
      <c r="HBR46" s="87"/>
      <c r="HBS46" s="87"/>
      <c r="HBT46" s="87"/>
      <c r="HBU46" s="87"/>
      <c r="HBV46" s="87"/>
      <c r="HBW46" s="87"/>
      <c r="HBX46" s="87"/>
      <c r="HBY46" s="87"/>
      <c r="HBZ46" s="87"/>
      <c r="HCA46" s="87"/>
      <c r="HCB46" s="87"/>
      <c r="HCC46" s="87"/>
      <c r="HCD46" s="87"/>
      <c r="HCE46" s="87"/>
      <c r="HCF46" s="87"/>
      <c r="HCG46" s="87"/>
      <c r="HCH46" s="87"/>
      <c r="HCI46" s="87"/>
      <c r="HCJ46" s="87"/>
      <c r="HCK46" s="87"/>
      <c r="HCL46" s="87"/>
      <c r="HCM46" s="87"/>
      <c r="HCN46" s="87"/>
      <c r="HCO46" s="87"/>
      <c r="HCP46" s="87"/>
      <c r="HCQ46" s="87"/>
      <c r="HCR46" s="87"/>
      <c r="HCS46" s="87"/>
      <c r="HCT46" s="87"/>
      <c r="HCU46" s="87"/>
      <c r="HCV46" s="87"/>
      <c r="HCW46" s="87"/>
      <c r="HCX46" s="87"/>
      <c r="HCY46" s="87"/>
      <c r="HCZ46" s="87"/>
      <c r="HDA46" s="87"/>
      <c r="HDB46" s="87"/>
      <c r="HDC46" s="87"/>
      <c r="HDD46" s="87"/>
      <c r="HDE46" s="87"/>
      <c r="HDF46" s="87"/>
      <c r="HDG46" s="87"/>
      <c r="HDH46" s="87"/>
      <c r="HDI46" s="87"/>
      <c r="HDJ46" s="87"/>
      <c r="HDK46" s="87"/>
      <c r="HDL46" s="87"/>
      <c r="HDM46" s="87"/>
      <c r="HDN46" s="87"/>
      <c r="HDO46" s="87"/>
      <c r="HDP46" s="87"/>
      <c r="HDQ46" s="87"/>
      <c r="HDR46" s="87"/>
      <c r="HDS46" s="87"/>
      <c r="HDT46" s="87"/>
      <c r="HDU46" s="87"/>
      <c r="HDV46" s="87"/>
      <c r="HDW46" s="87"/>
      <c r="HDX46" s="87"/>
      <c r="HDY46" s="87"/>
      <c r="HDZ46" s="87"/>
      <c r="HEA46" s="87"/>
      <c r="HEB46" s="87"/>
      <c r="HEC46" s="87"/>
      <c r="HED46" s="87"/>
      <c r="HEE46" s="87"/>
      <c r="HEF46" s="87"/>
      <c r="HEG46" s="87"/>
      <c r="HEH46" s="87"/>
      <c r="HEI46" s="87"/>
      <c r="HEJ46" s="87"/>
      <c r="HEK46" s="87"/>
      <c r="HEL46" s="87"/>
      <c r="HEM46" s="87"/>
      <c r="HEN46" s="87"/>
      <c r="HEO46" s="87"/>
      <c r="HEP46" s="87"/>
      <c r="HEQ46" s="87"/>
      <c r="HER46" s="87"/>
      <c r="HES46" s="87"/>
      <c r="HET46" s="87"/>
      <c r="HEU46" s="87"/>
      <c r="HEV46" s="87"/>
      <c r="HEW46" s="87"/>
      <c r="HEX46" s="87"/>
      <c r="HEY46" s="87"/>
      <c r="HEZ46" s="87"/>
      <c r="HFA46" s="87"/>
      <c r="HFB46" s="87"/>
      <c r="HFC46" s="87"/>
      <c r="HFD46" s="87"/>
      <c r="HFE46" s="87"/>
      <c r="HFF46" s="87"/>
      <c r="HFG46" s="87"/>
      <c r="HFH46" s="87"/>
      <c r="HFI46" s="87"/>
      <c r="HFJ46" s="87"/>
      <c r="HFK46" s="87"/>
      <c r="HFL46" s="87"/>
      <c r="HFM46" s="87"/>
      <c r="HFN46" s="87"/>
      <c r="HFO46" s="87"/>
      <c r="HFP46" s="87"/>
      <c r="HFQ46" s="87"/>
      <c r="HFR46" s="87"/>
      <c r="HFS46" s="87"/>
      <c r="HFT46" s="87"/>
      <c r="HFU46" s="87"/>
      <c r="HFV46" s="87"/>
      <c r="HFW46" s="87"/>
      <c r="HFX46" s="87"/>
      <c r="HFY46" s="87"/>
      <c r="HFZ46" s="87"/>
      <c r="HGA46" s="87"/>
      <c r="HGB46" s="87"/>
      <c r="HGC46" s="87"/>
      <c r="HGD46" s="87"/>
      <c r="HGE46" s="87"/>
      <c r="HGF46" s="87"/>
      <c r="HGG46" s="87"/>
      <c r="HGH46" s="87"/>
      <c r="HGI46" s="87"/>
      <c r="HGJ46" s="87"/>
      <c r="HGK46" s="87"/>
      <c r="HGL46" s="87"/>
      <c r="HGM46" s="87"/>
      <c r="HGN46" s="87"/>
      <c r="HGO46" s="87"/>
      <c r="HGP46" s="87"/>
      <c r="HGQ46" s="87"/>
      <c r="HGR46" s="87"/>
      <c r="HGS46" s="87"/>
      <c r="HGT46" s="87"/>
      <c r="HGU46" s="87"/>
      <c r="HGV46" s="87"/>
      <c r="HGW46" s="87"/>
      <c r="HGX46" s="87"/>
      <c r="HGY46" s="87"/>
      <c r="HGZ46" s="87"/>
      <c r="HHA46" s="87"/>
      <c r="HHB46" s="87"/>
      <c r="HHC46" s="87"/>
      <c r="HHD46" s="87"/>
      <c r="HHE46" s="87"/>
      <c r="HHF46" s="87"/>
      <c r="HHG46" s="87"/>
      <c r="HHH46" s="87"/>
      <c r="HHI46" s="87"/>
      <c r="HHJ46" s="87"/>
      <c r="HHK46" s="87"/>
      <c r="HHL46" s="87"/>
      <c r="HHM46" s="87"/>
      <c r="HHN46" s="87"/>
      <c r="HHO46" s="87"/>
      <c r="HHP46" s="87"/>
      <c r="HHQ46" s="87"/>
      <c r="HHR46" s="87"/>
      <c r="HHS46" s="87"/>
      <c r="HHT46" s="87"/>
      <c r="HHU46" s="87"/>
      <c r="HHV46" s="87"/>
      <c r="HHW46" s="87"/>
      <c r="HHX46" s="87"/>
      <c r="HHY46" s="87"/>
      <c r="HHZ46" s="87"/>
      <c r="HIA46" s="87"/>
      <c r="HIB46" s="87"/>
      <c r="HIC46" s="87"/>
      <c r="HID46" s="87"/>
      <c r="HIE46" s="87"/>
      <c r="HIF46" s="87"/>
      <c r="HIG46" s="87"/>
      <c r="HIH46" s="87"/>
      <c r="HII46" s="87"/>
      <c r="HIJ46" s="87"/>
      <c r="HIK46" s="87"/>
      <c r="HIL46" s="87"/>
      <c r="HIM46" s="87"/>
      <c r="HIN46" s="87"/>
      <c r="HIO46" s="87"/>
      <c r="HIP46" s="87"/>
      <c r="HIQ46" s="87"/>
      <c r="HIR46" s="87"/>
      <c r="HIS46" s="87"/>
      <c r="HIT46" s="87"/>
      <c r="HIU46" s="87"/>
      <c r="HIV46" s="87"/>
      <c r="HIW46" s="87"/>
      <c r="HIX46" s="87"/>
      <c r="HIY46" s="87"/>
      <c r="HIZ46" s="87"/>
      <c r="HJA46" s="87"/>
      <c r="HJB46" s="87"/>
      <c r="HJC46" s="87"/>
      <c r="HJD46" s="87"/>
      <c r="HJE46" s="87"/>
      <c r="HJF46" s="87"/>
      <c r="HJG46" s="87"/>
      <c r="HJH46" s="87"/>
      <c r="HJI46" s="87"/>
      <c r="HJJ46" s="87"/>
      <c r="HJK46" s="87"/>
      <c r="HJL46" s="87"/>
      <c r="HJM46" s="87"/>
      <c r="HJN46" s="87"/>
      <c r="HJO46" s="87"/>
      <c r="HJP46" s="87"/>
      <c r="HJQ46" s="87"/>
      <c r="HJR46" s="87"/>
      <c r="HJS46" s="87"/>
      <c r="HJT46" s="87"/>
      <c r="HJU46" s="87"/>
      <c r="HJV46" s="87"/>
      <c r="HJW46" s="87"/>
      <c r="HJX46" s="87"/>
      <c r="HJY46" s="87"/>
      <c r="HJZ46" s="87"/>
      <c r="HKA46" s="87"/>
      <c r="HKB46" s="87"/>
      <c r="HKC46" s="87"/>
      <c r="HKD46" s="87"/>
      <c r="HKE46" s="87"/>
      <c r="HKF46" s="87"/>
      <c r="HKG46" s="87"/>
      <c r="HKH46" s="87"/>
      <c r="HKI46" s="87"/>
      <c r="HKJ46" s="87"/>
      <c r="HKK46" s="87"/>
      <c r="HKL46" s="87"/>
      <c r="HKM46" s="87"/>
      <c r="HKN46" s="87"/>
      <c r="HKO46" s="87"/>
      <c r="HKP46" s="87"/>
      <c r="HKQ46" s="87"/>
      <c r="HKR46" s="87"/>
      <c r="HKS46" s="87"/>
      <c r="HKT46" s="87"/>
      <c r="HKU46" s="87"/>
      <c r="HKV46" s="87"/>
      <c r="HKW46" s="87"/>
      <c r="HKX46" s="87"/>
      <c r="HKY46" s="87"/>
      <c r="HKZ46" s="87"/>
      <c r="HLA46" s="87"/>
      <c r="HLB46" s="87"/>
      <c r="HLC46" s="87"/>
      <c r="HLD46" s="87"/>
      <c r="HLE46" s="87"/>
      <c r="HLF46" s="87"/>
      <c r="HLG46" s="87"/>
      <c r="HLH46" s="87"/>
      <c r="HLI46" s="87"/>
      <c r="HLJ46" s="87"/>
      <c r="HLK46" s="87"/>
      <c r="HLL46" s="87"/>
      <c r="HLM46" s="87"/>
      <c r="HLN46" s="87"/>
      <c r="HLO46" s="87"/>
      <c r="HLP46" s="87"/>
      <c r="HLQ46" s="87"/>
      <c r="HLR46" s="87"/>
      <c r="HLS46" s="87"/>
      <c r="HLT46" s="87"/>
      <c r="HLU46" s="87"/>
      <c r="HLV46" s="87"/>
      <c r="HLW46" s="87"/>
      <c r="HLX46" s="87"/>
      <c r="HLY46" s="87"/>
      <c r="HLZ46" s="87"/>
      <c r="HMA46" s="87"/>
      <c r="HMB46" s="87"/>
      <c r="HMC46" s="87"/>
      <c r="HMD46" s="87"/>
      <c r="HME46" s="87"/>
      <c r="HMF46" s="87"/>
      <c r="HMG46" s="87"/>
      <c r="HMH46" s="87"/>
      <c r="HMI46" s="87"/>
      <c r="HMJ46" s="87"/>
      <c r="HMK46" s="87"/>
      <c r="HML46" s="87"/>
      <c r="HMM46" s="87"/>
      <c r="HMN46" s="87"/>
      <c r="HMO46" s="87"/>
      <c r="HMP46" s="87"/>
      <c r="HMQ46" s="87"/>
      <c r="HMR46" s="87"/>
      <c r="HMS46" s="87"/>
      <c r="HMT46" s="87"/>
      <c r="HMU46" s="87"/>
      <c r="HMV46" s="87"/>
      <c r="HMW46" s="87"/>
      <c r="HMX46" s="87"/>
      <c r="HMY46" s="87"/>
      <c r="HMZ46" s="87"/>
      <c r="HNA46" s="87"/>
      <c r="HNB46" s="87"/>
      <c r="HNC46" s="87"/>
      <c r="HND46" s="87"/>
      <c r="HNE46" s="87"/>
      <c r="HNF46" s="87"/>
      <c r="HNG46" s="87"/>
      <c r="HNH46" s="87"/>
      <c r="HNI46" s="87"/>
      <c r="HNJ46" s="87"/>
      <c r="HNK46" s="87"/>
      <c r="HNL46" s="87"/>
      <c r="HNM46" s="87"/>
      <c r="HNN46" s="87"/>
      <c r="HNO46" s="87"/>
      <c r="HNP46" s="87"/>
      <c r="HNQ46" s="87"/>
      <c r="HNR46" s="87"/>
      <c r="HNS46" s="87"/>
      <c r="HNT46" s="87"/>
      <c r="HNU46" s="87"/>
      <c r="HNV46" s="87"/>
      <c r="HNW46" s="87"/>
      <c r="HNX46" s="87"/>
      <c r="HNY46" s="87"/>
      <c r="HNZ46" s="87"/>
      <c r="HOA46" s="87"/>
      <c r="HOB46" s="87"/>
      <c r="HOC46" s="87"/>
      <c r="HOD46" s="87"/>
      <c r="HOE46" s="87"/>
      <c r="HOF46" s="87"/>
      <c r="HOG46" s="87"/>
      <c r="HOH46" s="87"/>
      <c r="HOI46" s="87"/>
      <c r="HOJ46" s="87"/>
      <c r="HOK46" s="87"/>
      <c r="HOL46" s="87"/>
      <c r="HOM46" s="87"/>
      <c r="HON46" s="87"/>
      <c r="HOO46" s="87"/>
      <c r="HOP46" s="87"/>
      <c r="HOQ46" s="87"/>
      <c r="HOR46" s="87"/>
      <c r="HOS46" s="87"/>
      <c r="HOT46" s="87"/>
      <c r="HOU46" s="87"/>
      <c r="HOV46" s="87"/>
      <c r="HOW46" s="87"/>
      <c r="HOX46" s="87"/>
      <c r="HOY46" s="87"/>
      <c r="HOZ46" s="87"/>
      <c r="HPA46" s="87"/>
      <c r="HPB46" s="87"/>
      <c r="HPC46" s="87"/>
      <c r="HPD46" s="87"/>
      <c r="HPE46" s="87"/>
      <c r="HPF46" s="87"/>
      <c r="HPG46" s="87"/>
      <c r="HPH46" s="87"/>
      <c r="HPI46" s="87"/>
      <c r="HPJ46" s="87"/>
      <c r="HPK46" s="87"/>
      <c r="HPL46" s="87"/>
      <c r="HPM46" s="87"/>
      <c r="HPN46" s="87"/>
      <c r="HPO46" s="87"/>
      <c r="HPP46" s="87"/>
      <c r="HPQ46" s="87"/>
      <c r="HPR46" s="87"/>
      <c r="HPS46" s="87"/>
      <c r="HPT46" s="87"/>
      <c r="HPU46" s="87"/>
      <c r="HPV46" s="87"/>
      <c r="HPW46" s="87"/>
      <c r="HPX46" s="87"/>
      <c r="HPY46" s="87"/>
      <c r="HPZ46" s="87"/>
      <c r="HQA46" s="87"/>
      <c r="HQB46" s="87"/>
      <c r="HQC46" s="87"/>
      <c r="HQD46" s="87"/>
      <c r="HQE46" s="87"/>
      <c r="HQF46" s="87"/>
      <c r="HQG46" s="87"/>
      <c r="HQH46" s="87"/>
      <c r="HQI46" s="87"/>
      <c r="HQJ46" s="87"/>
      <c r="HQK46" s="87"/>
      <c r="HQL46" s="87"/>
      <c r="HQM46" s="87"/>
      <c r="HQN46" s="87"/>
      <c r="HQO46" s="87"/>
      <c r="HQP46" s="87"/>
      <c r="HQQ46" s="87"/>
      <c r="HQR46" s="87"/>
      <c r="HQS46" s="87"/>
      <c r="HQT46" s="87"/>
      <c r="HQU46" s="87"/>
      <c r="HQV46" s="87"/>
      <c r="HQW46" s="87"/>
      <c r="HQX46" s="87"/>
      <c r="HQY46" s="87"/>
      <c r="HQZ46" s="87"/>
      <c r="HRA46" s="87"/>
      <c r="HRB46" s="87"/>
      <c r="HRC46" s="87"/>
      <c r="HRD46" s="87"/>
      <c r="HRE46" s="87"/>
      <c r="HRF46" s="87"/>
      <c r="HRG46" s="87"/>
      <c r="HRH46" s="87"/>
      <c r="HRI46" s="87"/>
      <c r="HRJ46" s="87"/>
      <c r="HRK46" s="87"/>
      <c r="HRL46" s="87"/>
      <c r="HRM46" s="87"/>
      <c r="HRN46" s="87"/>
      <c r="HRO46" s="87"/>
      <c r="HRP46" s="87"/>
      <c r="HRQ46" s="87"/>
      <c r="HRR46" s="87"/>
      <c r="HRS46" s="87"/>
      <c r="HRT46" s="87"/>
      <c r="HRU46" s="87"/>
      <c r="HRV46" s="87"/>
      <c r="HRW46" s="87"/>
      <c r="HRX46" s="87"/>
      <c r="HRY46" s="87"/>
      <c r="HRZ46" s="87"/>
      <c r="HSA46" s="87"/>
      <c r="HSB46" s="87"/>
      <c r="HSC46" s="87"/>
      <c r="HSD46" s="87"/>
      <c r="HSE46" s="87"/>
      <c r="HSF46" s="87"/>
      <c r="HSG46" s="87"/>
      <c r="HSH46" s="87"/>
      <c r="HSI46" s="87"/>
      <c r="HSJ46" s="87"/>
      <c r="HSK46" s="87"/>
      <c r="HSL46" s="87"/>
      <c r="HSM46" s="87"/>
      <c r="HSN46" s="87"/>
      <c r="HSO46" s="87"/>
      <c r="HSP46" s="87"/>
      <c r="HSQ46" s="87"/>
      <c r="HSR46" s="87"/>
      <c r="HSS46" s="87"/>
      <c r="HST46" s="87"/>
      <c r="HSU46" s="87"/>
      <c r="HSV46" s="87"/>
      <c r="HSW46" s="87"/>
      <c r="HSX46" s="87"/>
      <c r="HSY46" s="87"/>
      <c r="HSZ46" s="87"/>
      <c r="HTA46" s="87"/>
      <c r="HTB46" s="87"/>
      <c r="HTC46" s="87"/>
      <c r="HTD46" s="87"/>
      <c r="HTE46" s="87"/>
      <c r="HTF46" s="87"/>
      <c r="HTG46" s="87"/>
      <c r="HTH46" s="87"/>
      <c r="HTI46" s="87"/>
      <c r="HTJ46" s="87"/>
      <c r="HTK46" s="87"/>
      <c r="HTL46" s="87"/>
      <c r="HTM46" s="87"/>
      <c r="HTN46" s="87"/>
      <c r="HTO46" s="87"/>
      <c r="HTP46" s="87"/>
      <c r="HTQ46" s="87"/>
      <c r="HTR46" s="87"/>
      <c r="HTS46" s="87"/>
      <c r="HTT46" s="87"/>
      <c r="HTU46" s="87"/>
      <c r="HTV46" s="87"/>
      <c r="HTW46" s="87"/>
      <c r="HTX46" s="87"/>
      <c r="HTY46" s="87"/>
      <c r="HTZ46" s="87"/>
      <c r="HUA46" s="87"/>
      <c r="HUB46" s="87"/>
      <c r="HUC46" s="87"/>
      <c r="HUD46" s="87"/>
      <c r="HUE46" s="87"/>
      <c r="HUF46" s="87"/>
      <c r="HUG46" s="87"/>
      <c r="HUH46" s="87"/>
      <c r="HUI46" s="87"/>
      <c r="HUJ46" s="87"/>
      <c r="HUK46" s="87"/>
      <c r="HUL46" s="87"/>
      <c r="HUM46" s="87"/>
      <c r="HUN46" s="87"/>
      <c r="HUO46" s="87"/>
      <c r="HUP46" s="87"/>
      <c r="HUQ46" s="87"/>
      <c r="HUR46" s="87"/>
      <c r="HUS46" s="87"/>
      <c r="HUT46" s="87"/>
      <c r="HUU46" s="87"/>
      <c r="HUV46" s="87"/>
      <c r="HUW46" s="87"/>
      <c r="HUX46" s="87"/>
      <c r="HUY46" s="87"/>
      <c r="HUZ46" s="87"/>
      <c r="HVA46" s="87"/>
      <c r="HVB46" s="87"/>
      <c r="HVC46" s="87"/>
      <c r="HVD46" s="87"/>
      <c r="HVE46" s="87"/>
      <c r="HVF46" s="87"/>
      <c r="HVG46" s="87"/>
      <c r="HVH46" s="87"/>
      <c r="HVI46" s="87"/>
      <c r="HVJ46" s="87"/>
      <c r="HVK46" s="87"/>
      <c r="HVL46" s="87"/>
      <c r="HVM46" s="87"/>
      <c r="HVN46" s="87"/>
      <c r="HVO46" s="87"/>
      <c r="HVP46" s="87"/>
      <c r="HVQ46" s="87"/>
      <c r="HVR46" s="87"/>
      <c r="HVS46" s="87"/>
      <c r="HVT46" s="87"/>
      <c r="HVU46" s="87"/>
      <c r="HVV46" s="87"/>
      <c r="HVW46" s="87"/>
      <c r="HVX46" s="87"/>
      <c r="HVY46" s="87"/>
      <c r="HVZ46" s="87"/>
      <c r="HWA46" s="87"/>
      <c r="HWB46" s="87"/>
      <c r="HWC46" s="87"/>
      <c r="HWD46" s="87"/>
      <c r="HWE46" s="87"/>
      <c r="HWF46" s="87"/>
      <c r="HWG46" s="87"/>
      <c r="HWH46" s="87"/>
      <c r="HWI46" s="87"/>
      <c r="HWJ46" s="87"/>
      <c r="HWK46" s="87"/>
      <c r="HWL46" s="87"/>
      <c r="HWM46" s="87"/>
      <c r="HWN46" s="87"/>
      <c r="HWO46" s="87"/>
      <c r="HWP46" s="87"/>
      <c r="HWQ46" s="87"/>
      <c r="HWR46" s="87"/>
      <c r="HWS46" s="87"/>
      <c r="HWT46" s="87"/>
      <c r="HWU46" s="87"/>
      <c r="HWV46" s="87"/>
      <c r="HWW46" s="87"/>
      <c r="HWX46" s="87"/>
      <c r="HWY46" s="87"/>
      <c r="HWZ46" s="87"/>
      <c r="HXA46" s="87"/>
      <c r="HXB46" s="87"/>
      <c r="HXC46" s="87"/>
      <c r="HXD46" s="87"/>
      <c r="HXE46" s="87"/>
      <c r="HXF46" s="87"/>
      <c r="HXG46" s="87"/>
      <c r="HXH46" s="87"/>
      <c r="HXI46" s="87"/>
      <c r="HXJ46" s="87"/>
      <c r="HXK46" s="87"/>
      <c r="HXL46" s="87"/>
      <c r="HXM46" s="87"/>
      <c r="HXN46" s="87"/>
      <c r="HXO46" s="87"/>
      <c r="HXP46" s="87"/>
      <c r="HXQ46" s="87"/>
      <c r="HXR46" s="87"/>
      <c r="HXS46" s="87"/>
      <c r="HXT46" s="87"/>
      <c r="HXU46" s="87"/>
      <c r="HXV46" s="87"/>
      <c r="HXW46" s="87"/>
      <c r="HXX46" s="87"/>
      <c r="HXY46" s="87"/>
      <c r="HXZ46" s="87"/>
      <c r="HYA46" s="87"/>
      <c r="HYB46" s="87"/>
      <c r="HYC46" s="87"/>
      <c r="HYD46" s="87"/>
      <c r="HYE46" s="87"/>
      <c r="HYF46" s="87"/>
      <c r="HYG46" s="87"/>
      <c r="HYH46" s="87"/>
      <c r="HYI46" s="87"/>
      <c r="HYJ46" s="87"/>
      <c r="HYK46" s="87"/>
      <c r="HYL46" s="87"/>
      <c r="HYM46" s="87"/>
      <c r="HYN46" s="87"/>
      <c r="HYO46" s="87"/>
      <c r="HYP46" s="87"/>
      <c r="HYQ46" s="87"/>
      <c r="HYR46" s="87"/>
      <c r="HYS46" s="87"/>
      <c r="HYT46" s="87"/>
      <c r="HYU46" s="87"/>
      <c r="HYV46" s="87"/>
      <c r="HYW46" s="87"/>
      <c r="HYX46" s="87"/>
      <c r="HYY46" s="87"/>
      <c r="HYZ46" s="87"/>
      <c r="HZA46" s="87"/>
      <c r="HZB46" s="87"/>
      <c r="HZC46" s="87"/>
      <c r="HZD46" s="87"/>
      <c r="HZE46" s="87"/>
      <c r="HZF46" s="87"/>
      <c r="HZG46" s="87"/>
      <c r="HZH46" s="87"/>
      <c r="HZI46" s="87"/>
      <c r="HZJ46" s="87"/>
      <c r="HZK46" s="87"/>
      <c r="HZL46" s="87"/>
      <c r="HZM46" s="87"/>
      <c r="HZN46" s="87"/>
      <c r="HZO46" s="87"/>
      <c r="HZP46" s="87"/>
      <c r="HZQ46" s="87"/>
      <c r="HZR46" s="87"/>
      <c r="HZS46" s="87"/>
      <c r="HZT46" s="87"/>
      <c r="HZU46" s="87"/>
      <c r="HZV46" s="87"/>
      <c r="HZW46" s="87"/>
      <c r="HZX46" s="87"/>
      <c r="HZY46" s="87"/>
      <c r="HZZ46" s="87"/>
      <c r="IAA46" s="87"/>
      <c r="IAB46" s="87"/>
      <c r="IAC46" s="87"/>
      <c r="IAD46" s="87"/>
      <c r="IAE46" s="87"/>
      <c r="IAF46" s="87"/>
      <c r="IAG46" s="87"/>
      <c r="IAH46" s="87"/>
      <c r="IAI46" s="87"/>
      <c r="IAJ46" s="87"/>
      <c r="IAK46" s="87"/>
      <c r="IAL46" s="87"/>
      <c r="IAM46" s="87"/>
      <c r="IAN46" s="87"/>
      <c r="IAO46" s="87"/>
      <c r="IAP46" s="87"/>
      <c r="IAQ46" s="87"/>
      <c r="IAR46" s="87"/>
      <c r="IAS46" s="87"/>
      <c r="IAT46" s="87"/>
      <c r="IAU46" s="87"/>
      <c r="IAV46" s="87"/>
      <c r="IAW46" s="87"/>
      <c r="IAX46" s="87"/>
      <c r="IAY46" s="87"/>
      <c r="IAZ46" s="87"/>
      <c r="IBA46" s="87"/>
      <c r="IBB46" s="87"/>
      <c r="IBC46" s="87"/>
      <c r="IBD46" s="87"/>
      <c r="IBE46" s="87"/>
      <c r="IBF46" s="87"/>
      <c r="IBG46" s="87"/>
      <c r="IBH46" s="87"/>
      <c r="IBI46" s="87"/>
      <c r="IBJ46" s="87"/>
      <c r="IBK46" s="87"/>
      <c r="IBL46" s="87"/>
      <c r="IBM46" s="87"/>
      <c r="IBN46" s="87"/>
      <c r="IBO46" s="87"/>
      <c r="IBP46" s="87"/>
      <c r="IBQ46" s="87"/>
      <c r="IBR46" s="87"/>
      <c r="IBS46" s="87"/>
      <c r="IBT46" s="87"/>
      <c r="IBU46" s="87"/>
      <c r="IBV46" s="87"/>
      <c r="IBW46" s="87"/>
      <c r="IBX46" s="87"/>
      <c r="IBY46" s="87"/>
      <c r="IBZ46" s="87"/>
      <c r="ICA46" s="87"/>
      <c r="ICB46" s="87"/>
      <c r="ICC46" s="87"/>
      <c r="ICD46" s="87"/>
      <c r="ICE46" s="87"/>
      <c r="ICF46" s="87"/>
      <c r="ICG46" s="87"/>
      <c r="ICH46" s="87"/>
      <c r="ICI46" s="87"/>
      <c r="ICJ46" s="87"/>
      <c r="ICK46" s="87"/>
      <c r="ICL46" s="87"/>
      <c r="ICM46" s="87"/>
      <c r="ICN46" s="87"/>
      <c r="ICO46" s="87"/>
      <c r="ICP46" s="87"/>
      <c r="ICQ46" s="87"/>
      <c r="ICR46" s="87"/>
      <c r="ICS46" s="87"/>
      <c r="ICT46" s="87"/>
      <c r="ICU46" s="87"/>
      <c r="ICV46" s="87"/>
      <c r="ICW46" s="87"/>
      <c r="ICX46" s="87"/>
      <c r="ICY46" s="87"/>
      <c r="ICZ46" s="87"/>
      <c r="IDA46" s="87"/>
      <c r="IDB46" s="87"/>
      <c r="IDC46" s="87"/>
      <c r="IDD46" s="87"/>
      <c r="IDE46" s="87"/>
      <c r="IDF46" s="87"/>
      <c r="IDG46" s="87"/>
      <c r="IDH46" s="87"/>
      <c r="IDI46" s="87"/>
      <c r="IDJ46" s="87"/>
      <c r="IDK46" s="87"/>
      <c r="IDL46" s="87"/>
      <c r="IDM46" s="87"/>
      <c r="IDN46" s="87"/>
      <c r="IDO46" s="87"/>
      <c r="IDP46" s="87"/>
      <c r="IDQ46" s="87"/>
      <c r="IDR46" s="87"/>
      <c r="IDS46" s="87"/>
      <c r="IDT46" s="87"/>
      <c r="IDU46" s="87"/>
      <c r="IDV46" s="87"/>
      <c r="IDW46" s="87"/>
      <c r="IDX46" s="87"/>
      <c r="IDY46" s="87"/>
      <c r="IDZ46" s="87"/>
      <c r="IEA46" s="87"/>
      <c r="IEB46" s="87"/>
      <c r="IEC46" s="87"/>
      <c r="IED46" s="87"/>
      <c r="IEE46" s="87"/>
      <c r="IEF46" s="87"/>
      <c r="IEG46" s="87"/>
      <c r="IEH46" s="87"/>
      <c r="IEI46" s="87"/>
      <c r="IEJ46" s="87"/>
      <c r="IEK46" s="87"/>
      <c r="IEL46" s="87"/>
      <c r="IEM46" s="87"/>
      <c r="IEN46" s="87"/>
      <c r="IEO46" s="87"/>
      <c r="IEP46" s="87"/>
      <c r="IEQ46" s="87"/>
      <c r="IER46" s="87"/>
      <c r="IES46" s="87"/>
      <c r="IET46" s="87"/>
      <c r="IEU46" s="87"/>
      <c r="IEV46" s="87"/>
      <c r="IEW46" s="87"/>
      <c r="IEX46" s="87"/>
      <c r="IEY46" s="87"/>
      <c r="IEZ46" s="87"/>
      <c r="IFA46" s="87"/>
      <c r="IFB46" s="87"/>
      <c r="IFC46" s="87"/>
      <c r="IFD46" s="87"/>
      <c r="IFE46" s="87"/>
      <c r="IFF46" s="87"/>
      <c r="IFG46" s="87"/>
      <c r="IFH46" s="87"/>
      <c r="IFI46" s="87"/>
      <c r="IFJ46" s="87"/>
      <c r="IFK46" s="87"/>
      <c r="IFL46" s="87"/>
      <c r="IFM46" s="87"/>
      <c r="IFN46" s="87"/>
      <c r="IFO46" s="87"/>
      <c r="IFP46" s="87"/>
      <c r="IFQ46" s="87"/>
      <c r="IFR46" s="87"/>
      <c r="IFS46" s="87"/>
      <c r="IFT46" s="87"/>
      <c r="IFU46" s="87"/>
      <c r="IFV46" s="87"/>
      <c r="IFW46" s="87"/>
      <c r="IFX46" s="87"/>
      <c r="IFY46" s="87"/>
      <c r="IFZ46" s="87"/>
      <c r="IGA46" s="87"/>
      <c r="IGB46" s="87"/>
      <c r="IGC46" s="87"/>
      <c r="IGD46" s="87"/>
      <c r="IGE46" s="87"/>
      <c r="IGF46" s="87"/>
      <c r="IGG46" s="87"/>
      <c r="IGH46" s="87"/>
      <c r="IGI46" s="87"/>
      <c r="IGJ46" s="87"/>
      <c r="IGK46" s="87"/>
      <c r="IGL46" s="87"/>
      <c r="IGM46" s="87"/>
      <c r="IGN46" s="87"/>
      <c r="IGO46" s="87"/>
      <c r="IGP46" s="87"/>
      <c r="IGQ46" s="87"/>
      <c r="IGR46" s="87"/>
      <c r="IGS46" s="87"/>
      <c r="IGT46" s="87"/>
      <c r="IGU46" s="87"/>
      <c r="IGV46" s="87"/>
      <c r="IGW46" s="87"/>
      <c r="IGX46" s="87"/>
      <c r="IGY46" s="87"/>
      <c r="IGZ46" s="87"/>
      <c r="IHA46" s="87"/>
      <c r="IHB46" s="87"/>
      <c r="IHC46" s="87"/>
      <c r="IHD46" s="87"/>
      <c r="IHE46" s="87"/>
      <c r="IHF46" s="87"/>
      <c r="IHG46" s="87"/>
      <c r="IHH46" s="87"/>
      <c r="IHI46" s="87"/>
      <c r="IHJ46" s="87"/>
      <c r="IHK46" s="87"/>
      <c r="IHL46" s="87"/>
      <c r="IHM46" s="87"/>
      <c r="IHN46" s="87"/>
      <c r="IHO46" s="87"/>
      <c r="IHP46" s="87"/>
      <c r="IHQ46" s="87"/>
      <c r="IHR46" s="87"/>
      <c r="IHS46" s="87"/>
      <c r="IHT46" s="87"/>
      <c r="IHU46" s="87"/>
      <c r="IHV46" s="87"/>
      <c r="IHW46" s="87"/>
      <c r="IHX46" s="87"/>
      <c r="IHY46" s="87"/>
      <c r="IHZ46" s="87"/>
      <c r="IIA46" s="87"/>
      <c r="IIB46" s="87"/>
      <c r="IIC46" s="87"/>
      <c r="IID46" s="87"/>
      <c r="IIE46" s="87"/>
      <c r="IIF46" s="87"/>
      <c r="IIG46" s="87"/>
      <c r="IIH46" s="87"/>
      <c r="III46" s="87"/>
      <c r="IIJ46" s="87"/>
      <c r="IIK46" s="87"/>
      <c r="IIL46" s="87"/>
      <c r="IIM46" s="87"/>
      <c r="IIN46" s="87"/>
      <c r="IIO46" s="87"/>
      <c r="IIP46" s="87"/>
      <c r="IIQ46" s="87"/>
      <c r="IIR46" s="87"/>
      <c r="IIS46" s="87"/>
      <c r="IIT46" s="87"/>
      <c r="IIU46" s="87"/>
      <c r="IIV46" s="87"/>
      <c r="IIW46" s="87"/>
      <c r="IIX46" s="87"/>
      <c r="IIY46" s="87"/>
      <c r="IIZ46" s="87"/>
      <c r="IJA46" s="87"/>
      <c r="IJB46" s="87"/>
      <c r="IJC46" s="87"/>
      <c r="IJD46" s="87"/>
      <c r="IJE46" s="87"/>
      <c r="IJF46" s="87"/>
      <c r="IJG46" s="87"/>
      <c r="IJH46" s="87"/>
      <c r="IJI46" s="87"/>
      <c r="IJJ46" s="87"/>
      <c r="IJK46" s="87"/>
      <c r="IJL46" s="87"/>
      <c r="IJM46" s="87"/>
      <c r="IJN46" s="87"/>
      <c r="IJO46" s="87"/>
      <c r="IJP46" s="87"/>
      <c r="IJQ46" s="87"/>
      <c r="IJR46" s="87"/>
      <c r="IJS46" s="87"/>
      <c r="IJT46" s="87"/>
      <c r="IJU46" s="87"/>
      <c r="IJV46" s="87"/>
      <c r="IJW46" s="87"/>
      <c r="IJX46" s="87"/>
      <c r="IJY46" s="87"/>
      <c r="IJZ46" s="87"/>
      <c r="IKA46" s="87"/>
      <c r="IKB46" s="87"/>
      <c r="IKC46" s="87"/>
      <c r="IKD46" s="87"/>
      <c r="IKE46" s="87"/>
      <c r="IKF46" s="87"/>
      <c r="IKG46" s="87"/>
      <c r="IKH46" s="87"/>
      <c r="IKI46" s="87"/>
      <c r="IKJ46" s="87"/>
      <c r="IKK46" s="87"/>
      <c r="IKL46" s="87"/>
      <c r="IKM46" s="87"/>
      <c r="IKN46" s="87"/>
      <c r="IKO46" s="87"/>
      <c r="IKP46" s="87"/>
      <c r="IKQ46" s="87"/>
      <c r="IKR46" s="87"/>
      <c r="IKS46" s="87"/>
      <c r="IKT46" s="87"/>
      <c r="IKU46" s="87"/>
      <c r="IKV46" s="87"/>
      <c r="IKW46" s="87"/>
      <c r="IKX46" s="87"/>
      <c r="IKY46" s="87"/>
      <c r="IKZ46" s="87"/>
      <c r="ILA46" s="87"/>
      <c r="ILB46" s="87"/>
      <c r="ILC46" s="87"/>
      <c r="ILD46" s="87"/>
      <c r="ILE46" s="87"/>
      <c r="ILF46" s="87"/>
      <c r="ILG46" s="87"/>
      <c r="ILH46" s="87"/>
      <c r="ILI46" s="87"/>
      <c r="ILJ46" s="87"/>
      <c r="ILK46" s="87"/>
      <c r="ILL46" s="87"/>
      <c r="ILM46" s="87"/>
      <c r="ILN46" s="87"/>
      <c r="ILO46" s="87"/>
      <c r="ILP46" s="87"/>
      <c r="ILQ46" s="87"/>
      <c r="ILR46" s="87"/>
      <c r="ILS46" s="87"/>
      <c r="ILT46" s="87"/>
      <c r="ILU46" s="87"/>
      <c r="ILV46" s="87"/>
      <c r="ILW46" s="87"/>
      <c r="ILX46" s="87"/>
      <c r="ILY46" s="87"/>
      <c r="ILZ46" s="87"/>
      <c r="IMA46" s="87"/>
      <c r="IMB46" s="87"/>
      <c r="IMC46" s="87"/>
      <c r="IMD46" s="87"/>
      <c r="IME46" s="87"/>
      <c r="IMF46" s="87"/>
      <c r="IMG46" s="87"/>
      <c r="IMH46" s="87"/>
      <c r="IMI46" s="87"/>
      <c r="IMJ46" s="87"/>
      <c r="IMK46" s="87"/>
      <c r="IML46" s="87"/>
      <c r="IMM46" s="87"/>
      <c r="IMN46" s="87"/>
      <c r="IMO46" s="87"/>
      <c r="IMP46" s="87"/>
      <c r="IMQ46" s="87"/>
      <c r="IMR46" s="87"/>
      <c r="IMS46" s="87"/>
      <c r="IMT46" s="87"/>
      <c r="IMU46" s="87"/>
      <c r="IMV46" s="87"/>
      <c r="IMW46" s="87"/>
      <c r="IMX46" s="87"/>
      <c r="IMY46" s="87"/>
      <c r="IMZ46" s="87"/>
      <c r="INA46" s="87"/>
      <c r="INB46" s="87"/>
      <c r="INC46" s="87"/>
      <c r="IND46" s="87"/>
      <c r="INE46" s="87"/>
      <c r="INF46" s="87"/>
      <c r="ING46" s="87"/>
      <c r="INH46" s="87"/>
      <c r="INI46" s="87"/>
      <c r="INJ46" s="87"/>
      <c r="INK46" s="87"/>
      <c r="INL46" s="87"/>
      <c r="INM46" s="87"/>
      <c r="INN46" s="87"/>
      <c r="INO46" s="87"/>
      <c r="INP46" s="87"/>
      <c r="INQ46" s="87"/>
      <c r="INR46" s="87"/>
      <c r="INS46" s="87"/>
      <c r="INT46" s="87"/>
      <c r="INU46" s="87"/>
      <c r="INV46" s="87"/>
      <c r="INW46" s="87"/>
      <c r="INX46" s="87"/>
      <c r="INY46" s="87"/>
      <c r="INZ46" s="87"/>
      <c r="IOA46" s="87"/>
      <c r="IOB46" s="87"/>
      <c r="IOC46" s="87"/>
      <c r="IOD46" s="87"/>
      <c r="IOE46" s="87"/>
      <c r="IOF46" s="87"/>
      <c r="IOG46" s="87"/>
      <c r="IOH46" s="87"/>
      <c r="IOI46" s="87"/>
      <c r="IOJ46" s="87"/>
      <c r="IOK46" s="87"/>
      <c r="IOL46" s="87"/>
      <c r="IOM46" s="87"/>
      <c r="ION46" s="87"/>
      <c r="IOO46" s="87"/>
      <c r="IOP46" s="87"/>
      <c r="IOQ46" s="87"/>
      <c r="IOR46" s="87"/>
      <c r="IOS46" s="87"/>
      <c r="IOT46" s="87"/>
      <c r="IOU46" s="87"/>
      <c r="IOV46" s="87"/>
      <c r="IOW46" s="87"/>
      <c r="IOX46" s="87"/>
      <c r="IOY46" s="87"/>
      <c r="IOZ46" s="87"/>
      <c r="IPA46" s="87"/>
      <c r="IPB46" s="87"/>
      <c r="IPC46" s="87"/>
      <c r="IPD46" s="87"/>
      <c r="IPE46" s="87"/>
      <c r="IPF46" s="87"/>
      <c r="IPG46" s="87"/>
      <c r="IPH46" s="87"/>
      <c r="IPI46" s="87"/>
      <c r="IPJ46" s="87"/>
      <c r="IPK46" s="87"/>
      <c r="IPL46" s="87"/>
      <c r="IPM46" s="87"/>
      <c r="IPN46" s="87"/>
      <c r="IPO46" s="87"/>
      <c r="IPP46" s="87"/>
      <c r="IPQ46" s="87"/>
      <c r="IPR46" s="87"/>
      <c r="IPS46" s="87"/>
      <c r="IPT46" s="87"/>
      <c r="IPU46" s="87"/>
      <c r="IPV46" s="87"/>
      <c r="IPW46" s="87"/>
      <c r="IPX46" s="87"/>
      <c r="IPY46" s="87"/>
      <c r="IPZ46" s="87"/>
      <c r="IQA46" s="87"/>
      <c r="IQB46" s="87"/>
      <c r="IQC46" s="87"/>
      <c r="IQD46" s="87"/>
      <c r="IQE46" s="87"/>
      <c r="IQF46" s="87"/>
      <c r="IQG46" s="87"/>
      <c r="IQH46" s="87"/>
      <c r="IQI46" s="87"/>
      <c r="IQJ46" s="87"/>
      <c r="IQK46" s="87"/>
      <c r="IQL46" s="87"/>
      <c r="IQM46" s="87"/>
      <c r="IQN46" s="87"/>
      <c r="IQO46" s="87"/>
      <c r="IQP46" s="87"/>
      <c r="IQQ46" s="87"/>
      <c r="IQR46" s="87"/>
      <c r="IQS46" s="87"/>
      <c r="IQT46" s="87"/>
      <c r="IQU46" s="87"/>
      <c r="IQV46" s="87"/>
      <c r="IQW46" s="87"/>
      <c r="IQX46" s="87"/>
      <c r="IQY46" s="87"/>
      <c r="IQZ46" s="87"/>
      <c r="IRA46" s="87"/>
      <c r="IRB46" s="87"/>
      <c r="IRC46" s="87"/>
      <c r="IRD46" s="87"/>
      <c r="IRE46" s="87"/>
      <c r="IRF46" s="87"/>
      <c r="IRG46" s="87"/>
      <c r="IRH46" s="87"/>
      <c r="IRI46" s="87"/>
      <c r="IRJ46" s="87"/>
      <c r="IRK46" s="87"/>
      <c r="IRL46" s="87"/>
      <c r="IRM46" s="87"/>
      <c r="IRN46" s="87"/>
      <c r="IRO46" s="87"/>
      <c r="IRP46" s="87"/>
      <c r="IRQ46" s="87"/>
      <c r="IRR46" s="87"/>
      <c r="IRS46" s="87"/>
      <c r="IRT46" s="87"/>
      <c r="IRU46" s="87"/>
      <c r="IRV46" s="87"/>
      <c r="IRW46" s="87"/>
      <c r="IRX46" s="87"/>
      <c r="IRY46" s="87"/>
      <c r="IRZ46" s="87"/>
      <c r="ISA46" s="87"/>
      <c r="ISB46" s="87"/>
      <c r="ISC46" s="87"/>
      <c r="ISD46" s="87"/>
      <c r="ISE46" s="87"/>
      <c r="ISF46" s="87"/>
      <c r="ISG46" s="87"/>
      <c r="ISH46" s="87"/>
      <c r="ISI46" s="87"/>
      <c r="ISJ46" s="87"/>
      <c r="ISK46" s="87"/>
      <c r="ISL46" s="87"/>
      <c r="ISM46" s="87"/>
      <c r="ISN46" s="87"/>
      <c r="ISO46" s="87"/>
      <c r="ISP46" s="87"/>
      <c r="ISQ46" s="87"/>
      <c r="ISR46" s="87"/>
      <c r="ISS46" s="87"/>
      <c r="IST46" s="87"/>
      <c r="ISU46" s="87"/>
      <c r="ISV46" s="87"/>
      <c r="ISW46" s="87"/>
      <c r="ISX46" s="87"/>
      <c r="ISY46" s="87"/>
      <c r="ISZ46" s="87"/>
      <c r="ITA46" s="87"/>
      <c r="ITB46" s="87"/>
      <c r="ITC46" s="87"/>
      <c r="ITD46" s="87"/>
      <c r="ITE46" s="87"/>
      <c r="ITF46" s="87"/>
      <c r="ITG46" s="87"/>
      <c r="ITH46" s="87"/>
      <c r="ITI46" s="87"/>
      <c r="ITJ46" s="87"/>
      <c r="ITK46" s="87"/>
      <c r="ITL46" s="87"/>
      <c r="ITM46" s="87"/>
      <c r="ITN46" s="87"/>
      <c r="ITO46" s="87"/>
      <c r="ITP46" s="87"/>
      <c r="ITQ46" s="87"/>
      <c r="ITR46" s="87"/>
      <c r="ITS46" s="87"/>
      <c r="ITT46" s="87"/>
      <c r="ITU46" s="87"/>
      <c r="ITV46" s="87"/>
      <c r="ITW46" s="87"/>
      <c r="ITX46" s="87"/>
      <c r="ITY46" s="87"/>
      <c r="ITZ46" s="87"/>
      <c r="IUA46" s="87"/>
      <c r="IUB46" s="87"/>
      <c r="IUC46" s="87"/>
      <c r="IUD46" s="87"/>
      <c r="IUE46" s="87"/>
      <c r="IUF46" s="87"/>
      <c r="IUG46" s="87"/>
      <c r="IUH46" s="87"/>
      <c r="IUI46" s="87"/>
      <c r="IUJ46" s="87"/>
      <c r="IUK46" s="87"/>
      <c r="IUL46" s="87"/>
      <c r="IUM46" s="87"/>
      <c r="IUN46" s="87"/>
      <c r="IUO46" s="87"/>
      <c r="IUP46" s="87"/>
      <c r="IUQ46" s="87"/>
      <c r="IUR46" s="87"/>
      <c r="IUS46" s="87"/>
      <c r="IUT46" s="87"/>
      <c r="IUU46" s="87"/>
      <c r="IUV46" s="87"/>
      <c r="IUW46" s="87"/>
      <c r="IUX46" s="87"/>
      <c r="IUY46" s="87"/>
      <c r="IUZ46" s="87"/>
      <c r="IVA46" s="87"/>
      <c r="IVB46" s="87"/>
      <c r="IVC46" s="87"/>
      <c r="IVD46" s="87"/>
      <c r="IVE46" s="87"/>
      <c r="IVF46" s="87"/>
      <c r="IVG46" s="87"/>
      <c r="IVH46" s="87"/>
      <c r="IVI46" s="87"/>
      <c r="IVJ46" s="87"/>
      <c r="IVK46" s="87"/>
      <c r="IVL46" s="87"/>
      <c r="IVM46" s="87"/>
      <c r="IVN46" s="87"/>
      <c r="IVO46" s="87"/>
      <c r="IVP46" s="87"/>
      <c r="IVQ46" s="87"/>
      <c r="IVR46" s="87"/>
      <c r="IVS46" s="87"/>
      <c r="IVT46" s="87"/>
      <c r="IVU46" s="87"/>
      <c r="IVV46" s="87"/>
      <c r="IVW46" s="87"/>
      <c r="IVX46" s="87"/>
      <c r="IVY46" s="87"/>
      <c r="IVZ46" s="87"/>
      <c r="IWA46" s="87"/>
      <c r="IWB46" s="87"/>
      <c r="IWC46" s="87"/>
      <c r="IWD46" s="87"/>
      <c r="IWE46" s="87"/>
      <c r="IWF46" s="87"/>
      <c r="IWG46" s="87"/>
      <c r="IWH46" s="87"/>
      <c r="IWI46" s="87"/>
      <c r="IWJ46" s="87"/>
      <c r="IWK46" s="87"/>
      <c r="IWL46" s="87"/>
      <c r="IWM46" s="87"/>
      <c r="IWN46" s="87"/>
      <c r="IWO46" s="87"/>
      <c r="IWP46" s="87"/>
      <c r="IWQ46" s="87"/>
      <c r="IWR46" s="87"/>
      <c r="IWS46" s="87"/>
      <c r="IWT46" s="87"/>
      <c r="IWU46" s="87"/>
      <c r="IWV46" s="87"/>
      <c r="IWW46" s="87"/>
      <c r="IWX46" s="87"/>
      <c r="IWY46" s="87"/>
      <c r="IWZ46" s="87"/>
      <c r="IXA46" s="87"/>
      <c r="IXB46" s="87"/>
      <c r="IXC46" s="87"/>
      <c r="IXD46" s="87"/>
      <c r="IXE46" s="87"/>
      <c r="IXF46" s="87"/>
      <c r="IXG46" s="87"/>
      <c r="IXH46" s="87"/>
      <c r="IXI46" s="87"/>
      <c r="IXJ46" s="87"/>
      <c r="IXK46" s="87"/>
      <c r="IXL46" s="87"/>
      <c r="IXM46" s="87"/>
      <c r="IXN46" s="87"/>
      <c r="IXO46" s="87"/>
      <c r="IXP46" s="87"/>
      <c r="IXQ46" s="87"/>
      <c r="IXR46" s="87"/>
      <c r="IXS46" s="87"/>
      <c r="IXT46" s="87"/>
      <c r="IXU46" s="87"/>
      <c r="IXV46" s="87"/>
      <c r="IXW46" s="87"/>
      <c r="IXX46" s="87"/>
      <c r="IXY46" s="87"/>
      <c r="IXZ46" s="87"/>
      <c r="IYA46" s="87"/>
      <c r="IYB46" s="87"/>
      <c r="IYC46" s="87"/>
      <c r="IYD46" s="87"/>
      <c r="IYE46" s="87"/>
      <c r="IYF46" s="87"/>
      <c r="IYG46" s="87"/>
      <c r="IYH46" s="87"/>
      <c r="IYI46" s="87"/>
      <c r="IYJ46" s="87"/>
      <c r="IYK46" s="87"/>
      <c r="IYL46" s="87"/>
      <c r="IYM46" s="87"/>
      <c r="IYN46" s="87"/>
      <c r="IYO46" s="87"/>
      <c r="IYP46" s="87"/>
      <c r="IYQ46" s="87"/>
      <c r="IYR46" s="87"/>
      <c r="IYS46" s="87"/>
      <c r="IYT46" s="87"/>
      <c r="IYU46" s="87"/>
      <c r="IYV46" s="87"/>
      <c r="IYW46" s="87"/>
      <c r="IYX46" s="87"/>
      <c r="IYY46" s="87"/>
      <c r="IYZ46" s="87"/>
      <c r="IZA46" s="87"/>
      <c r="IZB46" s="87"/>
      <c r="IZC46" s="87"/>
      <c r="IZD46" s="87"/>
      <c r="IZE46" s="87"/>
      <c r="IZF46" s="87"/>
      <c r="IZG46" s="87"/>
      <c r="IZH46" s="87"/>
      <c r="IZI46" s="87"/>
      <c r="IZJ46" s="87"/>
      <c r="IZK46" s="87"/>
      <c r="IZL46" s="87"/>
      <c r="IZM46" s="87"/>
      <c r="IZN46" s="87"/>
      <c r="IZO46" s="87"/>
      <c r="IZP46" s="87"/>
      <c r="IZQ46" s="87"/>
      <c r="IZR46" s="87"/>
      <c r="IZS46" s="87"/>
      <c r="IZT46" s="87"/>
      <c r="IZU46" s="87"/>
      <c r="IZV46" s="87"/>
      <c r="IZW46" s="87"/>
      <c r="IZX46" s="87"/>
      <c r="IZY46" s="87"/>
      <c r="IZZ46" s="87"/>
      <c r="JAA46" s="87"/>
      <c r="JAB46" s="87"/>
      <c r="JAC46" s="87"/>
      <c r="JAD46" s="87"/>
      <c r="JAE46" s="87"/>
      <c r="JAF46" s="87"/>
      <c r="JAG46" s="87"/>
      <c r="JAH46" s="87"/>
      <c r="JAI46" s="87"/>
      <c r="JAJ46" s="87"/>
      <c r="JAK46" s="87"/>
      <c r="JAL46" s="87"/>
      <c r="JAM46" s="87"/>
      <c r="JAN46" s="87"/>
      <c r="JAO46" s="87"/>
      <c r="JAP46" s="87"/>
      <c r="JAQ46" s="87"/>
      <c r="JAR46" s="87"/>
      <c r="JAS46" s="87"/>
      <c r="JAT46" s="87"/>
      <c r="JAU46" s="87"/>
      <c r="JAV46" s="87"/>
      <c r="JAW46" s="87"/>
      <c r="JAX46" s="87"/>
      <c r="JAY46" s="87"/>
      <c r="JAZ46" s="87"/>
      <c r="JBA46" s="87"/>
      <c r="JBB46" s="87"/>
      <c r="JBC46" s="87"/>
      <c r="JBD46" s="87"/>
      <c r="JBE46" s="87"/>
      <c r="JBF46" s="87"/>
      <c r="JBG46" s="87"/>
      <c r="JBH46" s="87"/>
      <c r="JBI46" s="87"/>
      <c r="JBJ46" s="87"/>
      <c r="JBK46" s="87"/>
      <c r="JBL46" s="87"/>
      <c r="JBM46" s="87"/>
      <c r="JBN46" s="87"/>
      <c r="JBO46" s="87"/>
      <c r="JBP46" s="87"/>
      <c r="JBQ46" s="87"/>
      <c r="JBR46" s="87"/>
      <c r="JBS46" s="87"/>
      <c r="JBT46" s="87"/>
      <c r="JBU46" s="87"/>
      <c r="JBV46" s="87"/>
      <c r="JBW46" s="87"/>
      <c r="JBX46" s="87"/>
      <c r="JBY46" s="87"/>
      <c r="JBZ46" s="87"/>
      <c r="JCA46" s="87"/>
      <c r="JCB46" s="87"/>
      <c r="JCC46" s="87"/>
      <c r="JCD46" s="87"/>
      <c r="JCE46" s="87"/>
      <c r="JCF46" s="87"/>
      <c r="JCG46" s="87"/>
      <c r="JCH46" s="87"/>
      <c r="JCI46" s="87"/>
      <c r="JCJ46" s="87"/>
      <c r="JCK46" s="87"/>
      <c r="JCL46" s="87"/>
      <c r="JCM46" s="87"/>
      <c r="JCN46" s="87"/>
      <c r="JCO46" s="87"/>
      <c r="JCP46" s="87"/>
      <c r="JCQ46" s="87"/>
      <c r="JCR46" s="87"/>
      <c r="JCS46" s="87"/>
      <c r="JCT46" s="87"/>
      <c r="JCU46" s="87"/>
      <c r="JCV46" s="87"/>
      <c r="JCW46" s="87"/>
      <c r="JCX46" s="87"/>
      <c r="JCY46" s="87"/>
      <c r="JCZ46" s="87"/>
      <c r="JDA46" s="87"/>
      <c r="JDB46" s="87"/>
      <c r="JDC46" s="87"/>
      <c r="JDD46" s="87"/>
      <c r="JDE46" s="87"/>
      <c r="JDF46" s="87"/>
      <c r="JDG46" s="87"/>
      <c r="JDH46" s="87"/>
      <c r="JDI46" s="87"/>
      <c r="JDJ46" s="87"/>
      <c r="JDK46" s="87"/>
      <c r="JDL46" s="87"/>
      <c r="JDM46" s="87"/>
      <c r="JDN46" s="87"/>
      <c r="JDO46" s="87"/>
      <c r="JDP46" s="87"/>
      <c r="JDQ46" s="87"/>
      <c r="JDR46" s="87"/>
      <c r="JDS46" s="87"/>
      <c r="JDT46" s="87"/>
      <c r="JDU46" s="87"/>
      <c r="JDV46" s="87"/>
      <c r="JDW46" s="87"/>
      <c r="JDX46" s="87"/>
      <c r="JDY46" s="87"/>
      <c r="JDZ46" s="87"/>
      <c r="JEA46" s="87"/>
      <c r="JEB46" s="87"/>
      <c r="JEC46" s="87"/>
      <c r="JED46" s="87"/>
      <c r="JEE46" s="87"/>
      <c r="JEF46" s="87"/>
      <c r="JEG46" s="87"/>
      <c r="JEH46" s="87"/>
      <c r="JEI46" s="87"/>
      <c r="JEJ46" s="87"/>
      <c r="JEK46" s="87"/>
      <c r="JEL46" s="87"/>
      <c r="JEM46" s="87"/>
      <c r="JEN46" s="87"/>
      <c r="JEO46" s="87"/>
      <c r="JEP46" s="87"/>
      <c r="JEQ46" s="87"/>
      <c r="JER46" s="87"/>
      <c r="JES46" s="87"/>
      <c r="JET46" s="87"/>
      <c r="JEU46" s="87"/>
      <c r="JEV46" s="87"/>
      <c r="JEW46" s="87"/>
      <c r="JEX46" s="87"/>
      <c r="JEY46" s="87"/>
      <c r="JEZ46" s="87"/>
      <c r="JFA46" s="87"/>
      <c r="JFB46" s="87"/>
      <c r="JFC46" s="87"/>
      <c r="JFD46" s="87"/>
      <c r="JFE46" s="87"/>
      <c r="JFF46" s="87"/>
      <c r="JFG46" s="87"/>
      <c r="JFH46" s="87"/>
      <c r="JFI46" s="87"/>
      <c r="JFJ46" s="87"/>
      <c r="JFK46" s="87"/>
      <c r="JFL46" s="87"/>
      <c r="JFM46" s="87"/>
      <c r="JFN46" s="87"/>
      <c r="JFO46" s="87"/>
      <c r="JFP46" s="87"/>
      <c r="JFQ46" s="87"/>
      <c r="JFR46" s="87"/>
      <c r="JFS46" s="87"/>
      <c r="JFT46" s="87"/>
      <c r="JFU46" s="87"/>
      <c r="JFV46" s="87"/>
      <c r="JFW46" s="87"/>
      <c r="JFX46" s="87"/>
      <c r="JFY46" s="87"/>
      <c r="JFZ46" s="87"/>
      <c r="JGA46" s="87"/>
      <c r="JGB46" s="87"/>
      <c r="JGC46" s="87"/>
      <c r="JGD46" s="87"/>
      <c r="JGE46" s="87"/>
      <c r="JGF46" s="87"/>
      <c r="JGG46" s="87"/>
      <c r="JGH46" s="87"/>
      <c r="JGI46" s="87"/>
      <c r="JGJ46" s="87"/>
      <c r="JGK46" s="87"/>
      <c r="JGL46" s="87"/>
      <c r="JGM46" s="87"/>
      <c r="JGN46" s="87"/>
      <c r="JGO46" s="87"/>
      <c r="JGP46" s="87"/>
      <c r="JGQ46" s="87"/>
      <c r="JGR46" s="87"/>
      <c r="JGS46" s="87"/>
      <c r="JGT46" s="87"/>
      <c r="JGU46" s="87"/>
      <c r="JGV46" s="87"/>
      <c r="JGW46" s="87"/>
      <c r="JGX46" s="87"/>
      <c r="JGY46" s="87"/>
      <c r="JGZ46" s="87"/>
      <c r="JHA46" s="87"/>
      <c r="JHB46" s="87"/>
      <c r="JHC46" s="87"/>
      <c r="JHD46" s="87"/>
      <c r="JHE46" s="87"/>
      <c r="JHF46" s="87"/>
      <c r="JHG46" s="87"/>
      <c r="JHH46" s="87"/>
      <c r="JHI46" s="87"/>
      <c r="JHJ46" s="87"/>
      <c r="JHK46" s="87"/>
      <c r="JHL46" s="87"/>
      <c r="JHM46" s="87"/>
      <c r="JHN46" s="87"/>
      <c r="JHO46" s="87"/>
      <c r="JHP46" s="87"/>
      <c r="JHQ46" s="87"/>
      <c r="JHR46" s="87"/>
      <c r="JHS46" s="87"/>
      <c r="JHT46" s="87"/>
      <c r="JHU46" s="87"/>
      <c r="JHV46" s="87"/>
      <c r="JHW46" s="87"/>
      <c r="JHX46" s="87"/>
      <c r="JHY46" s="87"/>
      <c r="JHZ46" s="87"/>
      <c r="JIA46" s="87"/>
      <c r="JIB46" s="87"/>
      <c r="JIC46" s="87"/>
      <c r="JID46" s="87"/>
      <c r="JIE46" s="87"/>
      <c r="JIF46" s="87"/>
      <c r="JIG46" s="87"/>
      <c r="JIH46" s="87"/>
      <c r="JII46" s="87"/>
      <c r="JIJ46" s="87"/>
      <c r="JIK46" s="87"/>
      <c r="JIL46" s="87"/>
      <c r="JIM46" s="87"/>
      <c r="JIN46" s="87"/>
      <c r="JIO46" s="87"/>
      <c r="JIP46" s="87"/>
      <c r="JIQ46" s="87"/>
      <c r="JIR46" s="87"/>
      <c r="JIS46" s="87"/>
      <c r="JIT46" s="87"/>
      <c r="JIU46" s="87"/>
      <c r="JIV46" s="87"/>
      <c r="JIW46" s="87"/>
      <c r="JIX46" s="87"/>
      <c r="JIY46" s="87"/>
      <c r="JIZ46" s="87"/>
      <c r="JJA46" s="87"/>
      <c r="JJB46" s="87"/>
      <c r="JJC46" s="87"/>
      <c r="JJD46" s="87"/>
      <c r="JJE46" s="87"/>
      <c r="JJF46" s="87"/>
      <c r="JJG46" s="87"/>
      <c r="JJH46" s="87"/>
      <c r="JJI46" s="87"/>
      <c r="JJJ46" s="87"/>
      <c r="JJK46" s="87"/>
      <c r="JJL46" s="87"/>
      <c r="JJM46" s="87"/>
      <c r="JJN46" s="87"/>
      <c r="JJO46" s="87"/>
      <c r="JJP46" s="87"/>
      <c r="JJQ46" s="87"/>
      <c r="JJR46" s="87"/>
      <c r="JJS46" s="87"/>
      <c r="JJT46" s="87"/>
      <c r="JJU46" s="87"/>
      <c r="JJV46" s="87"/>
      <c r="JJW46" s="87"/>
      <c r="JJX46" s="87"/>
      <c r="JJY46" s="87"/>
      <c r="JJZ46" s="87"/>
      <c r="JKA46" s="87"/>
      <c r="JKB46" s="87"/>
      <c r="JKC46" s="87"/>
      <c r="JKD46" s="87"/>
      <c r="JKE46" s="87"/>
      <c r="JKF46" s="87"/>
      <c r="JKG46" s="87"/>
      <c r="JKH46" s="87"/>
      <c r="JKI46" s="87"/>
      <c r="JKJ46" s="87"/>
      <c r="JKK46" s="87"/>
      <c r="JKL46" s="87"/>
      <c r="JKM46" s="87"/>
      <c r="JKN46" s="87"/>
      <c r="JKO46" s="87"/>
      <c r="JKP46" s="87"/>
      <c r="JKQ46" s="87"/>
      <c r="JKR46" s="87"/>
      <c r="JKS46" s="87"/>
      <c r="JKT46" s="87"/>
      <c r="JKU46" s="87"/>
      <c r="JKV46" s="87"/>
      <c r="JKW46" s="87"/>
      <c r="JKX46" s="87"/>
      <c r="JKY46" s="87"/>
      <c r="JKZ46" s="87"/>
      <c r="JLA46" s="87"/>
      <c r="JLB46" s="87"/>
      <c r="JLC46" s="87"/>
      <c r="JLD46" s="87"/>
      <c r="JLE46" s="87"/>
      <c r="JLF46" s="87"/>
      <c r="JLG46" s="87"/>
      <c r="JLH46" s="87"/>
      <c r="JLI46" s="87"/>
      <c r="JLJ46" s="87"/>
      <c r="JLK46" s="87"/>
      <c r="JLL46" s="87"/>
      <c r="JLM46" s="87"/>
      <c r="JLN46" s="87"/>
      <c r="JLO46" s="87"/>
      <c r="JLP46" s="87"/>
      <c r="JLQ46" s="87"/>
      <c r="JLR46" s="87"/>
      <c r="JLS46" s="87"/>
      <c r="JLT46" s="87"/>
      <c r="JLU46" s="87"/>
      <c r="JLV46" s="87"/>
      <c r="JLW46" s="87"/>
      <c r="JLX46" s="87"/>
      <c r="JLY46" s="87"/>
      <c r="JLZ46" s="87"/>
      <c r="JMA46" s="87"/>
      <c r="JMB46" s="87"/>
      <c r="JMC46" s="87"/>
      <c r="JMD46" s="87"/>
      <c r="JME46" s="87"/>
      <c r="JMF46" s="87"/>
      <c r="JMG46" s="87"/>
      <c r="JMH46" s="87"/>
      <c r="JMI46" s="87"/>
      <c r="JMJ46" s="87"/>
      <c r="JMK46" s="87"/>
      <c r="JML46" s="87"/>
      <c r="JMM46" s="87"/>
      <c r="JMN46" s="87"/>
      <c r="JMO46" s="87"/>
      <c r="JMP46" s="87"/>
      <c r="JMQ46" s="87"/>
      <c r="JMR46" s="87"/>
      <c r="JMS46" s="87"/>
      <c r="JMT46" s="87"/>
      <c r="JMU46" s="87"/>
      <c r="JMV46" s="87"/>
      <c r="JMW46" s="87"/>
      <c r="JMX46" s="87"/>
      <c r="JMY46" s="87"/>
      <c r="JMZ46" s="87"/>
      <c r="JNA46" s="87"/>
      <c r="JNB46" s="87"/>
      <c r="JNC46" s="87"/>
      <c r="JND46" s="87"/>
      <c r="JNE46" s="87"/>
      <c r="JNF46" s="87"/>
      <c r="JNG46" s="87"/>
      <c r="JNH46" s="87"/>
      <c r="JNI46" s="87"/>
      <c r="JNJ46" s="87"/>
      <c r="JNK46" s="87"/>
      <c r="JNL46" s="87"/>
      <c r="JNM46" s="87"/>
      <c r="JNN46" s="87"/>
      <c r="JNO46" s="87"/>
      <c r="JNP46" s="87"/>
      <c r="JNQ46" s="87"/>
      <c r="JNR46" s="87"/>
      <c r="JNS46" s="87"/>
      <c r="JNT46" s="87"/>
      <c r="JNU46" s="87"/>
      <c r="JNV46" s="87"/>
      <c r="JNW46" s="87"/>
      <c r="JNX46" s="87"/>
      <c r="JNY46" s="87"/>
      <c r="JNZ46" s="87"/>
      <c r="JOA46" s="87"/>
      <c r="JOB46" s="87"/>
      <c r="JOC46" s="87"/>
      <c r="JOD46" s="87"/>
      <c r="JOE46" s="87"/>
      <c r="JOF46" s="87"/>
      <c r="JOG46" s="87"/>
      <c r="JOH46" s="87"/>
      <c r="JOI46" s="87"/>
      <c r="JOJ46" s="87"/>
      <c r="JOK46" s="87"/>
      <c r="JOL46" s="87"/>
      <c r="JOM46" s="87"/>
      <c r="JON46" s="87"/>
      <c r="JOO46" s="87"/>
      <c r="JOP46" s="87"/>
      <c r="JOQ46" s="87"/>
      <c r="JOR46" s="87"/>
      <c r="JOS46" s="87"/>
      <c r="JOT46" s="87"/>
      <c r="JOU46" s="87"/>
      <c r="JOV46" s="87"/>
      <c r="JOW46" s="87"/>
      <c r="JOX46" s="87"/>
      <c r="JOY46" s="87"/>
      <c r="JOZ46" s="87"/>
      <c r="JPA46" s="87"/>
      <c r="JPB46" s="87"/>
      <c r="JPC46" s="87"/>
      <c r="JPD46" s="87"/>
      <c r="JPE46" s="87"/>
      <c r="JPF46" s="87"/>
      <c r="JPG46" s="87"/>
      <c r="JPH46" s="87"/>
      <c r="JPI46" s="87"/>
      <c r="JPJ46" s="87"/>
      <c r="JPK46" s="87"/>
      <c r="JPL46" s="87"/>
      <c r="JPM46" s="87"/>
      <c r="JPN46" s="87"/>
      <c r="JPO46" s="87"/>
      <c r="JPP46" s="87"/>
      <c r="JPQ46" s="87"/>
      <c r="JPR46" s="87"/>
      <c r="JPS46" s="87"/>
      <c r="JPT46" s="87"/>
      <c r="JPU46" s="87"/>
      <c r="JPV46" s="87"/>
      <c r="JPW46" s="87"/>
      <c r="JPX46" s="87"/>
      <c r="JPY46" s="87"/>
      <c r="JPZ46" s="87"/>
      <c r="JQA46" s="87"/>
      <c r="JQB46" s="87"/>
      <c r="JQC46" s="87"/>
      <c r="JQD46" s="87"/>
      <c r="JQE46" s="87"/>
      <c r="JQF46" s="87"/>
      <c r="JQG46" s="87"/>
      <c r="JQH46" s="87"/>
      <c r="JQI46" s="87"/>
      <c r="JQJ46" s="87"/>
      <c r="JQK46" s="87"/>
      <c r="JQL46" s="87"/>
      <c r="JQM46" s="87"/>
      <c r="JQN46" s="87"/>
      <c r="JQO46" s="87"/>
      <c r="JQP46" s="87"/>
      <c r="JQQ46" s="87"/>
      <c r="JQR46" s="87"/>
      <c r="JQS46" s="87"/>
      <c r="JQT46" s="87"/>
      <c r="JQU46" s="87"/>
      <c r="JQV46" s="87"/>
      <c r="JQW46" s="87"/>
      <c r="JQX46" s="87"/>
      <c r="JQY46" s="87"/>
      <c r="JQZ46" s="87"/>
      <c r="JRA46" s="87"/>
      <c r="JRB46" s="87"/>
      <c r="JRC46" s="87"/>
      <c r="JRD46" s="87"/>
      <c r="JRE46" s="87"/>
      <c r="JRF46" s="87"/>
      <c r="JRG46" s="87"/>
      <c r="JRH46" s="87"/>
      <c r="JRI46" s="87"/>
      <c r="JRJ46" s="87"/>
      <c r="JRK46" s="87"/>
      <c r="JRL46" s="87"/>
      <c r="JRM46" s="87"/>
      <c r="JRN46" s="87"/>
      <c r="JRO46" s="87"/>
      <c r="JRP46" s="87"/>
      <c r="JRQ46" s="87"/>
      <c r="JRR46" s="87"/>
      <c r="JRS46" s="87"/>
      <c r="JRT46" s="87"/>
      <c r="JRU46" s="87"/>
      <c r="JRV46" s="87"/>
      <c r="JRW46" s="87"/>
      <c r="JRX46" s="87"/>
      <c r="JRY46" s="87"/>
      <c r="JRZ46" s="87"/>
      <c r="JSA46" s="87"/>
      <c r="JSB46" s="87"/>
      <c r="JSC46" s="87"/>
      <c r="JSD46" s="87"/>
      <c r="JSE46" s="87"/>
      <c r="JSF46" s="87"/>
      <c r="JSG46" s="87"/>
      <c r="JSH46" s="87"/>
      <c r="JSI46" s="87"/>
      <c r="JSJ46" s="87"/>
      <c r="JSK46" s="87"/>
      <c r="JSL46" s="87"/>
      <c r="JSM46" s="87"/>
      <c r="JSN46" s="87"/>
      <c r="JSO46" s="87"/>
      <c r="JSP46" s="87"/>
      <c r="JSQ46" s="87"/>
      <c r="JSR46" s="87"/>
      <c r="JSS46" s="87"/>
      <c r="JST46" s="87"/>
      <c r="JSU46" s="87"/>
      <c r="JSV46" s="87"/>
      <c r="JSW46" s="87"/>
      <c r="JSX46" s="87"/>
      <c r="JSY46" s="87"/>
      <c r="JSZ46" s="87"/>
      <c r="JTA46" s="87"/>
      <c r="JTB46" s="87"/>
      <c r="JTC46" s="87"/>
      <c r="JTD46" s="87"/>
      <c r="JTE46" s="87"/>
      <c r="JTF46" s="87"/>
      <c r="JTG46" s="87"/>
      <c r="JTH46" s="87"/>
      <c r="JTI46" s="87"/>
      <c r="JTJ46" s="87"/>
      <c r="JTK46" s="87"/>
      <c r="JTL46" s="87"/>
      <c r="JTM46" s="87"/>
      <c r="JTN46" s="87"/>
      <c r="JTO46" s="87"/>
      <c r="JTP46" s="87"/>
      <c r="JTQ46" s="87"/>
      <c r="JTR46" s="87"/>
      <c r="JTS46" s="87"/>
      <c r="JTT46" s="87"/>
      <c r="JTU46" s="87"/>
      <c r="JTV46" s="87"/>
      <c r="JTW46" s="87"/>
      <c r="JTX46" s="87"/>
      <c r="JTY46" s="87"/>
      <c r="JTZ46" s="87"/>
      <c r="JUA46" s="87"/>
      <c r="JUB46" s="87"/>
      <c r="JUC46" s="87"/>
      <c r="JUD46" s="87"/>
      <c r="JUE46" s="87"/>
      <c r="JUF46" s="87"/>
      <c r="JUG46" s="87"/>
      <c r="JUH46" s="87"/>
      <c r="JUI46" s="87"/>
      <c r="JUJ46" s="87"/>
      <c r="JUK46" s="87"/>
      <c r="JUL46" s="87"/>
      <c r="JUM46" s="87"/>
      <c r="JUN46" s="87"/>
      <c r="JUO46" s="87"/>
      <c r="JUP46" s="87"/>
      <c r="JUQ46" s="87"/>
      <c r="JUR46" s="87"/>
      <c r="JUS46" s="87"/>
      <c r="JUT46" s="87"/>
      <c r="JUU46" s="87"/>
      <c r="JUV46" s="87"/>
      <c r="JUW46" s="87"/>
      <c r="JUX46" s="87"/>
      <c r="JUY46" s="87"/>
      <c r="JUZ46" s="87"/>
      <c r="JVA46" s="87"/>
      <c r="JVB46" s="87"/>
      <c r="JVC46" s="87"/>
      <c r="JVD46" s="87"/>
      <c r="JVE46" s="87"/>
      <c r="JVF46" s="87"/>
      <c r="JVG46" s="87"/>
      <c r="JVH46" s="87"/>
      <c r="JVI46" s="87"/>
      <c r="JVJ46" s="87"/>
      <c r="JVK46" s="87"/>
      <c r="JVL46" s="87"/>
      <c r="JVM46" s="87"/>
      <c r="JVN46" s="87"/>
      <c r="JVO46" s="87"/>
      <c r="JVP46" s="87"/>
      <c r="JVQ46" s="87"/>
      <c r="JVR46" s="87"/>
      <c r="JVS46" s="87"/>
      <c r="JVT46" s="87"/>
      <c r="JVU46" s="87"/>
      <c r="JVV46" s="87"/>
      <c r="JVW46" s="87"/>
      <c r="JVX46" s="87"/>
      <c r="JVY46" s="87"/>
      <c r="JVZ46" s="87"/>
      <c r="JWA46" s="87"/>
      <c r="JWB46" s="87"/>
      <c r="JWC46" s="87"/>
      <c r="JWD46" s="87"/>
      <c r="JWE46" s="87"/>
      <c r="JWF46" s="87"/>
      <c r="JWG46" s="87"/>
      <c r="JWH46" s="87"/>
      <c r="JWI46" s="87"/>
      <c r="JWJ46" s="87"/>
      <c r="JWK46" s="87"/>
      <c r="JWL46" s="87"/>
      <c r="JWM46" s="87"/>
      <c r="JWN46" s="87"/>
      <c r="JWO46" s="87"/>
      <c r="JWP46" s="87"/>
      <c r="JWQ46" s="87"/>
      <c r="JWR46" s="87"/>
      <c r="JWS46" s="87"/>
      <c r="JWT46" s="87"/>
      <c r="JWU46" s="87"/>
      <c r="JWV46" s="87"/>
      <c r="JWW46" s="87"/>
      <c r="JWX46" s="87"/>
      <c r="JWY46" s="87"/>
      <c r="JWZ46" s="87"/>
      <c r="JXA46" s="87"/>
      <c r="JXB46" s="87"/>
      <c r="JXC46" s="87"/>
      <c r="JXD46" s="87"/>
      <c r="JXE46" s="87"/>
      <c r="JXF46" s="87"/>
      <c r="JXG46" s="87"/>
      <c r="JXH46" s="87"/>
      <c r="JXI46" s="87"/>
      <c r="JXJ46" s="87"/>
      <c r="JXK46" s="87"/>
      <c r="JXL46" s="87"/>
      <c r="JXM46" s="87"/>
      <c r="JXN46" s="87"/>
      <c r="JXO46" s="87"/>
      <c r="JXP46" s="87"/>
      <c r="JXQ46" s="87"/>
      <c r="JXR46" s="87"/>
      <c r="JXS46" s="87"/>
      <c r="JXT46" s="87"/>
      <c r="JXU46" s="87"/>
      <c r="JXV46" s="87"/>
      <c r="JXW46" s="87"/>
      <c r="JXX46" s="87"/>
      <c r="JXY46" s="87"/>
      <c r="JXZ46" s="87"/>
      <c r="JYA46" s="87"/>
      <c r="JYB46" s="87"/>
      <c r="JYC46" s="87"/>
      <c r="JYD46" s="87"/>
      <c r="JYE46" s="87"/>
      <c r="JYF46" s="87"/>
      <c r="JYG46" s="87"/>
      <c r="JYH46" s="87"/>
      <c r="JYI46" s="87"/>
      <c r="JYJ46" s="87"/>
      <c r="JYK46" s="87"/>
      <c r="JYL46" s="87"/>
      <c r="JYM46" s="87"/>
      <c r="JYN46" s="87"/>
      <c r="JYO46" s="87"/>
      <c r="JYP46" s="87"/>
      <c r="JYQ46" s="87"/>
      <c r="JYR46" s="87"/>
      <c r="JYS46" s="87"/>
      <c r="JYT46" s="87"/>
      <c r="JYU46" s="87"/>
      <c r="JYV46" s="87"/>
      <c r="JYW46" s="87"/>
      <c r="JYX46" s="87"/>
      <c r="JYY46" s="87"/>
      <c r="JYZ46" s="87"/>
      <c r="JZA46" s="87"/>
      <c r="JZB46" s="87"/>
      <c r="JZC46" s="87"/>
      <c r="JZD46" s="87"/>
      <c r="JZE46" s="87"/>
      <c r="JZF46" s="87"/>
      <c r="JZG46" s="87"/>
      <c r="JZH46" s="87"/>
      <c r="JZI46" s="87"/>
      <c r="JZJ46" s="87"/>
      <c r="JZK46" s="87"/>
      <c r="JZL46" s="87"/>
      <c r="JZM46" s="87"/>
      <c r="JZN46" s="87"/>
      <c r="JZO46" s="87"/>
      <c r="JZP46" s="87"/>
      <c r="JZQ46" s="87"/>
      <c r="JZR46" s="87"/>
      <c r="JZS46" s="87"/>
      <c r="JZT46" s="87"/>
      <c r="JZU46" s="87"/>
      <c r="JZV46" s="87"/>
      <c r="JZW46" s="87"/>
      <c r="JZX46" s="87"/>
      <c r="JZY46" s="87"/>
      <c r="JZZ46" s="87"/>
      <c r="KAA46" s="87"/>
      <c r="KAB46" s="87"/>
      <c r="KAC46" s="87"/>
      <c r="KAD46" s="87"/>
      <c r="KAE46" s="87"/>
      <c r="KAF46" s="87"/>
      <c r="KAG46" s="87"/>
      <c r="KAH46" s="87"/>
      <c r="KAI46" s="87"/>
      <c r="KAJ46" s="87"/>
      <c r="KAK46" s="87"/>
      <c r="KAL46" s="87"/>
      <c r="KAM46" s="87"/>
      <c r="KAN46" s="87"/>
      <c r="KAO46" s="87"/>
      <c r="KAP46" s="87"/>
      <c r="KAQ46" s="87"/>
      <c r="KAR46" s="87"/>
      <c r="KAS46" s="87"/>
      <c r="KAT46" s="87"/>
      <c r="KAU46" s="87"/>
      <c r="KAV46" s="87"/>
      <c r="KAW46" s="87"/>
      <c r="KAX46" s="87"/>
      <c r="KAY46" s="87"/>
      <c r="KAZ46" s="87"/>
      <c r="KBA46" s="87"/>
      <c r="KBB46" s="87"/>
      <c r="KBC46" s="87"/>
      <c r="KBD46" s="87"/>
      <c r="KBE46" s="87"/>
      <c r="KBF46" s="87"/>
      <c r="KBG46" s="87"/>
      <c r="KBH46" s="87"/>
      <c r="KBI46" s="87"/>
      <c r="KBJ46" s="87"/>
      <c r="KBK46" s="87"/>
      <c r="KBL46" s="87"/>
      <c r="KBM46" s="87"/>
      <c r="KBN46" s="87"/>
      <c r="KBO46" s="87"/>
      <c r="KBP46" s="87"/>
      <c r="KBQ46" s="87"/>
      <c r="KBR46" s="87"/>
      <c r="KBS46" s="87"/>
      <c r="KBT46" s="87"/>
      <c r="KBU46" s="87"/>
      <c r="KBV46" s="87"/>
      <c r="KBW46" s="87"/>
      <c r="KBX46" s="87"/>
      <c r="KBY46" s="87"/>
      <c r="KBZ46" s="87"/>
      <c r="KCA46" s="87"/>
      <c r="KCB46" s="87"/>
      <c r="KCC46" s="87"/>
      <c r="KCD46" s="87"/>
      <c r="KCE46" s="87"/>
      <c r="KCF46" s="87"/>
      <c r="KCG46" s="87"/>
      <c r="KCH46" s="87"/>
      <c r="KCI46" s="87"/>
      <c r="KCJ46" s="87"/>
      <c r="KCK46" s="87"/>
      <c r="KCL46" s="87"/>
      <c r="KCM46" s="87"/>
      <c r="KCN46" s="87"/>
      <c r="KCO46" s="87"/>
      <c r="KCP46" s="87"/>
      <c r="KCQ46" s="87"/>
      <c r="KCR46" s="87"/>
      <c r="KCS46" s="87"/>
      <c r="KCT46" s="87"/>
      <c r="KCU46" s="87"/>
      <c r="KCV46" s="87"/>
      <c r="KCW46" s="87"/>
      <c r="KCX46" s="87"/>
      <c r="KCY46" s="87"/>
      <c r="KCZ46" s="87"/>
      <c r="KDA46" s="87"/>
      <c r="KDB46" s="87"/>
      <c r="KDC46" s="87"/>
      <c r="KDD46" s="87"/>
      <c r="KDE46" s="87"/>
      <c r="KDF46" s="87"/>
      <c r="KDG46" s="87"/>
      <c r="KDH46" s="87"/>
      <c r="KDI46" s="87"/>
      <c r="KDJ46" s="87"/>
      <c r="KDK46" s="87"/>
      <c r="KDL46" s="87"/>
      <c r="KDM46" s="87"/>
      <c r="KDN46" s="87"/>
      <c r="KDO46" s="87"/>
      <c r="KDP46" s="87"/>
      <c r="KDQ46" s="87"/>
      <c r="KDR46" s="87"/>
      <c r="KDS46" s="87"/>
      <c r="KDT46" s="87"/>
      <c r="KDU46" s="87"/>
      <c r="KDV46" s="87"/>
      <c r="KDW46" s="87"/>
      <c r="KDX46" s="87"/>
      <c r="KDY46" s="87"/>
      <c r="KDZ46" s="87"/>
      <c r="KEA46" s="87"/>
      <c r="KEB46" s="87"/>
      <c r="KEC46" s="87"/>
      <c r="KED46" s="87"/>
      <c r="KEE46" s="87"/>
      <c r="KEF46" s="87"/>
      <c r="KEG46" s="87"/>
      <c r="KEH46" s="87"/>
      <c r="KEI46" s="87"/>
      <c r="KEJ46" s="87"/>
      <c r="KEK46" s="87"/>
      <c r="KEL46" s="87"/>
      <c r="KEM46" s="87"/>
      <c r="KEN46" s="87"/>
      <c r="KEO46" s="87"/>
      <c r="KEP46" s="87"/>
      <c r="KEQ46" s="87"/>
      <c r="KER46" s="87"/>
      <c r="KES46" s="87"/>
      <c r="KET46" s="87"/>
      <c r="KEU46" s="87"/>
      <c r="KEV46" s="87"/>
      <c r="KEW46" s="87"/>
      <c r="KEX46" s="87"/>
      <c r="KEY46" s="87"/>
      <c r="KEZ46" s="87"/>
      <c r="KFA46" s="87"/>
      <c r="KFB46" s="87"/>
      <c r="KFC46" s="87"/>
      <c r="KFD46" s="87"/>
      <c r="KFE46" s="87"/>
      <c r="KFF46" s="87"/>
      <c r="KFG46" s="87"/>
      <c r="KFH46" s="87"/>
      <c r="KFI46" s="87"/>
      <c r="KFJ46" s="87"/>
      <c r="KFK46" s="87"/>
      <c r="KFL46" s="87"/>
      <c r="KFM46" s="87"/>
      <c r="KFN46" s="87"/>
      <c r="KFO46" s="87"/>
      <c r="KFP46" s="87"/>
      <c r="KFQ46" s="87"/>
      <c r="KFR46" s="87"/>
      <c r="KFS46" s="87"/>
      <c r="KFT46" s="87"/>
      <c r="KFU46" s="87"/>
      <c r="KFV46" s="87"/>
      <c r="KFW46" s="87"/>
      <c r="KFX46" s="87"/>
      <c r="KFY46" s="87"/>
      <c r="KFZ46" s="87"/>
      <c r="KGA46" s="87"/>
      <c r="KGB46" s="87"/>
      <c r="KGC46" s="87"/>
      <c r="KGD46" s="87"/>
      <c r="KGE46" s="87"/>
      <c r="KGF46" s="87"/>
      <c r="KGG46" s="87"/>
      <c r="KGH46" s="87"/>
      <c r="KGI46" s="87"/>
      <c r="KGJ46" s="87"/>
      <c r="KGK46" s="87"/>
      <c r="KGL46" s="87"/>
      <c r="KGM46" s="87"/>
      <c r="KGN46" s="87"/>
      <c r="KGO46" s="87"/>
      <c r="KGP46" s="87"/>
      <c r="KGQ46" s="87"/>
      <c r="KGR46" s="87"/>
      <c r="KGS46" s="87"/>
      <c r="KGT46" s="87"/>
      <c r="KGU46" s="87"/>
      <c r="KGV46" s="87"/>
      <c r="KGW46" s="87"/>
      <c r="KGX46" s="87"/>
      <c r="KGY46" s="87"/>
      <c r="KGZ46" s="87"/>
      <c r="KHA46" s="87"/>
      <c r="KHB46" s="87"/>
      <c r="KHC46" s="87"/>
      <c r="KHD46" s="87"/>
      <c r="KHE46" s="87"/>
      <c r="KHF46" s="87"/>
      <c r="KHG46" s="87"/>
      <c r="KHH46" s="87"/>
      <c r="KHI46" s="87"/>
      <c r="KHJ46" s="87"/>
      <c r="KHK46" s="87"/>
      <c r="KHL46" s="87"/>
      <c r="KHM46" s="87"/>
      <c r="KHN46" s="87"/>
      <c r="KHO46" s="87"/>
      <c r="KHP46" s="87"/>
      <c r="KHQ46" s="87"/>
      <c r="KHR46" s="87"/>
      <c r="KHS46" s="87"/>
      <c r="KHT46" s="87"/>
      <c r="KHU46" s="87"/>
      <c r="KHV46" s="87"/>
      <c r="KHW46" s="87"/>
      <c r="KHX46" s="87"/>
      <c r="KHY46" s="87"/>
      <c r="KHZ46" s="87"/>
      <c r="KIA46" s="87"/>
      <c r="KIB46" s="87"/>
      <c r="KIC46" s="87"/>
      <c r="KID46" s="87"/>
      <c r="KIE46" s="87"/>
      <c r="KIF46" s="87"/>
      <c r="KIG46" s="87"/>
      <c r="KIH46" s="87"/>
      <c r="KII46" s="87"/>
      <c r="KIJ46" s="87"/>
      <c r="KIK46" s="87"/>
      <c r="KIL46" s="87"/>
      <c r="KIM46" s="87"/>
      <c r="KIN46" s="87"/>
      <c r="KIO46" s="87"/>
      <c r="KIP46" s="87"/>
      <c r="KIQ46" s="87"/>
      <c r="KIR46" s="87"/>
      <c r="KIS46" s="87"/>
      <c r="KIT46" s="87"/>
      <c r="KIU46" s="87"/>
      <c r="KIV46" s="87"/>
      <c r="KIW46" s="87"/>
      <c r="KIX46" s="87"/>
      <c r="KIY46" s="87"/>
      <c r="KIZ46" s="87"/>
      <c r="KJA46" s="87"/>
      <c r="KJB46" s="87"/>
      <c r="KJC46" s="87"/>
      <c r="KJD46" s="87"/>
      <c r="KJE46" s="87"/>
      <c r="KJF46" s="87"/>
      <c r="KJG46" s="87"/>
      <c r="KJH46" s="87"/>
      <c r="KJI46" s="87"/>
      <c r="KJJ46" s="87"/>
      <c r="KJK46" s="87"/>
      <c r="KJL46" s="87"/>
      <c r="KJM46" s="87"/>
      <c r="KJN46" s="87"/>
      <c r="KJO46" s="87"/>
      <c r="KJP46" s="87"/>
      <c r="KJQ46" s="87"/>
      <c r="KJR46" s="87"/>
      <c r="KJS46" s="87"/>
      <c r="KJT46" s="87"/>
      <c r="KJU46" s="87"/>
      <c r="KJV46" s="87"/>
      <c r="KJW46" s="87"/>
      <c r="KJX46" s="87"/>
      <c r="KJY46" s="87"/>
      <c r="KJZ46" s="87"/>
      <c r="KKA46" s="87"/>
      <c r="KKB46" s="87"/>
      <c r="KKC46" s="87"/>
      <c r="KKD46" s="87"/>
      <c r="KKE46" s="87"/>
      <c r="KKF46" s="87"/>
      <c r="KKG46" s="87"/>
      <c r="KKH46" s="87"/>
      <c r="KKI46" s="87"/>
      <c r="KKJ46" s="87"/>
      <c r="KKK46" s="87"/>
      <c r="KKL46" s="87"/>
      <c r="KKM46" s="87"/>
      <c r="KKN46" s="87"/>
      <c r="KKO46" s="87"/>
      <c r="KKP46" s="87"/>
      <c r="KKQ46" s="87"/>
      <c r="KKR46" s="87"/>
      <c r="KKS46" s="87"/>
      <c r="KKT46" s="87"/>
      <c r="KKU46" s="87"/>
      <c r="KKV46" s="87"/>
      <c r="KKW46" s="87"/>
      <c r="KKX46" s="87"/>
      <c r="KKY46" s="87"/>
      <c r="KKZ46" s="87"/>
      <c r="KLA46" s="87"/>
      <c r="KLB46" s="87"/>
      <c r="KLC46" s="87"/>
      <c r="KLD46" s="87"/>
      <c r="KLE46" s="87"/>
      <c r="KLF46" s="87"/>
      <c r="KLG46" s="87"/>
      <c r="KLH46" s="87"/>
      <c r="KLI46" s="87"/>
      <c r="KLJ46" s="87"/>
      <c r="KLK46" s="87"/>
      <c r="KLL46" s="87"/>
      <c r="KLM46" s="87"/>
      <c r="KLN46" s="87"/>
      <c r="KLO46" s="87"/>
      <c r="KLP46" s="87"/>
      <c r="KLQ46" s="87"/>
      <c r="KLR46" s="87"/>
      <c r="KLS46" s="87"/>
      <c r="KLT46" s="87"/>
      <c r="KLU46" s="87"/>
      <c r="KLV46" s="87"/>
      <c r="KLW46" s="87"/>
      <c r="KLX46" s="87"/>
      <c r="KLY46" s="87"/>
      <c r="KLZ46" s="87"/>
      <c r="KMA46" s="87"/>
      <c r="KMB46" s="87"/>
      <c r="KMC46" s="87"/>
      <c r="KMD46" s="87"/>
      <c r="KME46" s="87"/>
      <c r="KMF46" s="87"/>
      <c r="KMG46" s="87"/>
      <c r="KMH46" s="87"/>
      <c r="KMI46" s="87"/>
      <c r="KMJ46" s="87"/>
      <c r="KMK46" s="87"/>
      <c r="KML46" s="87"/>
      <c r="KMM46" s="87"/>
      <c r="KMN46" s="87"/>
      <c r="KMO46" s="87"/>
      <c r="KMP46" s="87"/>
      <c r="KMQ46" s="87"/>
      <c r="KMR46" s="87"/>
      <c r="KMS46" s="87"/>
      <c r="KMT46" s="87"/>
      <c r="KMU46" s="87"/>
      <c r="KMV46" s="87"/>
      <c r="KMW46" s="87"/>
      <c r="KMX46" s="87"/>
      <c r="KMY46" s="87"/>
      <c r="KMZ46" s="87"/>
      <c r="KNA46" s="87"/>
      <c r="KNB46" s="87"/>
      <c r="KNC46" s="87"/>
      <c r="KND46" s="87"/>
      <c r="KNE46" s="87"/>
      <c r="KNF46" s="87"/>
      <c r="KNG46" s="87"/>
      <c r="KNH46" s="87"/>
      <c r="KNI46" s="87"/>
      <c r="KNJ46" s="87"/>
      <c r="KNK46" s="87"/>
      <c r="KNL46" s="87"/>
      <c r="KNM46" s="87"/>
      <c r="KNN46" s="87"/>
      <c r="KNO46" s="87"/>
      <c r="KNP46" s="87"/>
      <c r="KNQ46" s="87"/>
      <c r="KNR46" s="87"/>
      <c r="KNS46" s="87"/>
      <c r="KNT46" s="87"/>
      <c r="KNU46" s="87"/>
      <c r="KNV46" s="87"/>
      <c r="KNW46" s="87"/>
      <c r="KNX46" s="87"/>
      <c r="KNY46" s="87"/>
      <c r="KNZ46" s="87"/>
      <c r="KOA46" s="87"/>
      <c r="KOB46" s="87"/>
      <c r="KOC46" s="87"/>
      <c r="KOD46" s="87"/>
      <c r="KOE46" s="87"/>
      <c r="KOF46" s="87"/>
      <c r="KOG46" s="87"/>
      <c r="KOH46" s="87"/>
      <c r="KOI46" s="87"/>
      <c r="KOJ46" s="87"/>
      <c r="KOK46" s="87"/>
      <c r="KOL46" s="87"/>
      <c r="KOM46" s="87"/>
      <c r="KON46" s="87"/>
      <c r="KOO46" s="87"/>
      <c r="KOP46" s="87"/>
      <c r="KOQ46" s="87"/>
      <c r="KOR46" s="87"/>
      <c r="KOS46" s="87"/>
      <c r="KOT46" s="87"/>
      <c r="KOU46" s="87"/>
      <c r="KOV46" s="87"/>
      <c r="KOW46" s="87"/>
      <c r="KOX46" s="87"/>
      <c r="KOY46" s="87"/>
      <c r="KOZ46" s="87"/>
      <c r="KPA46" s="87"/>
      <c r="KPB46" s="87"/>
      <c r="KPC46" s="87"/>
      <c r="KPD46" s="87"/>
      <c r="KPE46" s="87"/>
      <c r="KPF46" s="87"/>
      <c r="KPG46" s="87"/>
      <c r="KPH46" s="87"/>
      <c r="KPI46" s="87"/>
      <c r="KPJ46" s="87"/>
      <c r="KPK46" s="87"/>
      <c r="KPL46" s="87"/>
      <c r="KPM46" s="87"/>
      <c r="KPN46" s="87"/>
      <c r="KPO46" s="87"/>
      <c r="KPP46" s="87"/>
      <c r="KPQ46" s="87"/>
      <c r="KPR46" s="87"/>
      <c r="KPS46" s="87"/>
      <c r="KPT46" s="87"/>
      <c r="KPU46" s="87"/>
      <c r="KPV46" s="87"/>
      <c r="KPW46" s="87"/>
      <c r="KPX46" s="87"/>
      <c r="KPY46" s="87"/>
      <c r="KPZ46" s="87"/>
      <c r="KQA46" s="87"/>
      <c r="KQB46" s="87"/>
      <c r="KQC46" s="87"/>
      <c r="KQD46" s="87"/>
      <c r="KQE46" s="87"/>
      <c r="KQF46" s="87"/>
      <c r="KQG46" s="87"/>
      <c r="KQH46" s="87"/>
      <c r="KQI46" s="87"/>
      <c r="KQJ46" s="87"/>
      <c r="KQK46" s="87"/>
      <c r="KQL46" s="87"/>
      <c r="KQM46" s="87"/>
      <c r="KQN46" s="87"/>
      <c r="KQO46" s="87"/>
      <c r="KQP46" s="87"/>
      <c r="KQQ46" s="87"/>
      <c r="KQR46" s="87"/>
      <c r="KQS46" s="87"/>
      <c r="KQT46" s="87"/>
      <c r="KQU46" s="87"/>
      <c r="KQV46" s="87"/>
      <c r="KQW46" s="87"/>
      <c r="KQX46" s="87"/>
      <c r="KQY46" s="87"/>
      <c r="KQZ46" s="87"/>
      <c r="KRA46" s="87"/>
      <c r="KRB46" s="87"/>
      <c r="KRC46" s="87"/>
      <c r="KRD46" s="87"/>
      <c r="KRE46" s="87"/>
      <c r="KRF46" s="87"/>
      <c r="KRG46" s="87"/>
      <c r="KRH46" s="87"/>
      <c r="KRI46" s="87"/>
      <c r="KRJ46" s="87"/>
      <c r="KRK46" s="87"/>
      <c r="KRL46" s="87"/>
      <c r="KRM46" s="87"/>
      <c r="KRN46" s="87"/>
      <c r="KRO46" s="87"/>
      <c r="KRP46" s="87"/>
      <c r="KRQ46" s="87"/>
      <c r="KRR46" s="87"/>
      <c r="KRS46" s="87"/>
      <c r="KRT46" s="87"/>
      <c r="KRU46" s="87"/>
      <c r="KRV46" s="87"/>
      <c r="KRW46" s="87"/>
      <c r="KRX46" s="87"/>
      <c r="KRY46" s="87"/>
      <c r="KRZ46" s="87"/>
      <c r="KSA46" s="87"/>
      <c r="KSB46" s="87"/>
      <c r="KSC46" s="87"/>
      <c r="KSD46" s="87"/>
      <c r="KSE46" s="87"/>
      <c r="KSF46" s="87"/>
      <c r="KSG46" s="87"/>
      <c r="KSH46" s="87"/>
      <c r="KSI46" s="87"/>
      <c r="KSJ46" s="87"/>
      <c r="KSK46" s="87"/>
      <c r="KSL46" s="87"/>
      <c r="KSM46" s="87"/>
      <c r="KSN46" s="87"/>
      <c r="KSO46" s="87"/>
      <c r="KSP46" s="87"/>
      <c r="KSQ46" s="87"/>
      <c r="KSR46" s="87"/>
      <c r="KSS46" s="87"/>
      <c r="KST46" s="87"/>
      <c r="KSU46" s="87"/>
      <c r="KSV46" s="87"/>
      <c r="KSW46" s="87"/>
      <c r="KSX46" s="87"/>
      <c r="KSY46" s="87"/>
      <c r="KSZ46" s="87"/>
      <c r="KTA46" s="87"/>
      <c r="KTB46" s="87"/>
      <c r="KTC46" s="87"/>
      <c r="KTD46" s="87"/>
      <c r="KTE46" s="87"/>
      <c r="KTF46" s="87"/>
      <c r="KTG46" s="87"/>
      <c r="KTH46" s="87"/>
      <c r="KTI46" s="87"/>
      <c r="KTJ46" s="87"/>
      <c r="KTK46" s="87"/>
      <c r="KTL46" s="87"/>
      <c r="KTM46" s="87"/>
      <c r="KTN46" s="87"/>
      <c r="KTO46" s="87"/>
      <c r="KTP46" s="87"/>
      <c r="KTQ46" s="87"/>
      <c r="KTR46" s="87"/>
      <c r="KTS46" s="87"/>
      <c r="KTT46" s="87"/>
      <c r="KTU46" s="87"/>
      <c r="KTV46" s="87"/>
      <c r="KTW46" s="87"/>
      <c r="KTX46" s="87"/>
      <c r="KTY46" s="87"/>
      <c r="KTZ46" s="87"/>
      <c r="KUA46" s="87"/>
      <c r="KUB46" s="87"/>
      <c r="KUC46" s="87"/>
      <c r="KUD46" s="87"/>
      <c r="KUE46" s="87"/>
      <c r="KUF46" s="87"/>
      <c r="KUG46" s="87"/>
      <c r="KUH46" s="87"/>
      <c r="KUI46" s="87"/>
      <c r="KUJ46" s="87"/>
      <c r="KUK46" s="87"/>
      <c r="KUL46" s="87"/>
      <c r="KUM46" s="87"/>
      <c r="KUN46" s="87"/>
      <c r="KUO46" s="87"/>
      <c r="KUP46" s="87"/>
      <c r="KUQ46" s="87"/>
      <c r="KUR46" s="87"/>
      <c r="KUS46" s="87"/>
      <c r="KUT46" s="87"/>
      <c r="KUU46" s="87"/>
      <c r="KUV46" s="87"/>
      <c r="KUW46" s="87"/>
      <c r="KUX46" s="87"/>
      <c r="KUY46" s="87"/>
      <c r="KUZ46" s="87"/>
      <c r="KVA46" s="87"/>
      <c r="KVB46" s="87"/>
      <c r="KVC46" s="87"/>
      <c r="KVD46" s="87"/>
      <c r="KVE46" s="87"/>
      <c r="KVF46" s="87"/>
      <c r="KVG46" s="87"/>
      <c r="KVH46" s="87"/>
      <c r="KVI46" s="87"/>
      <c r="KVJ46" s="87"/>
      <c r="KVK46" s="87"/>
      <c r="KVL46" s="87"/>
      <c r="KVM46" s="87"/>
      <c r="KVN46" s="87"/>
      <c r="KVO46" s="87"/>
      <c r="KVP46" s="87"/>
      <c r="KVQ46" s="87"/>
      <c r="KVR46" s="87"/>
      <c r="KVS46" s="87"/>
      <c r="KVT46" s="87"/>
      <c r="KVU46" s="87"/>
      <c r="KVV46" s="87"/>
      <c r="KVW46" s="87"/>
      <c r="KVX46" s="87"/>
      <c r="KVY46" s="87"/>
      <c r="KVZ46" s="87"/>
      <c r="KWA46" s="87"/>
      <c r="KWB46" s="87"/>
      <c r="KWC46" s="87"/>
      <c r="KWD46" s="87"/>
      <c r="KWE46" s="87"/>
      <c r="KWF46" s="87"/>
      <c r="KWG46" s="87"/>
      <c r="KWH46" s="87"/>
      <c r="KWI46" s="87"/>
      <c r="KWJ46" s="87"/>
      <c r="KWK46" s="87"/>
      <c r="KWL46" s="87"/>
      <c r="KWM46" s="87"/>
      <c r="KWN46" s="87"/>
      <c r="KWO46" s="87"/>
      <c r="KWP46" s="87"/>
      <c r="KWQ46" s="87"/>
      <c r="KWR46" s="87"/>
      <c r="KWS46" s="87"/>
      <c r="KWT46" s="87"/>
      <c r="KWU46" s="87"/>
      <c r="KWV46" s="87"/>
      <c r="KWW46" s="87"/>
      <c r="KWX46" s="87"/>
      <c r="KWY46" s="87"/>
      <c r="KWZ46" s="87"/>
      <c r="KXA46" s="87"/>
      <c r="KXB46" s="87"/>
      <c r="KXC46" s="87"/>
      <c r="KXD46" s="87"/>
      <c r="KXE46" s="87"/>
      <c r="KXF46" s="87"/>
      <c r="KXG46" s="87"/>
      <c r="KXH46" s="87"/>
      <c r="KXI46" s="87"/>
      <c r="KXJ46" s="87"/>
      <c r="KXK46" s="87"/>
      <c r="KXL46" s="87"/>
      <c r="KXM46" s="87"/>
      <c r="KXN46" s="87"/>
      <c r="KXO46" s="87"/>
      <c r="KXP46" s="87"/>
      <c r="KXQ46" s="87"/>
      <c r="KXR46" s="87"/>
      <c r="KXS46" s="87"/>
      <c r="KXT46" s="87"/>
      <c r="KXU46" s="87"/>
      <c r="KXV46" s="87"/>
      <c r="KXW46" s="87"/>
      <c r="KXX46" s="87"/>
      <c r="KXY46" s="87"/>
      <c r="KXZ46" s="87"/>
      <c r="KYA46" s="87"/>
      <c r="KYB46" s="87"/>
      <c r="KYC46" s="87"/>
      <c r="KYD46" s="87"/>
      <c r="KYE46" s="87"/>
      <c r="KYF46" s="87"/>
      <c r="KYG46" s="87"/>
      <c r="KYH46" s="87"/>
      <c r="KYI46" s="87"/>
      <c r="KYJ46" s="87"/>
      <c r="KYK46" s="87"/>
      <c r="KYL46" s="87"/>
      <c r="KYM46" s="87"/>
      <c r="KYN46" s="87"/>
      <c r="KYO46" s="87"/>
      <c r="KYP46" s="87"/>
      <c r="KYQ46" s="87"/>
      <c r="KYR46" s="87"/>
      <c r="KYS46" s="87"/>
      <c r="KYT46" s="87"/>
      <c r="KYU46" s="87"/>
      <c r="KYV46" s="87"/>
      <c r="KYW46" s="87"/>
      <c r="KYX46" s="87"/>
      <c r="KYY46" s="87"/>
      <c r="KYZ46" s="87"/>
      <c r="KZA46" s="87"/>
      <c r="KZB46" s="87"/>
      <c r="KZC46" s="87"/>
      <c r="KZD46" s="87"/>
      <c r="KZE46" s="87"/>
      <c r="KZF46" s="87"/>
      <c r="KZG46" s="87"/>
      <c r="KZH46" s="87"/>
      <c r="KZI46" s="87"/>
      <c r="KZJ46" s="87"/>
      <c r="KZK46" s="87"/>
      <c r="KZL46" s="87"/>
      <c r="KZM46" s="87"/>
      <c r="KZN46" s="87"/>
      <c r="KZO46" s="87"/>
      <c r="KZP46" s="87"/>
      <c r="KZQ46" s="87"/>
      <c r="KZR46" s="87"/>
      <c r="KZS46" s="87"/>
      <c r="KZT46" s="87"/>
      <c r="KZU46" s="87"/>
      <c r="KZV46" s="87"/>
      <c r="KZW46" s="87"/>
      <c r="KZX46" s="87"/>
      <c r="KZY46" s="87"/>
      <c r="KZZ46" s="87"/>
      <c r="LAA46" s="87"/>
      <c r="LAB46" s="87"/>
      <c r="LAC46" s="87"/>
      <c r="LAD46" s="87"/>
      <c r="LAE46" s="87"/>
      <c r="LAF46" s="87"/>
      <c r="LAG46" s="87"/>
      <c r="LAH46" s="87"/>
      <c r="LAI46" s="87"/>
      <c r="LAJ46" s="87"/>
      <c r="LAK46" s="87"/>
      <c r="LAL46" s="87"/>
      <c r="LAM46" s="87"/>
      <c r="LAN46" s="87"/>
      <c r="LAO46" s="87"/>
      <c r="LAP46" s="87"/>
      <c r="LAQ46" s="87"/>
      <c r="LAR46" s="87"/>
      <c r="LAS46" s="87"/>
      <c r="LAT46" s="87"/>
      <c r="LAU46" s="87"/>
      <c r="LAV46" s="87"/>
      <c r="LAW46" s="87"/>
      <c r="LAX46" s="87"/>
      <c r="LAY46" s="87"/>
      <c r="LAZ46" s="87"/>
      <c r="LBA46" s="87"/>
      <c r="LBB46" s="87"/>
      <c r="LBC46" s="87"/>
      <c r="LBD46" s="87"/>
      <c r="LBE46" s="87"/>
      <c r="LBF46" s="87"/>
      <c r="LBG46" s="87"/>
      <c r="LBH46" s="87"/>
      <c r="LBI46" s="87"/>
      <c r="LBJ46" s="87"/>
      <c r="LBK46" s="87"/>
      <c r="LBL46" s="87"/>
      <c r="LBM46" s="87"/>
      <c r="LBN46" s="87"/>
      <c r="LBO46" s="87"/>
      <c r="LBP46" s="87"/>
      <c r="LBQ46" s="87"/>
      <c r="LBR46" s="87"/>
      <c r="LBS46" s="87"/>
      <c r="LBT46" s="87"/>
      <c r="LBU46" s="87"/>
      <c r="LBV46" s="87"/>
      <c r="LBW46" s="87"/>
      <c r="LBX46" s="87"/>
      <c r="LBY46" s="87"/>
      <c r="LBZ46" s="87"/>
      <c r="LCA46" s="87"/>
      <c r="LCB46" s="87"/>
      <c r="LCC46" s="87"/>
      <c r="LCD46" s="87"/>
      <c r="LCE46" s="87"/>
      <c r="LCF46" s="87"/>
      <c r="LCG46" s="87"/>
      <c r="LCH46" s="87"/>
      <c r="LCI46" s="87"/>
      <c r="LCJ46" s="87"/>
      <c r="LCK46" s="87"/>
      <c r="LCL46" s="87"/>
      <c r="LCM46" s="87"/>
      <c r="LCN46" s="87"/>
      <c r="LCO46" s="87"/>
      <c r="LCP46" s="87"/>
      <c r="LCQ46" s="87"/>
      <c r="LCR46" s="87"/>
      <c r="LCS46" s="87"/>
      <c r="LCT46" s="87"/>
      <c r="LCU46" s="87"/>
      <c r="LCV46" s="87"/>
      <c r="LCW46" s="87"/>
      <c r="LCX46" s="87"/>
      <c r="LCY46" s="87"/>
      <c r="LCZ46" s="87"/>
      <c r="LDA46" s="87"/>
      <c r="LDB46" s="87"/>
      <c r="LDC46" s="87"/>
      <c r="LDD46" s="87"/>
      <c r="LDE46" s="87"/>
      <c r="LDF46" s="87"/>
      <c r="LDG46" s="87"/>
      <c r="LDH46" s="87"/>
      <c r="LDI46" s="87"/>
      <c r="LDJ46" s="87"/>
      <c r="LDK46" s="87"/>
      <c r="LDL46" s="87"/>
      <c r="LDM46" s="87"/>
      <c r="LDN46" s="87"/>
      <c r="LDO46" s="87"/>
      <c r="LDP46" s="87"/>
      <c r="LDQ46" s="87"/>
      <c r="LDR46" s="87"/>
      <c r="LDS46" s="87"/>
      <c r="LDT46" s="87"/>
      <c r="LDU46" s="87"/>
      <c r="LDV46" s="87"/>
      <c r="LDW46" s="87"/>
      <c r="LDX46" s="87"/>
      <c r="LDY46" s="87"/>
      <c r="LDZ46" s="87"/>
      <c r="LEA46" s="87"/>
      <c r="LEB46" s="87"/>
      <c r="LEC46" s="87"/>
      <c r="LED46" s="87"/>
      <c r="LEE46" s="87"/>
      <c r="LEF46" s="87"/>
      <c r="LEG46" s="87"/>
      <c r="LEH46" s="87"/>
      <c r="LEI46" s="87"/>
      <c r="LEJ46" s="87"/>
      <c r="LEK46" s="87"/>
      <c r="LEL46" s="87"/>
      <c r="LEM46" s="87"/>
      <c r="LEN46" s="87"/>
      <c r="LEO46" s="87"/>
      <c r="LEP46" s="87"/>
      <c r="LEQ46" s="87"/>
      <c r="LER46" s="87"/>
      <c r="LES46" s="87"/>
      <c r="LET46" s="87"/>
      <c r="LEU46" s="87"/>
      <c r="LEV46" s="87"/>
      <c r="LEW46" s="87"/>
      <c r="LEX46" s="87"/>
      <c r="LEY46" s="87"/>
      <c r="LEZ46" s="87"/>
      <c r="LFA46" s="87"/>
      <c r="LFB46" s="87"/>
      <c r="LFC46" s="87"/>
      <c r="LFD46" s="87"/>
      <c r="LFE46" s="87"/>
      <c r="LFF46" s="87"/>
      <c r="LFG46" s="87"/>
      <c r="LFH46" s="87"/>
      <c r="LFI46" s="87"/>
      <c r="LFJ46" s="87"/>
      <c r="LFK46" s="87"/>
      <c r="LFL46" s="87"/>
      <c r="LFM46" s="87"/>
      <c r="LFN46" s="87"/>
      <c r="LFO46" s="87"/>
      <c r="LFP46" s="87"/>
      <c r="LFQ46" s="87"/>
      <c r="LFR46" s="87"/>
      <c r="LFS46" s="87"/>
      <c r="LFT46" s="87"/>
      <c r="LFU46" s="87"/>
      <c r="LFV46" s="87"/>
      <c r="LFW46" s="87"/>
      <c r="LFX46" s="87"/>
      <c r="LFY46" s="87"/>
      <c r="LFZ46" s="87"/>
      <c r="LGA46" s="87"/>
      <c r="LGB46" s="87"/>
      <c r="LGC46" s="87"/>
      <c r="LGD46" s="87"/>
      <c r="LGE46" s="87"/>
      <c r="LGF46" s="87"/>
      <c r="LGG46" s="87"/>
      <c r="LGH46" s="87"/>
      <c r="LGI46" s="87"/>
      <c r="LGJ46" s="87"/>
      <c r="LGK46" s="87"/>
      <c r="LGL46" s="87"/>
      <c r="LGM46" s="87"/>
      <c r="LGN46" s="87"/>
      <c r="LGO46" s="87"/>
      <c r="LGP46" s="87"/>
      <c r="LGQ46" s="87"/>
      <c r="LGR46" s="87"/>
      <c r="LGS46" s="87"/>
      <c r="LGT46" s="87"/>
      <c r="LGU46" s="87"/>
      <c r="LGV46" s="87"/>
      <c r="LGW46" s="87"/>
      <c r="LGX46" s="87"/>
      <c r="LGY46" s="87"/>
      <c r="LGZ46" s="87"/>
      <c r="LHA46" s="87"/>
      <c r="LHB46" s="87"/>
      <c r="LHC46" s="87"/>
      <c r="LHD46" s="87"/>
      <c r="LHE46" s="87"/>
      <c r="LHF46" s="87"/>
      <c r="LHG46" s="87"/>
      <c r="LHH46" s="87"/>
      <c r="LHI46" s="87"/>
      <c r="LHJ46" s="87"/>
      <c r="LHK46" s="87"/>
      <c r="LHL46" s="87"/>
      <c r="LHM46" s="87"/>
      <c r="LHN46" s="87"/>
      <c r="LHO46" s="87"/>
      <c r="LHP46" s="87"/>
      <c r="LHQ46" s="87"/>
      <c r="LHR46" s="87"/>
      <c r="LHS46" s="87"/>
      <c r="LHT46" s="87"/>
      <c r="LHU46" s="87"/>
      <c r="LHV46" s="87"/>
      <c r="LHW46" s="87"/>
      <c r="LHX46" s="87"/>
      <c r="LHY46" s="87"/>
      <c r="LHZ46" s="87"/>
      <c r="LIA46" s="87"/>
      <c r="LIB46" s="87"/>
      <c r="LIC46" s="87"/>
      <c r="LID46" s="87"/>
      <c r="LIE46" s="87"/>
      <c r="LIF46" s="87"/>
      <c r="LIG46" s="87"/>
      <c r="LIH46" s="87"/>
      <c r="LII46" s="87"/>
      <c r="LIJ46" s="87"/>
      <c r="LIK46" s="87"/>
      <c r="LIL46" s="87"/>
      <c r="LIM46" s="87"/>
      <c r="LIN46" s="87"/>
      <c r="LIO46" s="87"/>
      <c r="LIP46" s="87"/>
      <c r="LIQ46" s="87"/>
      <c r="LIR46" s="87"/>
      <c r="LIS46" s="87"/>
      <c r="LIT46" s="87"/>
      <c r="LIU46" s="87"/>
      <c r="LIV46" s="87"/>
      <c r="LIW46" s="87"/>
      <c r="LIX46" s="87"/>
      <c r="LIY46" s="87"/>
      <c r="LIZ46" s="87"/>
      <c r="LJA46" s="87"/>
      <c r="LJB46" s="87"/>
      <c r="LJC46" s="87"/>
      <c r="LJD46" s="87"/>
      <c r="LJE46" s="87"/>
      <c r="LJF46" s="87"/>
      <c r="LJG46" s="87"/>
      <c r="LJH46" s="87"/>
      <c r="LJI46" s="87"/>
      <c r="LJJ46" s="87"/>
      <c r="LJK46" s="87"/>
      <c r="LJL46" s="87"/>
      <c r="LJM46" s="87"/>
      <c r="LJN46" s="87"/>
      <c r="LJO46" s="87"/>
      <c r="LJP46" s="87"/>
      <c r="LJQ46" s="87"/>
      <c r="LJR46" s="87"/>
      <c r="LJS46" s="87"/>
      <c r="LJT46" s="87"/>
      <c r="LJU46" s="87"/>
      <c r="LJV46" s="87"/>
      <c r="LJW46" s="87"/>
      <c r="LJX46" s="87"/>
      <c r="LJY46" s="87"/>
      <c r="LJZ46" s="87"/>
      <c r="LKA46" s="87"/>
      <c r="LKB46" s="87"/>
      <c r="LKC46" s="87"/>
      <c r="LKD46" s="87"/>
      <c r="LKE46" s="87"/>
      <c r="LKF46" s="87"/>
      <c r="LKG46" s="87"/>
      <c r="LKH46" s="87"/>
      <c r="LKI46" s="87"/>
      <c r="LKJ46" s="87"/>
      <c r="LKK46" s="87"/>
      <c r="LKL46" s="87"/>
      <c r="LKM46" s="87"/>
      <c r="LKN46" s="87"/>
      <c r="LKO46" s="87"/>
      <c r="LKP46" s="87"/>
      <c r="LKQ46" s="87"/>
      <c r="LKR46" s="87"/>
      <c r="LKS46" s="87"/>
      <c r="LKT46" s="87"/>
      <c r="LKU46" s="87"/>
      <c r="LKV46" s="87"/>
      <c r="LKW46" s="87"/>
      <c r="LKX46" s="87"/>
      <c r="LKY46" s="87"/>
      <c r="LKZ46" s="87"/>
      <c r="LLA46" s="87"/>
      <c r="LLB46" s="87"/>
      <c r="LLC46" s="87"/>
      <c r="LLD46" s="87"/>
      <c r="LLE46" s="87"/>
      <c r="LLF46" s="87"/>
      <c r="LLG46" s="87"/>
      <c r="LLH46" s="87"/>
      <c r="LLI46" s="87"/>
      <c r="LLJ46" s="87"/>
      <c r="LLK46" s="87"/>
      <c r="LLL46" s="87"/>
      <c r="LLM46" s="87"/>
      <c r="LLN46" s="87"/>
      <c r="LLO46" s="87"/>
      <c r="LLP46" s="87"/>
      <c r="LLQ46" s="87"/>
      <c r="LLR46" s="87"/>
      <c r="LLS46" s="87"/>
      <c r="LLT46" s="87"/>
      <c r="LLU46" s="87"/>
      <c r="LLV46" s="87"/>
      <c r="LLW46" s="87"/>
      <c r="LLX46" s="87"/>
      <c r="LLY46" s="87"/>
      <c r="LLZ46" s="87"/>
      <c r="LMA46" s="87"/>
      <c r="LMB46" s="87"/>
      <c r="LMC46" s="87"/>
      <c r="LMD46" s="87"/>
      <c r="LME46" s="87"/>
      <c r="LMF46" s="87"/>
      <c r="LMG46" s="87"/>
      <c r="LMH46" s="87"/>
      <c r="LMI46" s="87"/>
      <c r="LMJ46" s="87"/>
      <c r="LMK46" s="87"/>
      <c r="LML46" s="87"/>
      <c r="LMM46" s="87"/>
      <c r="LMN46" s="87"/>
      <c r="LMO46" s="87"/>
      <c r="LMP46" s="87"/>
      <c r="LMQ46" s="87"/>
      <c r="LMR46" s="87"/>
      <c r="LMS46" s="87"/>
      <c r="LMT46" s="87"/>
      <c r="LMU46" s="87"/>
      <c r="LMV46" s="87"/>
      <c r="LMW46" s="87"/>
      <c r="LMX46" s="87"/>
      <c r="LMY46" s="87"/>
      <c r="LMZ46" s="87"/>
      <c r="LNA46" s="87"/>
      <c r="LNB46" s="87"/>
      <c r="LNC46" s="87"/>
      <c r="LND46" s="87"/>
      <c r="LNE46" s="87"/>
      <c r="LNF46" s="87"/>
      <c r="LNG46" s="87"/>
      <c r="LNH46" s="87"/>
      <c r="LNI46" s="87"/>
      <c r="LNJ46" s="87"/>
      <c r="LNK46" s="87"/>
      <c r="LNL46" s="87"/>
      <c r="LNM46" s="87"/>
      <c r="LNN46" s="87"/>
      <c r="LNO46" s="87"/>
      <c r="LNP46" s="87"/>
      <c r="LNQ46" s="87"/>
      <c r="LNR46" s="87"/>
      <c r="LNS46" s="87"/>
      <c r="LNT46" s="87"/>
      <c r="LNU46" s="87"/>
      <c r="LNV46" s="87"/>
      <c r="LNW46" s="87"/>
      <c r="LNX46" s="87"/>
      <c r="LNY46" s="87"/>
      <c r="LNZ46" s="87"/>
      <c r="LOA46" s="87"/>
      <c r="LOB46" s="87"/>
      <c r="LOC46" s="87"/>
      <c r="LOD46" s="87"/>
      <c r="LOE46" s="87"/>
      <c r="LOF46" s="87"/>
      <c r="LOG46" s="87"/>
      <c r="LOH46" s="87"/>
      <c r="LOI46" s="87"/>
      <c r="LOJ46" s="87"/>
      <c r="LOK46" s="87"/>
      <c r="LOL46" s="87"/>
      <c r="LOM46" s="87"/>
      <c r="LON46" s="87"/>
      <c r="LOO46" s="87"/>
      <c r="LOP46" s="87"/>
      <c r="LOQ46" s="87"/>
      <c r="LOR46" s="87"/>
      <c r="LOS46" s="87"/>
      <c r="LOT46" s="87"/>
      <c r="LOU46" s="87"/>
      <c r="LOV46" s="87"/>
      <c r="LOW46" s="87"/>
      <c r="LOX46" s="87"/>
      <c r="LOY46" s="87"/>
      <c r="LOZ46" s="87"/>
      <c r="LPA46" s="87"/>
      <c r="LPB46" s="87"/>
      <c r="LPC46" s="87"/>
      <c r="LPD46" s="87"/>
      <c r="LPE46" s="87"/>
      <c r="LPF46" s="87"/>
      <c r="LPG46" s="87"/>
      <c r="LPH46" s="87"/>
      <c r="LPI46" s="87"/>
      <c r="LPJ46" s="87"/>
      <c r="LPK46" s="87"/>
      <c r="LPL46" s="87"/>
      <c r="LPM46" s="87"/>
      <c r="LPN46" s="87"/>
      <c r="LPO46" s="87"/>
      <c r="LPP46" s="87"/>
      <c r="LPQ46" s="87"/>
      <c r="LPR46" s="87"/>
      <c r="LPS46" s="87"/>
      <c r="LPT46" s="87"/>
      <c r="LPU46" s="87"/>
      <c r="LPV46" s="87"/>
      <c r="LPW46" s="87"/>
      <c r="LPX46" s="87"/>
      <c r="LPY46" s="87"/>
      <c r="LPZ46" s="87"/>
      <c r="LQA46" s="87"/>
      <c r="LQB46" s="87"/>
      <c r="LQC46" s="87"/>
      <c r="LQD46" s="87"/>
      <c r="LQE46" s="87"/>
      <c r="LQF46" s="87"/>
      <c r="LQG46" s="87"/>
      <c r="LQH46" s="87"/>
      <c r="LQI46" s="87"/>
      <c r="LQJ46" s="87"/>
      <c r="LQK46" s="87"/>
      <c r="LQL46" s="87"/>
      <c r="LQM46" s="87"/>
      <c r="LQN46" s="87"/>
      <c r="LQO46" s="87"/>
      <c r="LQP46" s="87"/>
      <c r="LQQ46" s="87"/>
      <c r="LQR46" s="87"/>
      <c r="LQS46" s="87"/>
      <c r="LQT46" s="87"/>
      <c r="LQU46" s="87"/>
      <c r="LQV46" s="87"/>
      <c r="LQW46" s="87"/>
      <c r="LQX46" s="87"/>
      <c r="LQY46" s="87"/>
      <c r="LQZ46" s="87"/>
      <c r="LRA46" s="87"/>
      <c r="LRB46" s="87"/>
      <c r="LRC46" s="87"/>
      <c r="LRD46" s="87"/>
      <c r="LRE46" s="87"/>
      <c r="LRF46" s="87"/>
      <c r="LRG46" s="87"/>
      <c r="LRH46" s="87"/>
      <c r="LRI46" s="87"/>
      <c r="LRJ46" s="87"/>
      <c r="LRK46" s="87"/>
      <c r="LRL46" s="87"/>
      <c r="LRM46" s="87"/>
      <c r="LRN46" s="87"/>
      <c r="LRO46" s="87"/>
      <c r="LRP46" s="87"/>
      <c r="LRQ46" s="87"/>
      <c r="LRR46" s="87"/>
      <c r="LRS46" s="87"/>
      <c r="LRT46" s="87"/>
      <c r="LRU46" s="87"/>
      <c r="LRV46" s="87"/>
      <c r="LRW46" s="87"/>
      <c r="LRX46" s="87"/>
      <c r="LRY46" s="87"/>
      <c r="LRZ46" s="87"/>
      <c r="LSA46" s="87"/>
      <c r="LSB46" s="87"/>
      <c r="LSC46" s="87"/>
      <c r="LSD46" s="87"/>
      <c r="LSE46" s="87"/>
      <c r="LSF46" s="87"/>
      <c r="LSG46" s="87"/>
      <c r="LSH46" s="87"/>
      <c r="LSI46" s="87"/>
      <c r="LSJ46" s="87"/>
      <c r="LSK46" s="87"/>
      <c r="LSL46" s="87"/>
      <c r="LSM46" s="87"/>
      <c r="LSN46" s="87"/>
      <c r="LSO46" s="87"/>
      <c r="LSP46" s="87"/>
      <c r="LSQ46" s="87"/>
      <c r="LSR46" s="87"/>
      <c r="LSS46" s="87"/>
      <c r="LST46" s="87"/>
      <c r="LSU46" s="87"/>
      <c r="LSV46" s="87"/>
      <c r="LSW46" s="87"/>
      <c r="LSX46" s="87"/>
      <c r="LSY46" s="87"/>
      <c r="LSZ46" s="87"/>
      <c r="LTA46" s="87"/>
      <c r="LTB46" s="87"/>
      <c r="LTC46" s="87"/>
      <c r="LTD46" s="87"/>
      <c r="LTE46" s="87"/>
      <c r="LTF46" s="87"/>
      <c r="LTG46" s="87"/>
      <c r="LTH46" s="87"/>
      <c r="LTI46" s="87"/>
      <c r="LTJ46" s="87"/>
      <c r="LTK46" s="87"/>
      <c r="LTL46" s="87"/>
      <c r="LTM46" s="87"/>
      <c r="LTN46" s="87"/>
      <c r="LTO46" s="87"/>
      <c r="LTP46" s="87"/>
      <c r="LTQ46" s="87"/>
      <c r="LTR46" s="87"/>
      <c r="LTS46" s="87"/>
      <c r="LTT46" s="87"/>
      <c r="LTU46" s="87"/>
      <c r="LTV46" s="87"/>
      <c r="LTW46" s="87"/>
      <c r="LTX46" s="87"/>
      <c r="LTY46" s="87"/>
      <c r="LTZ46" s="87"/>
      <c r="LUA46" s="87"/>
      <c r="LUB46" s="87"/>
      <c r="LUC46" s="87"/>
      <c r="LUD46" s="87"/>
      <c r="LUE46" s="87"/>
      <c r="LUF46" s="87"/>
      <c r="LUG46" s="87"/>
      <c r="LUH46" s="87"/>
      <c r="LUI46" s="87"/>
      <c r="LUJ46" s="87"/>
      <c r="LUK46" s="87"/>
      <c r="LUL46" s="87"/>
      <c r="LUM46" s="87"/>
      <c r="LUN46" s="87"/>
      <c r="LUO46" s="87"/>
      <c r="LUP46" s="87"/>
      <c r="LUQ46" s="87"/>
      <c r="LUR46" s="87"/>
      <c r="LUS46" s="87"/>
      <c r="LUT46" s="87"/>
      <c r="LUU46" s="87"/>
      <c r="LUV46" s="87"/>
      <c r="LUW46" s="87"/>
      <c r="LUX46" s="87"/>
      <c r="LUY46" s="87"/>
      <c r="LUZ46" s="87"/>
      <c r="LVA46" s="87"/>
      <c r="LVB46" s="87"/>
      <c r="LVC46" s="87"/>
      <c r="LVD46" s="87"/>
      <c r="LVE46" s="87"/>
      <c r="LVF46" s="87"/>
      <c r="LVG46" s="87"/>
      <c r="LVH46" s="87"/>
      <c r="LVI46" s="87"/>
      <c r="LVJ46" s="87"/>
      <c r="LVK46" s="87"/>
      <c r="LVL46" s="87"/>
      <c r="LVM46" s="87"/>
      <c r="LVN46" s="87"/>
      <c r="LVO46" s="87"/>
      <c r="LVP46" s="87"/>
      <c r="LVQ46" s="87"/>
      <c r="LVR46" s="87"/>
      <c r="LVS46" s="87"/>
      <c r="LVT46" s="87"/>
      <c r="LVU46" s="87"/>
      <c r="LVV46" s="87"/>
      <c r="LVW46" s="87"/>
      <c r="LVX46" s="87"/>
      <c r="LVY46" s="87"/>
      <c r="LVZ46" s="87"/>
      <c r="LWA46" s="87"/>
      <c r="LWB46" s="87"/>
      <c r="LWC46" s="87"/>
      <c r="LWD46" s="87"/>
      <c r="LWE46" s="87"/>
      <c r="LWF46" s="87"/>
      <c r="LWG46" s="87"/>
      <c r="LWH46" s="87"/>
      <c r="LWI46" s="87"/>
      <c r="LWJ46" s="87"/>
      <c r="LWK46" s="87"/>
      <c r="LWL46" s="87"/>
      <c r="LWM46" s="87"/>
      <c r="LWN46" s="87"/>
      <c r="LWO46" s="87"/>
      <c r="LWP46" s="87"/>
      <c r="LWQ46" s="87"/>
      <c r="LWR46" s="87"/>
      <c r="LWS46" s="87"/>
      <c r="LWT46" s="87"/>
      <c r="LWU46" s="87"/>
      <c r="LWV46" s="87"/>
      <c r="LWW46" s="87"/>
      <c r="LWX46" s="87"/>
      <c r="LWY46" s="87"/>
      <c r="LWZ46" s="87"/>
      <c r="LXA46" s="87"/>
      <c r="LXB46" s="87"/>
      <c r="LXC46" s="87"/>
      <c r="LXD46" s="87"/>
      <c r="LXE46" s="87"/>
      <c r="LXF46" s="87"/>
      <c r="LXG46" s="87"/>
      <c r="LXH46" s="87"/>
      <c r="LXI46" s="87"/>
      <c r="LXJ46" s="87"/>
      <c r="LXK46" s="87"/>
      <c r="LXL46" s="87"/>
      <c r="LXM46" s="87"/>
      <c r="LXN46" s="87"/>
      <c r="LXO46" s="87"/>
      <c r="LXP46" s="87"/>
      <c r="LXQ46" s="87"/>
      <c r="LXR46" s="87"/>
      <c r="LXS46" s="87"/>
      <c r="LXT46" s="87"/>
      <c r="LXU46" s="87"/>
      <c r="LXV46" s="87"/>
      <c r="LXW46" s="87"/>
      <c r="LXX46" s="87"/>
      <c r="LXY46" s="87"/>
      <c r="LXZ46" s="87"/>
      <c r="LYA46" s="87"/>
      <c r="LYB46" s="87"/>
      <c r="LYC46" s="87"/>
      <c r="LYD46" s="87"/>
      <c r="LYE46" s="87"/>
      <c r="LYF46" s="87"/>
      <c r="LYG46" s="87"/>
      <c r="LYH46" s="87"/>
      <c r="LYI46" s="87"/>
      <c r="LYJ46" s="87"/>
      <c r="LYK46" s="87"/>
      <c r="LYL46" s="87"/>
      <c r="LYM46" s="87"/>
      <c r="LYN46" s="87"/>
      <c r="LYO46" s="87"/>
      <c r="LYP46" s="87"/>
      <c r="LYQ46" s="87"/>
      <c r="LYR46" s="87"/>
      <c r="LYS46" s="87"/>
      <c r="LYT46" s="87"/>
      <c r="LYU46" s="87"/>
      <c r="LYV46" s="87"/>
      <c r="LYW46" s="87"/>
      <c r="LYX46" s="87"/>
      <c r="LYY46" s="87"/>
      <c r="LYZ46" s="87"/>
      <c r="LZA46" s="87"/>
      <c r="LZB46" s="87"/>
      <c r="LZC46" s="87"/>
      <c r="LZD46" s="87"/>
      <c r="LZE46" s="87"/>
      <c r="LZF46" s="87"/>
      <c r="LZG46" s="87"/>
      <c r="LZH46" s="87"/>
      <c r="LZI46" s="87"/>
      <c r="LZJ46" s="87"/>
      <c r="LZK46" s="87"/>
      <c r="LZL46" s="87"/>
      <c r="LZM46" s="87"/>
      <c r="LZN46" s="87"/>
      <c r="LZO46" s="87"/>
      <c r="LZP46" s="87"/>
      <c r="LZQ46" s="87"/>
      <c r="LZR46" s="87"/>
      <c r="LZS46" s="87"/>
      <c r="LZT46" s="87"/>
      <c r="LZU46" s="87"/>
      <c r="LZV46" s="87"/>
      <c r="LZW46" s="87"/>
      <c r="LZX46" s="87"/>
      <c r="LZY46" s="87"/>
      <c r="LZZ46" s="87"/>
      <c r="MAA46" s="87"/>
      <c r="MAB46" s="87"/>
      <c r="MAC46" s="87"/>
      <c r="MAD46" s="87"/>
      <c r="MAE46" s="87"/>
      <c r="MAF46" s="87"/>
      <c r="MAG46" s="87"/>
      <c r="MAH46" s="87"/>
      <c r="MAI46" s="87"/>
      <c r="MAJ46" s="87"/>
      <c r="MAK46" s="87"/>
      <c r="MAL46" s="87"/>
      <c r="MAM46" s="87"/>
      <c r="MAN46" s="87"/>
      <c r="MAO46" s="87"/>
      <c r="MAP46" s="87"/>
      <c r="MAQ46" s="87"/>
      <c r="MAR46" s="87"/>
      <c r="MAS46" s="87"/>
      <c r="MAT46" s="87"/>
      <c r="MAU46" s="87"/>
      <c r="MAV46" s="87"/>
      <c r="MAW46" s="87"/>
      <c r="MAX46" s="87"/>
      <c r="MAY46" s="87"/>
      <c r="MAZ46" s="87"/>
      <c r="MBA46" s="87"/>
      <c r="MBB46" s="87"/>
      <c r="MBC46" s="87"/>
      <c r="MBD46" s="87"/>
      <c r="MBE46" s="87"/>
      <c r="MBF46" s="87"/>
      <c r="MBG46" s="87"/>
      <c r="MBH46" s="87"/>
      <c r="MBI46" s="87"/>
      <c r="MBJ46" s="87"/>
      <c r="MBK46" s="87"/>
      <c r="MBL46" s="87"/>
      <c r="MBM46" s="87"/>
      <c r="MBN46" s="87"/>
      <c r="MBO46" s="87"/>
      <c r="MBP46" s="87"/>
      <c r="MBQ46" s="87"/>
      <c r="MBR46" s="87"/>
      <c r="MBS46" s="87"/>
      <c r="MBT46" s="87"/>
      <c r="MBU46" s="87"/>
      <c r="MBV46" s="87"/>
      <c r="MBW46" s="87"/>
      <c r="MBX46" s="87"/>
      <c r="MBY46" s="87"/>
      <c r="MBZ46" s="87"/>
      <c r="MCA46" s="87"/>
      <c r="MCB46" s="87"/>
      <c r="MCC46" s="87"/>
      <c r="MCD46" s="87"/>
      <c r="MCE46" s="87"/>
      <c r="MCF46" s="87"/>
      <c r="MCG46" s="87"/>
      <c r="MCH46" s="87"/>
      <c r="MCI46" s="87"/>
      <c r="MCJ46" s="87"/>
      <c r="MCK46" s="87"/>
      <c r="MCL46" s="87"/>
      <c r="MCM46" s="87"/>
      <c r="MCN46" s="87"/>
      <c r="MCO46" s="87"/>
      <c r="MCP46" s="87"/>
      <c r="MCQ46" s="87"/>
      <c r="MCR46" s="87"/>
      <c r="MCS46" s="87"/>
      <c r="MCT46" s="87"/>
      <c r="MCU46" s="87"/>
      <c r="MCV46" s="87"/>
      <c r="MCW46" s="87"/>
      <c r="MCX46" s="87"/>
      <c r="MCY46" s="87"/>
      <c r="MCZ46" s="87"/>
      <c r="MDA46" s="87"/>
      <c r="MDB46" s="87"/>
      <c r="MDC46" s="87"/>
      <c r="MDD46" s="87"/>
      <c r="MDE46" s="87"/>
      <c r="MDF46" s="87"/>
      <c r="MDG46" s="87"/>
      <c r="MDH46" s="87"/>
      <c r="MDI46" s="87"/>
      <c r="MDJ46" s="87"/>
      <c r="MDK46" s="87"/>
      <c r="MDL46" s="87"/>
      <c r="MDM46" s="87"/>
      <c r="MDN46" s="87"/>
      <c r="MDO46" s="87"/>
      <c r="MDP46" s="87"/>
      <c r="MDQ46" s="87"/>
      <c r="MDR46" s="87"/>
      <c r="MDS46" s="87"/>
      <c r="MDT46" s="87"/>
      <c r="MDU46" s="87"/>
      <c r="MDV46" s="87"/>
      <c r="MDW46" s="87"/>
      <c r="MDX46" s="87"/>
      <c r="MDY46" s="87"/>
      <c r="MDZ46" s="87"/>
      <c r="MEA46" s="87"/>
      <c r="MEB46" s="87"/>
      <c r="MEC46" s="87"/>
      <c r="MED46" s="87"/>
      <c r="MEE46" s="87"/>
      <c r="MEF46" s="87"/>
      <c r="MEG46" s="87"/>
      <c r="MEH46" s="87"/>
      <c r="MEI46" s="87"/>
      <c r="MEJ46" s="87"/>
      <c r="MEK46" s="87"/>
      <c r="MEL46" s="87"/>
      <c r="MEM46" s="87"/>
      <c r="MEN46" s="87"/>
      <c r="MEO46" s="87"/>
      <c r="MEP46" s="87"/>
      <c r="MEQ46" s="87"/>
      <c r="MER46" s="87"/>
      <c r="MES46" s="87"/>
      <c r="MET46" s="87"/>
      <c r="MEU46" s="87"/>
      <c r="MEV46" s="87"/>
      <c r="MEW46" s="87"/>
      <c r="MEX46" s="87"/>
      <c r="MEY46" s="87"/>
      <c r="MEZ46" s="87"/>
      <c r="MFA46" s="87"/>
      <c r="MFB46" s="87"/>
      <c r="MFC46" s="87"/>
      <c r="MFD46" s="87"/>
      <c r="MFE46" s="87"/>
      <c r="MFF46" s="87"/>
      <c r="MFG46" s="87"/>
      <c r="MFH46" s="87"/>
      <c r="MFI46" s="87"/>
      <c r="MFJ46" s="87"/>
      <c r="MFK46" s="87"/>
      <c r="MFL46" s="87"/>
      <c r="MFM46" s="87"/>
      <c r="MFN46" s="87"/>
      <c r="MFO46" s="87"/>
      <c r="MFP46" s="87"/>
      <c r="MFQ46" s="87"/>
      <c r="MFR46" s="87"/>
      <c r="MFS46" s="87"/>
      <c r="MFT46" s="87"/>
      <c r="MFU46" s="87"/>
      <c r="MFV46" s="87"/>
      <c r="MFW46" s="87"/>
      <c r="MFX46" s="87"/>
      <c r="MFY46" s="87"/>
      <c r="MFZ46" s="87"/>
      <c r="MGA46" s="87"/>
      <c r="MGB46" s="87"/>
      <c r="MGC46" s="87"/>
      <c r="MGD46" s="87"/>
      <c r="MGE46" s="87"/>
      <c r="MGF46" s="87"/>
      <c r="MGG46" s="87"/>
      <c r="MGH46" s="87"/>
      <c r="MGI46" s="87"/>
      <c r="MGJ46" s="87"/>
      <c r="MGK46" s="87"/>
      <c r="MGL46" s="87"/>
      <c r="MGM46" s="87"/>
      <c r="MGN46" s="87"/>
      <c r="MGO46" s="87"/>
      <c r="MGP46" s="87"/>
      <c r="MGQ46" s="87"/>
      <c r="MGR46" s="87"/>
      <c r="MGS46" s="87"/>
      <c r="MGT46" s="87"/>
      <c r="MGU46" s="87"/>
      <c r="MGV46" s="87"/>
      <c r="MGW46" s="87"/>
      <c r="MGX46" s="87"/>
      <c r="MGY46" s="87"/>
      <c r="MGZ46" s="87"/>
      <c r="MHA46" s="87"/>
      <c r="MHB46" s="87"/>
      <c r="MHC46" s="87"/>
      <c r="MHD46" s="87"/>
      <c r="MHE46" s="87"/>
      <c r="MHF46" s="87"/>
      <c r="MHG46" s="87"/>
      <c r="MHH46" s="87"/>
      <c r="MHI46" s="87"/>
      <c r="MHJ46" s="87"/>
      <c r="MHK46" s="87"/>
      <c r="MHL46" s="87"/>
      <c r="MHM46" s="87"/>
      <c r="MHN46" s="87"/>
      <c r="MHO46" s="87"/>
      <c r="MHP46" s="87"/>
      <c r="MHQ46" s="87"/>
      <c r="MHR46" s="87"/>
      <c r="MHS46" s="87"/>
      <c r="MHT46" s="87"/>
      <c r="MHU46" s="87"/>
      <c r="MHV46" s="87"/>
      <c r="MHW46" s="87"/>
      <c r="MHX46" s="87"/>
      <c r="MHY46" s="87"/>
      <c r="MHZ46" s="87"/>
      <c r="MIA46" s="87"/>
      <c r="MIB46" s="87"/>
      <c r="MIC46" s="87"/>
      <c r="MID46" s="87"/>
      <c r="MIE46" s="87"/>
      <c r="MIF46" s="87"/>
      <c r="MIG46" s="87"/>
      <c r="MIH46" s="87"/>
      <c r="MII46" s="87"/>
      <c r="MIJ46" s="87"/>
      <c r="MIK46" s="87"/>
      <c r="MIL46" s="87"/>
      <c r="MIM46" s="87"/>
      <c r="MIN46" s="87"/>
      <c r="MIO46" s="87"/>
      <c r="MIP46" s="87"/>
      <c r="MIQ46" s="87"/>
      <c r="MIR46" s="87"/>
      <c r="MIS46" s="87"/>
      <c r="MIT46" s="87"/>
      <c r="MIU46" s="87"/>
      <c r="MIV46" s="87"/>
      <c r="MIW46" s="87"/>
      <c r="MIX46" s="87"/>
      <c r="MIY46" s="87"/>
      <c r="MIZ46" s="87"/>
      <c r="MJA46" s="87"/>
      <c r="MJB46" s="87"/>
      <c r="MJC46" s="87"/>
      <c r="MJD46" s="87"/>
      <c r="MJE46" s="87"/>
      <c r="MJF46" s="87"/>
      <c r="MJG46" s="87"/>
      <c r="MJH46" s="87"/>
      <c r="MJI46" s="87"/>
      <c r="MJJ46" s="87"/>
      <c r="MJK46" s="87"/>
      <c r="MJL46" s="87"/>
      <c r="MJM46" s="87"/>
      <c r="MJN46" s="87"/>
      <c r="MJO46" s="87"/>
      <c r="MJP46" s="87"/>
      <c r="MJQ46" s="87"/>
      <c r="MJR46" s="87"/>
      <c r="MJS46" s="87"/>
      <c r="MJT46" s="87"/>
      <c r="MJU46" s="87"/>
      <c r="MJV46" s="87"/>
      <c r="MJW46" s="87"/>
      <c r="MJX46" s="87"/>
      <c r="MJY46" s="87"/>
      <c r="MJZ46" s="87"/>
      <c r="MKA46" s="87"/>
      <c r="MKB46" s="87"/>
      <c r="MKC46" s="87"/>
      <c r="MKD46" s="87"/>
      <c r="MKE46" s="87"/>
      <c r="MKF46" s="87"/>
      <c r="MKG46" s="87"/>
      <c r="MKH46" s="87"/>
      <c r="MKI46" s="87"/>
      <c r="MKJ46" s="87"/>
      <c r="MKK46" s="87"/>
      <c r="MKL46" s="87"/>
      <c r="MKM46" s="87"/>
      <c r="MKN46" s="87"/>
      <c r="MKO46" s="87"/>
      <c r="MKP46" s="87"/>
      <c r="MKQ46" s="87"/>
      <c r="MKR46" s="87"/>
      <c r="MKS46" s="87"/>
      <c r="MKT46" s="87"/>
      <c r="MKU46" s="87"/>
      <c r="MKV46" s="87"/>
      <c r="MKW46" s="87"/>
      <c r="MKX46" s="87"/>
      <c r="MKY46" s="87"/>
      <c r="MKZ46" s="87"/>
      <c r="MLA46" s="87"/>
      <c r="MLB46" s="87"/>
      <c r="MLC46" s="87"/>
      <c r="MLD46" s="87"/>
      <c r="MLE46" s="87"/>
      <c r="MLF46" s="87"/>
      <c r="MLG46" s="87"/>
      <c r="MLH46" s="87"/>
      <c r="MLI46" s="87"/>
      <c r="MLJ46" s="87"/>
      <c r="MLK46" s="87"/>
      <c r="MLL46" s="87"/>
      <c r="MLM46" s="87"/>
      <c r="MLN46" s="87"/>
      <c r="MLO46" s="87"/>
      <c r="MLP46" s="87"/>
      <c r="MLQ46" s="87"/>
      <c r="MLR46" s="87"/>
      <c r="MLS46" s="87"/>
      <c r="MLT46" s="87"/>
      <c r="MLU46" s="87"/>
      <c r="MLV46" s="87"/>
      <c r="MLW46" s="87"/>
      <c r="MLX46" s="87"/>
      <c r="MLY46" s="87"/>
      <c r="MLZ46" s="87"/>
      <c r="MMA46" s="87"/>
      <c r="MMB46" s="87"/>
      <c r="MMC46" s="87"/>
      <c r="MMD46" s="87"/>
      <c r="MME46" s="87"/>
      <c r="MMF46" s="87"/>
      <c r="MMG46" s="87"/>
      <c r="MMH46" s="87"/>
      <c r="MMI46" s="87"/>
      <c r="MMJ46" s="87"/>
      <c r="MMK46" s="87"/>
      <c r="MML46" s="87"/>
      <c r="MMM46" s="87"/>
      <c r="MMN46" s="87"/>
      <c r="MMO46" s="87"/>
      <c r="MMP46" s="87"/>
      <c r="MMQ46" s="87"/>
      <c r="MMR46" s="87"/>
      <c r="MMS46" s="87"/>
      <c r="MMT46" s="87"/>
      <c r="MMU46" s="87"/>
      <c r="MMV46" s="87"/>
      <c r="MMW46" s="87"/>
      <c r="MMX46" s="87"/>
      <c r="MMY46" s="87"/>
      <c r="MMZ46" s="87"/>
      <c r="MNA46" s="87"/>
      <c r="MNB46" s="87"/>
      <c r="MNC46" s="87"/>
      <c r="MND46" s="87"/>
      <c r="MNE46" s="87"/>
      <c r="MNF46" s="87"/>
      <c r="MNG46" s="87"/>
      <c r="MNH46" s="87"/>
      <c r="MNI46" s="87"/>
      <c r="MNJ46" s="87"/>
      <c r="MNK46" s="87"/>
      <c r="MNL46" s="87"/>
      <c r="MNM46" s="87"/>
      <c r="MNN46" s="87"/>
      <c r="MNO46" s="87"/>
      <c r="MNP46" s="87"/>
      <c r="MNQ46" s="87"/>
      <c r="MNR46" s="87"/>
      <c r="MNS46" s="87"/>
      <c r="MNT46" s="87"/>
      <c r="MNU46" s="87"/>
      <c r="MNV46" s="87"/>
      <c r="MNW46" s="87"/>
      <c r="MNX46" s="87"/>
      <c r="MNY46" s="87"/>
      <c r="MNZ46" s="87"/>
      <c r="MOA46" s="87"/>
      <c r="MOB46" s="87"/>
      <c r="MOC46" s="87"/>
      <c r="MOD46" s="87"/>
      <c r="MOE46" s="87"/>
      <c r="MOF46" s="87"/>
      <c r="MOG46" s="87"/>
      <c r="MOH46" s="87"/>
      <c r="MOI46" s="87"/>
      <c r="MOJ46" s="87"/>
      <c r="MOK46" s="87"/>
      <c r="MOL46" s="87"/>
      <c r="MOM46" s="87"/>
      <c r="MON46" s="87"/>
      <c r="MOO46" s="87"/>
      <c r="MOP46" s="87"/>
      <c r="MOQ46" s="87"/>
      <c r="MOR46" s="87"/>
      <c r="MOS46" s="87"/>
      <c r="MOT46" s="87"/>
      <c r="MOU46" s="87"/>
      <c r="MOV46" s="87"/>
      <c r="MOW46" s="87"/>
      <c r="MOX46" s="87"/>
      <c r="MOY46" s="87"/>
      <c r="MOZ46" s="87"/>
      <c r="MPA46" s="87"/>
      <c r="MPB46" s="87"/>
      <c r="MPC46" s="87"/>
      <c r="MPD46" s="87"/>
      <c r="MPE46" s="87"/>
      <c r="MPF46" s="87"/>
      <c r="MPG46" s="87"/>
      <c r="MPH46" s="87"/>
      <c r="MPI46" s="87"/>
      <c r="MPJ46" s="87"/>
      <c r="MPK46" s="87"/>
      <c r="MPL46" s="87"/>
      <c r="MPM46" s="87"/>
      <c r="MPN46" s="87"/>
      <c r="MPO46" s="87"/>
      <c r="MPP46" s="87"/>
      <c r="MPQ46" s="87"/>
      <c r="MPR46" s="87"/>
      <c r="MPS46" s="87"/>
      <c r="MPT46" s="87"/>
      <c r="MPU46" s="87"/>
      <c r="MPV46" s="87"/>
      <c r="MPW46" s="87"/>
      <c r="MPX46" s="87"/>
      <c r="MPY46" s="87"/>
      <c r="MPZ46" s="87"/>
      <c r="MQA46" s="87"/>
      <c r="MQB46" s="87"/>
      <c r="MQC46" s="87"/>
      <c r="MQD46" s="87"/>
      <c r="MQE46" s="87"/>
      <c r="MQF46" s="87"/>
      <c r="MQG46" s="87"/>
      <c r="MQH46" s="87"/>
      <c r="MQI46" s="87"/>
      <c r="MQJ46" s="87"/>
      <c r="MQK46" s="87"/>
      <c r="MQL46" s="87"/>
      <c r="MQM46" s="87"/>
      <c r="MQN46" s="87"/>
      <c r="MQO46" s="87"/>
      <c r="MQP46" s="87"/>
      <c r="MQQ46" s="87"/>
      <c r="MQR46" s="87"/>
      <c r="MQS46" s="87"/>
      <c r="MQT46" s="87"/>
      <c r="MQU46" s="87"/>
      <c r="MQV46" s="87"/>
      <c r="MQW46" s="87"/>
      <c r="MQX46" s="87"/>
      <c r="MQY46" s="87"/>
      <c r="MQZ46" s="87"/>
      <c r="MRA46" s="87"/>
      <c r="MRB46" s="87"/>
      <c r="MRC46" s="87"/>
      <c r="MRD46" s="87"/>
      <c r="MRE46" s="87"/>
      <c r="MRF46" s="87"/>
      <c r="MRG46" s="87"/>
      <c r="MRH46" s="87"/>
      <c r="MRI46" s="87"/>
      <c r="MRJ46" s="87"/>
      <c r="MRK46" s="87"/>
      <c r="MRL46" s="87"/>
      <c r="MRM46" s="87"/>
      <c r="MRN46" s="87"/>
      <c r="MRO46" s="87"/>
      <c r="MRP46" s="87"/>
      <c r="MRQ46" s="87"/>
      <c r="MRR46" s="87"/>
      <c r="MRS46" s="87"/>
      <c r="MRT46" s="87"/>
      <c r="MRU46" s="87"/>
      <c r="MRV46" s="87"/>
      <c r="MRW46" s="87"/>
      <c r="MRX46" s="87"/>
      <c r="MRY46" s="87"/>
      <c r="MRZ46" s="87"/>
      <c r="MSA46" s="87"/>
      <c r="MSB46" s="87"/>
      <c r="MSC46" s="87"/>
      <c r="MSD46" s="87"/>
      <c r="MSE46" s="87"/>
      <c r="MSF46" s="87"/>
      <c r="MSG46" s="87"/>
      <c r="MSH46" s="87"/>
      <c r="MSI46" s="87"/>
      <c r="MSJ46" s="87"/>
      <c r="MSK46" s="87"/>
      <c r="MSL46" s="87"/>
      <c r="MSM46" s="87"/>
      <c r="MSN46" s="87"/>
      <c r="MSO46" s="87"/>
      <c r="MSP46" s="87"/>
      <c r="MSQ46" s="87"/>
      <c r="MSR46" s="87"/>
      <c r="MSS46" s="87"/>
      <c r="MST46" s="87"/>
      <c r="MSU46" s="87"/>
      <c r="MSV46" s="87"/>
      <c r="MSW46" s="87"/>
      <c r="MSX46" s="87"/>
      <c r="MSY46" s="87"/>
      <c r="MSZ46" s="87"/>
      <c r="MTA46" s="87"/>
      <c r="MTB46" s="87"/>
      <c r="MTC46" s="87"/>
      <c r="MTD46" s="87"/>
      <c r="MTE46" s="87"/>
      <c r="MTF46" s="87"/>
      <c r="MTG46" s="87"/>
      <c r="MTH46" s="87"/>
      <c r="MTI46" s="87"/>
      <c r="MTJ46" s="87"/>
      <c r="MTK46" s="87"/>
      <c r="MTL46" s="87"/>
      <c r="MTM46" s="87"/>
      <c r="MTN46" s="87"/>
      <c r="MTO46" s="87"/>
      <c r="MTP46" s="87"/>
      <c r="MTQ46" s="87"/>
      <c r="MTR46" s="87"/>
      <c r="MTS46" s="87"/>
      <c r="MTT46" s="87"/>
      <c r="MTU46" s="87"/>
      <c r="MTV46" s="87"/>
      <c r="MTW46" s="87"/>
      <c r="MTX46" s="87"/>
      <c r="MTY46" s="87"/>
      <c r="MTZ46" s="87"/>
      <c r="MUA46" s="87"/>
      <c r="MUB46" s="87"/>
      <c r="MUC46" s="87"/>
      <c r="MUD46" s="87"/>
      <c r="MUE46" s="87"/>
      <c r="MUF46" s="87"/>
      <c r="MUG46" s="87"/>
      <c r="MUH46" s="87"/>
      <c r="MUI46" s="87"/>
      <c r="MUJ46" s="87"/>
      <c r="MUK46" s="87"/>
      <c r="MUL46" s="87"/>
      <c r="MUM46" s="87"/>
      <c r="MUN46" s="87"/>
      <c r="MUO46" s="87"/>
      <c r="MUP46" s="87"/>
      <c r="MUQ46" s="87"/>
      <c r="MUR46" s="87"/>
      <c r="MUS46" s="87"/>
      <c r="MUT46" s="87"/>
      <c r="MUU46" s="87"/>
      <c r="MUV46" s="87"/>
      <c r="MUW46" s="87"/>
      <c r="MUX46" s="87"/>
      <c r="MUY46" s="87"/>
      <c r="MUZ46" s="87"/>
      <c r="MVA46" s="87"/>
      <c r="MVB46" s="87"/>
      <c r="MVC46" s="87"/>
      <c r="MVD46" s="87"/>
      <c r="MVE46" s="87"/>
      <c r="MVF46" s="87"/>
      <c r="MVG46" s="87"/>
      <c r="MVH46" s="87"/>
      <c r="MVI46" s="87"/>
      <c r="MVJ46" s="87"/>
      <c r="MVK46" s="87"/>
      <c r="MVL46" s="87"/>
      <c r="MVM46" s="87"/>
      <c r="MVN46" s="87"/>
      <c r="MVO46" s="87"/>
      <c r="MVP46" s="87"/>
      <c r="MVQ46" s="87"/>
      <c r="MVR46" s="87"/>
      <c r="MVS46" s="87"/>
      <c r="MVT46" s="87"/>
      <c r="MVU46" s="87"/>
      <c r="MVV46" s="87"/>
      <c r="MVW46" s="87"/>
      <c r="MVX46" s="87"/>
      <c r="MVY46" s="87"/>
      <c r="MVZ46" s="87"/>
      <c r="MWA46" s="87"/>
      <c r="MWB46" s="87"/>
      <c r="MWC46" s="87"/>
      <c r="MWD46" s="87"/>
      <c r="MWE46" s="87"/>
      <c r="MWF46" s="87"/>
      <c r="MWG46" s="87"/>
      <c r="MWH46" s="87"/>
      <c r="MWI46" s="87"/>
      <c r="MWJ46" s="87"/>
      <c r="MWK46" s="87"/>
      <c r="MWL46" s="87"/>
      <c r="MWM46" s="87"/>
      <c r="MWN46" s="87"/>
      <c r="MWO46" s="87"/>
      <c r="MWP46" s="87"/>
      <c r="MWQ46" s="87"/>
      <c r="MWR46" s="87"/>
      <c r="MWS46" s="87"/>
      <c r="MWT46" s="87"/>
      <c r="MWU46" s="87"/>
      <c r="MWV46" s="87"/>
      <c r="MWW46" s="87"/>
      <c r="MWX46" s="87"/>
      <c r="MWY46" s="87"/>
      <c r="MWZ46" s="87"/>
      <c r="MXA46" s="87"/>
      <c r="MXB46" s="87"/>
      <c r="MXC46" s="87"/>
      <c r="MXD46" s="87"/>
      <c r="MXE46" s="87"/>
      <c r="MXF46" s="87"/>
      <c r="MXG46" s="87"/>
      <c r="MXH46" s="87"/>
      <c r="MXI46" s="87"/>
      <c r="MXJ46" s="87"/>
      <c r="MXK46" s="87"/>
      <c r="MXL46" s="87"/>
      <c r="MXM46" s="87"/>
      <c r="MXN46" s="87"/>
      <c r="MXO46" s="87"/>
      <c r="MXP46" s="87"/>
      <c r="MXQ46" s="87"/>
      <c r="MXR46" s="87"/>
      <c r="MXS46" s="87"/>
      <c r="MXT46" s="87"/>
      <c r="MXU46" s="87"/>
      <c r="MXV46" s="87"/>
      <c r="MXW46" s="87"/>
      <c r="MXX46" s="87"/>
      <c r="MXY46" s="87"/>
      <c r="MXZ46" s="87"/>
      <c r="MYA46" s="87"/>
      <c r="MYB46" s="87"/>
      <c r="MYC46" s="87"/>
      <c r="MYD46" s="87"/>
      <c r="MYE46" s="87"/>
      <c r="MYF46" s="87"/>
      <c r="MYG46" s="87"/>
      <c r="MYH46" s="87"/>
      <c r="MYI46" s="87"/>
      <c r="MYJ46" s="87"/>
      <c r="MYK46" s="87"/>
      <c r="MYL46" s="87"/>
      <c r="MYM46" s="87"/>
      <c r="MYN46" s="87"/>
      <c r="MYO46" s="87"/>
      <c r="MYP46" s="87"/>
      <c r="MYQ46" s="87"/>
      <c r="MYR46" s="87"/>
      <c r="MYS46" s="87"/>
      <c r="MYT46" s="87"/>
      <c r="MYU46" s="87"/>
      <c r="MYV46" s="87"/>
      <c r="MYW46" s="87"/>
      <c r="MYX46" s="87"/>
      <c r="MYY46" s="87"/>
      <c r="MYZ46" s="87"/>
      <c r="MZA46" s="87"/>
      <c r="MZB46" s="87"/>
      <c r="MZC46" s="87"/>
      <c r="MZD46" s="87"/>
      <c r="MZE46" s="87"/>
      <c r="MZF46" s="87"/>
      <c r="MZG46" s="87"/>
      <c r="MZH46" s="87"/>
      <c r="MZI46" s="87"/>
      <c r="MZJ46" s="87"/>
      <c r="MZK46" s="87"/>
      <c r="MZL46" s="87"/>
      <c r="MZM46" s="87"/>
      <c r="MZN46" s="87"/>
      <c r="MZO46" s="87"/>
      <c r="MZP46" s="87"/>
      <c r="MZQ46" s="87"/>
      <c r="MZR46" s="87"/>
      <c r="MZS46" s="87"/>
      <c r="MZT46" s="87"/>
      <c r="MZU46" s="87"/>
      <c r="MZV46" s="87"/>
      <c r="MZW46" s="87"/>
      <c r="MZX46" s="87"/>
      <c r="MZY46" s="87"/>
      <c r="MZZ46" s="87"/>
      <c r="NAA46" s="87"/>
      <c r="NAB46" s="87"/>
      <c r="NAC46" s="87"/>
      <c r="NAD46" s="87"/>
      <c r="NAE46" s="87"/>
      <c r="NAF46" s="87"/>
      <c r="NAG46" s="87"/>
      <c r="NAH46" s="87"/>
      <c r="NAI46" s="87"/>
      <c r="NAJ46" s="87"/>
      <c r="NAK46" s="87"/>
      <c r="NAL46" s="87"/>
      <c r="NAM46" s="87"/>
      <c r="NAN46" s="87"/>
      <c r="NAO46" s="87"/>
      <c r="NAP46" s="87"/>
      <c r="NAQ46" s="87"/>
      <c r="NAR46" s="87"/>
      <c r="NAS46" s="87"/>
      <c r="NAT46" s="87"/>
      <c r="NAU46" s="87"/>
      <c r="NAV46" s="87"/>
      <c r="NAW46" s="87"/>
      <c r="NAX46" s="87"/>
      <c r="NAY46" s="87"/>
      <c r="NAZ46" s="87"/>
      <c r="NBA46" s="87"/>
      <c r="NBB46" s="87"/>
      <c r="NBC46" s="87"/>
      <c r="NBD46" s="87"/>
      <c r="NBE46" s="87"/>
      <c r="NBF46" s="87"/>
      <c r="NBG46" s="87"/>
      <c r="NBH46" s="87"/>
      <c r="NBI46" s="87"/>
      <c r="NBJ46" s="87"/>
      <c r="NBK46" s="87"/>
      <c r="NBL46" s="87"/>
      <c r="NBM46" s="87"/>
      <c r="NBN46" s="87"/>
      <c r="NBO46" s="87"/>
      <c r="NBP46" s="87"/>
      <c r="NBQ46" s="87"/>
      <c r="NBR46" s="87"/>
      <c r="NBS46" s="87"/>
      <c r="NBT46" s="87"/>
      <c r="NBU46" s="87"/>
      <c r="NBV46" s="87"/>
      <c r="NBW46" s="87"/>
      <c r="NBX46" s="87"/>
      <c r="NBY46" s="87"/>
      <c r="NBZ46" s="87"/>
      <c r="NCA46" s="87"/>
      <c r="NCB46" s="87"/>
      <c r="NCC46" s="87"/>
      <c r="NCD46" s="87"/>
      <c r="NCE46" s="87"/>
      <c r="NCF46" s="87"/>
      <c r="NCG46" s="87"/>
      <c r="NCH46" s="87"/>
      <c r="NCI46" s="87"/>
      <c r="NCJ46" s="87"/>
      <c r="NCK46" s="87"/>
      <c r="NCL46" s="87"/>
      <c r="NCM46" s="87"/>
      <c r="NCN46" s="87"/>
      <c r="NCO46" s="87"/>
      <c r="NCP46" s="87"/>
      <c r="NCQ46" s="87"/>
      <c r="NCR46" s="87"/>
      <c r="NCS46" s="87"/>
      <c r="NCT46" s="87"/>
      <c r="NCU46" s="87"/>
      <c r="NCV46" s="87"/>
      <c r="NCW46" s="87"/>
      <c r="NCX46" s="87"/>
      <c r="NCY46" s="87"/>
      <c r="NCZ46" s="87"/>
      <c r="NDA46" s="87"/>
      <c r="NDB46" s="87"/>
      <c r="NDC46" s="87"/>
      <c r="NDD46" s="87"/>
      <c r="NDE46" s="87"/>
      <c r="NDF46" s="87"/>
      <c r="NDG46" s="87"/>
      <c r="NDH46" s="87"/>
      <c r="NDI46" s="87"/>
      <c r="NDJ46" s="87"/>
      <c r="NDK46" s="87"/>
      <c r="NDL46" s="87"/>
      <c r="NDM46" s="87"/>
      <c r="NDN46" s="87"/>
      <c r="NDO46" s="87"/>
      <c r="NDP46" s="87"/>
      <c r="NDQ46" s="87"/>
      <c r="NDR46" s="87"/>
      <c r="NDS46" s="87"/>
      <c r="NDT46" s="87"/>
      <c r="NDU46" s="87"/>
      <c r="NDV46" s="87"/>
      <c r="NDW46" s="87"/>
      <c r="NDX46" s="87"/>
      <c r="NDY46" s="87"/>
      <c r="NDZ46" s="87"/>
      <c r="NEA46" s="87"/>
      <c r="NEB46" s="87"/>
      <c r="NEC46" s="87"/>
      <c r="NED46" s="87"/>
      <c r="NEE46" s="87"/>
      <c r="NEF46" s="87"/>
      <c r="NEG46" s="87"/>
      <c r="NEH46" s="87"/>
      <c r="NEI46" s="87"/>
      <c r="NEJ46" s="87"/>
      <c r="NEK46" s="87"/>
      <c r="NEL46" s="87"/>
      <c r="NEM46" s="87"/>
      <c r="NEN46" s="87"/>
      <c r="NEO46" s="87"/>
      <c r="NEP46" s="87"/>
      <c r="NEQ46" s="87"/>
      <c r="NER46" s="87"/>
      <c r="NES46" s="87"/>
      <c r="NET46" s="87"/>
      <c r="NEU46" s="87"/>
      <c r="NEV46" s="87"/>
      <c r="NEW46" s="87"/>
      <c r="NEX46" s="87"/>
      <c r="NEY46" s="87"/>
      <c r="NEZ46" s="87"/>
      <c r="NFA46" s="87"/>
      <c r="NFB46" s="87"/>
      <c r="NFC46" s="87"/>
      <c r="NFD46" s="87"/>
      <c r="NFE46" s="87"/>
      <c r="NFF46" s="87"/>
      <c r="NFG46" s="87"/>
      <c r="NFH46" s="87"/>
      <c r="NFI46" s="87"/>
      <c r="NFJ46" s="87"/>
      <c r="NFK46" s="87"/>
      <c r="NFL46" s="87"/>
      <c r="NFM46" s="87"/>
      <c r="NFN46" s="87"/>
      <c r="NFO46" s="87"/>
      <c r="NFP46" s="87"/>
      <c r="NFQ46" s="87"/>
      <c r="NFR46" s="87"/>
      <c r="NFS46" s="87"/>
      <c r="NFT46" s="87"/>
      <c r="NFU46" s="87"/>
      <c r="NFV46" s="87"/>
      <c r="NFW46" s="87"/>
      <c r="NFX46" s="87"/>
      <c r="NFY46" s="87"/>
      <c r="NFZ46" s="87"/>
      <c r="NGA46" s="87"/>
      <c r="NGB46" s="87"/>
      <c r="NGC46" s="87"/>
      <c r="NGD46" s="87"/>
      <c r="NGE46" s="87"/>
      <c r="NGF46" s="87"/>
      <c r="NGG46" s="87"/>
      <c r="NGH46" s="87"/>
      <c r="NGI46" s="87"/>
      <c r="NGJ46" s="87"/>
      <c r="NGK46" s="87"/>
      <c r="NGL46" s="87"/>
      <c r="NGM46" s="87"/>
      <c r="NGN46" s="87"/>
      <c r="NGO46" s="87"/>
      <c r="NGP46" s="87"/>
      <c r="NGQ46" s="87"/>
      <c r="NGR46" s="87"/>
      <c r="NGS46" s="87"/>
      <c r="NGT46" s="87"/>
      <c r="NGU46" s="87"/>
      <c r="NGV46" s="87"/>
      <c r="NGW46" s="87"/>
      <c r="NGX46" s="87"/>
      <c r="NGY46" s="87"/>
      <c r="NGZ46" s="87"/>
      <c r="NHA46" s="87"/>
      <c r="NHB46" s="87"/>
      <c r="NHC46" s="87"/>
      <c r="NHD46" s="87"/>
      <c r="NHE46" s="87"/>
      <c r="NHF46" s="87"/>
      <c r="NHG46" s="87"/>
      <c r="NHH46" s="87"/>
      <c r="NHI46" s="87"/>
      <c r="NHJ46" s="87"/>
      <c r="NHK46" s="87"/>
      <c r="NHL46" s="87"/>
      <c r="NHM46" s="87"/>
      <c r="NHN46" s="87"/>
      <c r="NHO46" s="87"/>
      <c r="NHP46" s="87"/>
      <c r="NHQ46" s="87"/>
      <c r="NHR46" s="87"/>
      <c r="NHS46" s="87"/>
      <c r="NHT46" s="87"/>
      <c r="NHU46" s="87"/>
      <c r="NHV46" s="87"/>
      <c r="NHW46" s="87"/>
      <c r="NHX46" s="87"/>
      <c r="NHY46" s="87"/>
      <c r="NHZ46" s="87"/>
      <c r="NIA46" s="87"/>
      <c r="NIB46" s="87"/>
      <c r="NIC46" s="87"/>
      <c r="NID46" s="87"/>
      <c r="NIE46" s="87"/>
      <c r="NIF46" s="87"/>
      <c r="NIG46" s="87"/>
      <c r="NIH46" s="87"/>
      <c r="NII46" s="87"/>
      <c r="NIJ46" s="87"/>
      <c r="NIK46" s="87"/>
      <c r="NIL46" s="87"/>
      <c r="NIM46" s="87"/>
      <c r="NIN46" s="87"/>
      <c r="NIO46" s="87"/>
      <c r="NIP46" s="87"/>
      <c r="NIQ46" s="87"/>
      <c r="NIR46" s="87"/>
      <c r="NIS46" s="87"/>
      <c r="NIT46" s="87"/>
      <c r="NIU46" s="87"/>
      <c r="NIV46" s="87"/>
      <c r="NIW46" s="87"/>
      <c r="NIX46" s="87"/>
      <c r="NIY46" s="87"/>
      <c r="NIZ46" s="87"/>
      <c r="NJA46" s="87"/>
      <c r="NJB46" s="87"/>
      <c r="NJC46" s="87"/>
      <c r="NJD46" s="87"/>
      <c r="NJE46" s="87"/>
      <c r="NJF46" s="87"/>
      <c r="NJG46" s="87"/>
      <c r="NJH46" s="87"/>
      <c r="NJI46" s="87"/>
      <c r="NJJ46" s="87"/>
      <c r="NJK46" s="87"/>
      <c r="NJL46" s="87"/>
      <c r="NJM46" s="87"/>
      <c r="NJN46" s="87"/>
      <c r="NJO46" s="87"/>
      <c r="NJP46" s="87"/>
      <c r="NJQ46" s="87"/>
      <c r="NJR46" s="87"/>
      <c r="NJS46" s="87"/>
      <c r="NJT46" s="87"/>
      <c r="NJU46" s="87"/>
      <c r="NJV46" s="87"/>
      <c r="NJW46" s="87"/>
      <c r="NJX46" s="87"/>
      <c r="NJY46" s="87"/>
      <c r="NJZ46" s="87"/>
      <c r="NKA46" s="87"/>
      <c r="NKB46" s="87"/>
      <c r="NKC46" s="87"/>
      <c r="NKD46" s="87"/>
      <c r="NKE46" s="87"/>
      <c r="NKF46" s="87"/>
      <c r="NKG46" s="87"/>
      <c r="NKH46" s="87"/>
      <c r="NKI46" s="87"/>
      <c r="NKJ46" s="87"/>
      <c r="NKK46" s="87"/>
      <c r="NKL46" s="87"/>
      <c r="NKM46" s="87"/>
      <c r="NKN46" s="87"/>
      <c r="NKO46" s="87"/>
      <c r="NKP46" s="87"/>
      <c r="NKQ46" s="87"/>
      <c r="NKR46" s="87"/>
      <c r="NKS46" s="87"/>
      <c r="NKT46" s="87"/>
      <c r="NKU46" s="87"/>
      <c r="NKV46" s="87"/>
      <c r="NKW46" s="87"/>
      <c r="NKX46" s="87"/>
      <c r="NKY46" s="87"/>
      <c r="NKZ46" s="87"/>
      <c r="NLA46" s="87"/>
      <c r="NLB46" s="87"/>
      <c r="NLC46" s="87"/>
      <c r="NLD46" s="87"/>
      <c r="NLE46" s="87"/>
      <c r="NLF46" s="87"/>
      <c r="NLG46" s="87"/>
      <c r="NLH46" s="87"/>
      <c r="NLI46" s="87"/>
      <c r="NLJ46" s="87"/>
      <c r="NLK46" s="87"/>
      <c r="NLL46" s="87"/>
      <c r="NLM46" s="87"/>
      <c r="NLN46" s="87"/>
      <c r="NLO46" s="87"/>
      <c r="NLP46" s="87"/>
      <c r="NLQ46" s="87"/>
      <c r="NLR46" s="87"/>
      <c r="NLS46" s="87"/>
      <c r="NLT46" s="87"/>
      <c r="NLU46" s="87"/>
      <c r="NLV46" s="87"/>
      <c r="NLW46" s="87"/>
      <c r="NLX46" s="87"/>
      <c r="NLY46" s="87"/>
      <c r="NLZ46" s="87"/>
      <c r="NMA46" s="87"/>
      <c r="NMB46" s="87"/>
      <c r="NMC46" s="87"/>
      <c r="NMD46" s="87"/>
      <c r="NME46" s="87"/>
      <c r="NMF46" s="87"/>
      <c r="NMG46" s="87"/>
      <c r="NMH46" s="87"/>
      <c r="NMI46" s="87"/>
      <c r="NMJ46" s="87"/>
      <c r="NMK46" s="87"/>
      <c r="NML46" s="87"/>
      <c r="NMM46" s="87"/>
      <c r="NMN46" s="87"/>
      <c r="NMO46" s="87"/>
      <c r="NMP46" s="87"/>
      <c r="NMQ46" s="87"/>
      <c r="NMR46" s="87"/>
      <c r="NMS46" s="87"/>
      <c r="NMT46" s="87"/>
      <c r="NMU46" s="87"/>
      <c r="NMV46" s="87"/>
      <c r="NMW46" s="87"/>
      <c r="NMX46" s="87"/>
      <c r="NMY46" s="87"/>
      <c r="NMZ46" s="87"/>
      <c r="NNA46" s="87"/>
      <c r="NNB46" s="87"/>
      <c r="NNC46" s="87"/>
      <c r="NND46" s="87"/>
      <c r="NNE46" s="87"/>
      <c r="NNF46" s="87"/>
      <c r="NNG46" s="87"/>
      <c r="NNH46" s="87"/>
      <c r="NNI46" s="87"/>
      <c r="NNJ46" s="87"/>
      <c r="NNK46" s="87"/>
      <c r="NNL46" s="87"/>
      <c r="NNM46" s="87"/>
      <c r="NNN46" s="87"/>
      <c r="NNO46" s="87"/>
      <c r="NNP46" s="87"/>
      <c r="NNQ46" s="87"/>
      <c r="NNR46" s="87"/>
      <c r="NNS46" s="87"/>
      <c r="NNT46" s="87"/>
      <c r="NNU46" s="87"/>
      <c r="NNV46" s="87"/>
      <c r="NNW46" s="87"/>
      <c r="NNX46" s="87"/>
      <c r="NNY46" s="87"/>
      <c r="NNZ46" s="87"/>
      <c r="NOA46" s="87"/>
      <c r="NOB46" s="87"/>
      <c r="NOC46" s="87"/>
      <c r="NOD46" s="87"/>
      <c r="NOE46" s="87"/>
      <c r="NOF46" s="87"/>
      <c r="NOG46" s="87"/>
      <c r="NOH46" s="87"/>
      <c r="NOI46" s="87"/>
      <c r="NOJ46" s="87"/>
      <c r="NOK46" s="87"/>
      <c r="NOL46" s="87"/>
      <c r="NOM46" s="87"/>
      <c r="NON46" s="87"/>
      <c r="NOO46" s="87"/>
      <c r="NOP46" s="87"/>
      <c r="NOQ46" s="87"/>
      <c r="NOR46" s="87"/>
      <c r="NOS46" s="87"/>
      <c r="NOT46" s="87"/>
      <c r="NOU46" s="87"/>
      <c r="NOV46" s="87"/>
      <c r="NOW46" s="87"/>
      <c r="NOX46" s="87"/>
      <c r="NOY46" s="87"/>
      <c r="NOZ46" s="87"/>
      <c r="NPA46" s="87"/>
      <c r="NPB46" s="87"/>
      <c r="NPC46" s="87"/>
      <c r="NPD46" s="87"/>
      <c r="NPE46" s="87"/>
      <c r="NPF46" s="87"/>
      <c r="NPG46" s="87"/>
      <c r="NPH46" s="87"/>
      <c r="NPI46" s="87"/>
      <c r="NPJ46" s="87"/>
      <c r="NPK46" s="87"/>
      <c r="NPL46" s="87"/>
      <c r="NPM46" s="87"/>
      <c r="NPN46" s="87"/>
      <c r="NPO46" s="87"/>
      <c r="NPP46" s="87"/>
      <c r="NPQ46" s="87"/>
      <c r="NPR46" s="87"/>
      <c r="NPS46" s="87"/>
      <c r="NPT46" s="87"/>
      <c r="NPU46" s="87"/>
      <c r="NPV46" s="87"/>
      <c r="NPW46" s="87"/>
      <c r="NPX46" s="87"/>
      <c r="NPY46" s="87"/>
      <c r="NPZ46" s="87"/>
      <c r="NQA46" s="87"/>
      <c r="NQB46" s="87"/>
      <c r="NQC46" s="87"/>
      <c r="NQD46" s="87"/>
      <c r="NQE46" s="87"/>
      <c r="NQF46" s="87"/>
      <c r="NQG46" s="87"/>
      <c r="NQH46" s="87"/>
      <c r="NQI46" s="87"/>
      <c r="NQJ46" s="87"/>
      <c r="NQK46" s="87"/>
      <c r="NQL46" s="87"/>
      <c r="NQM46" s="87"/>
      <c r="NQN46" s="87"/>
      <c r="NQO46" s="87"/>
      <c r="NQP46" s="87"/>
      <c r="NQQ46" s="87"/>
      <c r="NQR46" s="87"/>
      <c r="NQS46" s="87"/>
      <c r="NQT46" s="87"/>
      <c r="NQU46" s="87"/>
      <c r="NQV46" s="87"/>
      <c r="NQW46" s="87"/>
      <c r="NQX46" s="87"/>
      <c r="NQY46" s="87"/>
      <c r="NQZ46" s="87"/>
      <c r="NRA46" s="87"/>
      <c r="NRB46" s="87"/>
      <c r="NRC46" s="87"/>
      <c r="NRD46" s="87"/>
      <c r="NRE46" s="87"/>
      <c r="NRF46" s="87"/>
      <c r="NRG46" s="87"/>
      <c r="NRH46" s="87"/>
      <c r="NRI46" s="87"/>
      <c r="NRJ46" s="87"/>
      <c r="NRK46" s="87"/>
      <c r="NRL46" s="87"/>
      <c r="NRM46" s="87"/>
      <c r="NRN46" s="87"/>
      <c r="NRO46" s="87"/>
      <c r="NRP46" s="87"/>
      <c r="NRQ46" s="87"/>
      <c r="NRR46" s="87"/>
      <c r="NRS46" s="87"/>
      <c r="NRT46" s="87"/>
      <c r="NRU46" s="87"/>
      <c r="NRV46" s="87"/>
      <c r="NRW46" s="87"/>
      <c r="NRX46" s="87"/>
      <c r="NRY46" s="87"/>
      <c r="NRZ46" s="87"/>
      <c r="NSA46" s="87"/>
      <c r="NSB46" s="87"/>
      <c r="NSC46" s="87"/>
      <c r="NSD46" s="87"/>
      <c r="NSE46" s="87"/>
      <c r="NSF46" s="87"/>
      <c r="NSG46" s="87"/>
      <c r="NSH46" s="87"/>
      <c r="NSI46" s="87"/>
      <c r="NSJ46" s="87"/>
      <c r="NSK46" s="87"/>
      <c r="NSL46" s="87"/>
      <c r="NSM46" s="87"/>
      <c r="NSN46" s="87"/>
      <c r="NSO46" s="87"/>
      <c r="NSP46" s="87"/>
      <c r="NSQ46" s="87"/>
      <c r="NSR46" s="87"/>
      <c r="NSS46" s="87"/>
      <c r="NST46" s="87"/>
      <c r="NSU46" s="87"/>
      <c r="NSV46" s="87"/>
      <c r="NSW46" s="87"/>
      <c r="NSX46" s="87"/>
      <c r="NSY46" s="87"/>
      <c r="NSZ46" s="87"/>
      <c r="NTA46" s="87"/>
      <c r="NTB46" s="87"/>
      <c r="NTC46" s="87"/>
      <c r="NTD46" s="87"/>
      <c r="NTE46" s="87"/>
      <c r="NTF46" s="87"/>
      <c r="NTG46" s="87"/>
      <c r="NTH46" s="87"/>
      <c r="NTI46" s="87"/>
      <c r="NTJ46" s="87"/>
      <c r="NTK46" s="87"/>
      <c r="NTL46" s="87"/>
      <c r="NTM46" s="87"/>
      <c r="NTN46" s="87"/>
      <c r="NTO46" s="87"/>
      <c r="NTP46" s="87"/>
      <c r="NTQ46" s="87"/>
      <c r="NTR46" s="87"/>
      <c r="NTS46" s="87"/>
      <c r="NTT46" s="87"/>
      <c r="NTU46" s="87"/>
      <c r="NTV46" s="87"/>
      <c r="NTW46" s="87"/>
      <c r="NTX46" s="87"/>
      <c r="NTY46" s="87"/>
      <c r="NTZ46" s="87"/>
      <c r="NUA46" s="87"/>
      <c r="NUB46" s="87"/>
      <c r="NUC46" s="87"/>
      <c r="NUD46" s="87"/>
      <c r="NUE46" s="87"/>
      <c r="NUF46" s="87"/>
      <c r="NUG46" s="87"/>
      <c r="NUH46" s="87"/>
      <c r="NUI46" s="87"/>
      <c r="NUJ46" s="87"/>
      <c r="NUK46" s="87"/>
      <c r="NUL46" s="87"/>
      <c r="NUM46" s="87"/>
      <c r="NUN46" s="87"/>
      <c r="NUO46" s="87"/>
      <c r="NUP46" s="87"/>
      <c r="NUQ46" s="87"/>
      <c r="NUR46" s="87"/>
      <c r="NUS46" s="87"/>
      <c r="NUT46" s="87"/>
      <c r="NUU46" s="87"/>
      <c r="NUV46" s="87"/>
      <c r="NUW46" s="87"/>
      <c r="NUX46" s="87"/>
      <c r="NUY46" s="87"/>
      <c r="NUZ46" s="87"/>
      <c r="NVA46" s="87"/>
      <c r="NVB46" s="87"/>
      <c r="NVC46" s="87"/>
      <c r="NVD46" s="87"/>
      <c r="NVE46" s="87"/>
      <c r="NVF46" s="87"/>
      <c r="NVG46" s="87"/>
      <c r="NVH46" s="87"/>
      <c r="NVI46" s="87"/>
      <c r="NVJ46" s="87"/>
      <c r="NVK46" s="87"/>
      <c r="NVL46" s="87"/>
      <c r="NVM46" s="87"/>
      <c r="NVN46" s="87"/>
      <c r="NVO46" s="87"/>
      <c r="NVP46" s="87"/>
      <c r="NVQ46" s="87"/>
      <c r="NVR46" s="87"/>
      <c r="NVS46" s="87"/>
      <c r="NVT46" s="87"/>
      <c r="NVU46" s="87"/>
      <c r="NVV46" s="87"/>
      <c r="NVW46" s="87"/>
      <c r="NVX46" s="87"/>
      <c r="NVY46" s="87"/>
      <c r="NVZ46" s="87"/>
      <c r="NWA46" s="87"/>
      <c r="NWB46" s="87"/>
      <c r="NWC46" s="87"/>
      <c r="NWD46" s="87"/>
      <c r="NWE46" s="87"/>
      <c r="NWF46" s="87"/>
      <c r="NWG46" s="87"/>
      <c r="NWH46" s="87"/>
      <c r="NWI46" s="87"/>
      <c r="NWJ46" s="87"/>
      <c r="NWK46" s="87"/>
      <c r="NWL46" s="87"/>
      <c r="NWM46" s="87"/>
      <c r="NWN46" s="87"/>
      <c r="NWO46" s="87"/>
      <c r="NWP46" s="87"/>
      <c r="NWQ46" s="87"/>
      <c r="NWR46" s="87"/>
      <c r="NWS46" s="87"/>
      <c r="NWT46" s="87"/>
      <c r="NWU46" s="87"/>
      <c r="NWV46" s="87"/>
      <c r="NWW46" s="87"/>
      <c r="NWX46" s="87"/>
      <c r="NWY46" s="87"/>
      <c r="NWZ46" s="87"/>
      <c r="NXA46" s="87"/>
      <c r="NXB46" s="87"/>
      <c r="NXC46" s="87"/>
      <c r="NXD46" s="87"/>
      <c r="NXE46" s="87"/>
      <c r="NXF46" s="87"/>
      <c r="NXG46" s="87"/>
      <c r="NXH46" s="87"/>
      <c r="NXI46" s="87"/>
      <c r="NXJ46" s="87"/>
      <c r="NXK46" s="87"/>
      <c r="NXL46" s="87"/>
      <c r="NXM46" s="87"/>
      <c r="NXN46" s="87"/>
      <c r="NXO46" s="87"/>
      <c r="NXP46" s="87"/>
      <c r="NXQ46" s="87"/>
      <c r="NXR46" s="87"/>
      <c r="NXS46" s="87"/>
      <c r="NXT46" s="87"/>
      <c r="NXU46" s="87"/>
      <c r="NXV46" s="87"/>
      <c r="NXW46" s="87"/>
      <c r="NXX46" s="87"/>
      <c r="NXY46" s="87"/>
      <c r="NXZ46" s="87"/>
      <c r="NYA46" s="87"/>
      <c r="NYB46" s="87"/>
      <c r="NYC46" s="87"/>
      <c r="NYD46" s="87"/>
      <c r="NYE46" s="87"/>
      <c r="NYF46" s="87"/>
      <c r="NYG46" s="87"/>
      <c r="NYH46" s="87"/>
      <c r="NYI46" s="87"/>
      <c r="NYJ46" s="87"/>
      <c r="NYK46" s="87"/>
      <c r="NYL46" s="87"/>
      <c r="NYM46" s="87"/>
      <c r="NYN46" s="87"/>
      <c r="NYO46" s="87"/>
      <c r="NYP46" s="87"/>
      <c r="NYQ46" s="87"/>
      <c r="NYR46" s="87"/>
      <c r="NYS46" s="87"/>
      <c r="NYT46" s="87"/>
      <c r="NYU46" s="87"/>
      <c r="NYV46" s="87"/>
      <c r="NYW46" s="87"/>
      <c r="NYX46" s="87"/>
      <c r="NYY46" s="87"/>
      <c r="NYZ46" s="87"/>
      <c r="NZA46" s="87"/>
      <c r="NZB46" s="87"/>
      <c r="NZC46" s="87"/>
      <c r="NZD46" s="87"/>
      <c r="NZE46" s="87"/>
      <c r="NZF46" s="87"/>
      <c r="NZG46" s="87"/>
      <c r="NZH46" s="87"/>
      <c r="NZI46" s="87"/>
      <c r="NZJ46" s="87"/>
      <c r="NZK46" s="87"/>
      <c r="NZL46" s="87"/>
      <c r="NZM46" s="87"/>
      <c r="NZN46" s="87"/>
      <c r="NZO46" s="87"/>
      <c r="NZP46" s="87"/>
      <c r="NZQ46" s="87"/>
      <c r="NZR46" s="87"/>
      <c r="NZS46" s="87"/>
      <c r="NZT46" s="87"/>
      <c r="NZU46" s="87"/>
      <c r="NZV46" s="87"/>
      <c r="NZW46" s="87"/>
      <c r="NZX46" s="87"/>
      <c r="NZY46" s="87"/>
      <c r="NZZ46" s="87"/>
      <c r="OAA46" s="87"/>
      <c r="OAB46" s="87"/>
      <c r="OAC46" s="87"/>
      <c r="OAD46" s="87"/>
      <c r="OAE46" s="87"/>
      <c r="OAF46" s="87"/>
      <c r="OAG46" s="87"/>
      <c r="OAH46" s="87"/>
      <c r="OAI46" s="87"/>
      <c r="OAJ46" s="87"/>
      <c r="OAK46" s="87"/>
      <c r="OAL46" s="87"/>
      <c r="OAM46" s="87"/>
      <c r="OAN46" s="87"/>
      <c r="OAO46" s="87"/>
      <c r="OAP46" s="87"/>
      <c r="OAQ46" s="87"/>
      <c r="OAR46" s="87"/>
      <c r="OAS46" s="87"/>
      <c r="OAT46" s="87"/>
      <c r="OAU46" s="87"/>
      <c r="OAV46" s="87"/>
      <c r="OAW46" s="87"/>
      <c r="OAX46" s="87"/>
      <c r="OAY46" s="87"/>
      <c r="OAZ46" s="87"/>
      <c r="OBA46" s="87"/>
      <c r="OBB46" s="87"/>
      <c r="OBC46" s="87"/>
      <c r="OBD46" s="87"/>
      <c r="OBE46" s="87"/>
      <c r="OBF46" s="87"/>
      <c r="OBG46" s="87"/>
      <c r="OBH46" s="87"/>
      <c r="OBI46" s="87"/>
      <c r="OBJ46" s="87"/>
      <c r="OBK46" s="87"/>
      <c r="OBL46" s="87"/>
      <c r="OBM46" s="87"/>
      <c r="OBN46" s="87"/>
      <c r="OBO46" s="87"/>
      <c r="OBP46" s="87"/>
      <c r="OBQ46" s="87"/>
      <c r="OBR46" s="87"/>
      <c r="OBS46" s="87"/>
      <c r="OBT46" s="87"/>
      <c r="OBU46" s="87"/>
      <c r="OBV46" s="87"/>
      <c r="OBW46" s="87"/>
      <c r="OBX46" s="87"/>
      <c r="OBY46" s="87"/>
      <c r="OBZ46" s="87"/>
      <c r="OCA46" s="87"/>
      <c r="OCB46" s="87"/>
      <c r="OCC46" s="87"/>
      <c r="OCD46" s="87"/>
      <c r="OCE46" s="87"/>
      <c r="OCF46" s="87"/>
      <c r="OCG46" s="87"/>
      <c r="OCH46" s="87"/>
      <c r="OCI46" s="87"/>
      <c r="OCJ46" s="87"/>
      <c r="OCK46" s="87"/>
      <c r="OCL46" s="87"/>
      <c r="OCM46" s="87"/>
      <c r="OCN46" s="87"/>
      <c r="OCO46" s="87"/>
      <c r="OCP46" s="87"/>
      <c r="OCQ46" s="87"/>
      <c r="OCR46" s="87"/>
      <c r="OCS46" s="87"/>
      <c r="OCT46" s="87"/>
      <c r="OCU46" s="87"/>
      <c r="OCV46" s="87"/>
      <c r="OCW46" s="87"/>
      <c r="OCX46" s="87"/>
      <c r="OCY46" s="87"/>
      <c r="OCZ46" s="87"/>
      <c r="ODA46" s="87"/>
      <c r="ODB46" s="87"/>
      <c r="ODC46" s="87"/>
      <c r="ODD46" s="87"/>
      <c r="ODE46" s="87"/>
      <c r="ODF46" s="87"/>
      <c r="ODG46" s="87"/>
      <c r="ODH46" s="87"/>
      <c r="ODI46" s="87"/>
      <c r="ODJ46" s="87"/>
      <c r="ODK46" s="87"/>
      <c r="ODL46" s="87"/>
      <c r="ODM46" s="87"/>
      <c r="ODN46" s="87"/>
      <c r="ODO46" s="87"/>
      <c r="ODP46" s="87"/>
      <c r="ODQ46" s="87"/>
      <c r="ODR46" s="87"/>
      <c r="ODS46" s="87"/>
      <c r="ODT46" s="87"/>
      <c r="ODU46" s="87"/>
      <c r="ODV46" s="87"/>
      <c r="ODW46" s="87"/>
      <c r="ODX46" s="87"/>
      <c r="ODY46" s="87"/>
      <c r="ODZ46" s="87"/>
      <c r="OEA46" s="87"/>
      <c r="OEB46" s="87"/>
      <c r="OEC46" s="87"/>
      <c r="OED46" s="87"/>
      <c r="OEE46" s="87"/>
      <c r="OEF46" s="87"/>
      <c r="OEG46" s="87"/>
      <c r="OEH46" s="87"/>
      <c r="OEI46" s="87"/>
      <c r="OEJ46" s="87"/>
      <c r="OEK46" s="87"/>
      <c r="OEL46" s="87"/>
      <c r="OEM46" s="87"/>
      <c r="OEN46" s="87"/>
      <c r="OEO46" s="87"/>
      <c r="OEP46" s="87"/>
      <c r="OEQ46" s="87"/>
      <c r="OER46" s="87"/>
      <c r="OES46" s="87"/>
      <c r="OET46" s="87"/>
      <c r="OEU46" s="87"/>
      <c r="OEV46" s="87"/>
      <c r="OEW46" s="87"/>
      <c r="OEX46" s="87"/>
      <c r="OEY46" s="87"/>
      <c r="OEZ46" s="87"/>
      <c r="OFA46" s="87"/>
      <c r="OFB46" s="87"/>
      <c r="OFC46" s="87"/>
      <c r="OFD46" s="87"/>
      <c r="OFE46" s="87"/>
      <c r="OFF46" s="87"/>
      <c r="OFG46" s="87"/>
      <c r="OFH46" s="87"/>
      <c r="OFI46" s="87"/>
      <c r="OFJ46" s="87"/>
      <c r="OFK46" s="87"/>
      <c r="OFL46" s="87"/>
      <c r="OFM46" s="87"/>
      <c r="OFN46" s="87"/>
      <c r="OFO46" s="87"/>
      <c r="OFP46" s="87"/>
      <c r="OFQ46" s="87"/>
      <c r="OFR46" s="87"/>
      <c r="OFS46" s="87"/>
      <c r="OFT46" s="87"/>
      <c r="OFU46" s="87"/>
      <c r="OFV46" s="87"/>
      <c r="OFW46" s="87"/>
      <c r="OFX46" s="87"/>
      <c r="OFY46" s="87"/>
      <c r="OFZ46" s="87"/>
      <c r="OGA46" s="87"/>
      <c r="OGB46" s="87"/>
      <c r="OGC46" s="87"/>
      <c r="OGD46" s="87"/>
      <c r="OGE46" s="87"/>
      <c r="OGF46" s="87"/>
      <c r="OGG46" s="87"/>
      <c r="OGH46" s="87"/>
      <c r="OGI46" s="87"/>
      <c r="OGJ46" s="87"/>
      <c r="OGK46" s="87"/>
      <c r="OGL46" s="87"/>
      <c r="OGM46" s="87"/>
      <c r="OGN46" s="87"/>
      <c r="OGO46" s="87"/>
      <c r="OGP46" s="87"/>
      <c r="OGQ46" s="87"/>
      <c r="OGR46" s="87"/>
      <c r="OGS46" s="87"/>
      <c r="OGT46" s="87"/>
      <c r="OGU46" s="87"/>
      <c r="OGV46" s="87"/>
      <c r="OGW46" s="87"/>
      <c r="OGX46" s="87"/>
      <c r="OGY46" s="87"/>
      <c r="OGZ46" s="87"/>
      <c r="OHA46" s="87"/>
      <c r="OHB46" s="87"/>
      <c r="OHC46" s="87"/>
      <c r="OHD46" s="87"/>
      <c r="OHE46" s="87"/>
      <c r="OHF46" s="87"/>
      <c r="OHG46" s="87"/>
      <c r="OHH46" s="87"/>
      <c r="OHI46" s="87"/>
      <c r="OHJ46" s="87"/>
      <c r="OHK46" s="87"/>
      <c r="OHL46" s="87"/>
      <c r="OHM46" s="87"/>
      <c r="OHN46" s="87"/>
      <c r="OHO46" s="87"/>
      <c r="OHP46" s="87"/>
      <c r="OHQ46" s="87"/>
      <c r="OHR46" s="87"/>
      <c r="OHS46" s="87"/>
      <c r="OHT46" s="87"/>
      <c r="OHU46" s="87"/>
      <c r="OHV46" s="87"/>
      <c r="OHW46" s="87"/>
      <c r="OHX46" s="87"/>
      <c r="OHY46" s="87"/>
      <c r="OHZ46" s="87"/>
      <c r="OIA46" s="87"/>
      <c r="OIB46" s="87"/>
      <c r="OIC46" s="87"/>
      <c r="OID46" s="87"/>
      <c r="OIE46" s="87"/>
      <c r="OIF46" s="87"/>
      <c r="OIG46" s="87"/>
      <c r="OIH46" s="87"/>
      <c r="OII46" s="87"/>
      <c r="OIJ46" s="87"/>
      <c r="OIK46" s="87"/>
      <c r="OIL46" s="87"/>
      <c r="OIM46" s="87"/>
      <c r="OIN46" s="87"/>
      <c r="OIO46" s="87"/>
      <c r="OIP46" s="87"/>
      <c r="OIQ46" s="87"/>
      <c r="OIR46" s="87"/>
      <c r="OIS46" s="87"/>
      <c r="OIT46" s="87"/>
      <c r="OIU46" s="87"/>
      <c r="OIV46" s="87"/>
      <c r="OIW46" s="87"/>
      <c r="OIX46" s="87"/>
      <c r="OIY46" s="87"/>
      <c r="OIZ46" s="87"/>
      <c r="OJA46" s="87"/>
      <c r="OJB46" s="87"/>
      <c r="OJC46" s="87"/>
      <c r="OJD46" s="87"/>
      <c r="OJE46" s="87"/>
      <c r="OJF46" s="87"/>
      <c r="OJG46" s="87"/>
      <c r="OJH46" s="87"/>
      <c r="OJI46" s="87"/>
      <c r="OJJ46" s="87"/>
      <c r="OJK46" s="87"/>
      <c r="OJL46" s="87"/>
      <c r="OJM46" s="87"/>
      <c r="OJN46" s="87"/>
      <c r="OJO46" s="87"/>
      <c r="OJP46" s="87"/>
      <c r="OJQ46" s="87"/>
      <c r="OJR46" s="87"/>
      <c r="OJS46" s="87"/>
      <c r="OJT46" s="87"/>
      <c r="OJU46" s="87"/>
      <c r="OJV46" s="87"/>
      <c r="OJW46" s="87"/>
      <c r="OJX46" s="87"/>
      <c r="OJY46" s="87"/>
      <c r="OJZ46" s="87"/>
      <c r="OKA46" s="87"/>
      <c r="OKB46" s="87"/>
      <c r="OKC46" s="87"/>
      <c r="OKD46" s="87"/>
      <c r="OKE46" s="87"/>
      <c r="OKF46" s="87"/>
      <c r="OKG46" s="87"/>
      <c r="OKH46" s="87"/>
      <c r="OKI46" s="87"/>
      <c r="OKJ46" s="87"/>
      <c r="OKK46" s="87"/>
      <c r="OKL46" s="87"/>
      <c r="OKM46" s="87"/>
      <c r="OKN46" s="87"/>
      <c r="OKO46" s="87"/>
      <c r="OKP46" s="87"/>
      <c r="OKQ46" s="87"/>
      <c r="OKR46" s="87"/>
      <c r="OKS46" s="87"/>
      <c r="OKT46" s="87"/>
      <c r="OKU46" s="87"/>
      <c r="OKV46" s="87"/>
      <c r="OKW46" s="87"/>
      <c r="OKX46" s="87"/>
      <c r="OKY46" s="87"/>
      <c r="OKZ46" s="87"/>
      <c r="OLA46" s="87"/>
      <c r="OLB46" s="87"/>
      <c r="OLC46" s="87"/>
      <c r="OLD46" s="87"/>
      <c r="OLE46" s="87"/>
      <c r="OLF46" s="87"/>
      <c r="OLG46" s="87"/>
      <c r="OLH46" s="87"/>
      <c r="OLI46" s="87"/>
      <c r="OLJ46" s="87"/>
      <c r="OLK46" s="87"/>
      <c r="OLL46" s="87"/>
      <c r="OLM46" s="87"/>
      <c r="OLN46" s="87"/>
      <c r="OLO46" s="87"/>
      <c r="OLP46" s="87"/>
      <c r="OLQ46" s="87"/>
      <c r="OLR46" s="87"/>
      <c r="OLS46" s="87"/>
      <c r="OLT46" s="87"/>
      <c r="OLU46" s="87"/>
      <c r="OLV46" s="87"/>
      <c r="OLW46" s="87"/>
      <c r="OLX46" s="87"/>
      <c r="OLY46" s="87"/>
      <c r="OLZ46" s="87"/>
      <c r="OMA46" s="87"/>
      <c r="OMB46" s="87"/>
      <c r="OMC46" s="87"/>
      <c r="OMD46" s="87"/>
      <c r="OME46" s="87"/>
      <c r="OMF46" s="87"/>
      <c r="OMG46" s="87"/>
      <c r="OMH46" s="87"/>
      <c r="OMI46" s="87"/>
      <c r="OMJ46" s="87"/>
      <c r="OMK46" s="87"/>
      <c r="OML46" s="87"/>
      <c r="OMM46" s="87"/>
      <c r="OMN46" s="87"/>
      <c r="OMO46" s="87"/>
      <c r="OMP46" s="87"/>
      <c r="OMQ46" s="87"/>
      <c r="OMR46" s="87"/>
      <c r="OMS46" s="87"/>
      <c r="OMT46" s="87"/>
      <c r="OMU46" s="87"/>
      <c r="OMV46" s="87"/>
      <c r="OMW46" s="87"/>
      <c r="OMX46" s="87"/>
      <c r="OMY46" s="87"/>
      <c r="OMZ46" s="87"/>
      <c r="ONA46" s="87"/>
      <c r="ONB46" s="87"/>
      <c r="ONC46" s="87"/>
      <c r="OND46" s="87"/>
      <c r="ONE46" s="87"/>
      <c r="ONF46" s="87"/>
      <c r="ONG46" s="87"/>
      <c r="ONH46" s="87"/>
      <c r="ONI46" s="87"/>
      <c r="ONJ46" s="87"/>
      <c r="ONK46" s="87"/>
      <c r="ONL46" s="87"/>
      <c r="ONM46" s="87"/>
      <c r="ONN46" s="87"/>
      <c r="ONO46" s="87"/>
      <c r="ONP46" s="87"/>
      <c r="ONQ46" s="87"/>
      <c r="ONR46" s="87"/>
      <c r="ONS46" s="87"/>
      <c r="ONT46" s="87"/>
      <c r="ONU46" s="87"/>
      <c r="ONV46" s="87"/>
      <c r="ONW46" s="87"/>
      <c r="ONX46" s="87"/>
      <c r="ONY46" s="87"/>
      <c r="ONZ46" s="87"/>
      <c r="OOA46" s="87"/>
      <c r="OOB46" s="87"/>
      <c r="OOC46" s="87"/>
      <c r="OOD46" s="87"/>
      <c r="OOE46" s="87"/>
      <c r="OOF46" s="87"/>
      <c r="OOG46" s="87"/>
      <c r="OOH46" s="87"/>
      <c r="OOI46" s="87"/>
      <c r="OOJ46" s="87"/>
      <c r="OOK46" s="87"/>
      <c r="OOL46" s="87"/>
      <c r="OOM46" s="87"/>
      <c r="OON46" s="87"/>
      <c r="OOO46" s="87"/>
      <c r="OOP46" s="87"/>
      <c r="OOQ46" s="87"/>
      <c r="OOR46" s="87"/>
      <c r="OOS46" s="87"/>
      <c r="OOT46" s="87"/>
      <c r="OOU46" s="87"/>
      <c r="OOV46" s="87"/>
      <c r="OOW46" s="87"/>
      <c r="OOX46" s="87"/>
      <c r="OOY46" s="87"/>
      <c r="OOZ46" s="87"/>
      <c r="OPA46" s="87"/>
      <c r="OPB46" s="87"/>
      <c r="OPC46" s="87"/>
      <c r="OPD46" s="87"/>
      <c r="OPE46" s="87"/>
      <c r="OPF46" s="87"/>
      <c r="OPG46" s="87"/>
      <c r="OPH46" s="87"/>
      <c r="OPI46" s="87"/>
      <c r="OPJ46" s="87"/>
      <c r="OPK46" s="87"/>
      <c r="OPL46" s="87"/>
      <c r="OPM46" s="87"/>
      <c r="OPN46" s="87"/>
      <c r="OPO46" s="87"/>
      <c r="OPP46" s="87"/>
      <c r="OPQ46" s="87"/>
      <c r="OPR46" s="87"/>
      <c r="OPS46" s="87"/>
      <c r="OPT46" s="87"/>
      <c r="OPU46" s="87"/>
      <c r="OPV46" s="87"/>
      <c r="OPW46" s="87"/>
      <c r="OPX46" s="87"/>
      <c r="OPY46" s="87"/>
      <c r="OPZ46" s="87"/>
      <c r="OQA46" s="87"/>
      <c r="OQB46" s="87"/>
      <c r="OQC46" s="87"/>
      <c r="OQD46" s="87"/>
      <c r="OQE46" s="87"/>
      <c r="OQF46" s="87"/>
      <c r="OQG46" s="87"/>
      <c r="OQH46" s="87"/>
      <c r="OQI46" s="87"/>
      <c r="OQJ46" s="87"/>
      <c r="OQK46" s="87"/>
      <c r="OQL46" s="87"/>
      <c r="OQM46" s="87"/>
      <c r="OQN46" s="87"/>
      <c r="OQO46" s="87"/>
      <c r="OQP46" s="87"/>
      <c r="OQQ46" s="87"/>
      <c r="OQR46" s="87"/>
      <c r="OQS46" s="87"/>
      <c r="OQT46" s="87"/>
      <c r="OQU46" s="87"/>
      <c r="OQV46" s="87"/>
      <c r="OQW46" s="87"/>
      <c r="OQX46" s="87"/>
      <c r="OQY46" s="87"/>
      <c r="OQZ46" s="87"/>
      <c r="ORA46" s="87"/>
      <c r="ORB46" s="87"/>
      <c r="ORC46" s="87"/>
      <c r="ORD46" s="87"/>
      <c r="ORE46" s="87"/>
      <c r="ORF46" s="87"/>
      <c r="ORG46" s="87"/>
      <c r="ORH46" s="87"/>
      <c r="ORI46" s="87"/>
      <c r="ORJ46" s="87"/>
      <c r="ORK46" s="87"/>
      <c r="ORL46" s="87"/>
      <c r="ORM46" s="87"/>
      <c r="ORN46" s="87"/>
      <c r="ORO46" s="87"/>
      <c r="ORP46" s="87"/>
      <c r="ORQ46" s="87"/>
      <c r="ORR46" s="87"/>
      <c r="ORS46" s="87"/>
      <c r="ORT46" s="87"/>
      <c r="ORU46" s="87"/>
      <c r="ORV46" s="87"/>
      <c r="ORW46" s="87"/>
      <c r="ORX46" s="87"/>
      <c r="ORY46" s="87"/>
      <c r="ORZ46" s="87"/>
      <c r="OSA46" s="87"/>
      <c r="OSB46" s="87"/>
      <c r="OSC46" s="87"/>
      <c r="OSD46" s="87"/>
      <c r="OSE46" s="87"/>
      <c r="OSF46" s="87"/>
      <c r="OSG46" s="87"/>
      <c r="OSH46" s="87"/>
      <c r="OSI46" s="87"/>
      <c r="OSJ46" s="87"/>
      <c r="OSK46" s="87"/>
      <c r="OSL46" s="87"/>
      <c r="OSM46" s="87"/>
      <c r="OSN46" s="87"/>
      <c r="OSO46" s="87"/>
      <c r="OSP46" s="87"/>
      <c r="OSQ46" s="87"/>
      <c r="OSR46" s="87"/>
      <c r="OSS46" s="87"/>
      <c r="OST46" s="87"/>
      <c r="OSU46" s="87"/>
      <c r="OSV46" s="87"/>
      <c r="OSW46" s="87"/>
      <c r="OSX46" s="87"/>
      <c r="OSY46" s="87"/>
      <c r="OSZ46" s="87"/>
      <c r="OTA46" s="87"/>
      <c r="OTB46" s="87"/>
      <c r="OTC46" s="87"/>
      <c r="OTD46" s="87"/>
      <c r="OTE46" s="87"/>
      <c r="OTF46" s="87"/>
      <c r="OTG46" s="87"/>
      <c r="OTH46" s="87"/>
      <c r="OTI46" s="87"/>
      <c r="OTJ46" s="87"/>
      <c r="OTK46" s="87"/>
      <c r="OTL46" s="87"/>
      <c r="OTM46" s="87"/>
      <c r="OTN46" s="87"/>
      <c r="OTO46" s="87"/>
      <c r="OTP46" s="87"/>
      <c r="OTQ46" s="87"/>
      <c r="OTR46" s="87"/>
      <c r="OTS46" s="87"/>
      <c r="OTT46" s="87"/>
      <c r="OTU46" s="87"/>
      <c r="OTV46" s="87"/>
      <c r="OTW46" s="87"/>
      <c r="OTX46" s="87"/>
      <c r="OTY46" s="87"/>
      <c r="OTZ46" s="87"/>
      <c r="OUA46" s="87"/>
      <c r="OUB46" s="87"/>
      <c r="OUC46" s="87"/>
      <c r="OUD46" s="87"/>
      <c r="OUE46" s="87"/>
      <c r="OUF46" s="87"/>
      <c r="OUG46" s="87"/>
      <c r="OUH46" s="87"/>
      <c r="OUI46" s="87"/>
      <c r="OUJ46" s="87"/>
      <c r="OUK46" s="87"/>
      <c r="OUL46" s="87"/>
      <c r="OUM46" s="87"/>
      <c r="OUN46" s="87"/>
      <c r="OUO46" s="87"/>
      <c r="OUP46" s="87"/>
      <c r="OUQ46" s="87"/>
      <c r="OUR46" s="87"/>
      <c r="OUS46" s="87"/>
      <c r="OUT46" s="87"/>
      <c r="OUU46" s="87"/>
      <c r="OUV46" s="87"/>
      <c r="OUW46" s="87"/>
      <c r="OUX46" s="87"/>
      <c r="OUY46" s="87"/>
      <c r="OUZ46" s="87"/>
      <c r="OVA46" s="87"/>
      <c r="OVB46" s="87"/>
      <c r="OVC46" s="87"/>
      <c r="OVD46" s="87"/>
      <c r="OVE46" s="87"/>
      <c r="OVF46" s="87"/>
      <c r="OVG46" s="87"/>
      <c r="OVH46" s="87"/>
      <c r="OVI46" s="87"/>
      <c r="OVJ46" s="87"/>
      <c r="OVK46" s="87"/>
      <c r="OVL46" s="87"/>
      <c r="OVM46" s="87"/>
      <c r="OVN46" s="87"/>
      <c r="OVO46" s="87"/>
      <c r="OVP46" s="87"/>
      <c r="OVQ46" s="87"/>
      <c r="OVR46" s="87"/>
      <c r="OVS46" s="87"/>
      <c r="OVT46" s="87"/>
      <c r="OVU46" s="87"/>
      <c r="OVV46" s="87"/>
      <c r="OVW46" s="87"/>
      <c r="OVX46" s="87"/>
      <c r="OVY46" s="87"/>
      <c r="OVZ46" s="87"/>
      <c r="OWA46" s="87"/>
      <c r="OWB46" s="87"/>
      <c r="OWC46" s="87"/>
      <c r="OWD46" s="87"/>
      <c r="OWE46" s="87"/>
      <c r="OWF46" s="87"/>
      <c r="OWG46" s="87"/>
      <c r="OWH46" s="87"/>
      <c r="OWI46" s="87"/>
      <c r="OWJ46" s="87"/>
      <c r="OWK46" s="87"/>
      <c r="OWL46" s="87"/>
      <c r="OWM46" s="87"/>
      <c r="OWN46" s="87"/>
      <c r="OWO46" s="87"/>
      <c r="OWP46" s="87"/>
      <c r="OWQ46" s="87"/>
      <c r="OWR46" s="87"/>
      <c r="OWS46" s="87"/>
      <c r="OWT46" s="87"/>
      <c r="OWU46" s="87"/>
      <c r="OWV46" s="87"/>
      <c r="OWW46" s="87"/>
      <c r="OWX46" s="87"/>
      <c r="OWY46" s="87"/>
      <c r="OWZ46" s="87"/>
      <c r="OXA46" s="87"/>
      <c r="OXB46" s="87"/>
      <c r="OXC46" s="87"/>
      <c r="OXD46" s="87"/>
      <c r="OXE46" s="87"/>
      <c r="OXF46" s="87"/>
      <c r="OXG46" s="87"/>
      <c r="OXH46" s="87"/>
      <c r="OXI46" s="87"/>
      <c r="OXJ46" s="87"/>
      <c r="OXK46" s="87"/>
      <c r="OXL46" s="87"/>
      <c r="OXM46" s="87"/>
      <c r="OXN46" s="87"/>
      <c r="OXO46" s="87"/>
      <c r="OXP46" s="87"/>
      <c r="OXQ46" s="87"/>
      <c r="OXR46" s="87"/>
      <c r="OXS46" s="87"/>
      <c r="OXT46" s="87"/>
      <c r="OXU46" s="87"/>
      <c r="OXV46" s="87"/>
      <c r="OXW46" s="87"/>
      <c r="OXX46" s="87"/>
      <c r="OXY46" s="87"/>
      <c r="OXZ46" s="87"/>
      <c r="OYA46" s="87"/>
      <c r="OYB46" s="87"/>
      <c r="OYC46" s="87"/>
      <c r="OYD46" s="87"/>
      <c r="OYE46" s="87"/>
      <c r="OYF46" s="87"/>
      <c r="OYG46" s="87"/>
      <c r="OYH46" s="87"/>
      <c r="OYI46" s="87"/>
      <c r="OYJ46" s="87"/>
      <c r="OYK46" s="87"/>
      <c r="OYL46" s="87"/>
      <c r="OYM46" s="87"/>
      <c r="OYN46" s="87"/>
      <c r="OYO46" s="87"/>
      <c r="OYP46" s="87"/>
      <c r="OYQ46" s="87"/>
      <c r="OYR46" s="87"/>
      <c r="OYS46" s="87"/>
      <c r="OYT46" s="87"/>
      <c r="OYU46" s="87"/>
      <c r="OYV46" s="87"/>
      <c r="OYW46" s="87"/>
      <c r="OYX46" s="87"/>
      <c r="OYY46" s="87"/>
      <c r="OYZ46" s="87"/>
      <c r="OZA46" s="87"/>
      <c r="OZB46" s="87"/>
      <c r="OZC46" s="87"/>
      <c r="OZD46" s="87"/>
      <c r="OZE46" s="87"/>
      <c r="OZF46" s="87"/>
      <c r="OZG46" s="87"/>
      <c r="OZH46" s="87"/>
      <c r="OZI46" s="87"/>
      <c r="OZJ46" s="87"/>
      <c r="OZK46" s="87"/>
      <c r="OZL46" s="87"/>
      <c r="OZM46" s="87"/>
      <c r="OZN46" s="87"/>
      <c r="OZO46" s="87"/>
      <c r="OZP46" s="87"/>
      <c r="OZQ46" s="87"/>
      <c r="OZR46" s="87"/>
      <c r="OZS46" s="87"/>
      <c r="OZT46" s="87"/>
      <c r="OZU46" s="87"/>
      <c r="OZV46" s="87"/>
      <c r="OZW46" s="87"/>
      <c r="OZX46" s="87"/>
      <c r="OZY46" s="87"/>
      <c r="OZZ46" s="87"/>
      <c r="PAA46" s="87"/>
      <c r="PAB46" s="87"/>
      <c r="PAC46" s="87"/>
      <c r="PAD46" s="87"/>
      <c r="PAE46" s="87"/>
      <c r="PAF46" s="87"/>
      <c r="PAG46" s="87"/>
      <c r="PAH46" s="87"/>
      <c r="PAI46" s="87"/>
      <c r="PAJ46" s="87"/>
      <c r="PAK46" s="87"/>
      <c r="PAL46" s="87"/>
      <c r="PAM46" s="87"/>
      <c r="PAN46" s="87"/>
      <c r="PAO46" s="87"/>
      <c r="PAP46" s="87"/>
      <c r="PAQ46" s="87"/>
      <c r="PAR46" s="87"/>
      <c r="PAS46" s="87"/>
      <c r="PAT46" s="87"/>
      <c r="PAU46" s="87"/>
      <c r="PAV46" s="87"/>
      <c r="PAW46" s="87"/>
      <c r="PAX46" s="87"/>
      <c r="PAY46" s="87"/>
      <c r="PAZ46" s="87"/>
      <c r="PBA46" s="87"/>
      <c r="PBB46" s="87"/>
      <c r="PBC46" s="87"/>
      <c r="PBD46" s="87"/>
      <c r="PBE46" s="87"/>
      <c r="PBF46" s="87"/>
      <c r="PBG46" s="87"/>
      <c r="PBH46" s="87"/>
      <c r="PBI46" s="87"/>
      <c r="PBJ46" s="87"/>
      <c r="PBK46" s="87"/>
      <c r="PBL46" s="87"/>
      <c r="PBM46" s="87"/>
      <c r="PBN46" s="87"/>
      <c r="PBO46" s="87"/>
      <c r="PBP46" s="87"/>
      <c r="PBQ46" s="87"/>
      <c r="PBR46" s="87"/>
      <c r="PBS46" s="87"/>
      <c r="PBT46" s="87"/>
      <c r="PBU46" s="87"/>
      <c r="PBV46" s="87"/>
      <c r="PBW46" s="87"/>
      <c r="PBX46" s="87"/>
      <c r="PBY46" s="87"/>
      <c r="PBZ46" s="87"/>
      <c r="PCA46" s="87"/>
      <c r="PCB46" s="87"/>
      <c r="PCC46" s="87"/>
      <c r="PCD46" s="87"/>
      <c r="PCE46" s="87"/>
      <c r="PCF46" s="87"/>
      <c r="PCG46" s="87"/>
      <c r="PCH46" s="87"/>
      <c r="PCI46" s="87"/>
      <c r="PCJ46" s="87"/>
      <c r="PCK46" s="87"/>
      <c r="PCL46" s="87"/>
      <c r="PCM46" s="87"/>
      <c r="PCN46" s="87"/>
      <c r="PCO46" s="87"/>
      <c r="PCP46" s="87"/>
      <c r="PCQ46" s="87"/>
      <c r="PCR46" s="87"/>
      <c r="PCS46" s="87"/>
      <c r="PCT46" s="87"/>
      <c r="PCU46" s="87"/>
      <c r="PCV46" s="87"/>
      <c r="PCW46" s="87"/>
      <c r="PCX46" s="87"/>
      <c r="PCY46" s="87"/>
      <c r="PCZ46" s="87"/>
      <c r="PDA46" s="87"/>
      <c r="PDB46" s="87"/>
      <c r="PDC46" s="87"/>
      <c r="PDD46" s="87"/>
      <c r="PDE46" s="87"/>
      <c r="PDF46" s="87"/>
      <c r="PDG46" s="87"/>
      <c r="PDH46" s="87"/>
      <c r="PDI46" s="87"/>
      <c r="PDJ46" s="87"/>
      <c r="PDK46" s="87"/>
      <c r="PDL46" s="87"/>
      <c r="PDM46" s="87"/>
      <c r="PDN46" s="87"/>
      <c r="PDO46" s="87"/>
      <c r="PDP46" s="87"/>
      <c r="PDQ46" s="87"/>
      <c r="PDR46" s="87"/>
      <c r="PDS46" s="87"/>
      <c r="PDT46" s="87"/>
      <c r="PDU46" s="87"/>
      <c r="PDV46" s="87"/>
      <c r="PDW46" s="87"/>
      <c r="PDX46" s="87"/>
      <c r="PDY46" s="87"/>
      <c r="PDZ46" s="87"/>
      <c r="PEA46" s="87"/>
      <c r="PEB46" s="87"/>
      <c r="PEC46" s="87"/>
      <c r="PED46" s="87"/>
      <c r="PEE46" s="87"/>
      <c r="PEF46" s="87"/>
      <c r="PEG46" s="87"/>
      <c r="PEH46" s="87"/>
      <c r="PEI46" s="87"/>
      <c r="PEJ46" s="87"/>
      <c r="PEK46" s="87"/>
      <c r="PEL46" s="87"/>
      <c r="PEM46" s="87"/>
      <c r="PEN46" s="87"/>
      <c r="PEO46" s="87"/>
      <c r="PEP46" s="87"/>
      <c r="PEQ46" s="87"/>
      <c r="PER46" s="87"/>
      <c r="PES46" s="87"/>
      <c r="PET46" s="87"/>
      <c r="PEU46" s="87"/>
      <c r="PEV46" s="87"/>
      <c r="PEW46" s="87"/>
      <c r="PEX46" s="87"/>
      <c r="PEY46" s="87"/>
      <c r="PEZ46" s="87"/>
      <c r="PFA46" s="87"/>
      <c r="PFB46" s="87"/>
      <c r="PFC46" s="87"/>
      <c r="PFD46" s="87"/>
      <c r="PFE46" s="87"/>
      <c r="PFF46" s="87"/>
      <c r="PFG46" s="87"/>
      <c r="PFH46" s="87"/>
      <c r="PFI46" s="87"/>
      <c r="PFJ46" s="87"/>
      <c r="PFK46" s="87"/>
      <c r="PFL46" s="87"/>
      <c r="PFM46" s="87"/>
      <c r="PFN46" s="87"/>
      <c r="PFO46" s="87"/>
      <c r="PFP46" s="87"/>
      <c r="PFQ46" s="87"/>
      <c r="PFR46" s="87"/>
      <c r="PFS46" s="87"/>
      <c r="PFT46" s="87"/>
      <c r="PFU46" s="87"/>
      <c r="PFV46" s="87"/>
      <c r="PFW46" s="87"/>
      <c r="PFX46" s="87"/>
      <c r="PFY46" s="87"/>
      <c r="PFZ46" s="87"/>
      <c r="PGA46" s="87"/>
      <c r="PGB46" s="87"/>
      <c r="PGC46" s="87"/>
      <c r="PGD46" s="87"/>
      <c r="PGE46" s="87"/>
      <c r="PGF46" s="87"/>
      <c r="PGG46" s="87"/>
      <c r="PGH46" s="87"/>
      <c r="PGI46" s="87"/>
      <c r="PGJ46" s="87"/>
      <c r="PGK46" s="87"/>
      <c r="PGL46" s="87"/>
      <c r="PGM46" s="87"/>
      <c r="PGN46" s="87"/>
      <c r="PGO46" s="87"/>
      <c r="PGP46" s="87"/>
      <c r="PGQ46" s="87"/>
      <c r="PGR46" s="87"/>
      <c r="PGS46" s="87"/>
      <c r="PGT46" s="87"/>
      <c r="PGU46" s="87"/>
      <c r="PGV46" s="87"/>
      <c r="PGW46" s="87"/>
      <c r="PGX46" s="87"/>
      <c r="PGY46" s="87"/>
      <c r="PGZ46" s="87"/>
      <c r="PHA46" s="87"/>
      <c r="PHB46" s="87"/>
      <c r="PHC46" s="87"/>
      <c r="PHD46" s="87"/>
      <c r="PHE46" s="87"/>
      <c r="PHF46" s="87"/>
      <c r="PHG46" s="87"/>
      <c r="PHH46" s="87"/>
      <c r="PHI46" s="87"/>
      <c r="PHJ46" s="87"/>
      <c r="PHK46" s="87"/>
      <c r="PHL46" s="87"/>
      <c r="PHM46" s="87"/>
      <c r="PHN46" s="87"/>
      <c r="PHO46" s="87"/>
      <c r="PHP46" s="87"/>
      <c r="PHQ46" s="87"/>
      <c r="PHR46" s="87"/>
      <c r="PHS46" s="87"/>
      <c r="PHT46" s="87"/>
      <c r="PHU46" s="87"/>
      <c r="PHV46" s="87"/>
      <c r="PHW46" s="87"/>
      <c r="PHX46" s="87"/>
      <c r="PHY46" s="87"/>
      <c r="PHZ46" s="87"/>
      <c r="PIA46" s="87"/>
      <c r="PIB46" s="87"/>
      <c r="PIC46" s="87"/>
      <c r="PID46" s="87"/>
      <c r="PIE46" s="87"/>
      <c r="PIF46" s="87"/>
      <c r="PIG46" s="87"/>
      <c r="PIH46" s="87"/>
      <c r="PII46" s="87"/>
      <c r="PIJ46" s="87"/>
      <c r="PIK46" s="87"/>
      <c r="PIL46" s="87"/>
      <c r="PIM46" s="87"/>
      <c r="PIN46" s="87"/>
      <c r="PIO46" s="87"/>
      <c r="PIP46" s="87"/>
      <c r="PIQ46" s="87"/>
      <c r="PIR46" s="87"/>
      <c r="PIS46" s="87"/>
      <c r="PIT46" s="87"/>
      <c r="PIU46" s="87"/>
      <c r="PIV46" s="87"/>
      <c r="PIW46" s="87"/>
      <c r="PIX46" s="87"/>
      <c r="PIY46" s="87"/>
      <c r="PIZ46" s="87"/>
      <c r="PJA46" s="87"/>
      <c r="PJB46" s="87"/>
      <c r="PJC46" s="87"/>
      <c r="PJD46" s="87"/>
      <c r="PJE46" s="87"/>
      <c r="PJF46" s="87"/>
      <c r="PJG46" s="87"/>
      <c r="PJH46" s="87"/>
      <c r="PJI46" s="87"/>
      <c r="PJJ46" s="87"/>
      <c r="PJK46" s="87"/>
      <c r="PJL46" s="87"/>
      <c r="PJM46" s="87"/>
      <c r="PJN46" s="87"/>
      <c r="PJO46" s="87"/>
      <c r="PJP46" s="87"/>
      <c r="PJQ46" s="87"/>
      <c r="PJR46" s="87"/>
      <c r="PJS46" s="87"/>
      <c r="PJT46" s="87"/>
      <c r="PJU46" s="87"/>
      <c r="PJV46" s="87"/>
      <c r="PJW46" s="87"/>
      <c r="PJX46" s="87"/>
      <c r="PJY46" s="87"/>
      <c r="PJZ46" s="87"/>
      <c r="PKA46" s="87"/>
      <c r="PKB46" s="87"/>
      <c r="PKC46" s="87"/>
      <c r="PKD46" s="87"/>
      <c r="PKE46" s="87"/>
      <c r="PKF46" s="87"/>
      <c r="PKG46" s="87"/>
      <c r="PKH46" s="87"/>
      <c r="PKI46" s="87"/>
      <c r="PKJ46" s="87"/>
      <c r="PKK46" s="87"/>
      <c r="PKL46" s="87"/>
      <c r="PKM46" s="87"/>
      <c r="PKN46" s="87"/>
      <c r="PKO46" s="87"/>
      <c r="PKP46" s="87"/>
      <c r="PKQ46" s="87"/>
      <c r="PKR46" s="87"/>
      <c r="PKS46" s="87"/>
      <c r="PKT46" s="87"/>
      <c r="PKU46" s="87"/>
      <c r="PKV46" s="87"/>
      <c r="PKW46" s="87"/>
      <c r="PKX46" s="87"/>
      <c r="PKY46" s="87"/>
      <c r="PKZ46" s="87"/>
      <c r="PLA46" s="87"/>
      <c r="PLB46" s="87"/>
      <c r="PLC46" s="87"/>
      <c r="PLD46" s="87"/>
      <c r="PLE46" s="87"/>
      <c r="PLF46" s="87"/>
      <c r="PLG46" s="87"/>
      <c r="PLH46" s="87"/>
      <c r="PLI46" s="87"/>
      <c r="PLJ46" s="87"/>
      <c r="PLK46" s="87"/>
      <c r="PLL46" s="87"/>
      <c r="PLM46" s="87"/>
      <c r="PLN46" s="87"/>
      <c r="PLO46" s="87"/>
      <c r="PLP46" s="87"/>
      <c r="PLQ46" s="87"/>
      <c r="PLR46" s="87"/>
      <c r="PLS46" s="87"/>
      <c r="PLT46" s="87"/>
      <c r="PLU46" s="87"/>
      <c r="PLV46" s="87"/>
      <c r="PLW46" s="87"/>
      <c r="PLX46" s="87"/>
      <c r="PLY46" s="87"/>
      <c r="PLZ46" s="87"/>
      <c r="PMA46" s="87"/>
      <c r="PMB46" s="87"/>
      <c r="PMC46" s="87"/>
      <c r="PMD46" s="87"/>
      <c r="PME46" s="87"/>
      <c r="PMF46" s="87"/>
      <c r="PMG46" s="87"/>
      <c r="PMH46" s="87"/>
      <c r="PMI46" s="87"/>
      <c r="PMJ46" s="87"/>
      <c r="PMK46" s="87"/>
      <c r="PML46" s="87"/>
      <c r="PMM46" s="87"/>
      <c r="PMN46" s="87"/>
      <c r="PMO46" s="87"/>
      <c r="PMP46" s="87"/>
      <c r="PMQ46" s="87"/>
      <c r="PMR46" s="87"/>
      <c r="PMS46" s="87"/>
      <c r="PMT46" s="87"/>
      <c r="PMU46" s="87"/>
      <c r="PMV46" s="87"/>
      <c r="PMW46" s="87"/>
      <c r="PMX46" s="87"/>
      <c r="PMY46" s="87"/>
      <c r="PMZ46" s="87"/>
      <c r="PNA46" s="87"/>
      <c r="PNB46" s="87"/>
      <c r="PNC46" s="87"/>
      <c r="PND46" s="87"/>
      <c r="PNE46" s="87"/>
      <c r="PNF46" s="87"/>
      <c r="PNG46" s="87"/>
      <c r="PNH46" s="87"/>
      <c r="PNI46" s="87"/>
      <c r="PNJ46" s="87"/>
      <c r="PNK46" s="87"/>
      <c r="PNL46" s="87"/>
      <c r="PNM46" s="87"/>
      <c r="PNN46" s="87"/>
      <c r="PNO46" s="87"/>
      <c r="PNP46" s="87"/>
      <c r="PNQ46" s="87"/>
      <c r="PNR46" s="87"/>
      <c r="PNS46" s="87"/>
      <c r="PNT46" s="87"/>
      <c r="PNU46" s="87"/>
      <c r="PNV46" s="87"/>
      <c r="PNW46" s="87"/>
      <c r="PNX46" s="87"/>
      <c r="PNY46" s="87"/>
      <c r="PNZ46" s="87"/>
      <c r="POA46" s="87"/>
      <c r="POB46" s="87"/>
      <c r="POC46" s="87"/>
      <c r="POD46" s="87"/>
      <c r="POE46" s="87"/>
      <c r="POF46" s="87"/>
      <c r="POG46" s="87"/>
      <c r="POH46" s="87"/>
      <c r="POI46" s="87"/>
      <c r="POJ46" s="87"/>
      <c r="POK46" s="87"/>
      <c r="POL46" s="87"/>
      <c r="POM46" s="87"/>
      <c r="PON46" s="87"/>
      <c r="POO46" s="87"/>
      <c r="POP46" s="87"/>
      <c r="POQ46" s="87"/>
      <c r="POR46" s="87"/>
      <c r="POS46" s="87"/>
      <c r="POT46" s="87"/>
      <c r="POU46" s="87"/>
      <c r="POV46" s="87"/>
      <c r="POW46" s="87"/>
      <c r="POX46" s="87"/>
      <c r="POY46" s="87"/>
      <c r="POZ46" s="87"/>
      <c r="PPA46" s="87"/>
      <c r="PPB46" s="87"/>
      <c r="PPC46" s="87"/>
      <c r="PPD46" s="87"/>
      <c r="PPE46" s="87"/>
      <c r="PPF46" s="87"/>
      <c r="PPG46" s="87"/>
      <c r="PPH46" s="87"/>
      <c r="PPI46" s="87"/>
      <c r="PPJ46" s="87"/>
      <c r="PPK46" s="87"/>
      <c r="PPL46" s="87"/>
      <c r="PPM46" s="87"/>
      <c r="PPN46" s="87"/>
      <c r="PPO46" s="87"/>
      <c r="PPP46" s="87"/>
      <c r="PPQ46" s="87"/>
      <c r="PPR46" s="87"/>
      <c r="PPS46" s="87"/>
      <c r="PPT46" s="87"/>
      <c r="PPU46" s="87"/>
      <c r="PPV46" s="87"/>
      <c r="PPW46" s="87"/>
      <c r="PPX46" s="87"/>
      <c r="PPY46" s="87"/>
      <c r="PPZ46" s="87"/>
      <c r="PQA46" s="87"/>
      <c r="PQB46" s="87"/>
      <c r="PQC46" s="87"/>
      <c r="PQD46" s="87"/>
      <c r="PQE46" s="87"/>
      <c r="PQF46" s="87"/>
      <c r="PQG46" s="87"/>
      <c r="PQH46" s="87"/>
      <c r="PQI46" s="87"/>
      <c r="PQJ46" s="87"/>
      <c r="PQK46" s="87"/>
      <c r="PQL46" s="87"/>
      <c r="PQM46" s="87"/>
      <c r="PQN46" s="87"/>
      <c r="PQO46" s="87"/>
      <c r="PQP46" s="87"/>
      <c r="PQQ46" s="87"/>
      <c r="PQR46" s="87"/>
      <c r="PQS46" s="87"/>
      <c r="PQT46" s="87"/>
      <c r="PQU46" s="87"/>
      <c r="PQV46" s="87"/>
      <c r="PQW46" s="87"/>
      <c r="PQX46" s="87"/>
      <c r="PQY46" s="87"/>
      <c r="PQZ46" s="87"/>
      <c r="PRA46" s="87"/>
      <c r="PRB46" s="87"/>
      <c r="PRC46" s="87"/>
      <c r="PRD46" s="87"/>
      <c r="PRE46" s="87"/>
      <c r="PRF46" s="87"/>
      <c r="PRG46" s="87"/>
      <c r="PRH46" s="87"/>
      <c r="PRI46" s="87"/>
      <c r="PRJ46" s="87"/>
      <c r="PRK46" s="87"/>
      <c r="PRL46" s="87"/>
      <c r="PRM46" s="87"/>
      <c r="PRN46" s="87"/>
      <c r="PRO46" s="87"/>
      <c r="PRP46" s="87"/>
      <c r="PRQ46" s="87"/>
      <c r="PRR46" s="87"/>
      <c r="PRS46" s="87"/>
      <c r="PRT46" s="87"/>
      <c r="PRU46" s="87"/>
      <c r="PRV46" s="87"/>
      <c r="PRW46" s="87"/>
      <c r="PRX46" s="87"/>
      <c r="PRY46" s="87"/>
      <c r="PRZ46" s="87"/>
      <c r="PSA46" s="87"/>
      <c r="PSB46" s="87"/>
      <c r="PSC46" s="87"/>
      <c r="PSD46" s="87"/>
      <c r="PSE46" s="87"/>
      <c r="PSF46" s="87"/>
      <c r="PSG46" s="87"/>
      <c r="PSH46" s="87"/>
      <c r="PSI46" s="87"/>
      <c r="PSJ46" s="87"/>
      <c r="PSK46" s="87"/>
      <c r="PSL46" s="87"/>
      <c r="PSM46" s="87"/>
      <c r="PSN46" s="87"/>
      <c r="PSO46" s="87"/>
      <c r="PSP46" s="87"/>
      <c r="PSQ46" s="87"/>
      <c r="PSR46" s="87"/>
      <c r="PSS46" s="87"/>
      <c r="PST46" s="87"/>
      <c r="PSU46" s="87"/>
      <c r="PSV46" s="87"/>
      <c r="PSW46" s="87"/>
      <c r="PSX46" s="87"/>
      <c r="PSY46" s="87"/>
      <c r="PSZ46" s="87"/>
      <c r="PTA46" s="87"/>
      <c r="PTB46" s="87"/>
      <c r="PTC46" s="87"/>
      <c r="PTD46" s="87"/>
      <c r="PTE46" s="87"/>
      <c r="PTF46" s="87"/>
      <c r="PTG46" s="87"/>
      <c r="PTH46" s="87"/>
      <c r="PTI46" s="87"/>
      <c r="PTJ46" s="87"/>
      <c r="PTK46" s="87"/>
      <c r="PTL46" s="87"/>
      <c r="PTM46" s="87"/>
      <c r="PTN46" s="87"/>
      <c r="PTO46" s="87"/>
      <c r="PTP46" s="87"/>
      <c r="PTQ46" s="87"/>
      <c r="PTR46" s="87"/>
      <c r="PTS46" s="87"/>
      <c r="PTT46" s="87"/>
      <c r="PTU46" s="87"/>
      <c r="PTV46" s="87"/>
      <c r="PTW46" s="87"/>
      <c r="PTX46" s="87"/>
      <c r="PTY46" s="87"/>
      <c r="PTZ46" s="87"/>
      <c r="PUA46" s="87"/>
      <c r="PUB46" s="87"/>
      <c r="PUC46" s="87"/>
      <c r="PUD46" s="87"/>
      <c r="PUE46" s="87"/>
      <c r="PUF46" s="87"/>
      <c r="PUG46" s="87"/>
      <c r="PUH46" s="87"/>
      <c r="PUI46" s="87"/>
      <c r="PUJ46" s="87"/>
      <c r="PUK46" s="87"/>
      <c r="PUL46" s="87"/>
      <c r="PUM46" s="87"/>
      <c r="PUN46" s="87"/>
      <c r="PUO46" s="87"/>
      <c r="PUP46" s="87"/>
      <c r="PUQ46" s="87"/>
      <c r="PUR46" s="87"/>
      <c r="PUS46" s="87"/>
      <c r="PUT46" s="87"/>
      <c r="PUU46" s="87"/>
      <c r="PUV46" s="87"/>
      <c r="PUW46" s="87"/>
      <c r="PUX46" s="87"/>
      <c r="PUY46" s="87"/>
      <c r="PUZ46" s="87"/>
      <c r="PVA46" s="87"/>
      <c r="PVB46" s="87"/>
      <c r="PVC46" s="87"/>
      <c r="PVD46" s="87"/>
      <c r="PVE46" s="87"/>
      <c r="PVF46" s="87"/>
      <c r="PVG46" s="87"/>
      <c r="PVH46" s="87"/>
      <c r="PVI46" s="87"/>
      <c r="PVJ46" s="87"/>
      <c r="PVK46" s="87"/>
      <c r="PVL46" s="87"/>
      <c r="PVM46" s="87"/>
      <c r="PVN46" s="87"/>
      <c r="PVO46" s="87"/>
      <c r="PVP46" s="87"/>
      <c r="PVQ46" s="87"/>
      <c r="PVR46" s="87"/>
      <c r="PVS46" s="87"/>
      <c r="PVT46" s="87"/>
      <c r="PVU46" s="87"/>
      <c r="PVV46" s="87"/>
      <c r="PVW46" s="87"/>
      <c r="PVX46" s="87"/>
      <c r="PVY46" s="87"/>
      <c r="PVZ46" s="87"/>
      <c r="PWA46" s="87"/>
      <c r="PWB46" s="87"/>
      <c r="PWC46" s="87"/>
      <c r="PWD46" s="87"/>
      <c r="PWE46" s="87"/>
      <c r="PWF46" s="87"/>
      <c r="PWG46" s="87"/>
      <c r="PWH46" s="87"/>
      <c r="PWI46" s="87"/>
      <c r="PWJ46" s="87"/>
      <c r="PWK46" s="87"/>
      <c r="PWL46" s="87"/>
      <c r="PWM46" s="87"/>
      <c r="PWN46" s="87"/>
      <c r="PWO46" s="87"/>
      <c r="PWP46" s="87"/>
      <c r="PWQ46" s="87"/>
      <c r="PWR46" s="87"/>
      <c r="PWS46" s="87"/>
      <c r="PWT46" s="87"/>
      <c r="PWU46" s="87"/>
      <c r="PWV46" s="87"/>
      <c r="PWW46" s="87"/>
      <c r="PWX46" s="87"/>
      <c r="PWY46" s="87"/>
      <c r="PWZ46" s="87"/>
      <c r="PXA46" s="87"/>
      <c r="PXB46" s="87"/>
      <c r="PXC46" s="87"/>
      <c r="PXD46" s="87"/>
      <c r="PXE46" s="87"/>
      <c r="PXF46" s="87"/>
      <c r="PXG46" s="87"/>
      <c r="PXH46" s="87"/>
      <c r="PXI46" s="87"/>
      <c r="PXJ46" s="87"/>
      <c r="PXK46" s="87"/>
      <c r="PXL46" s="87"/>
      <c r="PXM46" s="87"/>
      <c r="PXN46" s="87"/>
      <c r="PXO46" s="87"/>
      <c r="PXP46" s="87"/>
      <c r="PXQ46" s="87"/>
      <c r="PXR46" s="87"/>
      <c r="PXS46" s="87"/>
      <c r="PXT46" s="87"/>
      <c r="PXU46" s="87"/>
      <c r="PXV46" s="87"/>
      <c r="PXW46" s="87"/>
      <c r="PXX46" s="87"/>
      <c r="PXY46" s="87"/>
      <c r="PXZ46" s="87"/>
      <c r="PYA46" s="87"/>
      <c r="PYB46" s="87"/>
      <c r="PYC46" s="87"/>
      <c r="PYD46" s="87"/>
      <c r="PYE46" s="87"/>
      <c r="PYF46" s="87"/>
      <c r="PYG46" s="87"/>
      <c r="PYH46" s="87"/>
      <c r="PYI46" s="87"/>
      <c r="PYJ46" s="87"/>
      <c r="PYK46" s="87"/>
      <c r="PYL46" s="87"/>
      <c r="PYM46" s="87"/>
      <c r="PYN46" s="87"/>
      <c r="PYO46" s="87"/>
      <c r="PYP46" s="87"/>
      <c r="PYQ46" s="87"/>
      <c r="PYR46" s="87"/>
      <c r="PYS46" s="87"/>
      <c r="PYT46" s="87"/>
      <c r="PYU46" s="87"/>
      <c r="PYV46" s="87"/>
      <c r="PYW46" s="87"/>
      <c r="PYX46" s="87"/>
      <c r="PYY46" s="87"/>
      <c r="PYZ46" s="87"/>
      <c r="PZA46" s="87"/>
      <c r="PZB46" s="87"/>
      <c r="PZC46" s="87"/>
      <c r="PZD46" s="87"/>
      <c r="PZE46" s="87"/>
      <c r="PZF46" s="87"/>
      <c r="PZG46" s="87"/>
      <c r="PZH46" s="87"/>
      <c r="PZI46" s="87"/>
      <c r="PZJ46" s="87"/>
      <c r="PZK46" s="87"/>
      <c r="PZL46" s="87"/>
      <c r="PZM46" s="87"/>
      <c r="PZN46" s="87"/>
      <c r="PZO46" s="87"/>
      <c r="PZP46" s="87"/>
      <c r="PZQ46" s="87"/>
      <c r="PZR46" s="87"/>
      <c r="PZS46" s="87"/>
      <c r="PZT46" s="87"/>
      <c r="PZU46" s="87"/>
      <c r="PZV46" s="87"/>
      <c r="PZW46" s="87"/>
      <c r="PZX46" s="87"/>
      <c r="PZY46" s="87"/>
      <c r="PZZ46" s="87"/>
      <c r="QAA46" s="87"/>
      <c r="QAB46" s="87"/>
      <c r="QAC46" s="87"/>
      <c r="QAD46" s="87"/>
      <c r="QAE46" s="87"/>
      <c r="QAF46" s="87"/>
      <c r="QAG46" s="87"/>
      <c r="QAH46" s="87"/>
      <c r="QAI46" s="87"/>
      <c r="QAJ46" s="87"/>
      <c r="QAK46" s="87"/>
      <c r="QAL46" s="87"/>
      <c r="QAM46" s="87"/>
      <c r="QAN46" s="87"/>
      <c r="QAO46" s="87"/>
      <c r="QAP46" s="87"/>
      <c r="QAQ46" s="87"/>
      <c r="QAR46" s="87"/>
      <c r="QAS46" s="87"/>
      <c r="QAT46" s="87"/>
      <c r="QAU46" s="87"/>
      <c r="QAV46" s="87"/>
      <c r="QAW46" s="87"/>
      <c r="QAX46" s="87"/>
      <c r="QAY46" s="87"/>
      <c r="QAZ46" s="87"/>
      <c r="QBA46" s="87"/>
      <c r="QBB46" s="87"/>
      <c r="QBC46" s="87"/>
      <c r="QBD46" s="87"/>
      <c r="QBE46" s="87"/>
      <c r="QBF46" s="87"/>
      <c r="QBG46" s="87"/>
      <c r="QBH46" s="87"/>
      <c r="QBI46" s="87"/>
      <c r="QBJ46" s="87"/>
      <c r="QBK46" s="87"/>
      <c r="QBL46" s="87"/>
      <c r="QBM46" s="87"/>
      <c r="QBN46" s="87"/>
      <c r="QBO46" s="87"/>
      <c r="QBP46" s="87"/>
      <c r="QBQ46" s="87"/>
      <c r="QBR46" s="87"/>
      <c r="QBS46" s="87"/>
      <c r="QBT46" s="87"/>
      <c r="QBU46" s="87"/>
      <c r="QBV46" s="87"/>
      <c r="QBW46" s="87"/>
      <c r="QBX46" s="87"/>
      <c r="QBY46" s="87"/>
      <c r="QBZ46" s="87"/>
      <c r="QCA46" s="87"/>
      <c r="QCB46" s="87"/>
      <c r="QCC46" s="87"/>
      <c r="QCD46" s="87"/>
      <c r="QCE46" s="87"/>
      <c r="QCF46" s="87"/>
      <c r="QCG46" s="87"/>
      <c r="QCH46" s="87"/>
      <c r="QCI46" s="87"/>
      <c r="QCJ46" s="87"/>
      <c r="QCK46" s="87"/>
      <c r="QCL46" s="87"/>
      <c r="QCM46" s="87"/>
      <c r="QCN46" s="87"/>
      <c r="QCO46" s="87"/>
      <c r="QCP46" s="87"/>
      <c r="QCQ46" s="87"/>
      <c r="QCR46" s="87"/>
      <c r="QCS46" s="87"/>
      <c r="QCT46" s="87"/>
      <c r="QCU46" s="87"/>
      <c r="QCV46" s="87"/>
      <c r="QCW46" s="87"/>
      <c r="QCX46" s="87"/>
      <c r="QCY46" s="87"/>
      <c r="QCZ46" s="87"/>
      <c r="QDA46" s="87"/>
      <c r="QDB46" s="87"/>
      <c r="QDC46" s="87"/>
      <c r="QDD46" s="87"/>
      <c r="QDE46" s="87"/>
      <c r="QDF46" s="87"/>
      <c r="QDG46" s="87"/>
      <c r="QDH46" s="87"/>
      <c r="QDI46" s="87"/>
      <c r="QDJ46" s="87"/>
      <c r="QDK46" s="87"/>
      <c r="QDL46" s="87"/>
      <c r="QDM46" s="87"/>
      <c r="QDN46" s="87"/>
      <c r="QDO46" s="87"/>
      <c r="QDP46" s="87"/>
      <c r="QDQ46" s="87"/>
      <c r="QDR46" s="87"/>
      <c r="QDS46" s="87"/>
      <c r="QDT46" s="87"/>
      <c r="QDU46" s="87"/>
      <c r="QDV46" s="87"/>
      <c r="QDW46" s="87"/>
      <c r="QDX46" s="87"/>
      <c r="QDY46" s="87"/>
      <c r="QDZ46" s="87"/>
      <c r="QEA46" s="87"/>
      <c r="QEB46" s="87"/>
      <c r="QEC46" s="87"/>
      <c r="QED46" s="87"/>
      <c r="QEE46" s="87"/>
      <c r="QEF46" s="87"/>
      <c r="QEG46" s="87"/>
      <c r="QEH46" s="87"/>
      <c r="QEI46" s="87"/>
      <c r="QEJ46" s="87"/>
      <c r="QEK46" s="87"/>
      <c r="QEL46" s="87"/>
      <c r="QEM46" s="87"/>
      <c r="QEN46" s="87"/>
      <c r="QEO46" s="87"/>
      <c r="QEP46" s="87"/>
      <c r="QEQ46" s="87"/>
      <c r="QER46" s="87"/>
      <c r="QES46" s="87"/>
      <c r="QET46" s="87"/>
      <c r="QEU46" s="87"/>
      <c r="QEV46" s="87"/>
      <c r="QEW46" s="87"/>
      <c r="QEX46" s="87"/>
      <c r="QEY46" s="87"/>
      <c r="QEZ46" s="87"/>
      <c r="QFA46" s="87"/>
      <c r="QFB46" s="87"/>
      <c r="QFC46" s="87"/>
      <c r="QFD46" s="87"/>
      <c r="QFE46" s="87"/>
      <c r="QFF46" s="87"/>
      <c r="QFG46" s="87"/>
      <c r="QFH46" s="87"/>
      <c r="QFI46" s="87"/>
      <c r="QFJ46" s="87"/>
      <c r="QFK46" s="87"/>
      <c r="QFL46" s="87"/>
      <c r="QFM46" s="87"/>
      <c r="QFN46" s="87"/>
      <c r="QFO46" s="87"/>
      <c r="QFP46" s="87"/>
      <c r="QFQ46" s="87"/>
      <c r="QFR46" s="87"/>
      <c r="QFS46" s="87"/>
      <c r="QFT46" s="87"/>
      <c r="QFU46" s="87"/>
      <c r="QFV46" s="87"/>
      <c r="QFW46" s="87"/>
      <c r="QFX46" s="87"/>
      <c r="QFY46" s="87"/>
      <c r="QFZ46" s="87"/>
      <c r="QGA46" s="87"/>
      <c r="QGB46" s="87"/>
      <c r="QGC46" s="87"/>
      <c r="QGD46" s="87"/>
      <c r="QGE46" s="87"/>
      <c r="QGF46" s="87"/>
      <c r="QGG46" s="87"/>
      <c r="QGH46" s="87"/>
      <c r="QGI46" s="87"/>
      <c r="QGJ46" s="87"/>
      <c r="QGK46" s="87"/>
      <c r="QGL46" s="87"/>
      <c r="QGM46" s="87"/>
      <c r="QGN46" s="87"/>
      <c r="QGO46" s="87"/>
      <c r="QGP46" s="87"/>
      <c r="QGQ46" s="87"/>
      <c r="QGR46" s="87"/>
      <c r="QGS46" s="87"/>
      <c r="QGT46" s="87"/>
      <c r="QGU46" s="87"/>
      <c r="QGV46" s="87"/>
      <c r="QGW46" s="87"/>
      <c r="QGX46" s="87"/>
      <c r="QGY46" s="87"/>
      <c r="QGZ46" s="87"/>
      <c r="QHA46" s="87"/>
      <c r="QHB46" s="87"/>
      <c r="QHC46" s="87"/>
      <c r="QHD46" s="87"/>
      <c r="QHE46" s="87"/>
      <c r="QHF46" s="87"/>
      <c r="QHG46" s="87"/>
      <c r="QHH46" s="87"/>
      <c r="QHI46" s="87"/>
      <c r="QHJ46" s="87"/>
      <c r="QHK46" s="87"/>
      <c r="QHL46" s="87"/>
      <c r="QHM46" s="87"/>
      <c r="QHN46" s="87"/>
      <c r="QHO46" s="87"/>
      <c r="QHP46" s="87"/>
      <c r="QHQ46" s="87"/>
      <c r="QHR46" s="87"/>
      <c r="QHS46" s="87"/>
      <c r="QHT46" s="87"/>
      <c r="QHU46" s="87"/>
      <c r="QHV46" s="87"/>
      <c r="QHW46" s="87"/>
      <c r="QHX46" s="87"/>
      <c r="QHY46" s="87"/>
      <c r="QHZ46" s="87"/>
      <c r="QIA46" s="87"/>
      <c r="QIB46" s="87"/>
      <c r="QIC46" s="87"/>
      <c r="QID46" s="87"/>
      <c r="QIE46" s="87"/>
      <c r="QIF46" s="87"/>
      <c r="QIG46" s="87"/>
      <c r="QIH46" s="87"/>
      <c r="QII46" s="87"/>
      <c r="QIJ46" s="87"/>
      <c r="QIK46" s="87"/>
      <c r="QIL46" s="87"/>
      <c r="QIM46" s="87"/>
      <c r="QIN46" s="87"/>
      <c r="QIO46" s="87"/>
      <c r="QIP46" s="87"/>
      <c r="QIQ46" s="87"/>
      <c r="QIR46" s="87"/>
      <c r="QIS46" s="87"/>
      <c r="QIT46" s="87"/>
      <c r="QIU46" s="87"/>
      <c r="QIV46" s="87"/>
      <c r="QIW46" s="87"/>
      <c r="QIX46" s="87"/>
      <c r="QIY46" s="87"/>
      <c r="QIZ46" s="87"/>
      <c r="QJA46" s="87"/>
      <c r="QJB46" s="87"/>
      <c r="QJC46" s="87"/>
      <c r="QJD46" s="87"/>
      <c r="QJE46" s="87"/>
      <c r="QJF46" s="87"/>
      <c r="QJG46" s="87"/>
      <c r="QJH46" s="87"/>
      <c r="QJI46" s="87"/>
      <c r="QJJ46" s="87"/>
      <c r="QJK46" s="87"/>
      <c r="QJL46" s="87"/>
      <c r="QJM46" s="87"/>
      <c r="QJN46" s="87"/>
      <c r="QJO46" s="87"/>
      <c r="QJP46" s="87"/>
      <c r="QJQ46" s="87"/>
      <c r="QJR46" s="87"/>
      <c r="QJS46" s="87"/>
      <c r="QJT46" s="87"/>
      <c r="QJU46" s="87"/>
      <c r="QJV46" s="87"/>
      <c r="QJW46" s="87"/>
      <c r="QJX46" s="87"/>
      <c r="QJY46" s="87"/>
      <c r="QJZ46" s="87"/>
      <c r="QKA46" s="87"/>
      <c r="QKB46" s="87"/>
      <c r="QKC46" s="87"/>
      <c r="QKD46" s="87"/>
      <c r="QKE46" s="87"/>
      <c r="QKF46" s="87"/>
      <c r="QKG46" s="87"/>
      <c r="QKH46" s="87"/>
      <c r="QKI46" s="87"/>
      <c r="QKJ46" s="87"/>
      <c r="QKK46" s="87"/>
      <c r="QKL46" s="87"/>
      <c r="QKM46" s="87"/>
      <c r="QKN46" s="87"/>
      <c r="QKO46" s="87"/>
      <c r="QKP46" s="87"/>
      <c r="QKQ46" s="87"/>
      <c r="QKR46" s="87"/>
      <c r="QKS46" s="87"/>
      <c r="QKT46" s="87"/>
      <c r="QKU46" s="87"/>
      <c r="QKV46" s="87"/>
      <c r="QKW46" s="87"/>
      <c r="QKX46" s="87"/>
      <c r="QKY46" s="87"/>
      <c r="QKZ46" s="87"/>
      <c r="QLA46" s="87"/>
      <c r="QLB46" s="87"/>
      <c r="QLC46" s="87"/>
      <c r="QLD46" s="87"/>
      <c r="QLE46" s="87"/>
      <c r="QLF46" s="87"/>
      <c r="QLG46" s="87"/>
      <c r="QLH46" s="87"/>
      <c r="QLI46" s="87"/>
      <c r="QLJ46" s="87"/>
      <c r="QLK46" s="87"/>
      <c r="QLL46" s="87"/>
      <c r="QLM46" s="87"/>
      <c r="QLN46" s="87"/>
      <c r="QLO46" s="87"/>
      <c r="QLP46" s="87"/>
      <c r="QLQ46" s="87"/>
      <c r="QLR46" s="87"/>
      <c r="QLS46" s="87"/>
      <c r="QLT46" s="87"/>
      <c r="QLU46" s="87"/>
      <c r="QLV46" s="87"/>
      <c r="QLW46" s="87"/>
      <c r="QLX46" s="87"/>
      <c r="QLY46" s="87"/>
      <c r="QLZ46" s="87"/>
      <c r="QMA46" s="87"/>
      <c r="QMB46" s="87"/>
      <c r="QMC46" s="87"/>
      <c r="QMD46" s="87"/>
      <c r="QME46" s="87"/>
      <c r="QMF46" s="87"/>
      <c r="QMG46" s="87"/>
      <c r="QMH46" s="87"/>
      <c r="QMI46" s="87"/>
      <c r="QMJ46" s="87"/>
      <c r="QMK46" s="87"/>
      <c r="QML46" s="87"/>
      <c r="QMM46" s="87"/>
      <c r="QMN46" s="87"/>
      <c r="QMO46" s="87"/>
      <c r="QMP46" s="87"/>
      <c r="QMQ46" s="87"/>
      <c r="QMR46" s="87"/>
      <c r="QMS46" s="87"/>
      <c r="QMT46" s="87"/>
      <c r="QMU46" s="87"/>
      <c r="QMV46" s="87"/>
      <c r="QMW46" s="87"/>
      <c r="QMX46" s="87"/>
      <c r="QMY46" s="87"/>
      <c r="QMZ46" s="87"/>
      <c r="QNA46" s="87"/>
      <c r="QNB46" s="87"/>
      <c r="QNC46" s="87"/>
      <c r="QND46" s="87"/>
      <c r="QNE46" s="87"/>
      <c r="QNF46" s="87"/>
      <c r="QNG46" s="87"/>
      <c r="QNH46" s="87"/>
      <c r="QNI46" s="87"/>
      <c r="QNJ46" s="87"/>
      <c r="QNK46" s="87"/>
      <c r="QNL46" s="87"/>
      <c r="QNM46" s="87"/>
      <c r="QNN46" s="87"/>
      <c r="QNO46" s="87"/>
      <c r="QNP46" s="87"/>
      <c r="QNQ46" s="87"/>
      <c r="QNR46" s="87"/>
      <c r="QNS46" s="87"/>
      <c r="QNT46" s="87"/>
      <c r="QNU46" s="87"/>
      <c r="QNV46" s="87"/>
      <c r="QNW46" s="87"/>
      <c r="QNX46" s="87"/>
      <c r="QNY46" s="87"/>
      <c r="QNZ46" s="87"/>
      <c r="QOA46" s="87"/>
      <c r="QOB46" s="87"/>
      <c r="QOC46" s="87"/>
      <c r="QOD46" s="87"/>
      <c r="QOE46" s="87"/>
      <c r="QOF46" s="87"/>
      <c r="QOG46" s="87"/>
      <c r="QOH46" s="87"/>
      <c r="QOI46" s="87"/>
      <c r="QOJ46" s="87"/>
      <c r="QOK46" s="87"/>
      <c r="QOL46" s="87"/>
      <c r="QOM46" s="87"/>
      <c r="QON46" s="87"/>
      <c r="QOO46" s="87"/>
      <c r="QOP46" s="87"/>
      <c r="QOQ46" s="87"/>
      <c r="QOR46" s="87"/>
      <c r="QOS46" s="87"/>
      <c r="QOT46" s="87"/>
      <c r="QOU46" s="87"/>
      <c r="QOV46" s="87"/>
      <c r="QOW46" s="87"/>
      <c r="QOX46" s="87"/>
      <c r="QOY46" s="87"/>
      <c r="QOZ46" s="87"/>
      <c r="QPA46" s="87"/>
      <c r="QPB46" s="87"/>
      <c r="QPC46" s="87"/>
      <c r="QPD46" s="87"/>
      <c r="QPE46" s="87"/>
      <c r="QPF46" s="87"/>
      <c r="QPG46" s="87"/>
      <c r="QPH46" s="87"/>
      <c r="QPI46" s="87"/>
      <c r="QPJ46" s="87"/>
      <c r="QPK46" s="87"/>
      <c r="QPL46" s="87"/>
      <c r="QPM46" s="87"/>
      <c r="QPN46" s="87"/>
      <c r="QPO46" s="87"/>
      <c r="QPP46" s="87"/>
      <c r="QPQ46" s="87"/>
      <c r="QPR46" s="87"/>
      <c r="QPS46" s="87"/>
      <c r="QPT46" s="87"/>
      <c r="QPU46" s="87"/>
      <c r="QPV46" s="87"/>
      <c r="QPW46" s="87"/>
      <c r="QPX46" s="87"/>
      <c r="QPY46" s="87"/>
      <c r="QPZ46" s="87"/>
      <c r="QQA46" s="87"/>
      <c r="QQB46" s="87"/>
      <c r="QQC46" s="87"/>
      <c r="QQD46" s="87"/>
      <c r="QQE46" s="87"/>
      <c r="QQF46" s="87"/>
      <c r="QQG46" s="87"/>
      <c r="QQH46" s="87"/>
      <c r="QQI46" s="87"/>
      <c r="QQJ46" s="87"/>
      <c r="QQK46" s="87"/>
      <c r="QQL46" s="87"/>
      <c r="QQM46" s="87"/>
      <c r="QQN46" s="87"/>
      <c r="QQO46" s="87"/>
      <c r="QQP46" s="87"/>
      <c r="QQQ46" s="87"/>
      <c r="QQR46" s="87"/>
      <c r="QQS46" s="87"/>
      <c r="QQT46" s="87"/>
      <c r="QQU46" s="87"/>
      <c r="QQV46" s="87"/>
      <c r="QQW46" s="87"/>
      <c r="QQX46" s="87"/>
      <c r="QQY46" s="87"/>
      <c r="QQZ46" s="87"/>
      <c r="QRA46" s="87"/>
      <c r="QRB46" s="87"/>
      <c r="QRC46" s="87"/>
      <c r="QRD46" s="87"/>
      <c r="QRE46" s="87"/>
      <c r="QRF46" s="87"/>
      <c r="QRG46" s="87"/>
      <c r="QRH46" s="87"/>
      <c r="QRI46" s="87"/>
      <c r="QRJ46" s="87"/>
      <c r="QRK46" s="87"/>
      <c r="QRL46" s="87"/>
      <c r="QRM46" s="87"/>
      <c r="QRN46" s="87"/>
      <c r="QRO46" s="87"/>
      <c r="QRP46" s="87"/>
      <c r="QRQ46" s="87"/>
      <c r="QRR46" s="87"/>
      <c r="QRS46" s="87"/>
      <c r="QRT46" s="87"/>
      <c r="QRU46" s="87"/>
      <c r="QRV46" s="87"/>
      <c r="QRW46" s="87"/>
      <c r="QRX46" s="87"/>
      <c r="QRY46" s="87"/>
      <c r="QRZ46" s="87"/>
      <c r="QSA46" s="87"/>
      <c r="QSB46" s="87"/>
      <c r="QSC46" s="87"/>
      <c r="QSD46" s="87"/>
      <c r="QSE46" s="87"/>
      <c r="QSF46" s="87"/>
      <c r="QSG46" s="87"/>
      <c r="QSH46" s="87"/>
      <c r="QSI46" s="87"/>
      <c r="QSJ46" s="87"/>
      <c r="QSK46" s="87"/>
      <c r="QSL46" s="87"/>
      <c r="QSM46" s="87"/>
      <c r="QSN46" s="87"/>
      <c r="QSO46" s="87"/>
      <c r="QSP46" s="87"/>
      <c r="QSQ46" s="87"/>
      <c r="QSR46" s="87"/>
      <c r="QSS46" s="87"/>
      <c r="QST46" s="87"/>
      <c r="QSU46" s="87"/>
      <c r="QSV46" s="87"/>
      <c r="QSW46" s="87"/>
      <c r="QSX46" s="87"/>
      <c r="QSY46" s="87"/>
      <c r="QSZ46" s="87"/>
      <c r="QTA46" s="87"/>
      <c r="QTB46" s="87"/>
      <c r="QTC46" s="87"/>
      <c r="QTD46" s="87"/>
      <c r="QTE46" s="87"/>
      <c r="QTF46" s="87"/>
      <c r="QTG46" s="87"/>
      <c r="QTH46" s="87"/>
      <c r="QTI46" s="87"/>
      <c r="QTJ46" s="87"/>
      <c r="QTK46" s="87"/>
      <c r="QTL46" s="87"/>
      <c r="QTM46" s="87"/>
      <c r="QTN46" s="87"/>
      <c r="QTO46" s="87"/>
      <c r="QTP46" s="87"/>
      <c r="QTQ46" s="87"/>
      <c r="QTR46" s="87"/>
      <c r="QTS46" s="87"/>
      <c r="QTT46" s="87"/>
      <c r="QTU46" s="87"/>
      <c r="QTV46" s="87"/>
      <c r="QTW46" s="87"/>
      <c r="QTX46" s="87"/>
      <c r="QTY46" s="87"/>
      <c r="QTZ46" s="87"/>
      <c r="QUA46" s="87"/>
      <c r="QUB46" s="87"/>
      <c r="QUC46" s="87"/>
      <c r="QUD46" s="87"/>
      <c r="QUE46" s="87"/>
      <c r="QUF46" s="87"/>
      <c r="QUG46" s="87"/>
      <c r="QUH46" s="87"/>
      <c r="QUI46" s="87"/>
      <c r="QUJ46" s="87"/>
      <c r="QUK46" s="87"/>
      <c r="QUL46" s="87"/>
      <c r="QUM46" s="87"/>
      <c r="QUN46" s="87"/>
      <c r="QUO46" s="87"/>
      <c r="QUP46" s="87"/>
      <c r="QUQ46" s="87"/>
      <c r="QUR46" s="87"/>
      <c r="QUS46" s="87"/>
      <c r="QUT46" s="87"/>
      <c r="QUU46" s="87"/>
      <c r="QUV46" s="87"/>
      <c r="QUW46" s="87"/>
      <c r="QUX46" s="87"/>
      <c r="QUY46" s="87"/>
      <c r="QUZ46" s="87"/>
      <c r="QVA46" s="87"/>
      <c r="QVB46" s="87"/>
      <c r="QVC46" s="87"/>
      <c r="QVD46" s="87"/>
      <c r="QVE46" s="87"/>
      <c r="QVF46" s="87"/>
      <c r="QVG46" s="87"/>
      <c r="QVH46" s="87"/>
      <c r="QVI46" s="87"/>
      <c r="QVJ46" s="87"/>
      <c r="QVK46" s="87"/>
      <c r="QVL46" s="87"/>
      <c r="QVM46" s="87"/>
      <c r="QVN46" s="87"/>
      <c r="QVO46" s="87"/>
      <c r="QVP46" s="87"/>
      <c r="QVQ46" s="87"/>
      <c r="QVR46" s="87"/>
      <c r="QVS46" s="87"/>
      <c r="QVT46" s="87"/>
      <c r="QVU46" s="87"/>
      <c r="QVV46" s="87"/>
      <c r="QVW46" s="87"/>
      <c r="QVX46" s="87"/>
      <c r="QVY46" s="87"/>
      <c r="QVZ46" s="87"/>
      <c r="QWA46" s="87"/>
      <c r="QWB46" s="87"/>
      <c r="QWC46" s="87"/>
      <c r="QWD46" s="87"/>
      <c r="QWE46" s="87"/>
      <c r="QWF46" s="87"/>
      <c r="QWG46" s="87"/>
      <c r="QWH46" s="87"/>
      <c r="QWI46" s="87"/>
      <c r="QWJ46" s="87"/>
      <c r="QWK46" s="87"/>
      <c r="QWL46" s="87"/>
      <c r="QWM46" s="87"/>
      <c r="QWN46" s="87"/>
      <c r="QWO46" s="87"/>
      <c r="QWP46" s="87"/>
      <c r="QWQ46" s="87"/>
      <c r="QWR46" s="87"/>
      <c r="QWS46" s="87"/>
      <c r="QWT46" s="87"/>
      <c r="QWU46" s="87"/>
      <c r="QWV46" s="87"/>
      <c r="QWW46" s="87"/>
      <c r="QWX46" s="87"/>
      <c r="QWY46" s="87"/>
      <c r="QWZ46" s="87"/>
      <c r="QXA46" s="87"/>
      <c r="QXB46" s="87"/>
      <c r="QXC46" s="87"/>
      <c r="QXD46" s="87"/>
      <c r="QXE46" s="87"/>
      <c r="QXF46" s="87"/>
      <c r="QXG46" s="87"/>
      <c r="QXH46" s="87"/>
      <c r="QXI46" s="87"/>
      <c r="QXJ46" s="87"/>
      <c r="QXK46" s="87"/>
      <c r="QXL46" s="87"/>
      <c r="QXM46" s="87"/>
      <c r="QXN46" s="87"/>
      <c r="QXO46" s="87"/>
      <c r="QXP46" s="87"/>
      <c r="QXQ46" s="87"/>
      <c r="QXR46" s="87"/>
      <c r="QXS46" s="87"/>
      <c r="QXT46" s="87"/>
      <c r="QXU46" s="87"/>
      <c r="QXV46" s="87"/>
      <c r="QXW46" s="87"/>
      <c r="QXX46" s="87"/>
      <c r="QXY46" s="87"/>
      <c r="QXZ46" s="87"/>
      <c r="QYA46" s="87"/>
      <c r="QYB46" s="87"/>
      <c r="QYC46" s="87"/>
      <c r="QYD46" s="87"/>
      <c r="QYE46" s="87"/>
      <c r="QYF46" s="87"/>
      <c r="QYG46" s="87"/>
      <c r="QYH46" s="87"/>
      <c r="QYI46" s="87"/>
      <c r="QYJ46" s="87"/>
      <c r="QYK46" s="87"/>
      <c r="QYL46" s="87"/>
      <c r="QYM46" s="87"/>
      <c r="QYN46" s="87"/>
      <c r="QYO46" s="87"/>
      <c r="QYP46" s="87"/>
      <c r="QYQ46" s="87"/>
      <c r="QYR46" s="87"/>
      <c r="QYS46" s="87"/>
      <c r="QYT46" s="87"/>
      <c r="QYU46" s="87"/>
      <c r="QYV46" s="87"/>
      <c r="QYW46" s="87"/>
      <c r="QYX46" s="87"/>
      <c r="QYY46" s="87"/>
      <c r="QYZ46" s="87"/>
      <c r="QZA46" s="87"/>
      <c r="QZB46" s="87"/>
      <c r="QZC46" s="87"/>
      <c r="QZD46" s="87"/>
      <c r="QZE46" s="87"/>
      <c r="QZF46" s="87"/>
      <c r="QZG46" s="87"/>
      <c r="QZH46" s="87"/>
      <c r="QZI46" s="87"/>
      <c r="QZJ46" s="87"/>
      <c r="QZK46" s="87"/>
      <c r="QZL46" s="87"/>
      <c r="QZM46" s="87"/>
      <c r="QZN46" s="87"/>
      <c r="QZO46" s="87"/>
      <c r="QZP46" s="87"/>
      <c r="QZQ46" s="87"/>
      <c r="QZR46" s="87"/>
      <c r="QZS46" s="87"/>
      <c r="QZT46" s="87"/>
      <c r="QZU46" s="87"/>
      <c r="QZV46" s="87"/>
      <c r="QZW46" s="87"/>
      <c r="QZX46" s="87"/>
      <c r="QZY46" s="87"/>
      <c r="QZZ46" s="87"/>
      <c r="RAA46" s="87"/>
      <c r="RAB46" s="87"/>
      <c r="RAC46" s="87"/>
      <c r="RAD46" s="87"/>
      <c r="RAE46" s="87"/>
      <c r="RAF46" s="87"/>
      <c r="RAG46" s="87"/>
      <c r="RAH46" s="87"/>
      <c r="RAI46" s="87"/>
      <c r="RAJ46" s="87"/>
      <c r="RAK46" s="87"/>
      <c r="RAL46" s="87"/>
      <c r="RAM46" s="87"/>
      <c r="RAN46" s="87"/>
      <c r="RAO46" s="87"/>
      <c r="RAP46" s="87"/>
      <c r="RAQ46" s="87"/>
      <c r="RAR46" s="87"/>
      <c r="RAS46" s="87"/>
      <c r="RAT46" s="87"/>
      <c r="RAU46" s="87"/>
      <c r="RAV46" s="87"/>
      <c r="RAW46" s="87"/>
      <c r="RAX46" s="87"/>
      <c r="RAY46" s="87"/>
      <c r="RAZ46" s="87"/>
      <c r="RBA46" s="87"/>
      <c r="RBB46" s="87"/>
      <c r="RBC46" s="87"/>
      <c r="RBD46" s="87"/>
      <c r="RBE46" s="87"/>
      <c r="RBF46" s="87"/>
      <c r="RBG46" s="87"/>
      <c r="RBH46" s="87"/>
      <c r="RBI46" s="87"/>
      <c r="RBJ46" s="87"/>
      <c r="RBK46" s="87"/>
      <c r="RBL46" s="87"/>
      <c r="RBM46" s="87"/>
      <c r="RBN46" s="87"/>
      <c r="RBO46" s="87"/>
      <c r="RBP46" s="87"/>
      <c r="RBQ46" s="87"/>
      <c r="RBR46" s="87"/>
      <c r="RBS46" s="87"/>
      <c r="RBT46" s="87"/>
      <c r="RBU46" s="87"/>
      <c r="RBV46" s="87"/>
      <c r="RBW46" s="87"/>
      <c r="RBX46" s="87"/>
      <c r="RBY46" s="87"/>
      <c r="RBZ46" s="87"/>
      <c r="RCA46" s="87"/>
      <c r="RCB46" s="87"/>
      <c r="RCC46" s="87"/>
      <c r="RCD46" s="87"/>
      <c r="RCE46" s="87"/>
      <c r="RCF46" s="87"/>
      <c r="RCG46" s="87"/>
      <c r="RCH46" s="87"/>
      <c r="RCI46" s="87"/>
      <c r="RCJ46" s="87"/>
      <c r="RCK46" s="87"/>
      <c r="RCL46" s="87"/>
      <c r="RCM46" s="87"/>
      <c r="RCN46" s="87"/>
      <c r="RCO46" s="87"/>
      <c r="RCP46" s="87"/>
      <c r="RCQ46" s="87"/>
      <c r="RCR46" s="87"/>
      <c r="RCS46" s="87"/>
      <c r="RCT46" s="87"/>
      <c r="RCU46" s="87"/>
      <c r="RCV46" s="87"/>
      <c r="RCW46" s="87"/>
      <c r="RCX46" s="87"/>
      <c r="RCY46" s="87"/>
      <c r="RCZ46" s="87"/>
      <c r="RDA46" s="87"/>
      <c r="RDB46" s="87"/>
      <c r="RDC46" s="87"/>
      <c r="RDD46" s="87"/>
      <c r="RDE46" s="87"/>
      <c r="RDF46" s="87"/>
      <c r="RDG46" s="87"/>
      <c r="RDH46" s="87"/>
      <c r="RDI46" s="87"/>
      <c r="RDJ46" s="87"/>
      <c r="RDK46" s="87"/>
      <c r="RDL46" s="87"/>
      <c r="RDM46" s="87"/>
      <c r="RDN46" s="87"/>
      <c r="RDO46" s="87"/>
      <c r="RDP46" s="87"/>
      <c r="RDQ46" s="87"/>
      <c r="RDR46" s="87"/>
      <c r="RDS46" s="87"/>
      <c r="RDT46" s="87"/>
      <c r="RDU46" s="87"/>
      <c r="RDV46" s="87"/>
      <c r="RDW46" s="87"/>
      <c r="RDX46" s="87"/>
      <c r="RDY46" s="87"/>
      <c r="RDZ46" s="87"/>
      <c r="REA46" s="87"/>
      <c r="REB46" s="87"/>
      <c r="REC46" s="87"/>
      <c r="RED46" s="87"/>
      <c r="REE46" s="87"/>
      <c r="REF46" s="87"/>
      <c r="REG46" s="87"/>
      <c r="REH46" s="87"/>
      <c r="REI46" s="87"/>
      <c r="REJ46" s="87"/>
      <c r="REK46" s="87"/>
      <c r="REL46" s="87"/>
      <c r="REM46" s="87"/>
      <c r="REN46" s="87"/>
      <c r="REO46" s="87"/>
      <c r="REP46" s="87"/>
      <c r="REQ46" s="87"/>
      <c r="RER46" s="87"/>
      <c r="RES46" s="87"/>
      <c r="RET46" s="87"/>
      <c r="REU46" s="87"/>
      <c r="REV46" s="87"/>
      <c r="REW46" s="87"/>
      <c r="REX46" s="87"/>
      <c r="REY46" s="87"/>
      <c r="REZ46" s="87"/>
      <c r="RFA46" s="87"/>
      <c r="RFB46" s="87"/>
      <c r="RFC46" s="87"/>
      <c r="RFD46" s="87"/>
      <c r="RFE46" s="87"/>
      <c r="RFF46" s="87"/>
      <c r="RFG46" s="87"/>
      <c r="RFH46" s="87"/>
      <c r="RFI46" s="87"/>
      <c r="RFJ46" s="87"/>
      <c r="RFK46" s="87"/>
      <c r="RFL46" s="87"/>
      <c r="RFM46" s="87"/>
      <c r="RFN46" s="87"/>
      <c r="RFO46" s="87"/>
      <c r="RFP46" s="87"/>
      <c r="RFQ46" s="87"/>
      <c r="RFR46" s="87"/>
      <c r="RFS46" s="87"/>
      <c r="RFT46" s="87"/>
      <c r="RFU46" s="87"/>
      <c r="RFV46" s="87"/>
      <c r="RFW46" s="87"/>
      <c r="RFX46" s="87"/>
      <c r="RFY46" s="87"/>
      <c r="RFZ46" s="87"/>
      <c r="RGA46" s="87"/>
      <c r="RGB46" s="87"/>
      <c r="RGC46" s="87"/>
      <c r="RGD46" s="87"/>
      <c r="RGE46" s="87"/>
      <c r="RGF46" s="87"/>
      <c r="RGG46" s="87"/>
      <c r="RGH46" s="87"/>
      <c r="RGI46" s="87"/>
      <c r="RGJ46" s="87"/>
      <c r="RGK46" s="87"/>
      <c r="RGL46" s="87"/>
      <c r="RGM46" s="87"/>
      <c r="RGN46" s="87"/>
      <c r="RGO46" s="87"/>
      <c r="RGP46" s="87"/>
      <c r="RGQ46" s="87"/>
      <c r="RGR46" s="87"/>
      <c r="RGS46" s="87"/>
      <c r="RGT46" s="87"/>
      <c r="RGU46" s="87"/>
      <c r="RGV46" s="87"/>
      <c r="RGW46" s="87"/>
      <c r="RGX46" s="87"/>
      <c r="RGY46" s="87"/>
      <c r="RGZ46" s="87"/>
      <c r="RHA46" s="87"/>
      <c r="RHB46" s="87"/>
      <c r="RHC46" s="87"/>
      <c r="RHD46" s="87"/>
      <c r="RHE46" s="87"/>
      <c r="RHF46" s="87"/>
      <c r="RHG46" s="87"/>
      <c r="RHH46" s="87"/>
      <c r="RHI46" s="87"/>
      <c r="RHJ46" s="87"/>
      <c r="RHK46" s="87"/>
      <c r="RHL46" s="87"/>
      <c r="RHM46" s="87"/>
      <c r="RHN46" s="87"/>
      <c r="RHO46" s="87"/>
      <c r="RHP46" s="87"/>
      <c r="RHQ46" s="87"/>
      <c r="RHR46" s="87"/>
      <c r="RHS46" s="87"/>
      <c r="RHT46" s="87"/>
      <c r="RHU46" s="87"/>
      <c r="RHV46" s="87"/>
      <c r="RHW46" s="87"/>
      <c r="RHX46" s="87"/>
      <c r="RHY46" s="87"/>
      <c r="RHZ46" s="87"/>
      <c r="RIA46" s="87"/>
      <c r="RIB46" s="87"/>
      <c r="RIC46" s="87"/>
      <c r="RID46" s="87"/>
      <c r="RIE46" s="87"/>
      <c r="RIF46" s="87"/>
      <c r="RIG46" s="87"/>
      <c r="RIH46" s="87"/>
      <c r="RII46" s="87"/>
      <c r="RIJ46" s="87"/>
      <c r="RIK46" s="87"/>
      <c r="RIL46" s="87"/>
      <c r="RIM46" s="87"/>
      <c r="RIN46" s="87"/>
      <c r="RIO46" s="87"/>
      <c r="RIP46" s="87"/>
      <c r="RIQ46" s="87"/>
      <c r="RIR46" s="87"/>
      <c r="RIS46" s="87"/>
      <c r="RIT46" s="87"/>
      <c r="RIU46" s="87"/>
      <c r="RIV46" s="87"/>
      <c r="RIW46" s="87"/>
      <c r="RIX46" s="87"/>
      <c r="RIY46" s="87"/>
      <c r="RIZ46" s="87"/>
      <c r="RJA46" s="87"/>
      <c r="RJB46" s="87"/>
      <c r="RJC46" s="87"/>
      <c r="RJD46" s="87"/>
      <c r="RJE46" s="87"/>
      <c r="RJF46" s="87"/>
      <c r="RJG46" s="87"/>
      <c r="RJH46" s="87"/>
      <c r="RJI46" s="87"/>
      <c r="RJJ46" s="87"/>
      <c r="RJK46" s="87"/>
      <c r="RJL46" s="87"/>
      <c r="RJM46" s="87"/>
      <c r="RJN46" s="87"/>
      <c r="RJO46" s="87"/>
      <c r="RJP46" s="87"/>
      <c r="RJQ46" s="87"/>
      <c r="RJR46" s="87"/>
      <c r="RJS46" s="87"/>
      <c r="RJT46" s="87"/>
      <c r="RJU46" s="87"/>
      <c r="RJV46" s="87"/>
      <c r="RJW46" s="87"/>
      <c r="RJX46" s="87"/>
      <c r="RJY46" s="87"/>
      <c r="RJZ46" s="87"/>
      <c r="RKA46" s="87"/>
      <c r="RKB46" s="87"/>
      <c r="RKC46" s="87"/>
      <c r="RKD46" s="87"/>
      <c r="RKE46" s="87"/>
      <c r="RKF46" s="87"/>
      <c r="RKG46" s="87"/>
      <c r="RKH46" s="87"/>
      <c r="RKI46" s="87"/>
      <c r="RKJ46" s="87"/>
      <c r="RKK46" s="87"/>
      <c r="RKL46" s="87"/>
      <c r="RKM46" s="87"/>
      <c r="RKN46" s="87"/>
      <c r="RKO46" s="87"/>
      <c r="RKP46" s="87"/>
      <c r="RKQ46" s="87"/>
      <c r="RKR46" s="87"/>
      <c r="RKS46" s="87"/>
      <c r="RKT46" s="87"/>
      <c r="RKU46" s="87"/>
      <c r="RKV46" s="87"/>
      <c r="RKW46" s="87"/>
      <c r="RKX46" s="87"/>
      <c r="RKY46" s="87"/>
      <c r="RKZ46" s="87"/>
      <c r="RLA46" s="87"/>
      <c r="RLB46" s="87"/>
      <c r="RLC46" s="87"/>
      <c r="RLD46" s="87"/>
      <c r="RLE46" s="87"/>
      <c r="RLF46" s="87"/>
      <c r="RLG46" s="87"/>
      <c r="RLH46" s="87"/>
      <c r="RLI46" s="87"/>
      <c r="RLJ46" s="87"/>
      <c r="RLK46" s="87"/>
      <c r="RLL46" s="87"/>
      <c r="RLM46" s="87"/>
      <c r="RLN46" s="87"/>
      <c r="RLO46" s="87"/>
      <c r="RLP46" s="87"/>
      <c r="RLQ46" s="87"/>
      <c r="RLR46" s="87"/>
      <c r="RLS46" s="87"/>
      <c r="RLT46" s="87"/>
      <c r="RLU46" s="87"/>
      <c r="RLV46" s="87"/>
      <c r="RLW46" s="87"/>
      <c r="RLX46" s="87"/>
      <c r="RLY46" s="87"/>
      <c r="RLZ46" s="87"/>
      <c r="RMA46" s="87"/>
      <c r="RMB46" s="87"/>
      <c r="RMC46" s="87"/>
      <c r="RMD46" s="87"/>
      <c r="RME46" s="87"/>
      <c r="RMF46" s="87"/>
      <c r="RMG46" s="87"/>
      <c r="RMH46" s="87"/>
      <c r="RMI46" s="87"/>
      <c r="RMJ46" s="87"/>
      <c r="RMK46" s="87"/>
      <c r="RML46" s="87"/>
      <c r="RMM46" s="87"/>
      <c r="RMN46" s="87"/>
      <c r="RMO46" s="87"/>
      <c r="RMP46" s="87"/>
      <c r="RMQ46" s="87"/>
      <c r="RMR46" s="87"/>
      <c r="RMS46" s="87"/>
      <c r="RMT46" s="87"/>
      <c r="RMU46" s="87"/>
      <c r="RMV46" s="87"/>
      <c r="RMW46" s="87"/>
      <c r="RMX46" s="87"/>
      <c r="RMY46" s="87"/>
      <c r="RMZ46" s="87"/>
      <c r="RNA46" s="87"/>
      <c r="RNB46" s="87"/>
      <c r="RNC46" s="87"/>
      <c r="RND46" s="87"/>
      <c r="RNE46" s="87"/>
      <c r="RNF46" s="87"/>
      <c r="RNG46" s="87"/>
      <c r="RNH46" s="87"/>
      <c r="RNI46" s="87"/>
      <c r="RNJ46" s="87"/>
      <c r="RNK46" s="87"/>
      <c r="RNL46" s="87"/>
      <c r="RNM46" s="87"/>
      <c r="RNN46" s="87"/>
      <c r="RNO46" s="87"/>
      <c r="RNP46" s="87"/>
      <c r="RNQ46" s="87"/>
      <c r="RNR46" s="87"/>
      <c r="RNS46" s="87"/>
      <c r="RNT46" s="87"/>
      <c r="RNU46" s="87"/>
      <c r="RNV46" s="87"/>
      <c r="RNW46" s="87"/>
      <c r="RNX46" s="87"/>
      <c r="RNY46" s="87"/>
      <c r="RNZ46" s="87"/>
      <c r="ROA46" s="87"/>
      <c r="ROB46" s="87"/>
      <c r="ROC46" s="87"/>
      <c r="ROD46" s="87"/>
      <c r="ROE46" s="87"/>
      <c r="ROF46" s="87"/>
      <c r="ROG46" s="87"/>
      <c r="ROH46" s="87"/>
      <c r="ROI46" s="87"/>
      <c r="ROJ46" s="87"/>
      <c r="ROK46" s="87"/>
      <c r="ROL46" s="87"/>
      <c r="ROM46" s="87"/>
      <c r="RON46" s="87"/>
      <c r="ROO46" s="87"/>
      <c r="ROP46" s="87"/>
      <c r="ROQ46" s="87"/>
      <c r="ROR46" s="87"/>
      <c r="ROS46" s="87"/>
      <c r="ROT46" s="87"/>
      <c r="ROU46" s="87"/>
      <c r="ROV46" s="87"/>
      <c r="ROW46" s="87"/>
      <c r="ROX46" s="87"/>
      <c r="ROY46" s="87"/>
      <c r="ROZ46" s="87"/>
      <c r="RPA46" s="87"/>
      <c r="RPB46" s="87"/>
      <c r="RPC46" s="87"/>
      <c r="RPD46" s="87"/>
      <c r="RPE46" s="87"/>
      <c r="RPF46" s="87"/>
      <c r="RPG46" s="87"/>
      <c r="RPH46" s="87"/>
      <c r="RPI46" s="87"/>
      <c r="RPJ46" s="87"/>
      <c r="RPK46" s="87"/>
      <c r="RPL46" s="87"/>
      <c r="RPM46" s="87"/>
      <c r="RPN46" s="87"/>
      <c r="RPO46" s="87"/>
      <c r="RPP46" s="87"/>
      <c r="RPQ46" s="87"/>
      <c r="RPR46" s="87"/>
      <c r="RPS46" s="87"/>
      <c r="RPT46" s="87"/>
      <c r="RPU46" s="87"/>
      <c r="RPV46" s="87"/>
      <c r="RPW46" s="87"/>
      <c r="RPX46" s="87"/>
      <c r="RPY46" s="87"/>
      <c r="RPZ46" s="87"/>
      <c r="RQA46" s="87"/>
      <c r="RQB46" s="87"/>
      <c r="RQC46" s="87"/>
      <c r="RQD46" s="87"/>
      <c r="RQE46" s="87"/>
      <c r="RQF46" s="87"/>
      <c r="RQG46" s="87"/>
      <c r="RQH46" s="87"/>
      <c r="RQI46" s="87"/>
      <c r="RQJ46" s="87"/>
      <c r="RQK46" s="87"/>
      <c r="RQL46" s="87"/>
      <c r="RQM46" s="87"/>
      <c r="RQN46" s="87"/>
      <c r="RQO46" s="87"/>
      <c r="RQP46" s="87"/>
      <c r="RQQ46" s="87"/>
      <c r="RQR46" s="87"/>
      <c r="RQS46" s="87"/>
      <c r="RQT46" s="87"/>
      <c r="RQU46" s="87"/>
      <c r="RQV46" s="87"/>
      <c r="RQW46" s="87"/>
      <c r="RQX46" s="87"/>
      <c r="RQY46" s="87"/>
      <c r="RQZ46" s="87"/>
      <c r="RRA46" s="87"/>
      <c r="RRB46" s="87"/>
      <c r="RRC46" s="87"/>
      <c r="RRD46" s="87"/>
      <c r="RRE46" s="87"/>
      <c r="RRF46" s="87"/>
      <c r="RRG46" s="87"/>
      <c r="RRH46" s="87"/>
      <c r="RRI46" s="87"/>
      <c r="RRJ46" s="87"/>
      <c r="RRK46" s="87"/>
      <c r="RRL46" s="87"/>
      <c r="RRM46" s="87"/>
      <c r="RRN46" s="87"/>
      <c r="RRO46" s="87"/>
      <c r="RRP46" s="87"/>
      <c r="RRQ46" s="87"/>
      <c r="RRR46" s="87"/>
      <c r="RRS46" s="87"/>
      <c r="RRT46" s="87"/>
      <c r="RRU46" s="87"/>
      <c r="RRV46" s="87"/>
      <c r="RRW46" s="87"/>
      <c r="RRX46" s="87"/>
      <c r="RRY46" s="87"/>
      <c r="RRZ46" s="87"/>
      <c r="RSA46" s="87"/>
      <c r="RSB46" s="87"/>
      <c r="RSC46" s="87"/>
      <c r="RSD46" s="87"/>
      <c r="RSE46" s="87"/>
      <c r="RSF46" s="87"/>
      <c r="RSG46" s="87"/>
      <c r="RSH46" s="87"/>
      <c r="RSI46" s="87"/>
      <c r="RSJ46" s="87"/>
      <c r="RSK46" s="87"/>
      <c r="RSL46" s="87"/>
      <c r="RSM46" s="87"/>
      <c r="RSN46" s="87"/>
      <c r="RSO46" s="87"/>
      <c r="RSP46" s="87"/>
      <c r="RSQ46" s="87"/>
      <c r="RSR46" s="87"/>
      <c r="RSS46" s="87"/>
      <c r="RST46" s="87"/>
      <c r="RSU46" s="87"/>
      <c r="RSV46" s="87"/>
      <c r="RSW46" s="87"/>
      <c r="RSX46" s="87"/>
      <c r="RSY46" s="87"/>
      <c r="RSZ46" s="87"/>
      <c r="RTA46" s="87"/>
      <c r="RTB46" s="87"/>
      <c r="RTC46" s="87"/>
      <c r="RTD46" s="87"/>
      <c r="RTE46" s="87"/>
      <c r="RTF46" s="87"/>
      <c r="RTG46" s="87"/>
      <c r="RTH46" s="87"/>
      <c r="RTI46" s="87"/>
      <c r="RTJ46" s="87"/>
      <c r="RTK46" s="87"/>
      <c r="RTL46" s="87"/>
      <c r="RTM46" s="87"/>
      <c r="RTN46" s="87"/>
      <c r="RTO46" s="87"/>
      <c r="RTP46" s="87"/>
      <c r="RTQ46" s="87"/>
      <c r="RTR46" s="87"/>
      <c r="RTS46" s="87"/>
      <c r="RTT46" s="87"/>
      <c r="RTU46" s="87"/>
      <c r="RTV46" s="87"/>
      <c r="RTW46" s="87"/>
      <c r="RTX46" s="87"/>
      <c r="RTY46" s="87"/>
      <c r="RTZ46" s="87"/>
      <c r="RUA46" s="87"/>
      <c r="RUB46" s="87"/>
      <c r="RUC46" s="87"/>
      <c r="RUD46" s="87"/>
      <c r="RUE46" s="87"/>
      <c r="RUF46" s="87"/>
      <c r="RUG46" s="87"/>
      <c r="RUH46" s="87"/>
      <c r="RUI46" s="87"/>
      <c r="RUJ46" s="87"/>
      <c r="RUK46" s="87"/>
      <c r="RUL46" s="87"/>
      <c r="RUM46" s="87"/>
      <c r="RUN46" s="87"/>
      <c r="RUO46" s="87"/>
      <c r="RUP46" s="87"/>
      <c r="RUQ46" s="87"/>
      <c r="RUR46" s="87"/>
      <c r="RUS46" s="87"/>
      <c r="RUT46" s="87"/>
      <c r="RUU46" s="87"/>
      <c r="RUV46" s="87"/>
      <c r="RUW46" s="87"/>
      <c r="RUX46" s="87"/>
      <c r="RUY46" s="87"/>
      <c r="RUZ46" s="87"/>
      <c r="RVA46" s="87"/>
      <c r="RVB46" s="87"/>
      <c r="RVC46" s="87"/>
      <c r="RVD46" s="87"/>
      <c r="RVE46" s="87"/>
      <c r="RVF46" s="87"/>
      <c r="RVG46" s="87"/>
      <c r="RVH46" s="87"/>
      <c r="RVI46" s="87"/>
      <c r="RVJ46" s="87"/>
      <c r="RVK46" s="87"/>
      <c r="RVL46" s="87"/>
      <c r="RVM46" s="87"/>
      <c r="RVN46" s="87"/>
      <c r="RVO46" s="87"/>
      <c r="RVP46" s="87"/>
      <c r="RVQ46" s="87"/>
      <c r="RVR46" s="87"/>
      <c r="RVS46" s="87"/>
      <c r="RVT46" s="87"/>
      <c r="RVU46" s="87"/>
      <c r="RVV46" s="87"/>
      <c r="RVW46" s="87"/>
      <c r="RVX46" s="87"/>
      <c r="RVY46" s="87"/>
      <c r="RVZ46" s="87"/>
      <c r="RWA46" s="87"/>
      <c r="RWB46" s="87"/>
      <c r="RWC46" s="87"/>
      <c r="RWD46" s="87"/>
      <c r="RWE46" s="87"/>
      <c r="RWF46" s="87"/>
      <c r="RWG46" s="87"/>
      <c r="RWH46" s="87"/>
      <c r="RWI46" s="87"/>
      <c r="RWJ46" s="87"/>
      <c r="RWK46" s="87"/>
      <c r="RWL46" s="87"/>
      <c r="RWM46" s="87"/>
      <c r="RWN46" s="87"/>
      <c r="RWO46" s="87"/>
      <c r="RWP46" s="87"/>
      <c r="RWQ46" s="87"/>
      <c r="RWR46" s="87"/>
      <c r="RWS46" s="87"/>
      <c r="RWT46" s="87"/>
      <c r="RWU46" s="87"/>
      <c r="RWV46" s="87"/>
      <c r="RWW46" s="87"/>
      <c r="RWX46" s="87"/>
      <c r="RWY46" s="87"/>
      <c r="RWZ46" s="87"/>
      <c r="RXA46" s="87"/>
      <c r="RXB46" s="87"/>
      <c r="RXC46" s="87"/>
      <c r="RXD46" s="87"/>
      <c r="RXE46" s="87"/>
      <c r="RXF46" s="87"/>
      <c r="RXG46" s="87"/>
      <c r="RXH46" s="87"/>
      <c r="RXI46" s="87"/>
      <c r="RXJ46" s="87"/>
      <c r="RXK46" s="87"/>
      <c r="RXL46" s="87"/>
      <c r="RXM46" s="87"/>
      <c r="RXN46" s="87"/>
      <c r="RXO46" s="87"/>
      <c r="RXP46" s="87"/>
      <c r="RXQ46" s="87"/>
      <c r="RXR46" s="87"/>
      <c r="RXS46" s="87"/>
      <c r="RXT46" s="87"/>
      <c r="RXU46" s="87"/>
      <c r="RXV46" s="87"/>
      <c r="RXW46" s="87"/>
      <c r="RXX46" s="87"/>
      <c r="RXY46" s="87"/>
      <c r="RXZ46" s="87"/>
      <c r="RYA46" s="87"/>
      <c r="RYB46" s="87"/>
      <c r="RYC46" s="87"/>
      <c r="RYD46" s="87"/>
      <c r="RYE46" s="87"/>
      <c r="RYF46" s="87"/>
      <c r="RYG46" s="87"/>
      <c r="RYH46" s="87"/>
      <c r="RYI46" s="87"/>
      <c r="RYJ46" s="87"/>
      <c r="RYK46" s="87"/>
      <c r="RYL46" s="87"/>
      <c r="RYM46" s="87"/>
      <c r="RYN46" s="87"/>
      <c r="RYO46" s="87"/>
      <c r="RYP46" s="87"/>
      <c r="RYQ46" s="87"/>
      <c r="RYR46" s="87"/>
      <c r="RYS46" s="87"/>
      <c r="RYT46" s="87"/>
      <c r="RYU46" s="87"/>
      <c r="RYV46" s="87"/>
      <c r="RYW46" s="87"/>
      <c r="RYX46" s="87"/>
      <c r="RYY46" s="87"/>
      <c r="RYZ46" s="87"/>
      <c r="RZA46" s="87"/>
      <c r="RZB46" s="87"/>
      <c r="RZC46" s="87"/>
      <c r="RZD46" s="87"/>
      <c r="RZE46" s="87"/>
      <c r="RZF46" s="87"/>
      <c r="RZG46" s="87"/>
      <c r="RZH46" s="87"/>
      <c r="RZI46" s="87"/>
      <c r="RZJ46" s="87"/>
      <c r="RZK46" s="87"/>
      <c r="RZL46" s="87"/>
      <c r="RZM46" s="87"/>
      <c r="RZN46" s="87"/>
      <c r="RZO46" s="87"/>
      <c r="RZP46" s="87"/>
      <c r="RZQ46" s="87"/>
      <c r="RZR46" s="87"/>
      <c r="RZS46" s="87"/>
      <c r="RZT46" s="87"/>
      <c r="RZU46" s="87"/>
      <c r="RZV46" s="87"/>
      <c r="RZW46" s="87"/>
      <c r="RZX46" s="87"/>
      <c r="RZY46" s="87"/>
      <c r="RZZ46" s="87"/>
      <c r="SAA46" s="87"/>
      <c r="SAB46" s="87"/>
      <c r="SAC46" s="87"/>
      <c r="SAD46" s="87"/>
      <c r="SAE46" s="87"/>
      <c r="SAF46" s="87"/>
      <c r="SAG46" s="87"/>
      <c r="SAH46" s="87"/>
      <c r="SAI46" s="87"/>
      <c r="SAJ46" s="87"/>
      <c r="SAK46" s="87"/>
      <c r="SAL46" s="87"/>
      <c r="SAM46" s="87"/>
      <c r="SAN46" s="87"/>
      <c r="SAO46" s="87"/>
      <c r="SAP46" s="87"/>
      <c r="SAQ46" s="87"/>
      <c r="SAR46" s="87"/>
      <c r="SAS46" s="87"/>
      <c r="SAT46" s="87"/>
      <c r="SAU46" s="87"/>
      <c r="SAV46" s="87"/>
      <c r="SAW46" s="87"/>
      <c r="SAX46" s="87"/>
      <c r="SAY46" s="87"/>
      <c r="SAZ46" s="87"/>
      <c r="SBA46" s="87"/>
      <c r="SBB46" s="87"/>
      <c r="SBC46" s="87"/>
      <c r="SBD46" s="87"/>
      <c r="SBE46" s="87"/>
      <c r="SBF46" s="87"/>
      <c r="SBG46" s="87"/>
      <c r="SBH46" s="87"/>
      <c r="SBI46" s="87"/>
      <c r="SBJ46" s="87"/>
      <c r="SBK46" s="87"/>
      <c r="SBL46" s="87"/>
      <c r="SBM46" s="87"/>
      <c r="SBN46" s="87"/>
      <c r="SBO46" s="87"/>
      <c r="SBP46" s="87"/>
      <c r="SBQ46" s="87"/>
      <c r="SBR46" s="87"/>
      <c r="SBS46" s="87"/>
      <c r="SBT46" s="87"/>
      <c r="SBU46" s="87"/>
      <c r="SBV46" s="87"/>
      <c r="SBW46" s="87"/>
      <c r="SBX46" s="87"/>
      <c r="SBY46" s="87"/>
      <c r="SBZ46" s="87"/>
      <c r="SCA46" s="87"/>
      <c r="SCB46" s="87"/>
      <c r="SCC46" s="87"/>
      <c r="SCD46" s="87"/>
      <c r="SCE46" s="87"/>
      <c r="SCF46" s="87"/>
      <c r="SCG46" s="87"/>
      <c r="SCH46" s="87"/>
      <c r="SCI46" s="87"/>
      <c r="SCJ46" s="87"/>
      <c r="SCK46" s="87"/>
      <c r="SCL46" s="87"/>
      <c r="SCM46" s="87"/>
      <c r="SCN46" s="87"/>
      <c r="SCO46" s="87"/>
      <c r="SCP46" s="87"/>
      <c r="SCQ46" s="87"/>
      <c r="SCR46" s="87"/>
      <c r="SCS46" s="87"/>
      <c r="SCT46" s="87"/>
      <c r="SCU46" s="87"/>
      <c r="SCV46" s="87"/>
      <c r="SCW46" s="87"/>
      <c r="SCX46" s="87"/>
      <c r="SCY46" s="87"/>
      <c r="SCZ46" s="87"/>
      <c r="SDA46" s="87"/>
      <c r="SDB46" s="87"/>
      <c r="SDC46" s="87"/>
      <c r="SDD46" s="87"/>
      <c r="SDE46" s="87"/>
      <c r="SDF46" s="87"/>
      <c r="SDG46" s="87"/>
      <c r="SDH46" s="87"/>
      <c r="SDI46" s="87"/>
      <c r="SDJ46" s="87"/>
      <c r="SDK46" s="87"/>
      <c r="SDL46" s="87"/>
      <c r="SDM46" s="87"/>
      <c r="SDN46" s="87"/>
      <c r="SDO46" s="87"/>
      <c r="SDP46" s="87"/>
      <c r="SDQ46" s="87"/>
      <c r="SDR46" s="87"/>
      <c r="SDS46" s="87"/>
      <c r="SDT46" s="87"/>
      <c r="SDU46" s="87"/>
      <c r="SDV46" s="87"/>
      <c r="SDW46" s="87"/>
      <c r="SDX46" s="87"/>
      <c r="SDY46" s="87"/>
      <c r="SDZ46" s="87"/>
      <c r="SEA46" s="87"/>
      <c r="SEB46" s="87"/>
      <c r="SEC46" s="87"/>
      <c r="SED46" s="87"/>
      <c r="SEE46" s="87"/>
      <c r="SEF46" s="87"/>
      <c r="SEG46" s="87"/>
      <c r="SEH46" s="87"/>
      <c r="SEI46" s="87"/>
      <c r="SEJ46" s="87"/>
      <c r="SEK46" s="87"/>
      <c r="SEL46" s="87"/>
      <c r="SEM46" s="87"/>
      <c r="SEN46" s="87"/>
      <c r="SEO46" s="87"/>
      <c r="SEP46" s="87"/>
      <c r="SEQ46" s="87"/>
      <c r="SER46" s="87"/>
      <c r="SES46" s="87"/>
      <c r="SET46" s="87"/>
      <c r="SEU46" s="87"/>
      <c r="SEV46" s="87"/>
      <c r="SEW46" s="87"/>
      <c r="SEX46" s="87"/>
      <c r="SEY46" s="87"/>
      <c r="SEZ46" s="87"/>
      <c r="SFA46" s="87"/>
      <c r="SFB46" s="87"/>
      <c r="SFC46" s="87"/>
      <c r="SFD46" s="87"/>
      <c r="SFE46" s="87"/>
      <c r="SFF46" s="87"/>
      <c r="SFG46" s="87"/>
      <c r="SFH46" s="87"/>
      <c r="SFI46" s="87"/>
      <c r="SFJ46" s="87"/>
      <c r="SFK46" s="87"/>
      <c r="SFL46" s="87"/>
      <c r="SFM46" s="87"/>
      <c r="SFN46" s="87"/>
      <c r="SFO46" s="87"/>
      <c r="SFP46" s="87"/>
      <c r="SFQ46" s="87"/>
      <c r="SFR46" s="87"/>
      <c r="SFS46" s="87"/>
      <c r="SFT46" s="87"/>
      <c r="SFU46" s="87"/>
      <c r="SFV46" s="87"/>
      <c r="SFW46" s="87"/>
      <c r="SFX46" s="87"/>
      <c r="SFY46" s="87"/>
      <c r="SFZ46" s="87"/>
      <c r="SGA46" s="87"/>
      <c r="SGB46" s="87"/>
      <c r="SGC46" s="87"/>
      <c r="SGD46" s="87"/>
      <c r="SGE46" s="87"/>
      <c r="SGF46" s="87"/>
      <c r="SGG46" s="87"/>
      <c r="SGH46" s="87"/>
      <c r="SGI46" s="87"/>
      <c r="SGJ46" s="87"/>
      <c r="SGK46" s="87"/>
      <c r="SGL46" s="87"/>
      <c r="SGM46" s="87"/>
      <c r="SGN46" s="87"/>
      <c r="SGO46" s="87"/>
      <c r="SGP46" s="87"/>
      <c r="SGQ46" s="87"/>
      <c r="SGR46" s="87"/>
      <c r="SGS46" s="87"/>
      <c r="SGT46" s="87"/>
      <c r="SGU46" s="87"/>
      <c r="SGV46" s="87"/>
      <c r="SGW46" s="87"/>
      <c r="SGX46" s="87"/>
      <c r="SGY46" s="87"/>
      <c r="SGZ46" s="87"/>
      <c r="SHA46" s="87"/>
      <c r="SHB46" s="87"/>
      <c r="SHC46" s="87"/>
      <c r="SHD46" s="87"/>
      <c r="SHE46" s="87"/>
      <c r="SHF46" s="87"/>
      <c r="SHG46" s="87"/>
      <c r="SHH46" s="87"/>
      <c r="SHI46" s="87"/>
      <c r="SHJ46" s="87"/>
      <c r="SHK46" s="87"/>
      <c r="SHL46" s="87"/>
      <c r="SHM46" s="87"/>
      <c r="SHN46" s="87"/>
      <c r="SHO46" s="87"/>
      <c r="SHP46" s="87"/>
      <c r="SHQ46" s="87"/>
      <c r="SHR46" s="87"/>
      <c r="SHS46" s="87"/>
      <c r="SHT46" s="87"/>
      <c r="SHU46" s="87"/>
      <c r="SHV46" s="87"/>
      <c r="SHW46" s="87"/>
      <c r="SHX46" s="87"/>
      <c r="SHY46" s="87"/>
      <c r="SHZ46" s="87"/>
      <c r="SIA46" s="87"/>
      <c r="SIB46" s="87"/>
      <c r="SIC46" s="87"/>
      <c r="SID46" s="87"/>
      <c r="SIE46" s="87"/>
      <c r="SIF46" s="87"/>
      <c r="SIG46" s="87"/>
      <c r="SIH46" s="87"/>
      <c r="SII46" s="87"/>
      <c r="SIJ46" s="87"/>
      <c r="SIK46" s="87"/>
      <c r="SIL46" s="87"/>
      <c r="SIM46" s="87"/>
      <c r="SIN46" s="87"/>
      <c r="SIO46" s="87"/>
      <c r="SIP46" s="87"/>
      <c r="SIQ46" s="87"/>
      <c r="SIR46" s="87"/>
      <c r="SIS46" s="87"/>
      <c r="SIT46" s="87"/>
      <c r="SIU46" s="87"/>
      <c r="SIV46" s="87"/>
      <c r="SIW46" s="87"/>
      <c r="SIX46" s="87"/>
      <c r="SIY46" s="87"/>
      <c r="SIZ46" s="87"/>
      <c r="SJA46" s="87"/>
      <c r="SJB46" s="87"/>
      <c r="SJC46" s="87"/>
      <c r="SJD46" s="87"/>
      <c r="SJE46" s="87"/>
      <c r="SJF46" s="87"/>
      <c r="SJG46" s="87"/>
      <c r="SJH46" s="87"/>
      <c r="SJI46" s="87"/>
      <c r="SJJ46" s="87"/>
      <c r="SJK46" s="87"/>
      <c r="SJL46" s="87"/>
      <c r="SJM46" s="87"/>
      <c r="SJN46" s="87"/>
      <c r="SJO46" s="87"/>
      <c r="SJP46" s="87"/>
      <c r="SJQ46" s="87"/>
      <c r="SJR46" s="87"/>
      <c r="SJS46" s="87"/>
      <c r="SJT46" s="87"/>
      <c r="SJU46" s="87"/>
      <c r="SJV46" s="87"/>
      <c r="SJW46" s="87"/>
      <c r="SJX46" s="87"/>
      <c r="SJY46" s="87"/>
      <c r="SJZ46" s="87"/>
      <c r="SKA46" s="87"/>
      <c r="SKB46" s="87"/>
      <c r="SKC46" s="87"/>
      <c r="SKD46" s="87"/>
      <c r="SKE46" s="87"/>
      <c r="SKF46" s="87"/>
      <c r="SKG46" s="87"/>
      <c r="SKH46" s="87"/>
      <c r="SKI46" s="87"/>
      <c r="SKJ46" s="87"/>
      <c r="SKK46" s="87"/>
      <c r="SKL46" s="87"/>
      <c r="SKM46" s="87"/>
      <c r="SKN46" s="87"/>
      <c r="SKO46" s="87"/>
      <c r="SKP46" s="87"/>
      <c r="SKQ46" s="87"/>
      <c r="SKR46" s="87"/>
      <c r="SKS46" s="87"/>
      <c r="SKT46" s="87"/>
      <c r="SKU46" s="87"/>
      <c r="SKV46" s="87"/>
      <c r="SKW46" s="87"/>
      <c r="SKX46" s="87"/>
      <c r="SKY46" s="87"/>
      <c r="SKZ46" s="87"/>
      <c r="SLA46" s="87"/>
      <c r="SLB46" s="87"/>
      <c r="SLC46" s="87"/>
      <c r="SLD46" s="87"/>
      <c r="SLE46" s="87"/>
      <c r="SLF46" s="87"/>
      <c r="SLG46" s="87"/>
      <c r="SLH46" s="87"/>
      <c r="SLI46" s="87"/>
      <c r="SLJ46" s="87"/>
      <c r="SLK46" s="87"/>
      <c r="SLL46" s="87"/>
      <c r="SLM46" s="87"/>
      <c r="SLN46" s="87"/>
      <c r="SLO46" s="87"/>
      <c r="SLP46" s="87"/>
      <c r="SLQ46" s="87"/>
      <c r="SLR46" s="87"/>
      <c r="SLS46" s="87"/>
      <c r="SLT46" s="87"/>
      <c r="SLU46" s="87"/>
      <c r="SLV46" s="87"/>
      <c r="SLW46" s="87"/>
      <c r="SLX46" s="87"/>
      <c r="SLY46" s="87"/>
      <c r="SLZ46" s="87"/>
      <c r="SMA46" s="87"/>
      <c r="SMB46" s="87"/>
      <c r="SMC46" s="87"/>
      <c r="SMD46" s="87"/>
      <c r="SME46" s="87"/>
      <c r="SMF46" s="87"/>
      <c r="SMG46" s="87"/>
      <c r="SMH46" s="87"/>
      <c r="SMI46" s="87"/>
      <c r="SMJ46" s="87"/>
      <c r="SMK46" s="87"/>
      <c r="SML46" s="87"/>
      <c r="SMM46" s="87"/>
      <c r="SMN46" s="87"/>
      <c r="SMO46" s="87"/>
      <c r="SMP46" s="87"/>
      <c r="SMQ46" s="87"/>
      <c r="SMR46" s="87"/>
      <c r="SMS46" s="87"/>
      <c r="SMT46" s="87"/>
      <c r="SMU46" s="87"/>
      <c r="SMV46" s="87"/>
      <c r="SMW46" s="87"/>
      <c r="SMX46" s="87"/>
      <c r="SMY46" s="87"/>
      <c r="SMZ46" s="87"/>
      <c r="SNA46" s="87"/>
      <c r="SNB46" s="87"/>
      <c r="SNC46" s="87"/>
      <c r="SND46" s="87"/>
      <c r="SNE46" s="87"/>
      <c r="SNF46" s="87"/>
      <c r="SNG46" s="87"/>
      <c r="SNH46" s="87"/>
      <c r="SNI46" s="87"/>
      <c r="SNJ46" s="87"/>
      <c r="SNK46" s="87"/>
      <c r="SNL46" s="87"/>
      <c r="SNM46" s="87"/>
      <c r="SNN46" s="87"/>
      <c r="SNO46" s="87"/>
      <c r="SNP46" s="87"/>
      <c r="SNQ46" s="87"/>
      <c r="SNR46" s="87"/>
      <c r="SNS46" s="87"/>
      <c r="SNT46" s="87"/>
      <c r="SNU46" s="87"/>
      <c r="SNV46" s="87"/>
      <c r="SNW46" s="87"/>
      <c r="SNX46" s="87"/>
      <c r="SNY46" s="87"/>
      <c r="SNZ46" s="87"/>
      <c r="SOA46" s="87"/>
      <c r="SOB46" s="87"/>
      <c r="SOC46" s="87"/>
      <c r="SOD46" s="87"/>
      <c r="SOE46" s="87"/>
      <c r="SOF46" s="87"/>
      <c r="SOG46" s="87"/>
      <c r="SOH46" s="87"/>
      <c r="SOI46" s="87"/>
      <c r="SOJ46" s="87"/>
      <c r="SOK46" s="87"/>
      <c r="SOL46" s="87"/>
      <c r="SOM46" s="87"/>
      <c r="SON46" s="87"/>
      <c r="SOO46" s="87"/>
      <c r="SOP46" s="87"/>
      <c r="SOQ46" s="87"/>
      <c r="SOR46" s="87"/>
      <c r="SOS46" s="87"/>
      <c r="SOT46" s="87"/>
      <c r="SOU46" s="87"/>
      <c r="SOV46" s="87"/>
      <c r="SOW46" s="87"/>
      <c r="SOX46" s="87"/>
      <c r="SOY46" s="87"/>
      <c r="SOZ46" s="87"/>
      <c r="SPA46" s="87"/>
      <c r="SPB46" s="87"/>
      <c r="SPC46" s="87"/>
      <c r="SPD46" s="87"/>
      <c r="SPE46" s="87"/>
      <c r="SPF46" s="87"/>
      <c r="SPG46" s="87"/>
      <c r="SPH46" s="87"/>
      <c r="SPI46" s="87"/>
      <c r="SPJ46" s="87"/>
      <c r="SPK46" s="87"/>
      <c r="SPL46" s="87"/>
      <c r="SPM46" s="87"/>
      <c r="SPN46" s="87"/>
      <c r="SPO46" s="87"/>
      <c r="SPP46" s="87"/>
      <c r="SPQ46" s="87"/>
      <c r="SPR46" s="87"/>
      <c r="SPS46" s="87"/>
      <c r="SPT46" s="87"/>
      <c r="SPU46" s="87"/>
      <c r="SPV46" s="87"/>
      <c r="SPW46" s="87"/>
      <c r="SPX46" s="87"/>
      <c r="SPY46" s="87"/>
      <c r="SPZ46" s="87"/>
      <c r="SQA46" s="87"/>
      <c r="SQB46" s="87"/>
      <c r="SQC46" s="87"/>
      <c r="SQD46" s="87"/>
      <c r="SQE46" s="87"/>
      <c r="SQF46" s="87"/>
      <c r="SQG46" s="87"/>
      <c r="SQH46" s="87"/>
      <c r="SQI46" s="87"/>
      <c r="SQJ46" s="87"/>
      <c r="SQK46" s="87"/>
      <c r="SQL46" s="87"/>
      <c r="SQM46" s="87"/>
      <c r="SQN46" s="87"/>
      <c r="SQO46" s="87"/>
      <c r="SQP46" s="87"/>
      <c r="SQQ46" s="87"/>
      <c r="SQR46" s="87"/>
      <c r="SQS46" s="87"/>
      <c r="SQT46" s="87"/>
      <c r="SQU46" s="87"/>
      <c r="SQV46" s="87"/>
      <c r="SQW46" s="87"/>
      <c r="SQX46" s="87"/>
      <c r="SQY46" s="87"/>
      <c r="SQZ46" s="87"/>
      <c r="SRA46" s="87"/>
      <c r="SRB46" s="87"/>
      <c r="SRC46" s="87"/>
      <c r="SRD46" s="87"/>
      <c r="SRE46" s="87"/>
      <c r="SRF46" s="87"/>
      <c r="SRG46" s="87"/>
      <c r="SRH46" s="87"/>
      <c r="SRI46" s="87"/>
      <c r="SRJ46" s="87"/>
      <c r="SRK46" s="87"/>
      <c r="SRL46" s="87"/>
      <c r="SRM46" s="87"/>
      <c r="SRN46" s="87"/>
      <c r="SRO46" s="87"/>
      <c r="SRP46" s="87"/>
      <c r="SRQ46" s="87"/>
      <c r="SRR46" s="87"/>
      <c r="SRS46" s="87"/>
      <c r="SRT46" s="87"/>
      <c r="SRU46" s="87"/>
      <c r="SRV46" s="87"/>
      <c r="SRW46" s="87"/>
      <c r="SRX46" s="87"/>
      <c r="SRY46" s="87"/>
      <c r="SRZ46" s="87"/>
      <c r="SSA46" s="87"/>
      <c r="SSB46" s="87"/>
      <c r="SSC46" s="87"/>
      <c r="SSD46" s="87"/>
      <c r="SSE46" s="87"/>
      <c r="SSF46" s="87"/>
      <c r="SSG46" s="87"/>
      <c r="SSH46" s="87"/>
      <c r="SSI46" s="87"/>
      <c r="SSJ46" s="87"/>
      <c r="SSK46" s="87"/>
      <c r="SSL46" s="87"/>
      <c r="SSM46" s="87"/>
      <c r="SSN46" s="87"/>
      <c r="SSO46" s="87"/>
      <c r="SSP46" s="87"/>
      <c r="SSQ46" s="87"/>
      <c r="SSR46" s="87"/>
      <c r="SSS46" s="87"/>
      <c r="SST46" s="87"/>
      <c r="SSU46" s="87"/>
      <c r="SSV46" s="87"/>
      <c r="SSW46" s="87"/>
      <c r="SSX46" s="87"/>
      <c r="SSY46" s="87"/>
      <c r="SSZ46" s="87"/>
      <c r="STA46" s="87"/>
      <c r="STB46" s="87"/>
      <c r="STC46" s="87"/>
      <c r="STD46" s="87"/>
      <c r="STE46" s="87"/>
      <c r="STF46" s="87"/>
      <c r="STG46" s="87"/>
      <c r="STH46" s="87"/>
      <c r="STI46" s="87"/>
      <c r="STJ46" s="87"/>
      <c r="STK46" s="87"/>
      <c r="STL46" s="87"/>
      <c r="STM46" s="87"/>
      <c r="STN46" s="87"/>
      <c r="STO46" s="87"/>
      <c r="STP46" s="87"/>
      <c r="STQ46" s="87"/>
      <c r="STR46" s="87"/>
      <c r="STS46" s="87"/>
      <c r="STT46" s="87"/>
      <c r="STU46" s="87"/>
      <c r="STV46" s="87"/>
      <c r="STW46" s="87"/>
      <c r="STX46" s="87"/>
      <c r="STY46" s="87"/>
      <c r="STZ46" s="87"/>
      <c r="SUA46" s="87"/>
      <c r="SUB46" s="87"/>
      <c r="SUC46" s="87"/>
      <c r="SUD46" s="87"/>
      <c r="SUE46" s="87"/>
      <c r="SUF46" s="87"/>
      <c r="SUG46" s="87"/>
      <c r="SUH46" s="87"/>
      <c r="SUI46" s="87"/>
      <c r="SUJ46" s="87"/>
      <c r="SUK46" s="87"/>
      <c r="SUL46" s="87"/>
      <c r="SUM46" s="87"/>
      <c r="SUN46" s="87"/>
      <c r="SUO46" s="87"/>
      <c r="SUP46" s="87"/>
      <c r="SUQ46" s="87"/>
      <c r="SUR46" s="87"/>
      <c r="SUS46" s="87"/>
      <c r="SUT46" s="87"/>
      <c r="SUU46" s="87"/>
      <c r="SUV46" s="87"/>
      <c r="SUW46" s="87"/>
      <c r="SUX46" s="87"/>
      <c r="SUY46" s="87"/>
      <c r="SUZ46" s="87"/>
      <c r="SVA46" s="87"/>
      <c r="SVB46" s="87"/>
      <c r="SVC46" s="87"/>
      <c r="SVD46" s="87"/>
      <c r="SVE46" s="87"/>
      <c r="SVF46" s="87"/>
      <c r="SVG46" s="87"/>
      <c r="SVH46" s="87"/>
      <c r="SVI46" s="87"/>
      <c r="SVJ46" s="87"/>
      <c r="SVK46" s="87"/>
      <c r="SVL46" s="87"/>
      <c r="SVM46" s="87"/>
      <c r="SVN46" s="87"/>
      <c r="SVO46" s="87"/>
      <c r="SVP46" s="87"/>
      <c r="SVQ46" s="87"/>
      <c r="SVR46" s="87"/>
      <c r="SVS46" s="87"/>
      <c r="SVT46" s="87"/>
      <c r="SVU46" s="87"/>
      <c r="SVV46" s="87"/>
      <c r="SVW46" s="87"/>
      <c r="SVX46" s="87"/>
      <c r="SVY46" s="87"/>
      <c r="SVZ46" s="87"/>
      <c r="SWA46" s="87"/>
      <c r="SWB46" s="87"/>
      <c r="SWC46" s="87"/>
      <c r="SWD46" s="87"/>
      <c r="SWE46" s="87"/>
      <c r="SWF46" s="87"/>
      <c r="SWG46" s="87"/>
      <c r="SWH46" s="87"/>
      <c r="SWI46" s="87"/>
      <c r="SWJ46" s="87"/>
      <c r="SWK46" s="87"/>
      <c r="SWL46" s="87"/>
      <c r="SWM46" s="87"/>
      <c r="SWN46" s="87"/>
      <c r="SWO46" s="87"/>
      <c r="SWP46" s="87"/>
      <c r="SWQ46" s="87"/>
      <c r="SWR46" s="87"/>
      <c r="SWS46" s="87"/>
      <c r="SWT46" s="87"/>
      <c r="SWU46" s="87"/>
      <c r="SWV46" s="87"/>
      <c r="SWW46" s="87"/>
      <c r="SWX46" s="87"/>
      <c r="SWY46" s="87"/>
      <c r="SWZ46" s="87"/>
      <c r="SXA46" s="87"/>
      <c r="SXB46" s="87"/>
      <c r="SXC46" s="87"/>
      <c r="SXD46" s="87"/>
      <c r="SXE46" s="87"/>
      <c r="SXF46" s="87"/>
      <c r="SXG46" s="87"/>
      <c r="SXH46" s="87"/>
      <c r="SXI46" s="87"/>
      <c r="SXJ46" s="87"/>
      <c r="SXK46" s="87"/>
      <c r="SXL46" s="87"/>
      <c r="SXM46" s="87"/>
      <c r="SXN46" s="87"/>
      <c r="SXO46" s="87"/>
      <c r="SXP46" s="87"/>
      <c r="SXQ46" s="87"/>
      <c r="SXR46" s="87"/>
      <c r="SXS46" s="87"/>
      <c r="SXT46" s="87"/>
      <c r="SXU46" s="87"/>
      <c r="SXV46" s="87"/>
      <c r="SXW46" s="87"/>
      <c r="SXX46" s="87"/>
      <c r="SXY46" s="87"/>
      <c r="SXZ46" s="87"/>
      <c r="SYA46" s="87"/>
      <c r="SYB46" s="87"/>
      <c r="SYC46" s="87"/>
      <c r="SYD46" s="87"/>
      <c r="SYE46" s="87"/>
      <c r="SYF46" s="87"/>
      <c r="SYG46" s="87"/>
      <c r="SYH46" s="87"/>
      <c r="SYI46" s="87"/>
      <c r="SYJ46" s="87"/>
      <c r="SYK46" s="87"/>
      <c r="SYL46" s="87"/>
      <c r="SYM46" s="87"/>
      <c r="SYN46" s="87"/>
      <c r="SYO46" s="87"/>
      <c r="SYP46" s="87"/>
      <c r="SYQ46" s="87"/>
      <c r="SYR46" s="87"/>
      <c r="SYS46" s="87"/>
      <c r="SYT46" s="87"/>
      <c r="SYU46" s="87"/>
      <c r="SYV46" s="87"/>
      <c r="SYW46" s="87"/>
      <c r="SYX46" s="87"/>
      <c r="SYY46" s="87"/>
      <c r="SYZ46" s="87"/>
      <c r="SZA46" s="87"/>
      <c r="SZB46" s="87"/>
      <c r="SZC46" s="87"/>
      <c r="SZD46" s="87"/>
      <c r="SZE46" s="87"/>
      <c r="SZF46" s="87"/>
      <c r="SZG46" s="87"/>
      <c r="SZH46" s="87"/>
      <c r="SZI46" s="87"/>
      <c r="SZJ46" s="87"/>
      <c r="SZK46" s="87"/>
      <c r="SZL46" s="87"/>
      <c r="SZM46" s="87"/>
      <c r="SZN46" s="87"/>
      <c r="SZO46" s="87"/>
      <c r="SZP46" s="87"/>
      <c r="SZQ46" s="87"/>
      <c r="SZR46" s="87"/>
      <c r="SZS46" s="87"/>
      <c r="SZT46" s="87"/>
      <c r="SZU46" s="87"/>
      <c r="SZV46" s="87"/>
      <c r="SZW46" s="87"/>
      <c r="SZX46" s="87"/>
      <c r="SZY46" s="87"/>
      <c r="SZZ46" s="87"/>
      <c r="TAA46" s="87"/>
      <c r="TAB46" s="87"/>
      <c r="TAC46" s="87"/>
      <c r="TAD46" s="87"/>
      <c r="TAE46" s="87"/>
      <c r="TAF46" s="87"/>
      <c r="TAG46" s="87"/>
      <c r="TAH46" s="87"/>
      <c r="TAI46" s="87"/>
      <c r="TAJ46" s="87"/>
      <c r="TAK46" s="87"/>
      <c r="TAL46" s="87"/>
      <c r="TAM46" s="87"/>
      <c r="TAN46" s="87"/>
      <c r="TAO46" s="87"/>
      <c r="TAP46" s="87"/>
      <c r="TAQ46" s="87"/>
      <c r="TAR46" s="87"/>
      <c r="TAS46" s="87"/>
      <c r="TAT46" s="87"/>
      <c r="TAU46" s="87"/>
      <c r="TAV46" s="87"/>
      <c r="TAW46" s="87"/>
      <c r="TAX46" s="87"/>
      <c r="TAY46" s="87"/>
      <c r="TAZ46" s="87"/>
      <c r="TBA46" s="87"/>
      <c r="TBB46" s="87"/>
      <c r="TBC46" s="87"/>
      <c r="TBD46" s="87"/>
      <c r="TBE46" s="87"/>
      <c r="TBF46" s="87"/>
      <c r="TBG46" s="87"/>
      <c r="TBH46" s="87"/>
      <c r="TBI46" s="87"/>
      <c r="TBJ46" s="87"/>
      <c r="TBK46" s="87"/>
      <c r="TBL46" s="87"/>
      <c r="TBM46" s="87"/>
      <c r="TBN46" s="87"/>
      <c r="TBO46" s="87"/>
      <c r="TBP46" s="87"/>
      <c r="TBQ46" s="87"/>
      <c r="TBR46" s="87"/>
      <c r="TBS46" s="87"/>
      <c r="TBT46" s="87"/>
      <c r="TBU46" s="87"/>
      <c r="TBV46" s="87"/>
      <c r="TBW46" s="87"/>
      <c r="TBX46" s="87"/>
      <c r="TBY46" s="87"/>
      <c r="TBZ46" s="87"/>
      <c r="TCA46" s="87"/>
      <c r="TCB46" s="87"/>
      <c r="TCC46" s="87"/>
      <c r="TCD46" s="87"/>
      <c r="TCE46" s="87"/>
      <c r="TCF46" s="87"/>
      <c r="TCG46" s="87"/>
      <c r="TCH46" s="87"/>
      <c r="TCI46" s="87"/>
      <c r="TCJ46" s="87"/>
      <c r="TCK46" s="87"/>
      <c r="TCL46" s="87"/>
      <c r="TCM46" s="87"/>
      <c r="TCN46" s="87"/>
      <c r="TCO46" s="87"/>
      <c r="TCP46" s="87"/>
      <c r="TCQ46" s="87"/>
      <c r="TCR46" s="87"/>
      <c r="TCS46" s="87"/>
      <c r="TCT46" s="87"/>
      <c r="TCU46" s="87"/>
      <c r="TCV46" s="87"/>
      <c r="TCW46" s="87"/>
      <c r="TCX46" s="87"/>
      <c r="TCY46" s="87"/>
      <c r="TCZ46" s="87"/>
      <c r="TDA46" s="87"/>
      <c r="TDB46" s="87"/>
      <c r="TDC46" s="87"/>
      <c r="TDD46" s="87"/>
      <c r="TDE46" s="87"/>
      <c r="TDF46" s="87"/>
      <c r="TDG46" s="87"/>
      <c r="TDH46" s="87"/>
      <c r="TDI46" s="87"/>
      <c r="TDJ46" s="87"/>
      <c r="TDK46" s="87"/>
      <c r="TDL46" s="87"/>
      <c r="TDM46" s="87"/>
      <c r="TDN46" s="87"/>
      <c r="TDO46" s="87"/>
      <c r="TDP46" s="87"/>
      <c r="TDQ46" s="87"/>
      <c r="TDR46" s="87"/>
      <c r="TDS46" s="87"/>
      <c r="TDT46" s="87"/>
      <c r="TDU46" s="87"/>
      <c r="TDV46" s="87"/>
      <c r="TDW46" s="87"/>
      <c r="TDX46" s="87"/>
      <c r="TDY46" s="87"/>
      <c r="TDZ46" s="87"/>
      <c r="TEA46" s="87"/>
      <c r="TEB46" s="87"/>
      <c r="TEC46" s="87"/>
      <c r="TED46" s="87"/>
      <c r="TEE46" s="87"/>
      <c r="TEF46" s="87"/>
      <c r="TEG46" s="87"/>
      <c r="TEH46" s="87"/>
      <c r="TEI46" s="87"/>
      <c r="TEJ46" s="87"/>
      <c r="TEK46" s="87"/>
      <c r="TEL46" s="87"/>
      <c r="TEM46" s="87"/>
      <c r="TEN46" s="87"/>
      <c r="TEO46" s="87"/>
      <c r="TEP46" s="87"/>
      <c r="TEQ46" s="87"/>
      <c r="TER46" s="87"/>
      <c r="TES46" s="87"/>
      <c r="TET46" s="87"/>
      <c r="TEU46" s="87"/>
      <c r="TEV46" s="87"/>
      <c r="TEW46" s="87"/>
      <c r="TEX46" s="87"/>
      <c r="TEY46" s="87"/>
      <c r="TEZ46" s="87"/>
      <c r="TFA46" s="87"/>
      <c r="TFB46" s="87"/>
      <c r="TFC46" s="87"/>
      <c r="TFD46" s="87"/>
      <c r="TFE46" s="87"/>
      <c r="TFF46" s="87"/>
      <c r="TFG46" s="87"/>
      <c r="TFH46" s="87"/>
      <c r="TFI46" s="87"/>
      <c r="TFJ46" s="87"/>
      <c r="TFK46" s="87"/>
      <c r="TFL46" s="87"/>
      <c r="TFM46" s="87"/>
      <c r="TFN46" s="87"/>
      <c r="TFO46" s="87"/>
      <c r="TFP46" s="87"/>
      <c r="TFQ46" s="87"/>
      <c r="TFR46" s="87"/>
      <c r="TFS46" s="87"/>
      <c r="TFT46" s="87"/>
      <c r="TFU46" s="87"/>
      <c r="TFV46" s="87"/>
      <c r="TFW46" s="87"/>
      <c r="TFX46" s="87"/>
      <c r="TFY46" s="87"/>
      <c r="TFZ46" s="87"/>
      <c r="TGA46" s="87"/>
      <c r="TGB46" s="87"/>
      <c r="TGC46" s="87"/>
      <c r="TGD46" s="87"/>
      <c r="TGE46" s="87"/>
      <c r="TGF46" s="87"/>
      <c r="TGG46" s="87"/>
      <c r="TGH46" s="87"/>
      <c r="TGI46" s="87"/>
      <c r="TGJ46" s="87"/>
      <c r="TGK46" s="87"/>
      <c r="TGL46" s="87"/>
      <c r="TGM46" s="87"/>
      <c r="TGN46" s="87"/>
      <c r="TGO46" s="87"/>
      <c r="TGP46" s="87"/>
      <c r="TGQ46" s="87"/>
      <c r="TGR46" s="87"/>
      <c r="TGS46" s="87"/>
      <c r="TGT46" s="87"/>
      <c r="TGU46" s="87"/>
      <c r="TGV46" s="87"/>
      <c r="TGW46" s="87"/>
      <c r="TGX46" s="87"/>
      <c r="TGY46" s="87"/>
      <c r="TGZ46" s="87"/>
      <c r="THA46" s="87"/>
      <c r="THB46" s="87"/>
      <c r="THC46" s="87"/>
      <c r="THD46" s="87"/>
      <c r="THE46" s="87"/>
      <c r="THF46" s="87"/>
      <c r="THG46" s="87"/>
      <c r="THH46" s="87"/>
      <c r="THI46" s="87"/>
      <c r="THJ46" s="87"/>
      <c r="THK46" s="87"/>
      <c r="THL46" s="87"/>
      <c r="THM46" s="87"/>
      <c r="THN46" s="87"/>
      <c r="THO46" s="87"/>
      <c r="THP46" s="87"/>
      <c r="THQ46" s="87"/>
      <c r="THR46" s="87"/>
      <c r="THS46" s="87"/>
      <c r="THT46" s="87"/>
      <c r="THU46" s="87"/>
      <c r="THV46" s="87"/>
      <c r="THW46" s="87"/>
      <c r="THX46" s="87"/>
      <c r="THY46" s="87"/>
      <c r="THZ46" s="87"/>
      <c r="TIA46" s="87"/>
      <c r="TIB46" s="87"/>
      <c r="TIC46" s="87"/>
      <c r="TID46" s="87"/>
      <c r="TIE46" s="87"/>
      <c r="TIF46" s="87"/>
      <c r="TIG46" s="87"/>
      <c r="TIH46" s="87"/>
      <c r="TII46" s="87"/>
      <c r="TIJ46" s="87"/>
      <c r="TIK46" s="87"/>
      <c r="TIL46" s="87"/>
      <c r="TIM46" s="87"/>
      <c r="TIN46" s="87"/>
      <c r="TIO46" s="87"/>
      <c r="TIP46" s="87"/>
      <c r="TIQ46" s="87"/>
      <c r="TIR46" s="87"/>
      <c r="TIS46" s="87"/>
      <c r="TIT46" s="87"/>
      <c r="TIU46" s="87"/>
      <c r="TIV46" s="87"/>
      <c r="TIW46" s="87"/>
      <c r="TIX46" s="87"/>
      <c r="TIY46" s="87"/>
      <c r="TIZ46" s="87"/>
      <c r="TJA46" s="87"/>
      <c r="TJB46" s="87"/>
      <c r="TJC46" s="87"/>
      <c r="TJD46" s="87"/>
      <c r="TJE46" s="87"/>
      <c r="TJF46" s="87"/>
      <c r="TJG46" s="87"/>
      <c r="TJH46" s="87"/>
      <c r="TJI46" s="87"/>
      <c r="TJJ46" s="87"/>
      <c r="TJK46" s="87"/>
      <c r="TJL46" s="87"/>
      <c r="TJM46" s="87"/>
      <c r="TJN46" s="87"/>
      <c r="TJO46" s="87"/>
      <c r="TJP46" s="87"/>
      <c r="TJQ46" s="87"/>
      <c r="TJR46" s="87"/>
      <c r="TJS46" s="87"/>
      <c r="TJT46" s="87"/>
      <c r="TJU46" s="87"/>
      <c r="TJV46" s="87"/>
      <c r="TJW46" s="87"/>
      <c r="TJX46" s="87"/>
      <c r="TJY46" s="87"/>
      <c r="TJZ46" s="87"/>
      <c r="TKA46" s="87"/>
      <c r="TKB46" s="87"/>
      <c r="TKC46" s="87"/>
      <c r="TKD46" s="87"/>
      <c r="TKE46" s="87"/>
      <c r="TKF46" s="87"/>
      <c r="TKG46" s="87"/>
      <c r="TKH46" s="87"/>
      <c r="TKI46" s="87"/>
      <c r="TKJ46" s="87"/>
      <c r="TKK46" s="87"/>
      <c r="TKL46" s="87"/>
      <c r="TKM46" s="87"/>
      <c r="TKN46" s="87"/>
      <c r="TKO46" s="87"/>
      <c r="TKP46" s="87"/>
      <c r="TKQ46" s="87"/>
      <c r="TKR46" s="87"/>
      <c r="TKS46" s="87"/>
      <c r="TKT46" s="87"/>
      <c r="TKU46" s="87"/>
      <c r="TKV46" s="87"/>
      <c r="TKW46" s="87"/>
      <c r="TKX46" s="87"/>
      <c r="TKY46" s="87"/>
      <c r="TKZ46" s="87"/>
      <c r="TLA46" s="87"/>
      <c r="TLB46" s="87"/>
      <c r="TLC46" s="87"/>
      <c r="TLD46" s="87"/>
      <c r="TLE46" s="87"/>
      <c r="TLF46" s="87"/>
      <c r="TLG46" s="87"/>
      <c r="TLH46" s="87"/>
      <c r="TLI46" s="87"/>
      <c r="TLJ46" s="87"/>
      <c r="TLK46" s="87"/>
      <c r="TLL46" s="87"/>
      <c r="TLM46" s="87"/>
      <c r="TLN46" s="87"/>
      <c r="TLO46" s="87"/>
      <c r="TLP46" s="87"/>
      <c r="TLQ46" s="87"/>
      <c r="TLR46" s="87"/>
      <c r="TLS46" s="87"/>
      <c r="TLT46" s="87"/>
      <c r="TLU46" s="87"/>
      <c r="TLV46" s="87"/>
      <c r="TLW46" s="87"/>
      <c r="TLX46" s="87"/>
      <c r="TLY46" s="87"/>
      <c r="TLZ46" s="87"/>
      <c r="TMA46" s="87"/>
      <c r="TMB46" s="87"/>
      <c r="TMC46" s="87"/>
      <c r="TMD46" s="87"/>
      <c r="TME46" s="87"/>
      <c r="TMF46" s="87"/>
      <c r="TMG46" s="87"/>
      <c r="TMH46" s="87"/>
      <c r="TMI46" s="87"/>
      <c r="TMJ46" s="87"/>
      <c r="TMK46" s="87"/>
      <c r="TML46" s="87"/>
      <c r="TMM46" s="87"/>
      <c r="TMN46" s="87"/>
      <c r="TMO46" s="87"/>
      <c r="TMP46" s="87"/>
      <c r="TMQ46" s="87"/>
      <c r="TMR46" s="87"/>
      <c r="TMS46" s="87"/>
      <c r="TMT46" s="87"/>
      <c r="TMU46" s="87"/>
      <c r="TMV46" s="87"/>
      <c r="TMW46" s="87"/>
      <c r="TMX46" s="87"/>
      <c r="TMY46" s="87"/>
      <c r="TMZ46" s="87"/>
      <c r="TNA46" s="87"/>
      <c r="TNB46" s="87"/>
      <c r="TNC46" s="87"/>
      <c r="TND46" s="87"/>
      <c r="TNE46" s="87"/>
      <c r="TNF46" s="87"/>
      <c r="TNG46" s="87"/>
      <c r="TNH46" s="87"/>
      <c r="TNI46" s="87"/>
      <c r="TNJ46" s="87"/>
      <c r="TNK46" s="87"/>
      <c r="TNL46" s="87"/>
      <c r="TNM46" s="87"/>
      <c r="TNN46" s="87"/>
      <c r="TNO46" s="87"/>
      <c r="TNP46" s="87"/>
      <c r="TNQ46" s="87"/>
      <c r="TNR46" s="87"/>
      <c r="TNS46" s="87"/>
      <c r="TNT46" s="87"/>
      <c r="TNU46" s="87"/>
      <c r="TNV46" s="87"/>
      <c r="TNW46" s="87"/>
      <c r="TNX46" s="87"/>
      <c r="TNY46" s="87"/>
      <c r="TNZ46" s="87"/>
      <c r="TOA46" s="87"/>
      <c r="TOB46" s="87"/>
      <c r="TOC46" s="87"/>
      <c r="TOD46" s="87"/>
      <c r="TOE46" s="87"/>
      <c r="TOF46" s="87"/>
      <c r="TOG46" s="87"/>
      <c r="TOH46" s="87"/>
      <c r="TOI46" s="87"/>
      <c r="TOJ46" s="87"/>
      <c r="TOK46" s="87"/>
      <c r="TOL46" s="87"/>
      <c r="TOM46" s="87"/>
      <c r="TON46" s="87"/>
      <c r="TOO46" s="87"/>
      <c r="TOP46" s="87"/>
      <c r="TOQ46" s="87"/>
      <c r="TOR46" s="87"/>
      <c r="TOS46" s="87"/>
      <c r="TOT46" s="87"/>
      <c r="TOU46" s="87"/>
      <c r="TOV46" s="87"/>
      <c r="TOW46" s="87"/>
      <c r="TOX46" s="87"/>
      <c r="TOY46" s="87"/>
      <c r="TOZ46" s="87"/>
      <c r="TPA46" s="87"/>
      <c r="TPB46" s="87"/>
      <c r="TPC46" s="87"/>
      <c r="TPD46" s="87"/>
      <c r="TPE46" s="87"/>
      <c r="TPF46" s="87"/>
      <c r="TPG46" s="87"/>
      <c r="TPH46" s="87"/>
      <c r="TPI46" s="87"/>
      <c r="TPJ46" s="87"/>
      <c r="TPK46" s="87"/>
      <c r="TPL46" s="87"/>
      <c r="TPM46" s="87"/>
      <c r="TPN46" s="87"/>
      <c r="TPO46" s="87"/>
      <c r="TPP46" s="87"/>
      <c r="TPQ46" s="87"/>
      <c r="TPR46" s="87"/>
      <c r="TPS46" s="87"/>
      <c r="TPT46" s="87"/>
      <c r="TPU46" s="87"/>
      <c r="TPV46" s="87"/>
      <c r="TPW46" s="87"/>
      <c r="TPX46" s="87"/>
      <c r="TPY46" s="87"/>
      <c r="TPZ46" s="87"/>
      <c r="TQA46" s="87"/>
      <c r="TQB46" s="87"/>
      <c r="TQC46" s="87"/>
      <c r="TQD46" s="87"/>
      <c r="TQE46" s="87"/>
      <c r="TQF46" s="87"/>
      <c r="TQG46" s="87"/>
      <c r="TQH46" s="87"/>
      <c r="TQI46" s="87"/>
      <c r="TQJ46" s="87"/>
      <c r="TQK46" s="87"/>
      <c r="TQL46" s="87"/>
      <c r="TQM46" s="87"/>
      <c r="TQN46" s="87"/>
      <c r="TQO46" s="87"/>
      <c r="TQP46" s="87"/>
      <c r="TQQ46" s="87"/>
      <c r="TQR46" s="87"/>
      <c r="TQS46" s="87"/>
      <c r="TQT46" s="87"/>
      <c r="TQU46" s="87"/>
      <c r="TQV46" s="87"/>
      <c r="TQW46" s="87"/>
      <c r="TQX46" s="87"/>
      <c r="TQY46" s="87"/>
      <c r="TQZ46" s="87"/>
      <c r="TRA46" s="87"/>
      <c r="TRB46" s="87"/>
      <c r="TRC46" s="87"/>
      <c r="TRD46" s="87"/>
      <c r="TRE46" s="87"/>
      <c r="TRF46" s="87"/>
      <c r="TRG46" s="87"/>
      <c r="TRH46" s="87"/>
      <c r="TRI46" s="87"/>
      <c r="TRJ46" s="87"/>
      <c r="TRK46" s="87"/>
      <c r="TRL46" s="87"/>
      <c r="TRM46" s="87"/>
      <c r="TRN46" s="87"/>
      <c r="TRO46" s="87"/>
      <c r="TRP46" s="87"/>
      <c r="TRQ46" s="87"/>
      <c r="TRR46" s="87"/>
      <c r="TRS46" s="87"/>
      <c r="TRT46" s="87"/>
      <c r="TRU46" s="87"/>
      <c r="TRV46" s="87"/>
      <c r="TRW46" s="87"/>
      <c r="TRX46" s="87"/>
      <c r="TRY46" s="87"/>
      <c r="TRZ46" s="87"/>
      <c r="TSA46" s="87"/>
      <c r="TSB46" s="87"/>
      <c r="TSC46" s="87"/>
      <c r="TSD46" s="87"/>
      <c r="TSE46" s="87"/>
      <c r="TSF46" s="87"/>
      <c r="TSG46" s="87"/>
      <c r="TSH46" s="87"/>
      <c r="TSI46" s="87"/>
      <c r="TSJ46" s="87"/>
      <c r="TSK46" s="87"/>
      <c r="TSL46" s="87"/>
      <c r="TSM46" s="87"/>
      <c r="TSN46" s="87"/>
      <c r="TSO46" s="87"/>
      <c r="TSP46" s="87"/>
      <c r="TSQ46" s="87"/>
      <c r="TSR46" s="87"/>
      <c r="TSS46" s="87"/>
      <c r="TST46" s="87"/>
      <c r="TSU46" s="87"/>
      <c r="TSV46" s="87"/>
      <c r="TSW46" s="87"/>
      <c r="TSX46" s="87"/>
      <c r="TSY46" s="87"/>
      <c r="TSZ46" s="87"/>
      <c r="TTA46" s="87"/>
      <c r="TTB46" s="87"/>
      <c r="TTC46" s="87"/>
      <c r="TTD46" s="87"/>
      <c r="TTE46" s="87"/>
      <c r="TTF46" s="87"/>
      <c r="TTG46" s="87"/>
      <c r="TTH46" s="87"/>
      <c r="TTI46" s="87"/>
      <c r="TTJ46" s="87"/>
      <c r="TTK46" s="87"/>
      <c r="TTL46" s="87"/>
      <c r="TTM46" s="87"/>
      <c r="TTN46" s="87"/>
      <c r="TTO46" s="87"/>
      <c r="TTP46" s="87"/>
      <c r="TTQ46" s="87"/>
      <c r="TTR46" s="87"/>
      <c r="TTS46" s="87"/>
      <c r="TTT46" s="87"/>
      <c r="TTU46" s="87"/>
      <c r="TTV46" s="87"/>
      <c r="TTW46" s="87"/>
      <c r="TTX46" s="87"/>
      <c r="TTY46" s="87"/>
      <c r="TTZ46" s="87"/>
      <c r="TUA46" s="87"/>
      <c r="TUB46" s="87"/>
      <c r="TUC46" s="87"/>
      <c r="TUD46" s="87"/>
      <c r="TUE46" s="87"/>
      <c r="TUF46" s="87"/>
      <c r="TUG46" s="87"/>
      <c r="TUH46" s="87"/>
      <c r="TUI46" s="87"/>
      <c r="TUJ46" s="87"/>
      <c r="TUK46" s="87"/>
      <c r="TUL46" s="87"/>
      <c r="TUM46" s="87"/>
      <c r="TUN46" s="87"/>
      <c r="TUO46" s="87"/>
      <c r="TUP46" s="87"/>
      <c r="TUQ46" s="87"/>
      <c r="TUR46" s="87"/>
      <c r="TUS46" s="87"/>
      <c r="TUT46" s="87"/>
      <c r="TUU46" s="87"/>
      <c r="TUV46" s="87"/>
      <c r="TUW46" s="87"/>
      <c r="TUX46" s="87"/>
      <c r="TUY46" s="87"/>
      <c r="TUZ46" s="87"/>
      <c r="TVA46" s="87"/>
      <c r="TVB46" s="87"/>
      <c r="TVC46" s="87"/>
      <c r="TVD46" s="87"/>
      <c r="TVE46" s="87"/>
      <c r="TVF46" s="87"/>
      <c r="TVG46" s="87"/>
      <c r="TVH46" s="87"/>
      <c r="TVI46" s="87"/>
      <c r="TVJ46" s="87"/>
      <c r="TVK46" s="87"/>
      <c r="TVL46" s="87"/>
      <c r="TVM46" s="87"/>
      <c r="TVN46" s="87"/>
      <c r="TVO46" s="87"/>
      <c r="TVP46" s="87"/>
      <c r="TVQ46" s="87"/>
      <c r="TVR46" s="87"/>
      <c r="TVS46" s="87"/>
      <c r="TVT46" s="87"/>
      <c r="TVU46" s="87"/>
      <c r="TVV46" s="87"/>
      <c r="TVW46" s="87"/>
      <c r="TVX46" s="87"/>
      <c r="TVY46" s="87"/>
      <c r="TVZ46" s="87"/>
      <c r="TWA46" s="87"/>
      <c r="TWB46" s="87"/>
      <c r="TWC46" s="87"/>
      <c r="TWD46" s="87"/>
      <c r="TWE46" s="87"/>
      <c r="TWF46" s="87"/>
      <c r="TWG46" s="87"/>
      <c r="TWH46" s="87"/>
      <c r="TWI46" s="87"/>
      <c r="TWJ46" s="87"/>
      <c r="TWK46" s="87"/>
      <c r="TWL46" s="87"/>
      <c r="TWM46" s="87"/>
      <c r="TWN46" s="87"/>
      <c r="TWO46" s="87"/>
      <c r="TWP46" s="87"/>
      <c r="TWQ46" s="87"/>
      <c r="TWR46" s="87"/>
      <c r="TWS46" s="87"/>
      <c r="TWT46" s="87"/>
      <c r="TWU46" s="87"/>
      <c r="TWV46" s="87"/>
      <c r="TWW46" s="87"/>
      <c r="TWX46" s="87"/>
      <c r="TWY46" s="87"/>
      <c r="TWZ46" s="87"/>
      <c r="TXA46" s="87"/>
      <c r="TXB46" s="87"/>
      <c r="TXC46" s="87"/>
      <c r="TXD46" s="87"/>
      <c r="TXE46" s="87"/>
      <c r="TXF46" s="87"/>
      <c r="TXG46" s="87"/>
      <c r="TXH46" s="87"/>
      <c r="TXI46" s="87"/>
      <c r="TXJ46" s="87"/>
      <c r="TXK46" s="87"/>
      <c r="TXL46" s="87"/>
      <c r="TXM46" s="87"/>
      <c r="TXN46" s="87"/>
      <c r="TXO46" s="87"/>
      <c r="TXP46" s="87"/>
      <c r="TXQ46" s="87"/>
      <c r="TXR46" s="87"/>
      <c r="TXS46" s="87"/>
      <c r="TXT46" s="87"/>
      <c r="TXU46" s="87"/>
      <c r="TXV46" s="87"/>
      <c r="TXW46" s="87"/>
      <c r="TXX46" s="87"/>
      <c r="TXY46" s="87"/>
      <c r="TXZ46" s="87"/>
      <c r="TYA46" s="87"/>
      <c r="TYB46" s="87"/>
      <c r="TYC46" s="87"/>
      <c r="TYD46" s="87"/>
      <c r="TYE46" s="87"/>
      <c r="TYF46" s="87"/>
      <c r="TYG46" s="87"/>
      <c r="TYH46" s="87"/>
      <c r="TYI46" s="87"/>
      <c r="TYJ46" s="87"/>
      <c r="TYK46" s="87"/>
      <c r="TYL46" s="87"/>
      <c r="TYM46" s="87"/>
      <c r="TYN46" s="87"/>
      <c r="TYO46" s="87"/>
      <c r="TYP46" s="87"/>
      <c r="TYQ46" s="87"/>
      <c r="TYR46" s="87"/>
      <c r="TYS46" s="87"/>
      <c r="TYT46" s="87"/>
      <c r="TYU46" s="87"/>
      <c r="TYV46" s="87"/>
      <c r="TYW46" s="87"/>
      <c r="TYX46" s="87"/>
      <c r="TYY46" s="87"/>
      <c r="TYZ46" s="87"/>
      <c r="TZA46" s="87"/>
      <c r="TZB46" s="87"/>
      <c r="TZC46" s="87"/>
      <c r="TZD46" s="87"/>
      <c r="TZE46" s="87"/>
      <c r="TZF46" s="87"/>
      <c r="TZG46" s="87"/>
      <c r="TZH46" s="87"/>
      <c r="TZI46" s="87"/>
      <c r="TZJ46" s="87"/>
      <c r="TZK46" s="87"/>
      <c r="TZL46" s="87"/>
      <c r="TZM46" s="87"/>
      <c r="TZN46" s="87"/>
      <c r="TZO46" s="87"/>
      <c r="TZP46" s="87"/>
      <c r="TZQ46" s="87"/>
      <c r="TZR46" s="87"/>
      <c r="TZS46" s="87"/>
      <c r="TZT46" s="87"/>
      <c r="TZU46" s="87"/>
      <c r="TZV46" s="87"/>
      <c r="TZW46" s="87"/>
      <c r="TZX46" s="87"/>
      <c r="TZY46" s="87"/>
      <c r="TZZ46" s="87"/>
      <c r="UAA46" s="87"/>
      <c r="UAB46" s="87"/>
      <c r="UAC46" s="87"/>
      <c r="UAD46" s="87"/>
      <c r="UAE46" s="87"/>
      <c r="UAF46" s="87"/>
      <c r="UAG46" s="87"/>
      <c r="UAH46" s="87"/>
      <c r="UAI46" s="87"/>
      <c r="UAJ46" s="87"/>
      <c r="UAK46" s="87"/>
      <c r="UAL46" s="87"/>
      <c r="UAM46" s="87"/>
      <c r="UAN46" s="87"/>
      <c r="UAO46" s="87"/>
      <c r="UAP46" s="87"/>
      <c r="UAQ46" s="87"/>
      <c r="UAR46" s="87"/>
      <c r="UAS46" s="87"/>
      <c r="UAT46" s="87"/>
      <c r="UAU46" s="87"/>
      <c r="UAV46" s="87"/>
      <c r="UAW46" s="87"/>
      <c r="UAX46" s="87"/>
      <c r="UAY46" s="87"/>
      <c r="UAZ46" s="87"/>
      <c r="UBA46" s="87"/>
      <c r="UBB46" s="87"/>
      <c r="UBC46" s="87"/>
      <c r="UBD46" s="87"/>
      <c r="UBE46" s="87"/>
      <c r="UBF46" s="87"/>
      <c r="UBG46" s="87"/>
      <c r="UBH46" s="87"/>
      <c r="UBI46" s="87"/>
      <c r="UBJ46" s="87"/>
      <c r="UBK46" s="87"/>
      <c r="UBL46" s="87"/>
      <c r="UBM46" s="87"/>
      <c r="UBN46" s="87"/>
      <c r="UBO46" s="87"/>
      <c r="UBP46" s="87"/>
      <c r="UBQ46" s="87"/>
      <c r="UBR46" s="87"/>
      <c r="UBS46" s="87"/>
      <c r="UBT46" s="87"/>
      <c r="UBU46" s="87"/>
      <c r="UBV46" s="87"/>
      <c r="UBW46" s="87"/>
      <c r="UBX46" s="87"/>
      <c r="UBY46" s="87"/>
      <c r="UBZ46" s="87"/>
      <c r="UCA46" s="87"/>
      <c r="UCB46" s="87"/>
      <c r="UCC46" s="87"/>
      <c r="UCD46" s="87"/>
      <c r="UCE46" s="87"/>
      <c r="UCF46" s="87"/>
      <c r="UCG46" s="87"/>
      <c r="UCH46" s="87"/>
      <c r="UCI46" s="87"/>
      <c r="UCJ46" s="87"/>
      <c r="UCK46" s="87"/>
      <c r="UCL46" s="87"/>
      <c r="UCM46" s="87"/>
      <c r="UCN46" s="87"/>
      <c r="UCO46" s="87"/>
      <c r="UCP46" s="87"/>
      <c r="UCQ46" s="87"/>
      <c r="UCR46" s="87"/>
      <c r="UCS46" s="87"/>
      <c r="UCT46" s="87"/>
      <c r="UCU46" s="87"/>
      <c r="UCV46" s="87"/>
      <c r="UCW46" s="87"/>
      <c r="UCX46" s="87"/>
      <c r="UCY46" s="87"/>
      <c r="UCZ46" s="87"/>
      <c r="UDA46" s="87"/>
      <c r="UDB46" s="87"/>
      <c r="UDC46" s="87"/>
      <c r="UDD46" s="87"/>
      <c r="UDE46" s="87"/>
      <c r="UDF46" s="87"/>
      <c r="UDG46" s="87"/>
      <c r="UDH46" s="87"/>
      <c r="UDI46" s="87"/>
      <c r="UDJ46" s="87"/>
      <c r="UDK46" s="87"/>
      <c r="UDL46" s="87"/>
      <c r="UDM46" s="87"/>
      <c r="UDN46" s="87"/>
      <c r="UDO46" s="87"/>
      <c r="UDP46" s="87"/>
      <c r="UDQ46" s="87"/>
      <c r="UDR46" s="87"/>
      <c r="UDS46" s="87"/>
      <c r="UDT46" s="87"/>
      <c r="UDU46" s="87"/>
      <c r="UDV46" s="87"/>
      <c r="UDW46" s="87"/>
      <c r="UDX46" s="87"/>
      <c r="UDY46" s="87"/>
      <c r="UDZ46" s="87"/>
      <c r="UEA46" s="87"/>
      <c r="UEB46" s="87"/>
      <c r="UEC46" s="87"/>
      <c r="UED46" s="87"/>
      <c r="UEE46" s="87"/>
      <c r="UEF46" s="87"/>
      <c r="UEG46" s="87"/>
      <c r="UEH46" s="87"/>
      <c r="UEI46" s="87"/>
      <c r="UEJ46" s="87"/>
      <c r="UEK46" s="87"/>
      <c r="UEL46" s="87"/>
      <c r="UEM46" s="87"/>
      <c r="UEN46" s="87"/>
      <c r="UEO46" s="87"/>
      <c r="UEP46" s="87"/>
      <c r="UEQ46" s="87"/>
      <c r="UER46" s="87"/>
      <c r="UES46" s="87"/>
      <c r="UET46" s="87"/>
      <c r="UEU46" s="87"/>
      <c r="UEV46" s="87"/>
      <c r="UEW46" s="87"/>
      <c r="UEX46" s="87"/>
      <c r="UEY46" s="87"/>
      <c r="UEZ46" s="87"/>
      <c r="UFA46" s="87"/>
      <c r="UFB46" s="87"/>
      <c r="UFC46" s="87"/>
      <c r="UFD46" s="87"/>
      <c r="UFE46" s="87"/>
      <c r="UFF46" s="87"/>
      <c r="UFG46" s="87"/>
      <c r="UFH46" s="87"/>
      <c r="UFI46" s="87"/>
      <c r="UFJ46" s="87"/>
      <c r="UFK46" s="87"/>
      <c r="UFL46" s="87"/>
      <c r="UFM46" s="87"/>
      <c r="UFN46" s="87"/>
      <c r="UFO46" s="87"/>
      <c r="UFP46" s="87"/>
      <c r="UFQ46" s="87"/>
      <c r="UFR46" s="87"/>
      <c r="UFS46" s="87"/>
      <c r="UFT46" s="87"/>
      <c r="UFU46" s="87"/>
      <c r="UFV46" s="87"/>
      <c r="UFW46" s="87"/>
      <c r="UFX46" s="87"/>
      <c r="UFY46" s="87"/>
      <c r="UFZ46" s="87"/>
      <c r="UGA46" s="87"/>
      <c r="UGB46" s="87"/>
      <c r="UGC46" s="87"/>
      <c r="UGD46" s="87"/>
      <c r="UGE46" s="87"/>
      <c r="UGF46" s="87"/>
      <c r="UGG46" s="87"/>
      <c r="UGH46" s="87"/>
      <c r="UGI46" s="87"/>
      <c r="UGJ46" s="87"/>
      <c r="UGK46" s="87"/>
      <c r="UGL46" s="87"/>
      <c r="UGM46" s="87"/>
      <c r="UGN46" s="87"/>
      <c r="UGO46" s="87"/>
      <c r="UGP46" s="87"/>
      <c r="UGQ46" s="87"/>
      <c r="UGR46" s="87"/>
      <c r="UGS46" s="87"/>
      <c r="UGT46" s="87"/>
      <c r="UGU46" s="87"/>
      <c r="UGV46" s="87"/>
      <c r="UGW46" s="87"/>
      <c r="UGX46" s="87"/>
      <c r="UGY46" s="87"/>
      <c r="UGZ46" s="87"/>
      <c r="UHA46" s="87"/>
      <c r="UHB46" s="87"/>
      <c r="UHC46" s="87"/>
      <c r="UHD46" s="87"/>
      <c r="UHE46" s="87"/>
      <c r="UHF46" s="87"/>
      <c r="UHG46" s="87"/>
      <c r="UHH46" s="87"/>
      <c r="UHI46" s="87"/>
      <c r="UHJ46" s="87"/>
      <c r="UHK46" s="87"/>
      <c r="UHL46" s="87"/>
      <c r="UHM46" s="87"/>
      <c r="UHN46" s="87"/>
      <c r="UHO46" s="87"/>
      <c r="UHP46" s="87"/>
      <c r="UHQ46" s="87"/>
      <c r="UHR46" s="87"/>
      <c r="UHS46" s="87"/>
      <c r="UHT46" s="87"/>
      <c r="UHU46" s="87"/>
      <c r="UHV46" s="87"/>
      <c r="UHW46" s="87"/>
      <c r="UHX46" s="87"/>
      <c r="UHY46" s="87"/>
      <c r="UHZ46" s="87"/>
      <c r="UIA46" s="87"/>
      <c r="UIB46" s="87"/>
      <c r="UIC46" s="87"/>
      <c r="UID46" s="87"/>
      <c r="UIE46" s="87"/>
      <c r="UIF46" s="87"/>
      <c r="UIG46" s="87"/>
      <c r="UIH46" s="87"/>
      <c r="UII46" s="87"/>
      <c r="UIJ46" s="87"/>
      <c r="UIK46" s="87"/>
      <c r="UIL46" s="87"/>
      <c r="UIM46" s="87"/>
      <c r="UIN46" s="87"/>
      <c r="UIO46" s="87"/>
      <c r="UIP46" s="87"/>
      <c r="UIQ46" s="87"/>
      <c r="UIR46" s="87"/>
      <c r="UIS46" s="87"/>
      <c r="UIT46" s="87"/>
      <c r="UIU46" s="87"/>
      <c r="UIV46" s="87"/>
      <c r="UIW46" s="87"/>
      <c r="UIX46" s="87"/>
      <c r="UIY46" s="87"/>
      <c r="UIZ46" s="87"/>
      <c r="UJA46" s="87"/>
      <c r="UJB46" s="87"/>
      <c r="UJC46" s="87"/>
      <c r="UJD46" s="87"/>
      <c r="UJE46" s="87"/>
      <c r="UJF46" s="87"/>
      <c r="UJG46" s="87"/>
      <c r="UJH46" s="87"/>
      <c r="UJI46" s="87"/>
      <c r="UJJ46" s="87"/>
      <c r="UJK46" s="87"/>
      <c r="UJL46" s="87"/>
      <c r="UJM46" s="87"/>
      <c r="UJN46" s="87"/>
      <c r="UJO46" s="87"/>
      <c r="UJP46" s="87"/>
      <c r="UJQ46" s="87"/>
      <c r="UJR46" s="87"/>
      <c r="UJS46" s="87"/>
      <c r="UJT46" s="87"/>
      <c r="UJU46" s="87"/>
      <c r="UJV46" s="87"/>
      <c r="UJW46" s="87"/>
      <c r="UJX46" s="87"/>
      <c r="UJY46" s="87"/>
      <c r="UJZ46" s="87"/>
      <c r="UKA46" s="87"/>
      <c r="UKB46" s="87"/>
      <c r="UKC46" s="87"/>
      <c r="UKD46" s="87"/>
      <c r="UKE46" s="87"/>
      <c r="UKF46" s="87"/>
      <c r="UKG46" s="87"/>
      <c r="UKH46" s="87"/>
      <c r="UKI46" s="87"/>
      <c r="UKJ46" s="87"/>
      <c r="UKK46" s="87"/>
      <c r="UKL46" s="87"/>
      <c r="UKM46" s="87"/>
      <c r="UKN46" s="87"/>
      <c r="UKO46" s="87"/>
      <c r="UKP46" s="87"/>
      <c r="UKQ46" s="87"/>
      <c r="UKR46" s="87"/>
      <c r="UKS46" s="87"/>
      <c r="UKT46" s="87"/>
      <c r="UKU46" s="87"/>
      <c r="UKV46" s="87"/>
      <c r="UKW46" s="87"/>
      <c r="UKX46" s="87"/>
      <c r="UKY46" s="87"/>
      <c r="UKZ46" s="87"/>
      <c r="ULA46" s="87"/>
      <c r="ULB46" s="87"/>
      <c r="ULC46" s="87"/>
      <c r="ULD46" s="87"/>
      <c r="ULE46" s="87"/>
      <c r="ULF46" s="87"/>
      <c r="ULG46" s="87"/>
      <c r="ULH46" s="87"/>
      <c r="ULI46" s="87"/>
      <c r="ULJ46" s="87"/>
      <c r="ULK46" s="87"/>
      <c r="ULL46" s="87"/>
      <c r="ULM46" s="87"/>
      <c r="ULN46" s="87"/>
      <c r="ULO46" s="87"/>
      <c r="ULP46" s="87"/>
      <c r="ULQ46" s="87"/>
      <c r="ULR46" s="87"/>
      <c r="ULS46" s="87"/>
      <c r="ULT46" s="87"/>
      <c r="ULU46" s="87"/>
      <c r="ULV46" s="87"/>
      <c r="ULW46" s="87"/>
      <c r="ULX46" s="87"/>
      <c r="ULY46" s="87"/>
      <c r="ULZ46" s="87"/>
      <c r="UMA46" s="87"/>
      <c r="UMB46" s="87"/>
      <c r="UMC46" s="87"/>
      <c r="UMD46" s="87"/>
      <c r="UME46" s="87"/>
      <c r="UMF46" s="87"/>
      <c r="UMG46" s="87"/>
      <c r="UMH46" s="87"/>
      <c r="UMI46" s="87"/>
      <c r="UMJ46" s="87"/>
      <c r="UMK46" s="87"/>
      <c r="UML46" s="87"/>
      <c r="UMM46" s="87"/>
      <c r="UMN46" s="87"/>
      <c r="UMO46" s="87"/>
      <c r="UMP46" s="87"/>
      <c r="UMQ46" s="87"/>
      <c r="UMR46" s="87"/>
      <c r="UMS46" s="87"/>
      <c r="UMT46" s="87"/>
      <c r="UMU46" s="87"/>
      <c r="UMV46" s="87"/>
      <c r="UMW46" s="87"/>
      <c r="UMX46" s="87"/>
      <c r="UMY46" s="87"/>
      <c r="UMZ46" s="87"/>
      <c r="UNA46" s="87"/>
      <c r="UNB46" s="87"/>
      <c r="UNC46" s="87"/>
      <c r="UND46" s="87"/>
      <c r="UNE46" s="87"/>
      <c r="UNF46" s="87"/>
      <c r="UNG46" s="87"/>
      <c r="UNH46" s="87"/>
      <c r="UNI46" s="87"/>
      <c r="UNJ46" s="87"/>
      <c r="UNK46" s="87"/>
      <c r="UNL46" s="87"/>
      <c r="UNM46" s="87"/>
      <c r="UNN46" s="87"/>
      <c r="UNO46" s="87"/>
      <c r="UNP46" s="87"/>
      <c r="UNQ46" s="87"/>
      <c r="UNR46" s="87"/>
      <c r="UNS46" s="87"/>
      <c r="UNT46" s="87"/>
      <c r="UNU46" s="87"/>
      <c r="UNV46" s="87"/>
      <c r="UNW46" s="87"/>
      <c r="UNX46" s="87"/>
      <c r="UNY46" s="87"/>
      <c r="UNZ46" s="87"/>
      <c r="UOA46" s="87"/>
      <c r="UOB46" s="87"/>
      <c r="UOC46" s="87"/>
      <c r="UOD46" s="87"/>
      <c r="UOE46" s="87"/>
      <c r="UOF46" s="87"/>
      <c r="UOG46" s="87"/>
      <c r="UOH46" s="87"/>
      <c r="UOI46" s="87"/>
      <c r="UOJ46" s="87"/>
      <c r="UOK46" s="87"/>
      <c r="UOL46" s="87"/>
      <c r="UOM46" s="87"/>
      <c r="UON46" s="87"/>
      <c r="UOO46" s="87"/>
      <c r="UOP46" s="87"/>
      <c r="UOQ46" s="87"/>
      <c r="UOR46" s="87"/>
      <c r="UOS46" s="87"/>
      <c r="UOT46" s="87"/>
      <c r="UOU46" s="87"/>
      <c r="UOV46" s="87"/>
      <c r="UOW46" s="87"/>
      <c r="UOX46" s="87"/>
      <c r="UOY46" s="87"/>
      <c r="UOZ46" s="87"/>
      <c r="UPA46" s="87"/>
      <c r="UPB46" s="87"/>
      <c r="UPC46" s="87"/>
      <c r="UPD46" s="87"/>
      <c r="UPE46" s="87"/>
      <c r="UPF46" s="87"/>
      <c r="UPG46" s="87"/>
      <c r="UPH46" s="87"/>
      <c r="UPI46" s="87"/>
      <c r="UPJ46" s="87"/>
      <c r="UPK46" s="87"/>
      <c r="UPL46" s="87"/>
      <c r="UPM46" s="87"/>
      <c r="UPN46" s="87"/>
      <c r="UPO46" s="87"/>
      <c r="UPP46" s="87"/>
      <c r="UPQ46" s="87"/>
      <c r="UPR46" s="87"/>
      <c r="UPS46" s="87"/>
      <c r="UPT46" s="87"/>
      <c r="UPU46" s="87"/>
      <c r="UPV46" s="87"/>
      <c r="UPW46" s="87"/>
      <c r="UPX46" s="87"/>
      <c r="UPY46" s="87"/>
      <c r="UPZ46" s="87"/>
      <c r="UQA46" s="87"/>
      <c r="UQB46" s="87"/>
      <c r="UQC46" s="87"/>
      <c r="UQD46" s="87"/>
      <c r="UQE46" s="87"/>
      <c r="UQF46" s="87"/>
      <c r="UQG46" s="87"/>
      <c r="UQH46" s="87"/>
      <c r="UQI46" s="87"/>
      <c r="UQJ46" s="87"/>
      <c r="UQK46" s="87"/>
      <c r="UQL46" s="87"/>
      <c r="UQM46" s="87"/>
      <c r="UQN46" s="87"/>
      <c r="UQO46" s="87"/>
      <c r="UQP46" s="87"/>
      <c r="UQQ46" s="87"/>
      <c r="UQR46" s="87"/>
      <c r="UQS46" s="87"/>
      <c r="UQT46" s="87"/>
      <c r="UQU46" s="87"/>
      <c r="UQV46" s="87"/>
      <c r="UQW46" s="87"/>
      <c r="UQX46" s="87"/>
      <c r="UQY46" s="87"/>
      <c r="UQZ46" s="87"/>
      <c r="URA46" s="87"/>
      <c r="URB46" s="87"/>
      <c r="URC46" s="87"/>
      <c r="URD46" s="87"/>
      <c r="URE46" s="87"/>
      <c r="URF46" s="87"/>
      <c r="URG46" s="87"/>
      <c r="URH46" s="87"/>
      <c r="URI46" s="87"/>
      <c r="URJ46" s="87"/>
      <c r="URK46" s="87"/>
      <c r="URL46" s="87"/>
      <c r="URM46" s="87"/>
      <c r="URN46" s="87"/>
      <c r="URO46" s="87"/>
      <c r="URP46" s="87"/>
      <c r="URQ46" s="87"/>
      <c r="URR46" s="87"/>
      <c r="URS46" s="87"/>
      <c r="URT46" s="87"/>
      <c r="URU46" s="87"/>
      <c r="URV46" s="87"/>
      <c r="URW46" s="87"/>
      <c r="URX46" s="87"/>
      <c r="URY46" s="87"/>
      <c r="URZ46" s="87"/>
      <c r="USA46" s="87"/>
      <c r="USB46" s="87"/>
      <c r="USC46" s="87"/>
      <c r="USD46" s="87"/>
      <c r="USE46" s="87"/>
      <c r="USF46" s="87"/>
      <c r="USG46" s="87"/>
      <c r="USH46" s="87"/>
      <c r="USI46" s="87"/>
      <c r="USJ46" s="87"/>
      <c r="USK46" s="87"/>
      <c r="USL46" s="87"/>
      <c r="USM46" s="87"/>
      <c r="USN46" s="87"/>
      <c r="USO46" s="87"/>
      <c r="USP46" s="87"/>
      <c r="USQ46" s="87"/>
      <c r="USR46" s="87"/>
      <c r="USS46" s="87"/>
      <c r="UST46" s="87"/>
      <c r="USU46" s="87"/>
      <c r="USV46" s="87"/>
      <c r="USW46" s="87"/>
      <c r="USX46" s="87"/>
      <c r="USY46" s="87"/>
      <c r="USZ46" s="87"/>
      <c r="UTA46" s="87"/>
      <c r="UTB46" s="87"/>
      <c r="UTC46" s="87"/>
      <c r="UTD46" s="87"/>
      <c r="UTE46" s="87"/>
      <c r="UTF46" s="87"/>
      <c r="UTG46" s="87"/>
      <c r="UTH46" s="87"/>
      <c r="UTI46" s="87"/>
      <c r="UTJ46" s="87"/>
      <c r="UTK46" s="87"/>
      <c r="UTL46" s="87"/>
      <c r="UTM46" s="87"/>
      <c r="UTN46" s="87"/>
      <c r="UTO46" s="87"/>
      <c r="UTP46" s="87"/>
      <c r="UTQ46" s="87"/>
      <c r="UTR46" s="87"/>
      <c r="UTS46" s="87"/>
      <c r="UTT46" s="87"/>
      <c r="UTU46" s="87"/>
      <c r="UTV46" s="87"/>
      <c r="UTW46" s="87"/>
      <c r="UTX46" s="87"/>
      <c r="UTY46" s="87"/>
      <c r="UTZ46" s="87"/>
      <c r="UUA46" s="87"/>
      <c r="UUB46" s="87"/>
      <c r="UUC46" s="87"/>
      <c r="UUD46" s="87"/>
      <c r="UUE46" s="87"/>
      <c r="UUF46" s="87"/>
      <c r="UUG46" s="87"/>
      <c r="UUH46" s="87"/>
      <c r="UUI46" s="87"/>
      <c r="UUJ46" s="87"/>
      <c r="UUK46" s="87"/>
      <c r="UUL46" s="87"/>
      <c r="UUM46" s="87"/>
      <c r="UUN46" s="87"/>
      <c r="UUO46" s="87"/>
      <c r="UUP46" s="87"/>
      <c r="UUQ46" s="87"/>
      <c r="UUR46" s="87"/>
      <c r="UUS46" s="87"/>
      <c r="UUT46" s="87"/>
      <c r="UUU46" s="87"/>
      <c r="UUV46" s="87"/>
      <c r="UUW46" s="87"/>
      <c r="UUX46" s="87"/>
      <c r="UUY46" s="87"/>
      <c r="UUZ46" s="87"/>
      <c r="UVA46" s="87"/>
      <c r="UVB46" s="87"/>
      <c r="UVC46" s="87"/>
      <c r="UVD46" s="87"/>
      <c r="UVE46" s="87"/>
      <c r="UVF46" s="87"/>
      <c r="UVG46" s="87"/>
      <c r="UVH46" s="87"/>
      <c r="UVI46" s="87"/>
      <c r="UVJ46" s="87"/>
      <c r="UVK46" s="87"/>
      <c r="UVL46" s="87"/>
      <c r="UVM46" s="87"/>
      <c r="UVN46" s="87"/>
      <c r="UVO46" s="87"/>
      <c r="UVP46" s="87"/>
      <c r="UVQ46" s="87"/>
      <c r="UVR46" s="87"/>
      <c r="UVS46" s="87"/>
      <c r="UVT46" s="87"/>
      <c r="UVU46" s="87"/>
      <c r="UVV46" s="87"/>
      <c r="UVW46" s="87"/>
      <c r="UVX46" s="87"/>
      <c r="UVY46" s="87"/>
      <c r="UVZ46" s="87"/>
      <c r="UWA46" s="87"/>
      <c r="UWB46" s="87"/>
      <c r="UWC46" s="87"/>
      <c r="UWD46" s="87"/>
      <c r="UWE46" s="87"/>
      <c r="UWF46" s="87"/>
      <c r="UWG46" s="87"/>
      <c r="UWH46" s="87"/>
      <c r="UWI46" s="87"/>
      <c r="UWJ46" s="87"/>
      <c r="UWK46" s="87"/>
      <c r="UWL46" s="87"/>
      <c r="UWM46" s="87"/>
      <c r="UWN46" s="87"/>
      <c r="UWO46" s="87"/>
      <c r="UWP46" s="87"/>
      <c r="UWQ46" s="87"/>
      <c r="UWR46" s="87"/>
      <c r="UWS46" s="87"/>
      <c r="UWT46" s="87"/>
      <c r="UWU46" s="87"/>
      <c r="UWV46" s="87"/>
      <c r="UWW46" s="87"/>
      <c r="UWX46" s="87"/>
      <c r="UWY46" s="87"/>
      <c r="UWZ46" s="87"/>
      <c r="UXA46" s="87"/>
      <c r="UXB46" s="87"/>
      <c r="UXC46" s="87"/>
      <c r="UXD46" s="87"/>
      <c r="UXE46" s="87"/>
      <c r="UXF46" s="87"/>
      <c r="UXG46" s="87"/>
      <c r="UXH46" s="87"/>
      <c r="UXI46" s="87"/>
      <c r="UXJ46" s="87"/>
      <c r="UXK46" s="87"/>
      <c r="UXL46" s="87"/>
      <c r="UXM46" s="87"/>
      <c r="UXN46" s="87"/>
      <c r="UXO46" s="87"/>
      <c r="UXP46" s="87"/>
      <c r="UXQ46" s="87"/>
      <c r="UXR46" s="87"/>
      <c r="UXS46" s="87"/>
      <c r="UXT46" s="87"/>
      <c r="UXU46" s="87"/>
      <c r="UXV46" s="87"/>
      <c r="UXW46" s="87"/>
      <c r="UXX46" s="87"/>
      <c r="UXY46" s="87"/>
      <c r="UXZ46" s="87"/>
      <c r="UYA46" s="87"/>
      <c r="UYB46" s="87"/>
      <c r="UYC46" s="87"/>
      <c r="UYD46" s="87"/>
      <c r="UYE46" s="87"/>
      <c r="UYF46" s="87"/>
      <c r="UYG46" s="87"/>
      <c r="UYH46" s="87"/>
      <c r="UYI46" s="87"/>
      <c r="UYJ46" s="87"/>
      <c r="UYK46" s="87"/>
      <c r="UYL46" s="87"/>
      <c r="UYM46" s="87"/>
      <c r="UYN46" s="87"/>
      <c r="UYO46" s="87"/>
      <c r="UYP46" s="87"/>
      <c r="UYQ46" s="87"/>
      <c r="UYR46" s="87"/>
      <c r="UYS46" s="87"/>
      <c r="UYT46" s="87"/>
      <c r="UYU46" s="87"/>
      <c r="UYV46" s="87"/>
      <c r="UYW46" s="87"/>
      <c r="UYX46" s="87"/>
      <c r="UYY46" s="87"/>
      <c r="UYZ46" s="87"/>
      <c r="UZA46" s="87"/>
      <c r="UZB46" s="87"/>
      <c r="UZC46" s="87"/>
      <c r="UZD46" s="87"/>
      <c r="UZE46" s="87"/>
      <c r="UZF46" s="87"/>
      <c r="UZG46" s="87"/>
      <c r="UZH46" s="87"/>
      <c r="UZI46" s="87"/>
      <c r="UZJ46" s="87"/>
      <c r="UZK46" s="87"/>
      <c r="UZL46" s="87"/>
      <c r="UZM46" s="87"/>
      <c r="UZN46" s="87"/>
      <c r="UZO46" s="87"/>
      <c r="UZP46" s="87"/>
      <c r="UZQ46" s="87"/>
      <c r="UZR46" s="87"/>
      <c r="UZS46" s="87"/>
      <c r="UZT46" s="87"/>
      <c r="UZU46" s="87"/>
      <c r="UZV46" s="87"/>
      <c r="UZW46" s="87"/>
      <c r="UZX46" s="87"/>
      <c r="UZY46" s="87"/>
      <c r="UZZ46" s="87"/>
      <c r="VAA46" s="87"/>
      <c r="VAB46" s="87"/>
      <c r="VAC46" s="87"/>
      <c r="VAD46" s="87"/>
      <c r="VAE46" s="87"/>
      <c r="VAF46" s="87"/>
      <c r="VAG46" s="87"/>
      <c r="VAH46" s="87"/>
      <c r="VAI46" s="87"/>
      <c r="VAJ46" s="87"/>
      <c r="VAK46" s="87"/>
      <c r="VAL46" s="87"/>
      <c r="VAM46" s="87"/>
      <c r="VAN46" s="87"/>
      <c r="VAO46" s="87"/>
      <c r="VAP46" s="87"/>
      <c r="VAQ46" s="87"/>
      <c r="VAR46" s="87"/>
      <c r="VAS46" s="87"/>
      <c r="VAT46" s="87"/>
      <c r="VAU46" s="87"/>
      <c r="VAV46" s="87"/>
      <c r="VAW46" s="87"/>
      <c r="VAX46" s="87"/>
      <c r="VAY46" s="87"/>
      <c r="VAZ46" s="87"/>
      <c r="VBA46" s="87"/>
      <c r="VBB46" s="87"/>
      <c r="VBC46" s="87"/>
      <c r="VBD46" s="87"/>
      <c r="VBE46" s="87"/>
      <c r="VBF46" s="87"/>
      <c r="VBG46" s="87"/>
      <c r="VBH46" s="87"/>
      <c r="VBI46" s="87"/>
      <c r="VBJ46" s="87"/>
      <c r="VBK46" s="87"/>
      <c r="VBL46" s="87"/>
      <c r="VBM46" s="87"/>
      <c r="VBN46" s="87"/>
      <c r="VBO46" s="87"/>
      <c r="VBP46" s="87"/>
      <c r="VBQ46" s="87"/>
      <c r="VBR46" s="87"/>
      <c r="VBS46" s="87"/>
      <c r="VBT46" s="87"/>
      <c r="VBU46" s="87"/>
      <c r="VBV46" s="87"/>
      <c r="VBW46" s="87"/>
      <c r="VBX46" s="87"/>
      <c r="VBY46" s="87"/>
      <c r="VBZ46" s="87"/>
      <c r="VCA46" s="87"/>
      <c r="VCB46" s="87"/>
      <c r="VCC46" s="87"/>
      <c r="VCD46" s="87"/>
      <c r="VCE46" s="87"/>
      <c r="VCF46" s="87"/>
      <c r="VCG46" s="87"/>
      <c r="VCH46" s="87"/>
      <c r="VCI46" s="87"/>
      <c r="VCJ46" s="87"/>
      <c r="VCK46" s="87"/>
      <c r="VCL46" s="87"/>
      <c r="VCM46" s="87"/>
      <c r="VCN46" s="87"/>
      <c r="VCO46" s="87"/>
      <c r="VCP46" s="87"/>
      <c r="VCQ46" s="87"/>
      <c r="VCR46" s="87"/>
      <c r="VCS46" s="87"/>
      <c r="VCT46" s="87"/>
      <c r="VCU46" s="87"/>
      <c r="VCV46" s="87"/>
      <c r="VCW46" s="87"/>
      <c r="VCX46" s="87"/>
      <c r="VCY46" s="87"/>
      <c r="VCZ46" s="87"/>
      <c r="VDA46" s="87"/>
      <c r="VDB46" s="87"/>
      <c r="VDC46" s="87"/>
      <c r="VDD46" s="87"/>
      <c r="VDE46" s="87"/>
      <c r="VDF46" s="87"/>
      <c r="VDG46" s="87"/>
      <c r="VDH46" s="87"/>
      <c r="VDI46" s="87"/>
      <c r="VDJ46" s="87"/>
      <c r="VDK46" s="87"/>
      <c r="VDL46" s="87"/>
      <c r="VDM46" s="87"/>
      <c r="VDN46" s="87"/>
      <c r="VDO46" s="87"/>
      <c r="VDP46" s="87"/>
      <c r="VDQ46" s="87"/>
      <c r="VDR46" s="87"/>
      <c r="VDS46" s="87"/>
      <c r="VDT46" s="87"/>
      <c r="VDU46" s="87"/>
      <c r="VDV46" s="87"/>
      <c r="VDW46" s="87"/>
      <c r="VDX46" s="87"/>
      <c r="VDY46" s="87"/>
      <c r="VDZ46" s="87"/>
      <c r="VEA46" s="87"/>
      <c r="VEB46" s="87"/>
      <c r="VEC46" s="87"/>
      <c r="VED46" s="87"/>
      <c r="VEE46" s="87"/>
      <c r="VEF46" s="87"/>
      <c r="VEG46" s="87"/>
      <c r="VEH46" s="87"/>
      <c r="VEI46" s="87"/>
      <c r="VEJ46" s="87"/>
      <c r="VEK46" s="87"/>
      <c r="VEL46" s="87"/>
      <c r="VEM46" s="87"/>
      <c r="VEN46" s="87"/>
      <c r="VEO46" s="87"/>
      <c r="VEP46" s="87"/>
      <c r="VEQ46" s="87"/>
      <c r="VER46" s="87"/>
      <c r="VES46" s="87"/>
      <c r="VET46" s="87"/>
      <c r="VEU46" s="87"/>
      <c r="VEV46" s="87"/>
      <c r="VEW46" s="87"/>
      <c r="VEX46" s="87"/>
      <c r="VEY46" s="87"/>
      <c r="VEZ46" s="87"/>
      <c r="VFA46" s="87"/>
      <c r="VFB46" s="87"/>
      <c r="VFC46" s="87"/>
      <c r="VFD46" s="87"/>
      <c r="VFE46" s="87"/>
      <c r="VFF46" s="87"/>
      <c r="VFG46" s="87"/>
      <c r="VFH46" s="87"/>
      <c r="VFI46" s="87"/>
      <c r="VFJ46" s="87"/>
      <c r="VFK46" s="87"/>
      <c r="VFL46" s="87"/>
      <c r="VFM46" s="87"/>
      <c r="VFN46" s="87"/>
      <c r="VFO46" s="87"/>
      <c r="VFP46" s="87"/>
      <c r="VFQ46" s="87"/>
      <c r="VFR46" s="87"/>
      <c r="VFS46" s="87"/>
      <c r="VFT46" s="87"/>
      <c r="VFU46" s="87"/>
      <c r="VFV46" s="87"/>
      <c r="VFW46" s="87"/>
      <c r="VFX46" s="87"/>
      <c r="VFY46" s="87"/>
      <c r="VFZ46" s="87"/>
      <c r="VGA46" s="87"/>
      <c r="VGB46" s="87"/>
      <c r="VGC46" s="87"/>
      <c r="VGD46" s="87"/>
      <c r="VGE46" s="87"/>
      <c r="VGF46" s="87"/>
      <c r="VGG46" s="87"/>
      <c r="VGH46" s="87"/>
      <c r="VGI46" s="87"/>
      <c r="VGJ46" s="87"/>
      <c r="VGK46" s="87"/>
      <c r="VGL46" s="87"/>
      <c r="VGM46" s="87"/>
      <c r="VGN46" s="87"/>
      <c r="VGO46" s="87"/>
      <c r="VGP46" s="87"/>
      <c r="VGQ46" s="87"/>
      <c r="VGR46" s="87"/>
      <c r="VGS46" s="87"/>
      <c r="VGT46" s="87"/>
      <c r="VGU46" s="87"/>
      <c r="VGV46" s="87"/>
      <c r="VGW46" s="87"/>
      <c r="VGX46" s="87"/>
      <c r="VGY46" s="87"/>
      <c r="VGZ46" s="87"/>
      <c r="VHA46" s="87"/>
      <c r="VHB46" s="87"/>
      <c r="VHC46" s="87"/>
      <c r="VHD46" s="87"/>
      <c r="VHE46" s="87"/>
      <c r="VHF46" s="87"/>
      <c r="VHG46" s="87"/>
      <c r="VHH46" s="87"/>
      <c r="VHI46" s="87"/>
      <c r="VHJ46" s="87"/>
      <c r="VHK46" s="87"/>
      <c r="VHL46" s="87"/>
      <c r="VHM46" s="87"/>
      <c r="VHN46" s="87"/>
      <c r="VHO46" s="87"/>
      <c r="VHP46" s="87"/>
      <c r="VHQ46" s="87"/>
      <c r="VHR46" s="87"/>
      <c r="VHS46" s="87"/>
      <c r="VHT46" s="87"/>
      <c r="VHU46" s="87"/>
      <c r="VHV46" s="87"/>
      <c r="VHW46" s="87"/>
      <c r="VHX46" s="87"/>
      <c r="VHY46" s="87"/>
      <c r="VHZ46" s="87"/>
      <c r="VIA46" s="87"/>
      <c r="VIB46" s="87"/>
      <c r="VIC46" s="87"/>
      <c r="VID46" s="87"/>
      <c r="VIE46" s="87"/>
      <c r="VIF46" s="87"/>
      <c r="VIG46" s="87"/>
      <c r="VIH46" s="87"/>
      <c r="VII46" s="87"/>
      <c r="VIJ46" s="87"/>
      <c r="VIK46" s="87"/>
      <c r="VIL46" s="87"/>
      <c r="VIM46" s="87"/>
      <c r="VIN46" s="87"/>
      <c r="VIO46" s="87"/>
      <c r="VIP46" s="87"/>
      <c r="VIQ46" s="87"/>
      <c r="VIR46" s="87"/>
      <c r="VIS46" s="87"/>
      <c r="VIT46" s="87"/>
      <c r="VIU46" s="87"/>
      <c r="VIV46" s="87"/>
      <c r="VIW46" s="87"/>
      <c r="VIX46" s="87"/>
      <c r="VIY46" s="87"/>
      <c r="VIZ46" s="87"/>
      <c r="VJA46" s="87"/>
      <c r="VJB46" s="87"/>
      <c r="VJC46" s="87"/>
      <c r="VJD46" s="87"/>
      <c r="VJE46" s="87"/>
      <c r="VJF46" s="87"/>
      <c r="VJG46" s="87"/>
      <c r="VJH46" s="87"/>
      <c r="VJI46" s="87"/>
      <c r="VJJ46" s="87"/>
      <c r="VJK46" s="87"/>
      <c r="VJL46" s="87"/>
      <c r="VJM46" s="87"/>
      <c r="VJN46" s="87"/>
      <c r="VJO46" s="87"/>
      <c r="VJP46" s="87"/>
      <c r="VJQ46" s="87"/>
      <c r="VJR46" s="87"/>
      <c r="VJS46" s="87"/>
      <c r="VJT46" s="87"/>
      <c r="VJU46" s="87"/>
      <c r="VJV46" s="87"/>
      <c r="VJW46" s="87"/>
      <c r="VJX46" s="87"/>
      <c r="VJY46" s="87"/>
      <c r="VJZ46" s="87"/>
      <c r="VKA46" s="87"/>
      <c r="VKB46" s="87"/>
      <c r="VKC46" s="87"/>
      <c r="VKD46" s="87"/>
      <c r="VKE46" s="87"/>
      <c r="VKF46" s="87"/>
      <c r="VKG46" s="87"/>
      <c r="VKH46" s="87"/>
      <c r="VKI46" s="87"/>
      <c r="VKJ46" s="87"/>
      <c r="VKK46" s="87"/>
      <c r="VKL46" s="87"/>
      <c r="VKM46" s="87"/>
      <c r="VKN46" s="87"/>
      <c r="VKO46" s="87"/>
      <c r="VKP46" s="87"/>
      <c r="VKQ46" s="87"/>
      <c r="VKR46" s="87"/>
      <c r="VKS46" s="87"/>
      <c r="VKT46" s="87"/>
      <c r="VKU46" s="87"/>
      <c r="VKV46" s="87"/>
      <c r="VKW46" s="87"/>
      <c r="VKX46" s="87"/>
      <c r="VKY46" s="87"/>
      <c r="VKZ46" s="87"/>
      <c r="VLA46" s="87"/>
      <c r="VLB46" s="87"/>
      <c r="VLC46" s="87"/>
      <c r="VLD46" s="87"/>
      <c r="VLE46" s="87"/>
      <c r="VLF46" s="87"/>
      <c r="VLG46" s="87"/>
      <c r="VLH46" s="87"/>
      <c r="VLI46" s="87"/>
      <c r="VLJ46" s="87"/>
      <c r="VLK46" s="87"/>
      <c r="VLL46" s="87"/>
      <c r="VLM46" s="87"/>
      <c r="VLN46" s="87"/>
      <c r="VLO46" s="87"/>
      <c r="VLP46" s="87"/>
      <c r="VLQ46" s="87"/>
      <c r="VLR46" s="87"/>
      <c r="VLS46" s="87"/>
      <c r="VLT46" s="87"/>
      <c r="VLU46" s="87"/>
      <c r="VLV46" s="87"/>
      <c r="VLW46" s="87"/>
      <c r="VLX46" s="87"/>
      <c r="VLY46" s="87"/>
      <c r="VLZ46" s="87"/>
      <c r="VMA46" s="87"/>
      <c r="VMB46" s="87"/>
      <c r="VMC46" s="87"/>
      <c r="VMD46" s="87"/>
      <c r="VME46" s="87"/>
      <c r="VMF46" s="87"/>
      <c r="VMG46" s="87"/>
      <c r="VMH46" s="87"/>
      <c r="VMI46" s="87"/>
      <c r="VMJ46" s="87"/>
      <c r="VMK46" s="87"/>
      <c r="VML46" s="87"/>
      <c r="VMM46" s="87"/>
      <c r="VMN46" s="87"/>
      <c r="VMO46" s="87"/>
      <c r="VMP46" s="87"/>
      <c r="VMQ46" s="87"/>
      <c r="VMR46" s="87"/>
      <c r="VMS46" s="87"/>
      <c r="VMT46" s="87"/>
      <c r="VMU46" s="87"/>
      <c r="VMV46" s="87"/>
      <c r="VMW46" s="87"/>
      <c r="VMX46" s="87"/>
      <c r="VMY46" s="87"/>
      <c r="VMZ46" s="87"/>
      <c r="VNA46" s="87"/>
      <c r="VNB46" s="87"/>
      <c r="VNC46" s="87"/>
      <c r="VND46" s="87"/>
      <c r="VNE46" s="87"/>
      <c r="VNF46" s="87"/>
      <c r="VNG46" s="87"/>
      <c r="VNH46" s="87"/>
      <c r="VNI46" s="87"/>
      <c r="VNJ46" s="87"/>
      <c r="VNK46" s="87"/>
      <c r="VNL46" s="87"/>
      <c r="VNM46" s="87"/>
      <c r="VNN46" s="87"/>
      <c r="VNO46" s="87"/>
      <c r="VNP46" s="87"/>
      <c r="VNQ46" s="87"/>
      <c r="VNR46" s="87"/>
      <c r="VNS46" s="87"/>
      <c r="VNT46" s="87"/>
      <c r="VNU46" s="87"/>
      <c r="VNV46" s="87"/>
      <c r="VNW46" s="87"/>
      <c r="VNX46" s="87"/>
      <c r="VNY46" s="87"/>
      <c r="VNZ46" s="87"/>
      <c r="VOA46" s="87"/>
      <c r="VOB46" s="87"/>
      <c r="VOC46" s="87"/>
      <c r="VOD46" s="87"/>
      <c r="VOE46" s="87"/>
      <c r="VOF46" s="87"/>
      <c r="VOG46" s="87"/>
      <c r="VOH46" s="87"/>
      <c r="VOI46" s="87"/>
      <c r="VOJ46" s="87"/>
      <c r="VOK46" s="87"/>
      <c r="VOL46" s="87"/>
      <c r="VOM46" s="87"/>
      <c r="VON46" s="87"/>
      <c r="VOO46" s="87"/>
      <c r="VOP46" s="87"/>
      <c r="VOQ46" s="87"/>
      <c r="VOR46" s="87"/>
      <c r="VOS46" s="87"/>
      <c r="VOT46" s="87"/>
      <c r="VOU46" s="87"/>
      <c r="VOV46" s="87"/>
      <c r="VOW46" s="87"/>
      <c r="VOX46" s="87"/>
      <c r="VOY46" s="87"/>
      <c r="VOZ46" s="87"/>
      <c r="VPA46" s="87"/>
      <c r="VPB46" s="87"/>
      <c r="VPC46" s="87"/>
      <c r="VPD46" s="87"/>
      <c r="VPE46" s="87"/>
      <c r="VPF46" s="87"/>
      <c r="VPG46" s="87"/>
      <c r="VPH46" s="87"/>
      <c r="VPI46" s="87"/>
      <c r="VPJ46" s="87"/>
      <c r="VPK46" s="87"/>
      <c r="VPL46" s="87"/>
      <c r="VPM46" s="87"/>
      <c r="VPN46" s="87"/>
      <c r="VPO46" s="87"/>
      <c r="VPP46" s="87"/>
      <c r="VPQ46" s="87"/>
      <c r="VPR46" s="87"/>
      <c r="VPS46" s="87"/>
      <c r="VPT46" s="87"/>
      <c r="VPU46" s="87"/>
      <c r="VPV46" s="87"/>
      <c r="VPW46" s="87"/>
      <c r="VPX46" s="87"/>
      <c r="VPY46" s="87"/>
      <c r="VPZ46" s="87"/>
      <c r="VQA46" s="87"/>
      <c r="VQB46" s="87"/>
      <c r="VQC46" s="87"/>
      <c r="VQD46" s="87"/>
      <c r="VQE46" s="87"/>
      <c r="VQF46" s="87"/>
      <c r="VQG46" s="87"/>
      <c r="VQH46" s="87"/>
      <c r="VQI46" s="87"/>
      <c r="VQJ46" s="87"/>
      <c r="VQK46" s="87"/>
      <c r="VQL46" s="87"/>
      <c r="VQM46" s="87"/>
      <c r="VQN46" s="87"/>
      <c r="VQO46" s="87"/>
      <c r="VQP46" s="87"/>
      <c r="VQQ46" s="87"/>
      <c r="VQR46" s="87"/>
      <c r="VQS46" s="87"/>
      <c r="VQT46" s="87"/>
      <c r="VQU46" s="87"/>
      <c r="VQV46" s="87"/>
      <c r="VQW46" s="87"/>
      <c r="VQX46" s="87"/>
      <c r="VQY46" s="87"/>
      <c r="VQZ46" s="87"/>
      <c r="VRA46" s="87"/>
      <c r="VRB46" s="87"/>
      <c r="VRC46" s="87"/>
      <c r="VRD46" s="87"/>
      <c r="VRE46" s="87"/>
      <c r="VRF46" s="87"/>
      <c r="VRG46" s="87"/>
      <c r="VRH46" s="87"/>
      <c r="VRI46" s="87"/>
      <c r="VRJ46" s="87"/>
      <c r="VRK46" s="87"/>
      <c r="VRL46" s="87"/>
      <c r="VRM46" s="87"/>
      <c r="VRN46" s="87"/>
      <c r="VRO46" s="87"/>
      <c r="VRP46" s="87"/>
      <c r="VRQ46" s="87"/>
      <c r="VRR46" s="87"/>
      <c r="VRS46" s="87"/>
      <c r="VRT46" s="87"/>
      <c r="VRU46" s="87"/>
      <c r="VRV46" s="87"/>
      <c r="VRW46" s="87"/>
      <c r="VRX46" s="87"/>
      <c r="VRY46" s="87"/>
      <c r="VRZ46" s="87"/>
      <c r="VSA46" s="87"/>
      <c r="VSB46" s="87"/>
      <c r="VSC46" s="87"/>
      <c r="VSD46" s="87"/>
      <c r="VSE46" s="87"/>
      <c r="VSF46" s="87"/>
      <c r="VSG46" s="87"/>
      <c r="VSH46" s="87"/>
      <c r="VSI46" s="87"/>
      <c r="VSJ46" s="87"/>
      <c r="VSK46" s="87"/>
      <c r="VSL46" s="87"/>
      <c r="VSM46" s="87"/>
      <c r="VSN46" s="87"/>
      <c r="VSO46" s="87"/>
      <c r="VSP46" s="87"/>
      <c r="VSQ46" s="87"/>
      <c r="VSR46" s="87"/>
      <c r="VSS46" s="87"/>
      <c r="VST46" s="87"/>
      <c r="VSU46" s="87"/>
      <c r="VSV46" s="87"/>
      <c r="VSW46" s="87"/>
      <c r="VSX46" s="87"/>
      <c r="VSY46" s="87"/>
      <c r="VSZ46" s="87"/>
      <c r="VTA46" s="87"/>
      <c r="VTB46" s="87"/>
      <c r="VTC46" s="87"/>
      <c r="VTD46" s="87"/>
      <c r="VTE46" s="87"/>
      <c r="VTF46" s="87"/>
      <c r="VTG46" s="87"/>
      <c r="VTH46" s="87"/>
      <c r="VTI46" s="87"/>
      <c r="VTJ46" s="87"/>
      <c r="VTK46" s="87"/>
      <c r="VTL46" s="87"/>
      <c r="VTM46" s="87"/>
      <c r="VTN46" s="87"/>
      <c r="VTO46" s="87"/>
      <c r="VTP46" s="87"/>
      <c r="VTQ46" s="87"/>
      <c r="VTR46" s="87"/>
      <c r="VTS46" s="87"/>
      <c r="VTT46" s="87"/>
      <c r="VTU46" s="87"/>
      <c r="VTV46" s="87"/>
      <c r="VTW46" s="87"/>
      <c r="VTX46" s="87"/>
      <c r="VTY46" s="87"/>
      <c r="VTZ46" s="87"/>
      <c r="VUA46" s="87"/>
      <c r="VUB46" s="87"/>
      <c r="VUC46" s="87"/>
      <c r="VUD46" s="87"/>
      <c r="VUE46" s="87"/>
      <c r="VUF46" s="87"/>
      <c r="VUG46" s="87"/>
      <c r="VUH46" s="87"/>
      <c r="VUI46" s="87"/>
      <c r="VUJ46" s="87"/>
      <c r="VUK46" s="87"/>
      <c r="VUL46" s="87"/>
      <c r="VUM46" s="87"/>
      <c r="VUN46" s="87"/>
      <c r="VUO46" s="87"/>
      <c r="VUP46" s="87"/>
      <c r="VUQ46" s="87"/>
      <c r="VUR46" s="87"/>
      <c r="VUS46" s="87"/>
      <c r="VUT46" s="87"/>
      <c r="VUU46" s="87"/>
      <c r="VUV46" s="87"/>
      <c r="VUW46" s="87"/>
      <c r="VUX46" s="87"/>
      <c r="VUY46" s="87"/>
      <c r="VUZ46" s="87"/>
      <c r="VVA46" s="87"/>
      <c r="VVB46" s="87"/>
      <c r="VVC46" s="87"/>
      <c r="VVD46" s="87"/>
      <c r="VVE46" s="87"/>
      <c r="VVF46" s="87"/>
      <c r="VVG46" s="87"/>
      <c r="VVH46" s="87"/>
      <c r="VVI46" s="87"/>
      <c r="VVJ46" s="87"/>
      <c r="VVK46" s="87"/>
      <c r="VVL46" s="87"/>
      <c r="VVM46" s="87"/>
      <c r="VVN46" s="87"/>
      <c r="VVO46" s="87"/>
      <c r="VVP46" s="87"/>
      <c r="VVQ46" s="87"/>
      <c r="VVR46" s="87"/>
      <c r="VVS46" s="87"/>
      <c r="VVT46" s="87"/>
      <c r="VVU46" s="87"/>
      <c r="VVV46" s="87"/>
      <c r="VVW46" s="87"/>
      <c r="VVX46" s="87"/>
      <c r="VVY46" s="87"/>
      <c r="VVZ46" s="87"/>
      <c r="VWA46" s="87"/>
      <c r="VWB46" s="87"/>
      <c r="VWC46" s="87"/>
      <c r="VWD46" s="87"/>
      <c r="VWE46" s="87"/>
      <c r="VWF46" s="87"/>
      <c r="VWG46" s="87"/>
      <c r="VWH46" s="87"/>
      <c r="VWI46" s="87"/>
      <c r="VWJ46" s="87"/>
      <c r="VWK46" s="87"/>
      <c r="VWL46" s="87"/>
      <c r="VWM46" s="87"/>
      <c r="VWN46" s="87"/>
      <c r="VWO46" s="87"/>
      <c r="VWP46" s="87"/>
      <c r="VWQ46" s="87"/>
      <c r="VWR46" s="87"/>
      <c r="VWS46" s="87"/>
      <c r="VWT46" s="87"/>
      <c r="VWU46" s="87"/>
      <c r="VWV46" s="87"/>
      <c r="VWW46" s="87"/>
      <c r="VWX46" s="87"/>
      <c r="VWY46" s="87"/>
      <c r="VWZ46" s="87"/>
      <c r="VXA46" s="87"/>
      <c r="VXB46" s="87"/>
      <c r="VXC46" s="87"/>
      <c r="VXD46" s="87"/>
      <c r="VXE46" s="87"/>
      <c r="VXF46" s="87"/>
      <c r="VXG46" s="87"/>
      <c r="VXH46" s="87"/>
      <c r="VXI46" s="87"/>
      <c r="VXJ46" s="87"/>
      <c r="VXK46" s="87"/>
      <c r="VXL46" s="87"/>
      <c r="VXM46" s="87"/>
      <c r="VXN46" s="87"/>
      <c r="VXO46" s="87"/>
      <c r="VXP46" s="87"/>
      <c r="VXQ46" s="87"/>
      <c r="VXR46" s="87"/>
      <c r="VXS46" s="87"/>
      <c r="VXT46" s="87"/>
      <c r="VXU46" s="87"/>
      <c r="VXV46" s="87"/>
      <c r="VXW46" s="87"/>
      <c r="VXX46" s="87"/>
      <c r="VXY46" s="87"/>
      <c r="VXZ46" s="87"/>
      <c r="VYA46" s="87"/>
      <c r="VYB46" s="87"/>
      <c r="VYC46" s="87"/>
      <c r="VYD46" s="87"/>
      <c r="VYE46" s="87"/>
      <c r="VYF46" s="87"/>
      <c r="VYG46" s="87"/>
      <c r="VYH46" s="87"/>
      <c r="VYI46" s="87"/>
      <c r="VYJ46" s="87"/>
      <c r="VYK46" s="87"/>
      <c r="VYL46" s="87"/>
      <c r="VYM46" s="87"/>
      <c r="VYN46" s="87"/>
      <c r="VYO46" s="87"/>
      <c r="VYP46" s="87"/>
      <c r="VYQ46" s="87"/>
      <c r="VYR46" s="87"/>
      <c r="VYS46" s="87"/>
      <c r="VYT46" s="87"/>
      <c r="VYU46" s="87"/>
      <c r="VYV46" s="87"/>
      <c r="VYW46" s="87"/>
      <c r="VYX46" s="87"/>
      <c r="VYY46" s="87"/>
      <c r="VYZ46" s="87"/>
      <c r="VZA46" s="87"/>
      <c r="VZB46" s="87"/>
      <c r="VZC46" s="87"/>
      <c r="VZD46" s="87"/>
      <c r="VZE46" s="87"/>
      <c r="VZF46" s="87"/>
      <c r="VZG46" s="87"/>
      <c r="VZH46" s="87"/>
      <c r="VZI46" s="87"/>
      <c r="VZJ46" s="87"/>
      <c r="VZK46" s="87"/>
      <c r="VZL46" s="87"/>
      <c r="VZM46" s="87"/>
      <c r="VZN46" s="87"/>
      <c r="VZO46" s="87"/>
      <c r="VZP46" s="87"/>
      <c r="VZQ46" s="87"/>
      <c r="VZR46" s="87"/>
      <c r="VZS46" s="87"/>
      <c r="VZT46" s="87"/>
      <c r="VZU46" s="87"/>
      <c r="VZV46" s="87"/>
      <c r="VZW46" s="87"/>
      <c r="VZX46" s="87"/>
      <c r="VZY46" s="87"/>
      <c r="VZZ46" s="87"/>
      <c r="WAA46" s="87"/>
      <c r="WAB46" s="87"/>
      <c r="WAC46" s="87"/>
      <c r="WAD46" s="87"/>
      <c r="WAE46" s="87"/>
      <c r="WAF46" s="87"/>
      <c r="WAG46" s="87"/>
      <c r="WAH46" s="87"/>
      <c r="WAI46" s="87"/>
      <c r="WAJ46" s="87"/>
      <c r="WAK46" s="87"/>
      <c r="WAL46" s="87"/>
      <c r="WAM46" s="87"/>
      <c r="WAN46" s="87"/>
      <c r="WAO46" s="87"/>
      <c r="WAP46" s="87"/>
      <c r="WAQ46" s="87"/>
      <c r="WAR46" s="87"/>
      <c r="WAS46" s="87"/>
      <c r="WAT46" s="87"/>
      <c r="WAU46" s="87"/>
      <c r="WAV46" s="87"/>
      <c r="WAW46" s="87"/>
      <c r="WAX46" s="87"/>
      <c r="WAY46" s="87"/>
      <c r="WAZ46" s="87"/>
      <c r="WBA46" s="87"/>
      <c r="WBB46" s="87"/>
      <c r="WBC46" s="87"/>
      <c r="WBD46" s="87"/>
      <c r="WBE46" s="87"/>
      <c r="WBF46" s="87"/>
      <c r="WBG46" s="87"/>
      <c r="WBH46" s="87"/>
      <c r="WBI46" s="87"/>
      <c r="WBJ46" s="87"/>
      <c r="WBK46" s="87"/>
      <c r="WBL46" s="87"/>
      <c r="WBM46" s="87"/>
      <c r="WBN46" s="87"/>
      <c r="WBO46" s="87"/>
      <c r="WBP46" s="87"/>
      <c r="WBQ46" s="87"/>
      <c r="WBR46" s="87"/>
      <c r="WBS46" s="87"/>
      <c r="WBT46" s="87"/>
      <c r="WBU46" s="87"/>
      <c r="WBV46" s="87"/>
      <c r="WBW46" s="87"/>
      <c r="WBX46" s="87"/>
      <c r="WBY46" s="87"/>
      <c r="WBZ46" s="87"/>
      <c r="WCA46" s="87"/>
      <c r="WCB46" s="87"/>
      <c r="WCC46" s="87"/>
      <c r="WCD46" s="87"/>
      <c r="WCE46" s="87"/>
      <c r="WCF46" s="87"/>
      <c r="WCG46" s="87"/>
      <c r="WCH46" s="87"/>
      <c r="WCI46" s="87"/>
      <c r="WCJ46" s="87"/>
      <c r="WCK46" s="87"/>
      <c r="WCL46" s="87"/>
      <c r="WCM46" s="87"/>
      <c r="WCN46" s="87"/>
      <c r="WCO46" s="87"/>
      <c r="WCP46" s="87"/>
      <c r="WCQ46" s="87"/>
      <c r="WCR46" s="87"/>
      <c r="WCS46" s="87"/>
      <c r="WCT46" s="87"/>
      <c r="WCU46" s="87"/>
      <c r="WCV46" s="87"/>
      <c r="WCW46" s="87"/>
      <c r="WCX46" s="87"/>
      <c r="WCY46" s="87"/>
      <c r="WCZ46" s="87"/>
      <c r="WDA46" s="87"/>
      <c r="WDB46" s="87"/>
      <c r="WDC46" s="87"/>
      <c r="WDD46" s="87"/>
      <c r="WDE46" s="87"/>
      <c r="WDF46" s="87"/>
      <c r="WDG46" s="87"/>
      <c r="WDH46" s="87"/>
      <c r="WDI46" s="87"/>
      <c r="WDJ46" s="87"/>
      <c r="WDK46" s="87"/>
      <c r="WDL46" s="87"/>
      <c r="WDM46" s="87"/>
      <c r="WDN46" s="87"/>
      <c r="WDO46" s="87"/>
      <c r="WDP46" s="87"/>
      <c r="WDQ46" s="87"/>
      <c r="WDR46" s="87"/>
      <c r="WDS46" s="87"/>
      <c r="WDT46" s="87"/>
      <c r="WDU46" s="87"/>
      <c r="WDV46" s="87"/>
      <c r="WDW46" s="87"/>
      <c r="WDX46" s="87"/>
      <c r="WDY46" s="87"/>
      <c r="WDZ46" s="87"/>
      <c r="WEA46" s="87"/>
      <c r="WEB46" s="87"/>
      <c r="WEC46" s="87"/>
      <c r="WED46" s="87"/>
      <c r="WEE46" s="87"/>
      <c r="WEF46" s="87"/>
      <c r="WEG46" s="87"/>
      <c r="WEH46" s="87"/>
      <c r="WEI46" s="87"/>
      <c r="WEJ46" s="87"/>
      <c r="WEK46" s="87"/>
      <c r="WEL46" s="87"/>
      <c r="WEM46" s="87"/>
      <c r="WEN46" s="87"/>
      <c r="WEO46" s="87"/>
      <c r="WEP46" s="87"/>
      <c r="WEQ46" s="87"/>
      <c r="WER46" s="87"/>
      <c r="WES46" s="87"/>
      <c r="WET46" s="87"/>
      <c r="WEU46" s="87"/>
      <c r="WEV46" s="87"/>
      <c r="WEW46" s="87"/>
      <c r="WEX46" s="87"/>
      <c r="WEY46" s="87"/>
      <c r="WEZ46" s="87"/>
      <c r="WFA46" s="87"/>
      <c r="WFB46" s="87"/>
      <c r="WFC46" s="87"/>
      <c r="WFD46" s="87"/>
      <c r="WFE46" s="87"/>
      <c r="WFF46" s="87"/>
      <c r="WFG46" s="87"/>
      <c r="WFH46" s="87"/>
      <c r="WFI46" s="87"/>
      <c r="WFJ46" s="87"/>
      <c r="WFK46" s="87"/>
      <c r="WFL46" s="87"/>
      <c r="WFM46" s="87"/>
      <c r="WFN46" s="87"/>
      <c r="WFO46" s="87"/>
      <c r="WFP46" s="87"/>
      <c r="WFQ46" s="87"/>
      <c r="WFR46" s="87"/>
      <c r="WFS46" s="87"/>
      <c r="WFT46" s="87"/>
      <c r="WFU46" s="87"/>
      <c r="WFV46" s="87"/>
      <c r="WFW46" s="87"/>
      <c r="WFX46" s="87"/>
      <c r="WFY46" s="87"/>
      <c r="WFZ46" s="87"/>
      <c r="WGA46" s="87"/>
      <c r="WGB46" s="87"/>
      <c r="WGC46" s="87"/>
      <c r="WGD46" s="87"/>
      <c r="WGE46" s="87"/>
      <c r="WGF46" s="87"/>
      <c r="WGG46" s="87"/>
      <c r="WGH46" s="87"/>
      <c r="WGI46" s="87"/>
      <c r="WGJ46" s="87"/>
      <c r="WGK46" s="87"/>
      <c r="WGL46" s="87"/>
      <c r="WGM46" s="87"/>
      <c r="WGN46" s="87"/>
      <c r="WGO46" s="87"/>
      <c r="WGP46" s="87"/>
      <c r="WGQ46" s="87"/>
      <c r="WGR46" s="87"/>
      <c r="WGS46" s="87"/>
      <c r="WGT46" s="87"/>
      <c r="WGU46" s="87"/>
      <c r="WGV46" s="87"/>
      <c r="WGW46" s="87"/>
      <c r="WGX46" s="87"/>
      <c r="WGY46" s="87"/>
      <c r="WGZ46" s="87"/>
      <c r="WHA46" s="87"/>
      <c r="WHB46" s="87"/>
      <c r="WHC46" s="87"/>
      <c r="WHD46" s="87"/>
      <c r="WHE46" s="87"/>
      <c r="WHF46" s="87"/>
      <c r="WHG46" s="87"/>
      <c r="WHH46" s="87"/>
      <c r="WHI46" s="87"/>
      <c r="WHJ46" s="87"/>
      <c r="WHK46" s="87"/>
      <c r="WHL46" s="87"/>
      <c r="WHM46" s="87"/>
      <c r="WHN46" s="87"/>
      <c r="WHO46" s="87"/>
      <c r="WHP46" s="87"/>
      <c r="WHQ46" s="87"/>
      <c r="WHR46" s="87"/>
      <c r="WHS46" s="87"/>
      <c r="WHT46" s="87"/>
      <c r="WHU46" s="87"/>
      <c r="WHV46" s="87"/>
      <c r="WHW46" s="87"/>
      <c r="WHX46" s="87"/>
      <c r="WHY46" s="87"/>
      <c r="WHZ46" s="87"/>
      <c r="WIA46" s="87"/>
      <c r="WIB46" s="87"/>
      <c r="WIC46" s="87"/>
      <c r="WID46" s="87"/>
      <c r="WIE46" s="87"/>
      <c r="WIF46" s="87"/>
      <c r="WIG46" s="87"/>
      <c r="WIH46" s="87"/>
      <c r="WII46" s="87"/>
      <c r="WIJ46" s="87"/>
      <c r="WIK46" s="87"/>
      <c r="WIL46" s="87"/>
      <c r="WIM46" s="87"/>
      <c r="WIN46" s="87"/>
      <c r="WIO46" s="87"/>
      <c r="WIP46" s="87"/>
      <c r="WIQ46" s="87"/>
      <c r="WIR46" s="87"/>
      <c r="WIS46" s="87"/>
      <c r="WIT46" s="87"/>
      <c r="WIU46" s="87"/>
      <c r="WIV46" s="87"/>
      <c r="WIW46" s="87"/>
      <c r="WIX46" s="87"/>
      <c r="WIY46" s="87"/>
      <c r="WIZ46" s="87"/>
      <c r="WJA46" s="87"/>
      <c r="WJB46" s="87"/>
      <c r="WJC46" s="87"/>
      <c r="WJD46" s="87"/>
      <c r="WJE46" s="87"/>
      <c r="WJF46" s="87"/>
      <c r="WJG46" s="87"/>
      <c r="WJH46" s="87"/>
      <c r="WJI46" s="87"/>
      <c r="WJJ46" s="87"/>
      <c r="WJK46" s="87"/>
      <c r="WJL46" s="87"/>
      <c r="WJM46" s="87"/>
      <c r="WJN46" s="87"/>
      <c r="WJO46" s="87"/>
      <c r="WJP46" s="87"/>
      <c r="WJQ46" s="87"/>
      <c r="WJR46" s="87"/>
      <c r="WJS46" s="87"/>
      <c r="WJT46" s="87"/>
      <c r="WJU46" s="87"/>
      <c r="WJV46" s="87"/>
      <c r="WJW46" s="87"/>
      <c r="WJX46" s="87"/>
      <c r="WJY46" s="87"/>
      <c r="WJZ46" s="87"/>
      <c r="WKA46" s="87"/>
      <c r="WKB46" s="87"/>
      <c r="WKC46" s="87"/>
      <c r="WKD46" s="87"/>
      <c r="WKE46" s="87"/>
      <c r="WKF46" s="87"/>
      <c r="WKG46" s="87"/>
      <c r="WKH46" s="87"/>
      <c r="WKI46" s="87"/>
      <c r="WKJ46" s="87"/>
      <c r="WKK46" s="87"/>
      <c r="WKL46" s="87"/>
      <c r="WKM46" s="87"/>
      <c r="WKN46" s="87"/>
      <c r="WKO46" s="87"/>
      <c r="WKP46" s="87"/>
      <c r="WKQ46" s="87"/>
      <c r="WKR46" s="87"/>
      <c r="WKS46" s="87"/>
      <c r="WKT46" s="87"/>
      <c r="WKU46" s="87"/>
      <c r="WKV46" s="87"/>
      <c r="WKW46" s="87"/>
      <c r="WKX46" s="87"/>
      <c r="WKY46" s="87"/>
      <c r="WKZ46" s="87"/>
      <c r="WLA46" s="87"/>
      <c r="WLB46" s="87"/>
      <c r="WLC46" s="87"/>
      <c r="WLD46" s="87"/>
      <c r="WLE46" s="87"/>
      <c r="WLF46" s="87"/>
      <c r="WLG46" s="87"/>
      <c r="WLH46" s="87"/>
      <c r="WLI46" s="87"/>
      <c r="WLJ46" s="87"/>
      <c r="WLK46" s="87"/>
      <c r="WLL46" s="87"/>
      <c r="WLM46" s="87"/>
      <c r="WLN46" s="87"/>
      <c r="WLO46" s="87"/>
      <c r="WLP46" s="87"/>
      <c r="WLQ46" s="87"/>
      <c r="WLR46" s="87"/>
      <c r="WLS46" s="87"/>
      <c r="WLT46" s="87"/>
      <c r="WLU46" s="87"/>
      <c r="WLV46" s="87"/>
      <c r="WLW46" s="87"/>
      <c r="WLX46" s="87"/>
      <c r="WLY46" s="87"/>
      <c r="WLZ46" s="87"/>
      <c r="WMA46" s="87"/>
      <c r="WMB46" s="87"/>
      <c r="WMC46" s="87"/>
      <c r="WMD46" s="87"/>
      <c r="WME46" s="87"/>
      <c r="WMF46" s="87"/>
      <c r="WMG46" s="87"/>
      <c r="WMH46" s="87"/>
      <c r="WMI46" s="87"/>
      <c r="WMJ46" s="87"/>
      <c r="WMK46" s="87"/>
      <c r="WML46" s="87"/>
      <c r="WMM46" s="87"/>
      <c r="WMN46" s="87"/>
      <c r="WMO46" s="87"/>
      <c r="WMP46" s="87"/>
      <c r="WMQ46" s="87"/>
      <c r="WMR46" s="87"/>
      <c r="WMS46" s="87"/>
      <c r="WMT46" s="87"/>
      <c r="WMU46" s="87"/>
      <c r="WMV46" s="87"/>
      <c r="WMW46" s="87"/>
      <c r="WMX46" s="87"/>
      <c r="WMY46" s="87"/>
      <c r="WMZ46" s="87"/>
      <c r="WNA46" s="87"/>
      <c r="WNB46" s="87"/>
      <c r="WNC46" s="87"/>
      <c r="WND46" s="87"/>
      <c r="WNE46" s="87"/>
      <c r="WNF46" s="87"/>
      <c r="WNG46" s="87"/>
      <c r="WNH46" s="87"/>
      <c r="WNI46" s="87"/>
      <c r="WNJ46" s="87"/>
      <c r="WNK46" s="87"/>
      <c r="WNL46" s="87"/>
      <c r="WNM46" s="87"/>
      <c r="WNN46" s="87"/>
      <c r="WNO46" s="87"/>
      <c r="WNP46" s="87"/>
      <c r="WNQ46" s="87"/>
      <c r="WNR46" s="87"/>
      <c r="WNS46" s="87"/>
      <c r="WNT46" s="87"/>
      <c r="WNU46" s="87"/>
      <c r="WNV46" s="87"/>
      <c r="WNW46" s="87"/>
      <c r="WNX46" s="87"/>
      <c r="WNY46" s="87"/>
      <c r="WNZ46" s="87"/>
      <c r="WOA46" s="87"/>
      <c r="WOB46" s="87"/>
      <c r="WOC46" s="87"/>
      <c r="WOD46" s="87"/>
      <c r="WOE46" s="87"/>
      <c r="WOF46" s="87"/>
      <c r="WOG46" s="87"/>
      <c r="WOH46" s="87"/>
      <c r="WOI46" s="87"/>
      <c r="WOJ46" s="87"/>
      <c r="WOK46" s="87"/>
      <c r="WOL46" s="87"/>
      <c r="WOM46" s="87"/>
      <c r="WON46" s="87"/>
      <c r="WOO46" s="87"/>
      <c r="WOP46" s="87"/>
      <c r="WOQ46" s="87"/>
      <c r="WOR46" s="87"/>
      <c r="WOS46" s="87"/>
      <c r="WOT46" s="87"/>
      <c r="WOU46" s="87"/>
      <c r="WOV46" s="87"/>
      <c r="WOW46" s="87"/>
      <c r="WOX46" s="87"/>
      <c r="WOY46" s="87"/>
      <c r="WOZ46" s="87"/>
      <c r="WPA46" s="87"/>
      <c r="WPB46" s="87"/>
      <c r="WPC46" s="87"/>
      <c r="WPD46" s="87"/>
      <c r="WPE46" s="87"/>
      <c r="WPF46" s="87"/>
      <c r="WPG46" s="87"/>
      <c r="WPH46" s="87"/>
      <c r="WPI46" s="87"/>
      <c r="WPJ46" s="87"/>
      <c r="WPK46" s="87"/>
      <c r="WPL46" s="87"/>
      <c r="WPM46" s="87"/>
      <c r="WPN46" s="87"/>
      <c r="WPO46" s="87"/>
      <c r="WPP46" s="87"/>
      <c r="WPQ46" s="87"/>
      <c r="WPR46" s="87"/>
      <c r="WPS46" s="87"/>
      <c r="WPT46" s="87"/>
      <c r="WPU46" s="87"/>
      <c r="WPV46" s="87"/>
      <c r="WPW46" s="87"/>
      <c r="WPX46" s="87"/>
      <c r="WPY46" s="87"/>
      <c r="WPZ46" s="87"/>
      <c r="WQA46" s="87"/>
      <c r="WQB46" s="87"/>
      <c r="WQC46" s="87"/>
      <c r="WQD46" s="87"/>
      <c r="WQE46" s="87"/>
      <c r="WQF46" s="87"/>
      <c r="WQG46" s="87"/>
      <c r="WQH46" s="87"/>
      <c r="WQI46" s="87"/>
      <c r="WQJ46" s="87"/>
      <c r="WQK46" s="87"/>
      <c r="WQL46" s="87"/>
      <c r="WQM46" s="87"/>
      <c r="WQN46" s="87"/>
      <c r="WQO46" s="87"/>
      <c r="WQP46" s="87"/>
      <c r="WQQ46" s="87"/>
      <c r="WQR46" s="87"/>
      <c r="WQS46" s="87"/>
      <c r="WQT46" s="87"/>
      <c r="WQU46" s="87"/>
      <c r="WQV46" s="87"/>
      <c r="WQW46" s="87"/>
      <c r="WQX46" s="87"/>
      <c r="WQY46" s="87"/>
      <c r="WQZ46" s="87"/>
      <c r="WRA46" s="87"/>
      <c r="WRB46" s="87"/>
      <c r="WRC46" s="87"/>
      <c r="WRD46" s="87"/>
      <c r="WRE46" s="87"/>
      <c r="WRF46" s="87"/>
      <c r="WRG46" s="87"/>
      <c r="WRH46" s="87"/>
      <c r="WRI46" s="87"/>
      <c r="WRJ46" s="87"/>
      <c r="WRK46" s="87"/>
      <c r="WRL46" s="87"/>
      <c r="WRM46" s="87"/>
      <c r="WRN46" s="87"/>
      <c r="WRO46" s="87"/>
      <c r="WRP46" s="87"/>
      <c r="WRQ46" s="87"/>
      <c r="WRR46" s="87"/>
      <c r="WRS46" s="87"/>
      <c r="WRT46" s="87"/>
      <c r="WRU46" s="87"/>
      <c r="WRV46" s="87"/>
      <c r="WRW46" s="87"/>
      <c r="WRX46" s="87"/>
      <c r="WRY46" s="87"/>
      <c r="WRZ46" s="87"/>
      <c r="WSA46" s="87"/>
      <c r="WSB46" s="87"/>
      <c r="WSC46" s="87"/>
      <c r="WSD46" s="87"/>
      <c r="WSE46" s="87"/>
      <c r="WSF46" s="87"/>
      <c r="WSG46" s="87"/>
      <c r="WSH46" s="87"/>
      <c r="WSI46" s="87"/>
      <c r="WSJ46" s="87"/>
      <c r="WSK46" s="87"/>
      <c r="WSL46" s="87"/>
      <c r="WSM46" s="87"/>
      <c r="WSN46" s="87"/>
      <c r="WSO46" s="87"/>
      <c r="WSP46" s="87"/>
      <c r="WSQ46" s="87"/>
      <c r="WSR46" s="87"/>
      <c r="WSS46" s="87"/>
      <c r="WST46" s="87"/>
      <c r="WSU46" s="87"/>
      <c r="WSV46" s="87"/>
      <c r="WSW46" s="87"/>
      <c r="WSX46" s="87"/>
      <c r="WSY46" s="87"/>
      <c r="WSZ46" s="87"/>
      <c r="WTA46" s="87"/>
      <c r="WTB46" s="87"/>
      <c r="WTC46" s="87"/>
      <c r="WTD46" s="87"/>
      <c r="WTE46" s="87"/>
      <c r="WTF46" s="87"/>
      <c r="WTG46" s="87"/>
      <c r="WTH46" s="87"/>
      <c r="WTI46" s="87"/>
      <c r="WTJ46" s="87"/>
      <c r="WTK46" s="87"/>
      <c r="WTL46" s="87"/>
      <c r="WTM46" s="87"/>
      <c r="WTN46" s="87"/>
      <c r="WTO46" s="87"/>
      <c r="WTP46" s="87"/>
      <c r="WTQ46" s="87"/>
      <c r="WTR46" s="87"/>
      <c r="WTS46" s="87"/>
      <c r="WTT46" s="87"/>
      <c r="WTU46" s="87"/>
      <c r="WTV46" s="87"/>
      <c r="WTW46" s="87"/>
      <c r="WTX46" s="87"/>
      <c r="WTY46" s="87"/>
      <c r="WTZ46" s="87"/>
      <c r="WUA46" s="87"/>
      <c r="WUB46" s="87"/>
      <c r="WUC46" s="87"/>
      <c r="WUD46" s="87"/>
      <c r="WUE46" s="87"/>
      <c r="WUF46" s="87"/>
      <c r="WUG46" s="87"/>
      <c r="WUH46" s="87"/>
      <c r="WUI46" s="87"/>
      <c r="WUJ46" s="87"/>
      <c r="WUK46" s="87"/>
      <c r="WUL46" s="87"/>
      <c r="WUM46" s="87"/>
      <c r="WUN46" s="87"/>
      <c r="WUO46" s="87"/>
      <c r="WUP46" s="87"/>
      <c r="WUQ46" s="87"/>
      <c r="WUR46" s="87"/>
      <c r="WUS46" s="87"/>
      <c r="WUT46" s="87"/>
      <c r="WUU46" s="87"/>
      <c r="WUV46" s="87"/>
      <c r="WUW46" s="87"/>
      <c r="WUX46" s="87"/>
      <c r="WUY46" s="87"/>
      <c r="WUZ46" s="87"/>
      <c r="WVA46" s="87"/>
      <c r="WVB46" s="87"/>
      <c r="WVC46" s="87"/>
      <c r="WVD46" s="87"/>
      <c r="WVE46" s="87"/>
      <c r="WVF46" s="87"/>
      <c r="WVG46" s="87"/>
      <c r="WVH46" s="87"/>
      <c r="WVI46" s="87"/>
      <c r="WVJ46" s="87"/>
      <c r="WVK46" s="87"/>
      <c r="WVL46" s="87"/>
      <c r="WVM46" s="87"/>
      <c r="WVN46" s="87"/>
      <c r="WVO46" s="87"/>
      <c r="WVP46" s="87"/>
      <c r="WVQ46" s="87"/>
      <c r="WVR46" s="87"/>
      <c r="WVS46" s="87"/>
      <c r="WVT46" s="87"/>
      <c r="WVU46" s="87"/>
      <c r="WVV46" s="87"/>
      <c r="WVW46" s="87"/>
      <c r="WVX46" s="87"/>
      <c r="WVY46" s="87"/>
      <c r="WVZ46" s="87"/>
      <c r="WWA46" s="87"/>
      <c r="WWB46" s="87"/>
      <c r="WWC46" s="87"/>
      <c r="WWD46" s="87"/>
      <c r="WWE46" s="87"/>
      <c r="WWF46" s="87"/>
      <c r="WWG46" s="87"/>
      <c r="WWH46" s="87"/>
      <c r="WWI46" s="87"/>
      <c r="WWJ46" s="87"/>
      <c r="WWK46" s="87"/>
      <c r="WWL46" s="87"/>
      <c r="WWM46" s="87"/>
      <c r="WWN46" s="87"/>
      <c r="WWO46" s="87"/>
      <c r="WWP46" s="87"/>
      <c r="WWQ46" s="87"/>
      <c r="WWR46" s="87"/>
      <c r="WWS46" s="87"/>
      <c r="WWT46" s="87"/>
      <c r="WWU46" s="87"/>
      <c r="WWV46" s="87"/>
      <c r="WWW46" s="87"/>
      <c r="WWX46" s="87"/>
      <c r="WWY46" s="87"/>
      <c r="WWZ46" s="87"/>
      <c r="WXA46" s="87"/>
      <c r="WXB46" s="87"/>
      <c r="WXC46" s="87"/>
      <c r="WXD46" s="87"/>
      <c r="WXE46" s="87"/>
      <c r="WXF46" s="87"/>
      <c r="WXG46" s="87"/>
      <c r="WXH46" s="87"/>
      <c r="WXI46" s="87"/>
      <c r="WXJ46" s="87"/>
      <c r="WXK46" s="87"/>
      <c r="WXL46" s="87"/>
      <c r="WXM46" s="87"/>
      <c r="WXN46" s="87"/>
      <c r="WXO46" s="87"/>
      <c r="WXP46" s="87"/>
      <c r="WXQ46" s="87"/>
      <c r="WXR46" s="87"/>
      <c r="WXS46" s="87"/>
      <c r="WXT46" s="87"/>
      <c r="WXU46" s="87"/>
      <c r="WXV46" s="87"/>
      <c r="WXW46" s="87"/>
      <c r="WXX46" s="87"/>
      <c r="WXY46" s="87"/>
      <c r="WXZ46" s="87"/>
      <c r="WYA46" s="87"/>
      <c r="WYB46" s="87"/>
      <c r="WYC46" s="87"/>
      <c r="WYD46" s="87"/>
      <c r="WYE46" s="87"/>
      <c r="WYF46" s="87"/>
      <c r="WYG46" s="87"/>
      <c r="WYH46" s="87"/>
      <c r="WYI46" s="87"/>
      <c r="WYJ46" s="87"/>
      <c r="WYK46" s="87"/>
      <c r="WYL46" s="87"/>
      <c r="WYM46" s="87"/>
      <c r="WYN46" s="87"/>
      <c r="WYO46" s="87"/>
      <c r="WYP46" s="87"/>
      <c r="WYQ46" s="87"/>
      <c r="WYR46" s="87"/>
      <c r="WYS46" s="87"/>
      <c r="WYT46" s="87"/>
      <c r="WYU46" s="87"/>
      <c r="WYV46" s="87"/>
      <c r="WYW46" s="87"/>
      <c r="WYX46" s="87"/>
      <c r="WYY46" s="87"/>
      <c r="WYZ46" s="87"/>
      <c r="WZA46" s="87"/>
      <c r="WZB46" s="87"/>
      <c r="WZC46" s="87"/>
      <c r="WZD46" s="87"/>
      <c r="WZE46" s="87"/>
      <c r="WZF46" s="87"/>
      <c r="WZG46" s="87"/>
      <c r="WZH46" s="87"/>
      <c r="WZI46" s="87"/>
      <c r="WZJ46" s="87"/>
      <c r="WZK46" s="87"/>
      <c r="WZL46" s="87"/>
      <c r="WZM46" s="87"/>
      <c r="WZN46" s="87"/>
      <c r="WZO46" s="87"/>
      <c r="WZP46" s="87"/>
      <c r="WZQ46" s="87"/>
      <c r="WZR46" s="87"/>
      <c r="WZS46" s="87"/>
      <c r="WZT46" s="87"/>
      <c r="WZU46" s="87"/>
      <c r="WZV46" s="87"/>
      <c r="WZW46" s="87"/>
      <c r="WZX46" s="87"/>
      <c r="WZY46" s="87"/>
      <c r="WZZ46" s="87"/>
      <c r="XAA46" s="87"/>
      <c r="XAB46" s="87"/>
      <c r="XAC46" s="87"/>
      <c r="XAD46" s="87"/>
      <c r="XAE46" s="87"/>
      <c r="XAF46" s="87"/>
      <c r="XAG46" s="87"/>
      <c r="XAH46" s="87"/>
      <c r="XAI46" s="87"/>
      <c r="XAJ46" s="87"/>
      <c r="XAK46" s="87"/>
      <c r="XAL46" s="87"/>
      <c r="XAM46" s="87"/>
      <c r="XAN46" s="87"/>
      <c r="XAO46" s="87"/>
      <c r="XAP46" s="87"/>
      <c r="XAQ46" s="87"/>
      <c r="XAR46" s="87"/>
      <c r="XAS46" s="87"/>
      <c r="XAT46" s="87"/>
      <c r="XAU46" s="87"/>
      <c r="XAV46" s="87"/>
      <c r="XAW46" s="87"/>
      <c r="XAX46" s="87"/>
      <c r="XAY46" s="87"/>
      <c r="XAZ46" s="87"/>
      <c r="XBA46" s="87"/>
      <c r="XBB46" s="87"/>
      <c r="XBC46" s="87"/>
      <c r="XBD46" s="87"/>
      <c r="XBE46" s="87"/>
      <c r="XBF46" s="87"/>
      <c r="XBG46" s="87"/>
      <c r="XBH46" s="87"/>
      <c r="XBI46" s="87"/>
      <c r="XBJ46" s="87"/>
      <c r="XBK46" s="87"/>
      <c r="XBL46" s="87"/>
      <c r="XBM46" s="87"/>
      <c r="XBN46" s="87"/>
      <c r="XBO46" s="87"/>
      <c r="XBP46" s="87"/>
      <c r="XBQ46" s="87"/>
      <c r="XBR46" s="87"/>
      <c r="XBS46" s="87"/>
      <c r="XBT46" s="87"/>
      <c r="XBU46" s="87"/>
      <c r="XBV46" s="87"/>
      <c r="XBW46" s="87"/>
      <c r="XBX46" s="87"/>
      <c r="XBY46" s="87"/>
      <c r="XBZ46" s="87"/>
      <c r="XCA46" s="87"/>
      <c r="XCB46" s="87"/>
      <c r="XCC46" s="87"/>
      <c r="XCD46" s="87"/>
      <c r="XCE46" s="87"/>
      <c r="XCF46" s="87"/>
      <c r="XCG46" s="87"/>
      <c r="XCH46" s="87"/>
      <c r="XCI46" s="87"/>
      <c r="XCJ46" s="87"/>
      <c r="XCK46" s="87"/>
      <c r="XCL46" s="87"/>
      <c r="XCM46" s="87"/>
      <c r="XCN46" s="87"/>
      <c r="XCO46" s="87"/>
      <c r="XCP46" s="87"/>
      <c r="XCQ46" s="87"/>
      <c r="XCR46" s="87"/>
      <c r="XCS46" s="87"/>
      <c r="XCT46" s="87"/>
      <c r="XCU46" s="87"/>
      <c r="XCV46" s="87"/>
    </row>
    <row r="47" spans="1:16324" ht="25">
      <c r="A47" s="102">
        <v>11</v>
      </c>
      <c r="B47" s="94">
        <v>80</v>
      </c>
      <c r="C47" s="103" t="s">
        <v>1073</v>
      </c>
      <c r="D47" s="100" t="s">
        <v>1074</v>
      </c>
      <c r="E47" s="95">
        <v>380</v>
      </c>
      <c r="F47" s="19" t="s">
        <v>580</v>
      </c>
      <c r="G47" s="96">
        <v>1.5</v>
      </c>
      <c r="H47" s="96">
        <f t="shared" si="328"/>
        <v>3.1653903812649409</v>
      </c>
      <c r="I47" s="95">
        <v>1</v>
      </c>
      <c r="J47" s="96">
        <v>0.9</v>
      </c>
      <c r="K47" s="96">
        <f t="shared" si="329"/>
        <v>0.48</v>
      </c>
      <c r="L47" s="97">
        <f t="shared" si="330"/>
        <v>1.5</v>
      </c>
      <c r="M47" s="97">
        <f t="shared" si="331"/>
        <v>0.72</v>
      </c>
      <c r="N47" s="97">
        <f t="shared" si="332"/>
        <v>2.25</v>
      </c>
      <c r="O47" s="97"/>
      <c r="P47" s="97"/>
      <c r="Q47" s="97"/>
      <c r="R47" s="97"/>
      <c r="S47" s="97"/>
      <c r="T47" s="97"/>
      <c r="U47" s="86"/>
      <c r="V47" s="86"/>
      <c r="W47" s="116"/>
      <c r="X47" s="87"/>
      <c r="Y47" s="87"/>
      <c r="Z47" s="87"/>
      <c r="AA47" s="87"/>
      <c r="AB47" s="87"/>
      <c r="AC47" s="87"/>
      <c r="AD47" s="87"/>
      <c r="AE47" s="88"/>
      <c r="AF47" s="87"/>
      <c r="AG47" s="87"/>
      <c r="AH47" s="87"/>
      <c r="AI47" s="2"/>
      <c r="BQ47" s="89"/>
      <c r="BR47" s="89"/>
      <c r="BS47" s="89"/>
      <c r="BT47" s="89"/>
      <c r="BU47" s="85"/>
      <c r="BV47" s="90"/>
      <c r="BW47" s="90"/>
      <c r="BX47" s="91"/>
      <c r="BY47" s="92"/>
      <c r="BZ47" s="91"/>
      <c r="CA47" s="87"/>
      <c r="CB47" s="87"/>
      <c r="CC47" s="87"/>
      <c r="CD47" s="87"/>
      <c r="CE47" s="87"/>
      <c r="CF47" s="87"/>
      <c r="CG47" s="87"/>
      <c r="CH47" s="87"/>
      <c r="CI47" s="87"/>
      <c r="CJ47" s="87"/>
      <c r="CK47" s="87"/>
      <c r="CL47" s="87"/>
      <c r="CM47" s="87"/>
      <c r="CN47" s="87"/>
      <c r="CO47" s="87"/>
      <c r="CP47" s="87"/>
      <c r="CQ47" s="87"/>
      <c r="CR47" s="87"/>
      <c r="CS47" s="87"/>
      <c r="CT47" s="87"/>
      <c r="CU47" s="87"/>
      <c r="CV47" s="87"/>
      <c r="CW47" s="87"/>
      <c r="CX47" s="87"/>
      <c r="CY47" s="87"/>
      <c r="CZ47" s="87"/>
      <c r="DA47" s="87"/>
      <c r="DB47" s="87"/>
      <c r="DC47" s="87"/>
      <c r="DD47" s="87"/>
      <c r="DE47" s="87"/>
      <c r="DF47" s="87"/>
      <c r="DG47" s="87"/>
      <c r="DH47" s="87"/>
      <c r="DI47" s="87"/>
      <c r="DJ47" s="87"/>
      <c r="DK47" s="87"/>
      <c r="DL47" s="87"/>
      <c r="DM47" s="87"/>
      <c r="DN47" s="87"/>
      <c r="DO47" s="87"/>
      <c r="DP47" s="87"/>
      <c r="DQ47" s="87"/>
      <c r="DR47" s="87"/>
      <c r="DS47" s="87"/>
      <c r="DT47" s="87"/>
      <c r="DU47" s="87"/>
      <c r="DV47" s="87"/>
      <c r="DW47" s="87"/>
      <c r="DX47" s="87"/>
      <c r="DY47" s="87"/>
      <c r="DZ47" s="87"/>
      <c r="EA47" s="87"/>
      <c r="EB47" s="87"/>
      <c r="EC47" s="87"/>
      <c r="ED47" s="87"/>
      <c r="EE47" s="87"/>
      <c r="EF47" s="87"/>
      <c r="EG47" s="87"/>
      <c r="EH47" s="87"/>
      <c r="EI47" s="87"/>
      <c r="EJ47" s="87"/>
      <c r="EK47" s="87"/>
      <c r="EL47" s="87"/>
      <c r="EM47" s="87"/>
      <c r="EN47" s="87"/>
      <c r="EO47" s="87"/>
      <c r="EP47" s="87"/>
      <c r="EQ47" s="87"/>
      <c r="ER47" s="87"/>
      <c r="ES47" s="87"/>
      <c r="ET47" s="87"/>
      <c r="EU47" s="87"/>
      <c r="EV47" s="87"/>
      <c r="EW47" s="87"/>
      <c r="EX47" s="87"/>
      <c r="EY47" s="87"/>
      <c r="EZ47" s="87"/>
      <c r="FA47" s="87"/>
      <c r="FB47" s="87"/>
      <c r="FC47" s="87"/>
      <c r="FD47" s="87"/>
      <c r="FE47" s="87"/>
      <c r="FF47" s="87"/>
      <c r="FG47" s="87"/>
      <c r="FH47" s="87"/>
      <c r="FI47" s="87"/>
      <c r="FJ47" s="87"/>
      <c r="FK47" s="87"/>
      <c r="FL47" s="87"/>
      <c r="FM47" s="87"/>
      <c r="FN47" s="87"/>
      <c r="FO47" s="87"/>
      <c r="FP47" s="87"/>
      <c r="FQ47" s="87"/>
      <c r="FR47" s="87"/>
      <c r="FS47" s="87"/>
      <c r="FT47" s="87"/>
      <c r="FU47" s="87"/>
      <c r="FV47" s="87"/>
      <c r="FW47" s="87"/>
      <c r="FX47" s="87"/>
      <c r="FY47" s="87"/>
      <c r="FZ47" s="87"/>
      <c r="GA47" s="87"/>
      <c r="GB47" s="87"/>
      <c r="GC47" s="87"/>
      <c r="GD47" s="87"/>
      <c r="GE47" s="87"/>
      <c r="GF47" s="87"/>
      <c r="GG47" s="87"/>
      <c r="GH47" s="87"/>
      <c r="GI47" s="87"/>
      <c r="GJ47" s="87"/>
      <c r="GK47" s="87"/>
      <c r="GL47" s="87"/>
      <c r="GM47" s="87"/>
      <c r="GN47" s="87"/>
      <c r="GO47" s="87"/>
      <c r="GP47" s="87"/>
      <c r="GQ47" s="87"/>
      <c r="GR47" s="87"/>
      <c r="GS47" s="87"/>
      <c r="GT47" s="87"/>
      <c r="GU47" s="87"/>
      <c r="GV47" s="87"/>
      <c r="GW47" s="87"/>
      <c r="GX47" s="87"/>
      <c r="GY47" s="87"/>
      <c r="GZ47" s="87"/>
      <c r="HA47" s="87"/>
      <c r="HB47" s="87"/>
      <c r="HC47" s="87"/>
      <c r="HD47" s="87"/>
      <c r="HE47" s="87"/>
      <c r="HF47" s="87"/>
      <c r="HG47" s="87"/>
      <c r="HH47" s="87"/>
      <c r="HI47" s="87"/>
      <c r="HJ47" s="87"/>
      <c r="HK47" s="87"/>
      <c r="HL47" s="87"/>
      <c r="HM47" s="87"/>
      <c r="HN47" s="87"/>
      <c r="HO47" s="87"/>
      <c r="HP47" s="87"/>
      <c r="HQ47" s="87"/>
      <c r="HR47" s="87"/>
      <c r="HS47" s="87"/>
      <c r="HT47" s="87"/>
      <c r="HU47" s="87"/>
      <c r="HV47" s="87"/>
      <c r="HW47" s="87"/>
      <c r="HX47" s="87"/>
      <c r="HY47" s="87"/>
      <c r="HZ47" s="87"/>
      <c r="IA47" s="87"/>
      <c r="IB47" s="87"/>
      <c r="IC47" s="87"/>
      <c r="ID47" s="87"/>
      <c r="IE47" s="87"/>
      <c r="IF47" s="87"/>
      <c r="IG47" s="87"/>
      <c r="IH47" s="87"/>
      <c r="II47" s="87"/>
      <c r="IJ47" s="87"/>
      <c r="IK47" s="87"/>
      <c r="IL47" s="87"/>
      <c r="IM47" s="87"/>
      <c r="IN47" s="87"/>
      <c r="IO47" s="87"/>
      <c r="IP47" s="87"/>
      <c r="IQ47" s="87"/>
      <c r="IR47" s="87"/>
      <c r="IS47" s="87"/>
      <c r="IT47" s="87"/>
      <c r="IU47" s="87"/>
      <c r="IV47" s="87"/>
      <c r="IW47" s="87"/>
      <c r="IX47" s="87"/>
      <c r="IY47" s="87"/>
      <c r="IZ47" s="87"/>
      <c r="JA47" s="87"/>
      <c r="JB47" s="87"/>
      <c r="JC47" s="87"/>
      <c r="JD47" s="87"/>
      <c r="JE47" s="87"/>
      <c r="JF47" s="87"/>
      <c r="JG47" s="87"/>
      <c r="JH47" s="87"/>
      <c r="JI47" s="87"/>
      <c r="JJ47" s="87"/>
      <c r="JK47" s="87"/>
      <c r="JL47" s="87"/>
      <c r="JM47" s="87"/>
      <c r="JN47" s="87"/>
      <c r="JO47" s="87"/>
      <c r="JP47" s="87"/>
      <c r="JQ47" s="87"/>
      <c r="JR47" s="87"/>
      <c r="JS47" s="87"/>
      <c r="JT47" s="87"/>
      <c r="JU47" s="87"/>
      <c r="JV47" s="87"/>
      <c r="JW47" s="87"/>
      <c r="JX47" s="87"/>
      <c r="JY47" s="87"/>
      <c r="JZ47" s="87"/>
      <c r="KA47" s="87"/>
      <c r="KB47" s="87"/>
      <c r="KC47" s="87"/>
      <c r="KD47" s="87"/>
      <c r="KE47" s="87"/>
      <c r="KF47" s="87"/>
      <c r="KG47" s="87"/>
      <c r="KH47" s="87"/>
      <c r="KI47" s="87"/>
      <c r="KJ47" s="87"/>
      <c r="KK47" s="87"/>
      <c r="KL47" s="87"/>
      <c r="KM47" s="87"/>
      <c r="KN47" s="87"/>
      <c r="KO47" s="87"/>
      <c r="KP47" s="87"/>
      <c r="KQ47" s="87"/>
      <c r="KR47" s="87"/>
      <c r="KS47" s="87"/>
      <c r="KT47" s="87"/>
      <c r="KU47" s="87"/>
      <c r="KV47" s="87"/>
      <c r="KW47" s="87"/>
      <c r="KX47" s="87"/>
      <c r="KY47" s="87"/>
      <c r="KZ47" s="87"/>
      <c r="LA47" s="87"/>
      <c r="LB47" s="87"/>
      <c r="LC47" s="87"/>
      <c r="LD47" s="87"/>
      <c r="LE47" s="87"/>
      <c r="LF47" s="87"/>
      <c r="LG47" s="87"/>
      <c r="LH47" s="87"/>
      <c r="LI47" s="87"/>
      <c r="LJ47" s="87"/>
      <c r="LK47" s="87"/>
      <c r="LL47" s="87"/>
      <c r="LM47" s="87"/>
      <c r="LN47" s="87"/>
      <c r="LO47" s="87"/>
      <c r="LP47" s="87"/>
      <c r="LQ47" s="87"/>
      <c r="LR47" s="87"/>
      <c r="LS47" s="87"/>
      <c r="LT47" s="87"/>
      <c r="LU47" s="87"/>
      <c r="LV47" s="87"/>
      <c r="LW47" s="87"/>
      <c r="LX47" s="87"/>
      <c r="LY47" s="87"/>
      <c r="LZ47" s="87"/>
      <c r="MA47" s="87"/>
      <c r="MB47" s="87"/>
      <c r="MC47" s="87"/>
      <c r="MD47" s="87"/>
      <c r="ME47" s="87"/>
      <c r="MF47" s="87"/>
      <c r="MG47" s="87"/>
      <c r="MH47" s="87"/>
      <c r="MI47" s="87"/>
      <c r="MJ47" s="87"/>
      <c r="MK47" s="87"/>
      <c r="ML47" s="87"/>
      <c r="MM47" s="87"/>
      <c r="MN47" s="87"/>
      <c r="MO47" s="87"/>
      <c r="MP47" s="87"/>
      <c r="MQ47" s="87"/>
      <c r="MR47" s="87"/>
      <c r="MS47" s="87"/>
      <c r="MT47" s="87"/>
      <c r="MU47" s="87"/>
      <c r="MV47" s="87"/>
      <c r="MW47" s="87"/>
      <c r="MX47" s="87"/>
      <c r="MY47" s="87"/>
      <c r="MZ47" s="87"/>
      <c r="NA47" s="87"/>
      <c r="NB47" s="87"/>
      <c r="NC47" s="87"/>
      <c r="ND47" s="87"/>
      <c r="NE47" s="87"/>
      <c r="NF47" s="87"/>
      <c r="NG47" s="87"/>
      <c r="NH47" s="87"/>
      <c r="NI47" s="87"/>
      <c r="NJ47" s="87"/>
      <c r="NK47" s="87"/>
      <c r="NL47" s="87"/>
      <c r="NM47" s="87"/>
      <c r="NN47" s="87"/>
      <c r="NO47" s="87"/>
      <c r="NP47" s="87"/>
      <c r="NQ47" s="87"/>
      <c r="NR47" s="87"/>
      <c r="NS47" s="87"/>
      <c r="NT47" s="87"/>
      <c r="NU47" s="87"/>
      <c r="NV47" s="87"/>
      <c r="NW47" s="87"/>
      <c r="NX47" s="87"/>
      <c r="NY47" s="87"/>
      <c r="NZ47" s="87"/>
      <c r="OA47" s="87"/>
      <c r="OB47" s="87"/>
      <c r="OC47" s="87"/>
      <c r="OD47" s="87"/>
      <c r="OE47" s="87"/>
      <c r="OF47" s="87"/>
      <c r="OG47" s="87"/>
      <c r="OH47" s="87"/>
      <c r="OI47" s="87"/>
      <c r="OJ47" s="87"/>
      <c r="OK47" s="87"/>
      <c r="OL47" s="87"/>
      <c r="OM47" s="87"/>
      <c r="ON47" s="87"/>
      <c r="OO47" s="87"/>
      <c r="OP47" s="87"/>
      <c r="OQ47" s="87"/>
      <c r="OR47" s="87"/>
      <c r="OS47" s="87"/>
      <c r="OT47" s="87"/>
      <c r="OU47" s="87"/>
      <c r="OV47" s="87"/>
      <c r="OW47" s="87"/>
      <c r="OX47" s="87"/>
      <c r="OY47" s="87"/>
      <c r="OZ47" s="87"/>
      <c r="PA47" s="87"/>
      <c r="PB47" s="87"/>
      <c r="PC47" s="87"/>
      <c r="PD47" s="87"/>
      <c r="PE47" s="87"/>
      <c r="PF47" s="87"/>
      <c r="PG47" s="87"/>
      <c r="PH47" s="87"/>
      <c r="PI47" s="87"/>
      <c r="PJ47" s="87"/>
      <c r="PK47" s="87"/>
      <c r="PL47" s="87"/>
      <c r="PM47" s="87"/>
      <c r="PN47" s="87"/>
      <c r="PO47" s="87"/>
      <c r="PP47" s="87"/>
      <c r="PQ47" s="87"/>
      <c r="PR47" s="87"/>
      <c r="PS47" s="87"/>
      <c r="PT47" s="87"/>
      <c r="PU47" s="87"/>
      <c r="PV47" s="87"/>
      <c r="PW47" s="87"/>
      <c r="PX47" s="87"/>
      <c r="PY47" s="87"/>
      <c r="PZ47" s="87"/>
      <c r="QA47" s="87"/>
      <c r="QB47" s="87"/>
      <c r="QC47" s="87"/>
      <c r="QD47" s="87"/>
      <c r="QE47" s="87"/>
      <c r="QF47" s="87"/>
      <c r="QG47" s="87"/>
      <c r="QH47" s="87"/>
      <c r="QI47" s="87"/>
      <c r="QJ47" s="87"/>
      <c r="QK47" s="87"/>
      <c r="QL47" s="87"/>
      <c r="QM47" s="87"/>
      <c r="QN47" s="87"/>
      <c r="QO47" s="87"/>
      <c r="QP47" s="87"/>
      <c r="QQ47" s="87"/>
      <c r="QR47" s="87"/>
      <c r="QS47" s="87"/>
      <c r="QT47" s="87"/>
      <c r="QU47" s="87"/>
      <c r="QV47" s="87"/>
      <c r="QW47" s="87"/>
      <c r="QX47" s="87"/>
      <c r="QY47" s="87"/>
      <c r="QZ47" s="87"/>
      <c r="RA47" s="87"/>
      <c r="RB47" s="87"/>
      <c r="RC47" s="87"/>
      <c r="RD47" s="87"/>
      <c r="RE47" s="87"/>
      <c r="RF47" s="87"/>
      <c r="RG47" s="87"/>
      <c r="RH47" s="87"/>
      <c r="RI47" s="87"/>
      <c r="RJ47" s="87"/>
      <c r="RK47" s="87"/>
      <c r="RL47" s="87"/>
      <c r="RM47" s="87"/>
      <c r="RN47" s="87"/>
      <c r="RO47" s="87"/>
      <c r="RP47" s="87"/>
      <c r="RQ47" s="87"/>
      <c r="RR47" s="87"/>
      <c r="RS47" s="87"/>
      <c r="RT47" s="87"/>
      <c r="RU47" s="87"/>
      <c r="RV47" s="87"/>
      <c r="RW47" s="87"/>
      <c r="RX47" s="87"/>
      <c r="RY47" s="87"/>
      <c r="RZ47" s="87"/>
      <c r="SA47" s="87"/>
      <c r="SB47" s="87"/>
      <c r="SC47" s="87"/>
      <c r="SD47" s="87"/>
      <c r="SE47" s="87"/>
      <c r="SF47" s="87"/>
      <c r="SG47" s="87"/>
      <c r="SH47" s="87"/>
      <c r="SI47" s="87"/>
      <c r="SJ47" s="87"/>
      <c r="SK47" s="87"/>
      <c r="SL47" s="87"/>
      <c r="SM47" s="87"/>
      <c r="SN47" s="87"/>
      <c r="SO47" s="87"/>
      <c r="SP47" s="87"/>
      <c r="SQ47" s="87"/>
      <c r="SR47" s="87"/>
      <c r="SS47" s="87"/>
      <c r="ST47" s="87"/>
      <c r="SU47" s="87"/>
      <c r="SV47" s="87"/>
      <c r="SW47" s="87"/>
      <c r="SX47" s="87"/>
      <c r="SY47" s="87"/>
      <c r="SZ47" s="87"/>
      <c r="TA47" s="87"/>
      <c r="TB47" s="87"/>
      <c r="TC47" s="87"/>
      <c r="TD47" s="87"/>
      <c r="TE47" s="87"/>
      <c r="TF47" s="87"/>
      <c r="TG47" s="87"/>
      <c r="TH47" s="87"/>
      <c r="TI47" s="87"/>
      <c r="TJ47" s="87"/>
      <c r="TK47" s="87"/>
      <c r="TL47" s="87"/>
      <c r="TM47" s="87"/>
      <c r="TN47" s="87"/>
      <c r="TO47" s="87"/>
      <c r="TP47" s="87"/>
      <c r="TQ47" s="87"/>
      <c r="TR47" s="87"/>
      <c r="TS47" s="87"/>
      <c r="TT47" s="87"/>
      <c r="TU47" s="87"/>
      <c r="TV47" s="87"/>
      <c r="TW47" s="87"/>
      <c r="TX47" s="87"/>
      <c r="TY47" s="87"/>
      <c r="TZ47" s="87"/>
      <c r="UA47" s="87"/>
      <c r="UB47" s="87"/>
      <c r="UC47" s="87"/>
      <c r="UD47" s="87"/>
      <c r="UE47" s="87"/>
      <c r="UF47" s="87"/>
      <c r="UG47" s="87"/>
      <c r="UH47" s="87"/>
      <c r="UI47" s="87"/>
      <c r="UJ47" s="87"/>
      <c r="UK47" s="87"/>
      <c r="UL47" s="87"/>
      <c r="UM47" s="87"/>
      <c r="UN47" s="87"/>
      <c r="UO47" s="87"/>
      <c r="UP47" s="87"/>
      <c r="UQ47" s="87"/>
      <c r="UR47" s="87"/>
      <c r="US47" s="87"/>
      <c r="UT47" s="87"/>
      <c r="UU47" s="87"/>
      <c r="UV47" s="87"/>
      <c r="UW47" s="87"/>
      <c r="UX47" s="87"/>
      <c r="UY47" s="87"/>
      <c r="UZ47" s="87"/>
      <c r="VA47" s="87"/>
      <c r="VB47" s="87"/>
      <c r="VC47" s="87"/>
      <c r="VD47" s="87"/>
      <c r="VE47" s="87"/>
      <c r="VF47" s="87"/>
      <c r="VG47" s="87"/>
      <c r="VH47" s="87"/>
      <c r="VI47" s="87"/>
      <c r="VJ47" s="87"/>
      <c r="VK47" s="87"/>
      <c r="VL47" s="87"/>
      <c r="VM47" s="87"/>
      <c r="VN47" s="87"/>
      <c r="VO47" s="87"/>
      <c r="VP47" s="87"/>
      <c r="VQ47" s="87"/>
      <c r="VR47" s="87"/>
      <c r="VS47" s="87"/>
      <c r="VT47" s="87"/>
      <c r="VU47" s="87"/>
      <c r="VV47" s="87"/>
      <c r="VW47" s="87"/>
      <c r="VX47" s="87"/>
      <c r="VY47" s="87"/>
      <c r="VZ47" s="87"/>
      <c r="WA47" s="87"/>
      <c r="WB47" s="87"/>
      <c r="WC47" s="87"/>
      <c r="WD47" s="87"/>
      <c r="WE47" s="87"/>
      <c r="WF47" s="87"/>
      <c r="WG47" s="87"/>
      <c r="WH47" s="87"/>
      <c r="WI47" s="87"/>
      <c r="WJ47" s="87"/>
      <c r="WK47" s="87"/>
      <c r="WL47" s="87"/>
      <c r="WM47" s="87"/>
      <c r="WN47" s="87"/>
      <c r="WO47" s="87"/>
      <c r="WP47" s="87"/>
      <c r="WQ47" s="87"/>
      <c r="WR47" s="87"/>
      <c r="WS47" s="87"/>
      <c r="WT47" s="87"/>
      <c r="WU47" s="87"/>
      <c r="WV47" s="87"/>
      <c r="WW47" s="87"/>
      <c r="WX47" s="87"/>
      <c r="WY47" s="87"/>
      <c r="WZ47" s="87"/>
      <c r="XA47" s="87"/>
      <c r="XB47" s="87"/>
      <c r="XC47" s="87"/>
      <c r="XD47" s="87"/>
      <c r="XE47" s="87"/>
      <c r="XF47" s="87"/>
      <c r="XG47" s="87"/>
      <c r="XH47" s="87"/>
      <c r="XI47" s="87"/>
      <c r="XJ47" s="87"/>
      <c r="XK47" s="87"/>
      <c r="XL47" s="87"/>
      <c r="XM47" s="87"/>
      <c r="XN47" s="87"/>
      <c r="XO47" s="87"/>
      <c r="XP47" s="87"/>
      <c r="XQ47" s="87"/>
      <c r="XR47" s="87"/>
      <c r="XS47" s="87"/>
      <c r="XT47" s="87"/>
      <c r="XU47" s="87"/>
      <c r="XV47" s="87"/>
      <c r="XW47" s="87"/>
      <c r="XX47" s="87"/>
      <c r="XY47" s="87"/>
      <c r="XZ47" s="87"/>
      <c r="YA47" s="87"/>
      <c r="YB47" s="87"/>
      <c r="YC47" s="87"/>
      <c r="YD47" s="87"/>
      <c r="YE47" s="87"/>
      <c r="YF47" s="87"/>
      <c r="YG47" s="87"/>
      <c r="YH47" s="87"/>
      <c r="YI47" s="87"/>
      <c r="YJ47" s="87"/>
      <c r="YK47" s="87"/>
      <c r="YL47" s="87"/>
      <c r="YM47" s="87"/>
      <c r="YN47" s="87"/>
      <c r="YO47" s="87"/>
      <c r="YP47" s="87"/>
      <c r="YQ47" s="87"/>
      <c r="YR47" s="87"/>
      <c r="YS47" s="87"/>
      <c r="YT47" s="87"/>
      <c r="YU47" s="87"/>
      <c r="YV47" s="87"/>
      <c r="YW47" s="87"/>
      <c r="YX47" s="87"/>
      <c r="YY47" s="87"/>
      <c r="YZ47" s="87"/>
      <c r="ZA47" s="87"/>
      <c r="ZB47" s="87"/>
      <c r="ZC47" s="87"/>
      <c r="ZD47" s="87"/>
      <c r="ZE47" s="87"/>
      <c r="ZF47" s="87"/>
      <c r="ZG47" s="87"/>
      <c r="ZH47" s="87"/>
      <c r="ZI47" s="87"/>
      <c r="ZJ47" s="87"/>
      <c r="ZK47" s="87"/>
      <c r="ZL47" s="87"/>
      <c r="ZM47" s="87"/>
      <c r="ZN47" s="87"/>
      <c r="ZO47" s="87"/>
      <c r="ZP47" s="87"/>
      <c r="ZQ47" s="87"/>
      <c r="ZR47" s="87"/>
      <c r="ZS47" s="87"/>
      <c r="ZT47" s="87"/>
      <c r="ZU47" s="87"/>
      <c r="ZV47" s="87"/>
      <c r="ZW47" s="87"/>
      <c r="ZX47" s="87"/>
      <c r="ZY47" s="87"/>
      <c r="ZZ47" s="87"/>
      <c r="AAA47" s="87"/>
      <c r="AAB47" s="87"/>
      <c r="AAC47" s="87"/>
      <c r="AAD47" s="87"/>
      <c r="AAE47" s="87"/>
      <c r="AAF47" s="87"/>
      <c r="AAG47" s="87"/>
      <c r="AAH47" s="87"/>
      <c r="AAI47" s="87"/>
      <c r="AAJ47" s="87"/>
      <c r="AAK47" s="87"/>
      <c r="AAL47" s="87"/>
      <c r="AAM47" s="87"/>
      <c r="AAN47" s="87"/>
      <c r="AAO47" s="87"/>
      <c r="AAP47" s="87"/>
      <c r="AAQ47" s="87"/>
      <c r="AAR47" s="87"/>
      <c r="AAS47" s="87"/>
      <c r="AAT47" s="87"/>
      <c r="AAU47" s="87"/>
      <c r="AAV47" s="87"/>
      <c r="AAW47" s="87"/>
      <c r="AAX47" s="87"/>
      <c r="AAY47" s="87"/>
      <c r="AAZ47" s="87"/>
      <c r="ABA47" s="87"/>
      <c r="ABB47" s="87"/>
      <c r="ABC47" s="87"/>
      <c r="ABD47" s="87"/>
      <c r="ABE47" s="87"/>
      <c r="ABF47" s="87"/>
      <c r="ABG47" s="87"/>
      <c r="ABH47" s="87"/>
      <c r="ABI47" s="87"/>
      <c r="ABJ47" s="87"/>
      <c r="ABK47" s="87"/>
      <c r="ABL47" s="87"/>
      <c r="ABM47" s="87"/>
      <c r="ABN47" s="87"/>
      <c r="ABO47" s="87"/>
      <c r="ABP47" s="87"/>
      <c r="ABQ47" s="87"/>
      <c r="ABR47" s="87"/>
      <c r="ABS47" s="87"/>
      <c r="ABT47" s="87"/>
      <c r="ABU47" s="87"/>
      <c r="ABV47" s="87"/>
      <c r="ABW47" s="87"/>
      <c r="ABX47" s="87"/>
      <c r="ABY47" s="87"/>
      <c r="ABZ47" s="87"/>
      <c r="ACA47" s="87"/>
      <c r="ACB47" s="87"/>
      <c r="ACC47" s="87"/>
      <c r="ACD47" s="87"/>
      <c r="ACE47" s="87"/>
      <c r="ACF47" s="87"/>
      <c r="ACG47" s="87"/>
      <c r="ACH47" s="87"/>
      <c r="ACI47" s="87"/>
      <c r="ACJ47" s="87"/>
      <c r="ACK47" s="87"/>
      <c r="ACL47" s="87"/>
      <c r="ACM47" s="87"/>
      <c r="ACN47" s="87"/>
      <c r="ACO47" s="87"/>
      <c r="ACP47" s="87"/>
      <c r="ACQ47" s="87"/>
      <c r="ACR47" s="87"/>
      <c r="ACS47" s="87"/>
      <c r="ACT47" s="87"/>
      <c r="ACU47" s="87"/>
      <c r="ACV47" s="87"/>
      <c r="ACW47" s="87"/>
      <c r="ACX47" s="87"/>
      <c r="ACY47" s="87"/>
      <c r="ACZ47" s="87"/>
      <c r="ADA47" s="87"/>
      <c r="ADB47" s="87"/>
      <c r="ADC47" s="87"/>
      <c r="ADD47" s="87"/>
      <c r="ADE47" s="87"/>
      <c r="ADF47" s="87"/>
      <c r="ADG47" s="87"/>
      <c r="ADH47" s="87"/>
      <c r="ADI47" s="87"/>
      <c r="ADJ47" s="87"/>
      <c r="ADK47" s="87"/>
      <c r="ADL47" s="87"/>
      <c r="ADM47" s="87"/>
      <c r="ADN47" s="87"/>
      <c r="ADO47" s="87"/>
      <c r="ADP47" s="87"/>
      <c r="ADQ47" s="87"/>
      <c r="ADR47" s="87"/>
      <c r="ADS47" s="87"/>
      <c r="ADT47" s="87"/>
      <c r="ADU47" s="87"/>
      <c r="ADV47" s="87"/>
      <c r="ADW47" s="87"/>
      <c r="ADX47" s="87"/>
      <c r="ADY47" s="87"/>
      <c r="ADZ47" s="87"/>
      <c r="AEA47" s="87"/>
      <c r="AEB47" s="87"/>
      <c r="AEC47" s="87"/>
      <c r="AED47" s="87"/>
      <c r="AEE47" s="87"/>
      <c r="AEF47" s="87"/>
      <c r="AEG47" s="87"/>
      <c r="AEH47" s="87"/>
      <c r="AEI47" s="87"/>
      <c r="AEJ47" s="87"/>
      <c r="AEK47" s="87"/>
      <c r="AEL47" s="87"/>
      <c r="AEM47" s="87"/>
      <c r="AEN47" s="87"/>
      <c r="AEO47" s="87"/>
      <c r="AEP47" s="87"/>
      <c r="AEQ47" s="87"/>
      <c r="AER47" s="87"/>
      <c r="AES47" s="87"/>
      <c r="AET47" s="87"/>
      <c r="AEU47" s="87"/>
      <c r="AEV47" s="87"/>
      <c r="AEW47" s="87"/>
      <c r="AEX47" s="87"/>
      <c r="AEY47" s="87"/>
      <c r="AEZ47" s="87"/>
      <c r="AFA47" s="87"/>
      <c r="AFB47" s="87"/>
      <c r="AFC47" s="87"/>
      <c r="AFD47" s="87"/>
      <c r="AFE47" s="87"/>
      <c r="AFF47" s="87"/>
      <c r="AFG47" s="87"/>
      <c r="AFH47" s="87"/>
      <c r="AFI47" s="87"/>
      <c r="AFJ47" s="87"/>
      <c r="AFK47" s="87"/>
      <c r="AFL47" s="87"/>
      <c r="AFM47" s="87"/>
      <c r="AFN47" s="87"/>
      <c r="AFO47" s="87"/>
      <c r="AFP47" s="87"/>
      <c r="AFQ47" s="87"/>
      <c r="AFR47" s="87"/>
      <c r="AFS47" s="87"/>
      <c r="AFT47" s="87"/>
      <c r="AFU47" s="87"/>
      <c r="AFV47" s="87"/>
      <c r="AFW47" s="87"/>
      <c r="AFX47" s="87"/>
      <c r="AFY47" s="87"/>
      <c r="AFZ47" s="87"/>
      <c r="AGA47" s="87"/>
      <c r="AGB47" s="87"/>
      <c r="AGC47" s="87"/>
      <c r="AGD47" s="87"/>
      <c r="AGE47" s="87"/>
      <c r="AGF47" s="87"/>
      <c r="AGG47" s="87"/>
      <c r="AGH47" s="87"/>
      <c r="AGI47" s="87"/>
      <c r="AGJ47" s="87"/>
      <c r="AGK47" s="87"/>
      <c r="AGL47" s="87"/>
      <c r="AGM47" s="87"/>
      <c r="AGN47" s="87"/>
      <c r="AGO47" s="87"/>
      <c r="AGP47" s="87"/>
      <c r="AGQ47" s="87"/>
      <c r="AGR47" s="87"/>
      <c r="AGS47" s="87"/>
      <c r="AGT47" s="87"/>
      <c r="AGU47" s="87"/>
      <c r="AGV47" s="87"/>
      <c r="AGW47" s="87"/>
      <c r="AGX47" s="87"/>
      <c r="AGY47" s="87"/>
      <c r="AGZ47" s="87"/>
      <c r="AHA47" s="87"/>
      <c r="AHB47" s="87"/>
      <c r="AHC47" s="87"/>
      <c r="AHD47" s="87"/>
      <c r="AHE47" s="87"/>
      <c r="AHF47" s="87"/>
      <c r="AHG47" s="87"/>
      <c r="AHH47" s="87"/>
      <c r="AHI47" s="87"/>
      <c r="AHJ47" s="87"/>
      <c r="AHK47" s="87"/>
      <c r="AHL47" s="87"/>
      <c r="AHM47" s="87"/>
      <c r="AHN47" s="87"/>
      <c r="AHO47" s="87"/>
      <c r="AHP47" s="87"/>
      <c r="AHQ47" s="87"/>
      <c r="AHR47" s="87"/>
      <c r="AHS47" s="87"/>
      <c r="AHT47" s="87"/>
      <c r="AHU47" s="87"/>
      <c r="AHV47" s="87"/>
      <c r="AHW47" s="87"/>
      <c r="AHX47" s="87"/>
      <c r="AHY47" s="87"/>
      <c r="AHZ47" s="87"/>
      <c r="AIA47" s="87"/>
      <c r="AIB47" s="87"/>
      <c r="AIC47" s="87"/>
      <c r="AID47" s="87"/>
      <c r="AIE47" s="87"/>
      <c r="AIF47" s="87"/>
      <c r="AIG47" s="87"/>
      <c r="AIH47" s="87"/>
      <c r="AII47" s="87"/>
      <c r="AIJ47" s="87"/>
      <c r="AIK47" s="87"/>
      <c r="AIL47" s="87"/>
      <c r="AIM47" s="87"/>
      <c r="AIN47" s="87"/>
      <c r="AIO47" s="87"/>
      <c r="AIP47" s="87"/>
      <c r="AIQ47" s="87"/>
      <c r="AIR47" s="87"/>
      <c r="AIS47" s="87"/>
      <c r="AIT47" s="87"/>
      <c r="AIU47" s="87"/>
      <c r="AIV47" s="87"/>
      <c r="AIW47" s="87"/>
      <c r="AIX47" s="87"/>
      <c r="AIY47" s="87"/>
      <c r="AIZ47" s="87"/>
      <c r="AJA47" s="87"/>
      <c r="AJB47" s="87"/>
      <c r="AJC47" s="87"/>
      <c r="AJD47" s="87"/>
      <c r="AJE47" s="87"/>
      <c r="AJF47" s="87"/>
      <c r="AJG47" s="87"/>
      <c r="AJH47" s="87"/>
      <c r="AJI47" s="87"/>
      <c r="AJJ47" s="87"/>
      <c r="AJK47" s="87"/>
      <c r="AJL47" s="87"/>
      <c r="AJM47" s="87"/>
      <c r="AJN47" s="87"/>
      <c r="AJO47" s="87"/>
      <c r="AJP47" s="87"/>
      <c r="AJQ47" s="87"/>
      <c r="AJR47" s="87"/>
      <c r="AJS47" s="87"/>
      <c r="AJT47" s="87"/>
      <c r="AJU47" s="87"/>
      <c r="AJV47" s="87"/>
      <c r="AJW47" s="87"/>
      <c r="AJX47" s="87"/>
      <c r="AJY47" s="87"/>
      <c r="AJZ47" s="87"/>
      <c r="AKA47" s="87"/>
      <c r="AKB47" s="87"/>
      <c r="AKC47" s="87"/>
      <c r="AKD47" s="87"/>
      <c r="AKE47" s="87"/>
      <c r="AKF47" s="87"/>
      <c r="AKG47" s="87"/>
      <c r="AKH47" s="87"/>
      <c r="AKI47" s="87"/>
      <c r="AKJ47" s="87"/>
      <c r="AKK47" s="87"/>
      <c r="AKL47" s="87"/>
      <c r="AKM47" s="87"/>
      <c r="AKN47" s="87"/>
      <c r="AKO47" s="87"/>
      <c r="AKP47" s="87"/>
      <c r="AKQ47" s="87"/>
      <c r="AKR47" s="87"/>
      <c r="AKS47" s="87"/>
      <c r="AKT47" s="87"/>
      <c r="AKU47" s="87"/>
      <c r="AKV47" s="87"/>
      <c r="AKW47" s="87"/>
      <c r="AKX47" s="87"/>
      <c r="AKY47" s="87"/>
      <c r="AKZ47" s="87"/>
      <c r="ALA47" s="87"/>
      <c r="ALB47" s="87"/>
      <c r="ALC47" s="87"/>
      <c r="ALD47" s="87"/>
      <c r="ALE47" s="87"/>
      <c r="ALF47" s="87"/>
      <c r="ALG47" s="87"/>
      <c r="ALH47" s="87"/>
      <c r="ALI47" s="87"/>
      <c r="ALJ47" s="87"/>
      <c r="ALK47" s="87"/>
      <c r="ALL47" s="87"/>
      <c r="ALM47" s="87"/>
      <c r="ALN47" s="87"/>
      <c r="ALO47" s="87"/>
      <c r="ALP47" s="87"/>
      <c r="ALQ47" s="87"/>
      <c r="ALR47" s="87"/>
      <c r="ALS47" s="87"/>
      <c r="ALT47" s="87"/>
      <c r="ALU47" s="87"/>
      <c r="ALV47" s="87"/>
      <c r="ALW47" s="87"/>
      <c r="ALX47" s="87"/>
      <c r="ALY47" s="87"/>
      <c r="ALZ47" s="87"/>
      <c r="AMA47" s="87"/>
      <c r="AMB47" s="87"/>
      <c r="AMC47" s="87"/>
      <c r="AMD47" s="87"/>
      <c r="AME47" s="87"/>
      <c r="AMF47" s="87"/>
      <c r="AMG47" s="87"/>
      <c r="AMH47" s="87"/>
      <c r="AMI47" s="87"/>
      <c r="AMJ47" s="87"/>
      <c r="AMK47" s="87"/>
      <c r="AML47" s="87"/>
      <c r="AMM47" s="87"/>
      <c r="AMN47" s="87"/>
      <c r="AMO47" s="87"/>
      <c r="AMP47" s="87"/>
      <c r="AMQ47" s="87"/>
      <c r="AMR47" s="87"/>
      <c r="AMS47" s="87"/>
      <c r="AMT47" s="87"/>
      <c r="AMU47" s="87"/>
      <c r="AMV47" s="87"/>
      <c r="AMW47" s="87"/>
      <c r="AMX47" s="87"/>
      <c r="AMY47" s="87"/>
      <c r="AMZ47" s="87"/>
      <c r="ANA47" s="87"/>
      <c r="ANB47" s="87"/>
      <c r="ANC47" s="87"/>
      <c r="AND47" s="87"/>
      <c r="ANE47" s="87"/>
      <c r="ANF47" s="87"/>
      <c r="ANG47" s="87"/>
      <c r="ANH47" s="87"/>
      <c r="ANI47" s="87"/>
      <c r="ANJ47" s="87"/>
      <c r="ANK47" s="87"/>
      <c r="ANL47" s="87"/>
      <c r="ANM47" s="87"/>
      <c r="ANN47" s="87"/>
      <c r="ANO47" s="87"/>
      <c r="ANP47" s="87"/>
      <c r="ANQ47" s="87"/>
      <c r="ANR47" s="87"/>
      <c r="ANS47" s="87"/>
      <c r="ANT47" s="87"/>
      <c r="ANU47" s="87"/>
      <c r="ANV47" s="87"/>
      <c r="ANW47" s="87"/>
      <c r="ANX47" s="87"/>
      <c r="ANY47" s="87"/>
      <c r="ANZ47" s="87"/>
      <c r="AOA47" s="87"/>
      <c r="AOB47" s="87"/>
      <c r="AOC47" s="87"/>
      <c r="AOD47" s="87"/>
      <c r="AOE47" s="87"/>
      <c r="AOF47" s="87"/>
      <c r="AOG47" s="87"/>
      <c r="AOH47" s="87"/>
      <c r="AOI47" s="87"/>
      <c r="AOJ47" s="87"/>
      <c r="AOK47" s="87"/>
      <c r="AOL47" s="87"/>
      <c r="AOM47" s="87"/>
      <c r="AON47" s="87"/>
      <c r="AOO47" s="87"/>
      <c r="AOP47" s="87"/>
      <c r="AOQ47" s="87"/>
      <c r="AOR47" s="87"/>
      <c r="AOS47" s="87"/>
      <c r="AOT47" s="87"/>
      <c r="AOU47" s="87"/>
      <c r="AOV47" s="87"/>
      <c r="AOW47" s="87"/>
      <c r="AOX47" s="87"/>
      <c r="AOY47" s="87"/>
      <c r="AOZ47" s="87"/>
      <c r="APA47" s="87"/>
      <c r="APB47" s="87"/>
      <c r="APC47" s="87"/>
      <c r="APD47" s="87"/>
      <c r="APE47" s="87"/>
      <c r="APF47" s="87"/>
      <c r="APG47" s="87"/>
      <c r="APH47" s="87"/>
      <c r="API47" s="87"/>
      <c r="APJ47" s="87"/>
      <c r="APK47" s="87"/>
      <c r="APL47" s="87"/>
      <c r="APM47" s="87"/>
      <c r="APN47" s="87"/>
      <c r="APO47" s="87"/>
      <c r="APP47" s="87"/>
      <c r="APQ47" s="87"/>
      <c r="APR47" s="87"/>
      <c r="APS47" s="87"/>
      <c r="APT47" s="87"/>
      <c r="APU47" s="87"/>
      <c r="APV47" s="87"/>
      <c r="APW47" s="87"/>
      <c r="APX47" s="87"/>
      <c r="APY47" s="87"/>
      <c r="APZ47" s="87"/>
      <c r="AQA47" s="87"/>
      <c r="AQB47" s="87"/>
      <c r="AQC47" s="87"/>
      <c r="AQD47" s="87"/>
      <c r="AQE47" s="87"/>
      <c r="AQF47" s="87"/>
      <c r="AQG47" s="87"/>
      <c r="AQH47" s="87"/>
      <c r="AQI47" s="87"/>
      <c r="AQJ47" s="87"/>
      <c r="AQK47" s="87"/>
      <c r="AQL47" s="87"/>
      <c r="AQM47" s="87"/>
      <c r="AQN47" s="87"/>
      <c r="AQO47" s="87"/>
      <c r="AQP47" s="87"/>
      <c r="AQQ47" s="87"/>
      <c r="AQR47" s="87"/>
      <c r="AQS47" s="87"/>
      <c r="AQT47" s="87"/>
      <c r="AQU47" s="87"/>
      <c r="AQV47" s="87"/>
      <c r="AQW47" s="87"/>
      <c r="AQX47" s="87"/>
      <c r="AQY47" s="87"/>
      <c r="AQZ47" s="87"/>
      <c r="ARA47" s="87"/>
      <c r="ARB47" s="87"/>
      <c r="ARC47" s="87"/>
      <c r="ARD47" s="87"/>
      <c r="ARE47" s="87"/>
      <c r="ARF47" s="87"/>
      <c r="ARG47" s="87"/>
      <c r="ARH47" s="87"/>
      <c r="ARI47" s="87"/>
      <c r="ARJ47" s="87"/>
      <c r="ARK47" s="87"/>
      <c r="ARL47" s="87"/>
      <c r="ARM47" s="87"/>
      <c r="ARN47" s="87"/>
      <c r="ARO47" s="87"/>
      <c r="ARP47" s="87"/>
      <c r="ARQ47" s="87"/>
      <c r="ARR47" s="87"/>
      <c r="ARS47" s="87"/>
      <c r="ART47" s="87"/>
      <c r="ARU47" s="87"/>
      <c r="ARV47" s="87"/>
      <c r="ARW47" s="87"/>
      <c r="ARX47" s="87"/>
      <c r="ARY47" s="87"/>
      <c r="ARZ47" s="87"/>
      <c r="ASA47" s="87"/>
      <c r="ASB47" s="87"/>
      <c r="ASC47" s="87"/>
      <c r="ASD47" s="87"/>
      <c r="ASE47" s="87"/>
      <c r="ASF47" s="87"/>
      <c r="ASG47" s="87"/>
      <c r="ASH47" s="87"/>
      <c r="ASI47" s="87"/>
      <c r="ASJ47" s="87"/>
      <c r="ASK47" s="87"/>
      <c r="ASL47" s="87"/>
      <c r="ASM47" s="87"/>
      <c r="ASN47" s="87"/>
      <c r="ASO47" s="87"/>
      <c r="ASP47" s="87"/>
      <c r="ASQ47" s="87"/>
      <c r="ASR47" s="87"/>
      <c r="ASS47" s="87"/>
      <c r="AST47" s="87"/>
      <c r="ASU47" s="87"/>
      <c r="ASV47" s="87"/>
      <c r="ASW47" s="87"/>
      <c r="ASX47" s="87"/>
      <c r="ASY47" s="87"/>
      <c r="ASZ47" s="87"/>
      <c r="ATA47" s="87"/>
      <c r="ATB47" s="87"/>
      <c r="ATC47" s="87"/>
      <c r="ATD47" s="87"/>
      <c r="ATE47" s="87"/>
      <c r="ATF47" s="87"/>
      <c r="ATG47" s="87"/>
      <c r="ATH47" s="87"/>
      <c r="ATI47" s="87"/>
      <c r="ATJ47" s="87"/>
      <c r="ATK47" s="87"/>
      <c r="ATL47" s="87"/>
      <c r="ATM47" s="87"/>
      <c r="ATN47" s="87"/>
      <c r="ATO47" s="87"/>
      <c r="ATP47" s="87"/>
      <c r="ATQ47" s="87"/>
      <c r="ATR47" s="87"/>
      <c r="ATS47" s="87"/>
      <c r="ATT47" s="87"/>
      <c r="ATU47" s="87"/>
      <c r="ATV47" s="87"/>
      <c r="ATW47" s="87"/>
      <c r="ATX47" s="87"/>
      <c r="ATY47" s="87"/>
      <c r="ATZ47" s="87"/>
      <c r="AUA47" s="87"/>
      <c r="AUB47" s="87"/>
      <c r="AUC47" s="87"/>
      <c r="AUD47" s="87"/>
      <c r="AUE47" s="87"/>
      <c r="AUF47" s="87"/>
      <c r="AUG47" s="87"/>
      <c r="AUH47" s="87"/>
      <c r="AUI47" s="87"/>
      <c r="AUJ47" s="87"/>
      <c r="AUK47" s="87"/>
      <c r="AUL47" s="87"/>
      <c r="AUM47" s="87"/>
      <c r="AUN47" s="87"/>
      <c r="AUO47" s="87"/>
      <c r="AUP47" s="87"/>
      <c r="AUQ47" s="87"/>
      <c r="AUR47" s="87"/>
      <c r="AUS47" s="87"/>
      <c r="AUT47" s="87"/>
      <c r="AUU47" s="87"/>
      <c r="AUV47" s="87"/>
      <c r="AUW47" s="87"/>
      <c r="AUX47" s="87"/>
      <c r="AUY47" s="87"/>
      <c r="AUZ47" s="87"/>
      <c r="AVA47" s="87"/>
      <c r="AVB47" s="87"/>
      <c r="AVC47" s="87"/>
      <c r="AVD47" s="87"/>
      <c r="AVE47" s="87"/>
      <c r="AVF47" s="87"/>
      <c r="AVG47" s="87"/>
      <c r="AVH47" s="87"/>
      <c r="AVI47" s="87"/>
      <c r="AVJ47" s="87"/>
      <c r="AVK47" s="87"/>
      <c r="AVL47" s="87"/>
      <c r="AVM47" s="87"/>
      <c r="AVN47" s="87"/>
      <c r="AVO47" s="87"/>
      <c r="AVP47" s="87"/>
      <c r="AVQ47" s="87"/>
      <c r="AVR47" s="87"/>
      <c r="AVS47" s="87"/>
      <c r="AVT47" s="87"/>
      <c r="AVU47" s="87"/>
      <c r="AVV47" s="87"/>
      <c r="AVW47" s="87"/>
      <c r="AVX47" s="87"/>
      <c r="AVY47" s="87"/>
      <c r="AVZ47" s="87"/>
      <c r="AWA47" s="87"/>
      <c r="AWB47" s="87"/>
      <c r="AWC47" s="87"/>
      <c r="AWD47" s="87"/>
      <c r="AWE47" s="87"/>
      <c r="AWF47" s="87"/>
      <c r="AWG47" s="87"/>
      <c r="AWH47" s="87"/>
      <c r="AWI47" s="87"/>
      <c r="AWJ47" s="87"/>
      <c r="AWK47" s="87"/>
      <c r="AWL47" s="87"/>
      <c r="AWM47" s="87"/>
      <c r="AWN47" s="87"/>
      <c r="AWO47" s="87"/>
      <c r="AWP47" s="87"/>
      <c r="AWQ47" s="87"/>
      <c r="AWR47" s="87"/>
      <c r="AWS47" s="87"/>
      <c r="AWT47" s="87"/>
      <c r="AWU47" s="87"/>
      <c r="AWV47" s="87"/>
      <c r="AWW47" s="87"/>
      <c r="AWX47" s="87"/>
      <c r="AWY47" s="87"/>
      <c r="AWZ47" s="87"/>
      <c r="AXA47" s="87"/>
      <c r="AXB47" s="87"/>
      <c r="AXC47" s="87"/>
      <c r="AXD47" s="87"/>
      <c r="AXE47" s="87"/>
      <c r="AXF47" s="87"/>
      <c r="AXG47" s="87"/>
      <c r="AXH47" s="87"/>
      <c r="AXI47" s="87"/>
      <c r="AXJ47" s="87"/>
      <c r="AXK47" s="87"/>
      <c r="AXL47" s="87"/>
      <c r="AXM47" s="87"/>
      <c r="AXN47" s="87"/>
      <c r="AXO47" s="87"/>
      <c r="AXP47" s="87"/>
      <c r="AXQ47" s="87"/>
      <c r="AXR47" s="87"/>
      <c r="AXS47" s="87"/>
      <c r="AXT47" s="87"/>
      <c r="AXU47" s="87"/>
      <c r="AXV47" s="87"/>
      <c r="AXW47" s="87"/>
      <c r="AXX47" s="87"/>
      <c r="AXY47" s="87"/>
      <c r="AXZ47" s="87"/>
      <c r="AYA47" s="87"/>
      <c r="AYB47" s="87"/>
      <c r="AYC47" s="87"/>
      <c r="AYD47" s="87"/>
      <c r="AYE47" s="87"/>
      <c r="AYF47" s="87"/>
      <c r="AYG47" s="87"/>
      <c r="AYH47" s="87"/>
      <c r="AYI47" s="87"/>
      <c r="AYJ47" s="87"/>
      <c r="AYK47" s="87"/>
      <c r="AYL47" s="87"/>
      <c r="AYM47" s="87"/>
      <c r="AYN47" s="87"/>
      <c r="AYO47" s="87"/>
      <c r="AYP47" s="87"/>
      <c r="AYQ47" s="87"/>
      <c r="AYR47" s="87"/>
      <c r="AYS47" s="87"/>
      <c r="AYT47" s="87"/>
      <c r="AYU47" s="87"/>
      <c r="AYV47" s="87"/>
      <c r="AYW47" s="87"/>
      <c r="AYX47" s="87"/>
      <c r="AYY47" s="87"/>
      <c r="AYZ47" s="87"/>
      <c r="AZA47" s="87"/>
      <c r="AZB47" s="87"/>
      <c r="AZC47" s="87"/>
      <c r="AZD47" s="87"/>
      <c r="AZE47" s="87"/>
      <c r="AZF47" s="87"/>
      <c r="AZG47" s="87"/>
      <c r="AZH47" s="87"/>
      <c r="AZI47" s="87"/>
      <c r="AZJ47" s="87"/>
      <c r="AZK47" s="87"/>
      <c r="AZL47" s="87"/>
      <c r="AZM47" s="87"/>
      <c r="AZN47" s="87"/>
      <c r="AZO47" s="87"/>
      <c r="AZP47" s="87"/>
      <c r="AZQ47" s="87"/>
      <c r="AZR47" s="87"/>
      <c r="AZS47" s="87"/>
      <c r="AZT47" s="87"/>
      <c r="AZU47" s="87"/>
      <c r="AZV47" s="87"/>
      <c r="AZW47" s="87"/>
      <c r="AZX47" s="87"/>
      <c r="AZY47" s="87"/>
      <c r="AZZ47" s="87"/>
      <c r="BAA47" s="87"/>
      <c r="BAB47" s="87"/>
      <c r="BAC47" s="87"/>
      <c r="BAD47" s="87"/>
      <c r="BAE47" s="87"/>
      <c r="BAF47" s="87"/>
      <c r="BAG47" s="87"/>
      <c r="BAH47" s="87"/>
      <c r="BAI47" s="87"/>
      <c r="BAJ47" s="87"/>
      <c r="BAK47" s="87"/>
      <c r="BAL47" s="87"/>
      <c r="BAM47" s="87"/>
      <c r="BAN47" s="87"/>
      <c r="BAO47" s="87"/>
      <c r="BAP47" s="87"/>
      <c r="BAQ47" s="87"/>
      <c r="BAR47" s="87"/>
      <c r="BAS47" s="87"/>
      <c r="BAT47" s="87"/>
      <c r="BAU47" s="87"/>
      <c r="BAV47" s="87"/>
      <c r="BAW47" s="87"/>
      <c r="BAX47" s="87"/>
      <c r="BAY47" s="87"/>
      <c r="BAZ47" s="87"/>
      <c r="BBA47" s="87"/>
      <c r="BBB47" s="87"/>
      <c r="BBC47" s="87"/>
      <c r="BBD47" s="87"/>
      <c r="BBE47" s="87"/>
      <c r="BBF47" s="87"/>
      <c r="BBG47" s="87"/>
      <c r="BBH47" s="87"/>
      <c r="BBI47" s="87"/>
      <c r="BBJ47" s="87"/>
      <c r="BBK47" s="87"/>
      <c r="BBL47" s="87"/>
      <c r="BBM47" s="87"/>
      <c r="BBN47" s="87"/>
      <c r="BBO47" s="87"/>
      <c r="BBP47" s="87"/>
      <c r="BBQ47" s="87"/>
      <c r="BBR47" s="87"/>
      <c r="BBS47" s="87"/>
      <c r="BBT47" s="87"/>
      <c r="BBU47" s="87"/>
      <c r="BBV47" s="87"/>
      <c r="BBW47" s="87"/>
      <c r="BBX47" s="87"/>
      <c r="BBY47" s="87"/>
      <c r="BBZ47" s="87"/>
      <c r="BCA47" s="87"/>
      <c r="BCB47" s="87"/>
      <c r="BCC47" s="87"/>
      <c r="BCD47" s="87"/>
      <c r="BCE47" s="87"/>
      <c r="BCF47" s="87"/>
      <c r="BCG47" s="87"/>
      <c r="BCH47" s="87"/>
      <c r="BCI47" s="87"/>
      <c r="BCJ47" s="87"/>
      <c r="BCK47" s="87"/>
      <c r="BCL47" s="87"/>
      <c r="BCM47" s="87"/>
      <c r="BCN47" s="87"/>
      <c r="BCO47" s="87"/>
      <c r="BCP47" s="87"/>
      <c r="BCQ47" s="87"/>
      <c r="BCR47" s="87"/>
      <c r="BCS47" s="87"/>
      <c r="BCT47" s="87"/>
      <c r="BCU47" s="87"/>
      <c r="BCV47" s="87"/>
      <c r="BCW47" s="87"/>
      <c r="BCX47" s="87"/>
      <c r="BCY47" s="87"/>
      <c r="BCZ47" s="87"/>
      <c r="BDA47" s="87"/>
      <c r="BDB47" s="87"/>
      <c r="BDC47" s="87"/>
      <c r="BDD47" s="87"/>
      <c r="BDE47" s="87"/>
      <c r="BDF47" s="87"/>
      <c r="BDG47" s="87"/>
      <c r="BDH47" s="87"/>
      <c r="BDI47" s="87"/>
      <c r="BDJ47" s="87"/>
      <c r="BDK47" s="87"/>
      <c r="BDL47" s="87"/>
      <c r="BDM47" s="87"/>
      <c r="BDN47" s="87"/>
      <c r="BDO47" s="87"/>
      <c r="BDP47" s="87"/>
      <c r="BDQ47" s="87"/>
      <c r="BDR47" s="87"/>
      <c r="BDS47" s="87"/>
      <c r="BDT47" s="87"/>
      <c r="BDU47" s="87"/>
      <c r="BDV47" s="87"/>
      <c r="BDW47" s="87"/>
      <c r="BDX47" s="87"/>
      <c r="BDY47" s="87"/>
      <c r="BDZ47" s="87"/>
      <c r="BEA47" s="87"/>
      <c r="BEB47" s="87"/>
      <c r="BEC47" s="87"/>
      <c r="BED47" s="87"/>
      <c r="BEE47" s="87"/>
      <c r="BEF47" s="87"/>
      <c r="BEG47" s="87"/>
      <c r="BEH47" s="87"/>
      <c r="BEI47" s="87"/>
      <c r="BEJ47" s="87"/>
      <c r="BEK47" s="87"/>
      <c r="BEL47" s="87"/>
      <c r="BEM47" s="87"/>
      <c r="BEN47" s="87"/>
      <c r="BEO47" s="87"/>
      <c r="BEP47" s="87"/>
      <c r="BEQ47" s="87"/>
      <c r="BER47" s="87"/>
      <c r="BES47" s="87"/>
      <c r="BET47" s="87"/>
      <c r="BEU47" s="87"/>
      <c r="BEV47" s="87"/>
      <c r="BEW47" s="87"/>
      <c r="BEX47" s="87"/>
      <c r="BEY47" s="87"/>
      <c r="BEZ47" s="87"/>
      <c r="BFA47" s="87"/>
      <c r="BFB47" s="87"/>
      <c r="BFC47" s="87"/>
      <c r="BFD47" s="87"/>
      <c r="BFE47" s="87"/>
      <c r="BFF47" s="87"/>
      <c r="BFG47" s="87"/>
      <c r="BFH47" s="87"/>
      <c r="BFI47" s="87"/>
      <c r="BFJ47" s="87"/>
      <c r="BFK47" s="87"/>
      <c r="BFL47" s="87"/>
      <c r="BFM47" s="87"/>
      <c r="BFN47" s="87"/>
      <c r="BFO47" s="87"/>
      <c r="BFP47" s="87"/>
      <c r="BFQ47" s="87"/>
      <c r="BFR47" s="87"/>
      <c r="BFS47" s="87"/>
      <c r="BFT47" s="87"/>
      <c r="BFU47" s="87"/>
      <c r="BFV47" s="87"/>
      <c r="BFW47" s="87"/>
      <c r="BFX47" s="87"/>
      <c r="BFY47" s="87"/>
      <c r="BFZ47" s="87"/>
      <c r="BGA47" s="87"/>
      <c r="BGB47" s="87"/>
      <c r="BGC47" s="87"/>
      <c r="BGD47" s="87"/>
      <c r="BGE47" s="87"/>
      <c r="BGF47" s="87"/>
      <c r="BGG47" s="87"/>
      <c r="BGH47" s="87"/>
      <c r="BGI47" s="87"/>
      <c r="BGJ47" s="87"/>
      <c r="BGK47" s="87"/>
      <c r="BGL47" s="87"/>
      <c r="BGM47" s="87"/>
      <c r="BGN47" s="87"/>
      <c r="BGO47" s="87"/>
      <c r="BGP47" s="87"/>
      <c r="BGQ47" s="87"/>
      <c r="BGR47" s="87"/>
      <c r="BGS47" s="87"/>
      <c r="BGT47" s="87"/>
      <c r="BGU47" s="87"/>
      <c r="BGV47" s="87"/>
      <c r="BGW47" s="87"/>
      <c r="BGX47" s="87"/>
      <c r="BGY47" s="87"/>
      <c r="BGZ47" s="87"/>
      <c r="BHA47" s="87"/>
      <c r="BHB47" s="87"/>
      <c r="BHC47" s="87"/>
      <c r="BHD47" s="87"/>
      <c r="BHE47" s="87"/>
      <c r="BHF47" s="87"/>
      <c r="BHG47" s="87"/>
      <c r="BHH47" s="87"/>
      <c r="BHI47" s="87"/>
      <c r="BHJ47" s="87"/>
      <c r="BHK47" s="87"/>
      <c r="BHL47" s="87"/>
      <c r="BHM47" s="87"/>
      <c r="BHN47" s="87"/>
      <c r="BHO47" s="87"/>
      <c r="BHP47" s="87"/>
      <c r="BHQ47" s="87"/>
      <c r="BHR47" s="87"/>
      <c r="BHS47" s="87"/>
      <c r="BHT47" s="87"/>
      <c r="BHU47" s="87"/>
      <c r="BHV47" s="87"/>
      <c r="BHW47" s="87"/>
      <c r="BHX47" s="87"/>
      <c r="BHY47" s="87"/>
      <c r="BHZ47" s="87"/>
      <c r="BIA47" s="87"/>
      <c r="BIB47" s="87"/>
      <c r="BIC47" s="87"/>
      <c r="BID47" s="87"/>
      <c r="BIE47" s="87"/>
      <c r="BIF47" s="87"/>
      <c r="BIG47" s="87"/>
      <c r="BIH47" s="87"/>
      <c r="BII47" s="87"/>
      <c r="BIJ47" s="87"/>
      <c r="BIK47" s="87"/>
      <c r="BIL47" s="87"/>
      <c r="BIM47" s="87"/>
      <c r="BIN47" s="87"/>
      <c r="BIO47" s="87"/>
      <c r="BIP47" s="87"/>
      <c r="BIQ47" s="87"/>
      <c r="BIR47" s="87"/>
      <c r="BIS47" s="87"/>
      <c r="BIT47" s="87"/>
      <c r="BIU47" s="87"/>
      <c r="BIV47" s="87"/>
      <c r="BIW47" s="87"/>
      <c r="BIX47" s="87"/>
      <c r="BIY47" s="87"/>
      <c r="BIZ47" s="87"/>
      <c r="BJA47" s="87"/>
      <c r="BJB47" s="87"/>
      <c r="BJC47" s="87"/>
      <c r="BJD47" s="87"/>
      <c r="BJE47" s="87"/>
      <c r="BJF47" s="87"/>
      <c r="BJG47" s="87"/>
      <c r="BJH47" s="87"/>
      <c r="BJI47" s="87"/>
      <c r="BJJ47" s="87"/>
      <c r="BJK47" s="87"/>
      <c r="BJL47" s="87"/>
      <c r="BJM47" s="87"/>
      <c r="BJN47" s="87"/>
      <c r="BJO47" s="87"/>
      <c r="BJP47" s="87"/>
      <c r="BJQ47" s="87"/>
      <c r="BJR47" s="87"/>
      <c r="BJS47" s="87"/>
      <c r="BJT47" s="87"/>
      <c r="BJU47" s="87"/>
      <c r="BJV47" s="87"/>
      <c r="BJW47" s="87"/>
      <c r="BJX47" s="87"/>
      <c r="BJY47" s="87"/>
      <c r="BJZ47" s="87"/>
      <c r="BKA47" s="87"/>
      <c r="BKB47" s="87"/>
      <c r="BKC47" s="87"/>
      <c r="BKD47" s="87"/>
      <c r="BKE47" s="87"/>
      <c r="BKF47" s="87"/>
      <c r="BKG47" s="87"/>
      <c r="BKH47" s="87"/>
      <c r="BKI47" s="87"/>
      <c r="BKJ47" s="87"/>
      <c r="BKK47" s="87"/>
      <c r="BKL47" s="87"/>
      <c r="BKM47" s="87"/>
      <c r="BKN47" s="87"/>
      <c r="BKO47" s="87"/>
      <c r="BKP47" s="87"/>
      <c r="BKQ47" s="87"/>
      <c r="BKR47" s="87"/>
      <c r="BKS47" s="87"/>
      <c r="BKT47" s="87"/>
      <c r="BKU47" s="87"/>
      <c r="BKV47" s="87"/>
      <c r="BKW47" s="87"/>
      <c r="BKX47" s="87"/>
      <c r="BKY47" s="87"/>
      <c r="BKZ47" s="87"/>
      <c r="BLA47" s="87"/>
      <c r="BLB47" s="87"/>
      <c r="BLC47" s="87"/>
      <c r="BLD47" s="87"/>
      <c r="BLE47" s="87"/>
      <c r="BLF47" s="87"/>
      <c r="BLG47" s="87"/>
      <c r="BLH47" s="87"/>
      <c r="BLI47" s="87"/>
      <c r="BLJ47" s="87"/>
      <c r="BLK47" s="87"/>
      <c r="BLL47" s="87"/>
      <c r="BLM47" s="87"/>
      <c r="BLN47" s="87"/>
      <c r="BLO47" s="87"/>
      <c r="BLP47" s="87"/>
      <c r="BLQ47" s="87"/>
      <c r="BLR47" s="87"/>
      <c r="BLS47" s="87"/>
      <c r="BLT47" s="87"/>
      <c r="BLU47" s="87"/>
      <c r="BLV47" s="87"/>
      <c r="BLW47" s="87"/>
      <c r="BLX47" s="87"/>
      <c r="BLY47" s="87"/>
      <c r="BLZ47" s="87"/>
      <c r="BMA47" s="87"/>
      <c r="BMB47" s="87"/>
      <c r="BMC47" s="87"/>
      <c r="BMD47" s="87"/>
      <c r="BME47" s="87"/>
      <c r="BMF47" s="87"/>
      <c r="BMG47" s="87"/>
      <c r="BMH47" s="87"/>
      <c r="BMI47" s="87"/>
      <c r="BMJ47" s="87"/>
      <c r="BMK47" s="87"/>
      <c r="BML47" s="87"/>
      <c r="BMM47" s="87"/>
      <c r="BMN47" s="87"/>
      <c r="BMO47" s="87"/>
      <c r="BMP47" s="87"/>
      <c r="BMQ47" s="87"/>
      <c r="BMR47" s="87"/>
      <c r="BMS47" s="87"/>
      <c r="BMT47" s="87"/>
      <c r="BMU47" s="87"/>
      <c r="BMV47" s="87"/>
      <c r="BMW47" s="87"/>
      <c r="BMX47" s="87"/>
      <c r="BMY47" s="87"/>
      <c r="BMZ47" s="87"/>
      <c r="BNA47" s="87"/>
      <c r="BNB47" s="87"/>
      <c r="BNC47" s="87"/>
      <c r="BND47" s="87"/>
      <c r="BNE47" s="87"/>
      <c r="BNF47" s="87"/>
      <c r="BNG47" s="87"/>
      <c r="BNH47" s="87"/>
      <c r="BNI47" s="87"/>
      <c r="BNJ47" s="87"/>
      <c r="BNK47" s="87"/>
      <c r="BNL47" s="87"/>
      <c r="BNM47" s="87"/>
      <c r="BNN47" s="87"/>
      <c r="BNO47" s="87"/>
      <c r="BNP47" s="87"/>
      <c r="BNQ47" s="87"/>
      <c r="BNR47" s="87"/>
      <c r="BNS47" s="87"/>
      <c r="BNT47" s="87"/>
      <c r="BNU47" s="87"/>
      <c r="BNV47" s="87"/>
      <c r="BNW47" s="87"/>
      <c r="BNX47" s="87"/>
      <c r="BNY47" s="87"/>
      <c r="BNZ47" s="87"/>
      <c r="BOA47" s="87"/>
      <c r="BOB47" s="87"/>
      <c r="BOC47" s="87"/>
      <c r="BOD47" s="87"/>
      <c r="BOE47" s="87"/>
      <c r="BOF47" s="87"/>
      <c r="BOG47" s="87"/>
      <c r="BOH47" s="87"/>
      <c r="BOI47" s="87"/>
      <c r="BOJ47" s="87"/>
      <c r="BOK47" s="87"/>
      <c r="BOL47" s="87"/>
      <c r="BOM47" s="87"/>
      <c r="BON47" s="87"/>
      <c r="BOO47" s="87"/>
      <c r="BOP47" s="87"/>
      <c r="BOQ47" s="87"/>
      <c r="BOR47" s="87"/>
      <c r="BOS47" s="87"/>
      <c r="BOT47" s="87"/>
      <c r="BOU47" s="87"/>
      <c r="BOV47" s="87"/>
      <c r="BOW47" s="87"/>
      <c r="BOX47" s="87"/>
      <c r="BOY47" s="87"/>
      <c r="BOZ47" s="87"/>
      <c r="BPA47" s="87"/>
      <c r="BPB47" s="87"/>
      <c r="BPC47" s="87"/>
      <c r="BPD47" s="87"/>
      <c r="BPE47" s="87"/>
      <c r="BPF47" s="87"/>
      <c r="BPG47" s="87"/>
      <c r="BPH47" s="87"/>
      <c r="BPI47" s="87"/>
      <c r="BPJ47" s="87"/>
      <c r="BPK47" s="87"/>
      <c r="BPL47" s="87"/>
      <c r="BPM47" s="87"/>
      <c r="BPN47" s="87"/>
      <c r="BPO47" s="87"/>
      <c r="BPP47" s="87"/>
      <c r="BPQ47" s="87"/>
      <c r="BPR47" s="87"/>
      <c r="BPS47" s="87"/>
      <c r="BPT47" s="87"/>
      <c r="BPU47" s="87"/>
      <c r="BPV47" s="87"/>
      <c r="BPW47" s="87"/>
      <c r="BPX47" s="87"/>
      <c r="BPY47" s="87"/>
      <c r="BPZ47" s="87"/>
      <c r="BQA47" s="87"/>
      <c r="BQB47" s="87"/>
      <c r="BQC47" s="87"/>
      <c r="BQD47" s="87"/>
      <c r="BQE47" s="87"/>
      <c r="BQF47" s="87"/>
      <c r="BQG47" s="87"/>
      <c r="BQH47" s="87"/>
      <c r="BQI47" s="87"/>
      <c r="BQJ47" s="87"/>
      <c r="BQK47" s="87"/>
      <c r="BQL47" s="87"/>
      <c r="BQM47" s="87"/>
      <c r="BQN47" s="87"/>
      <c r="BQO47" s="87"/>
      <c r="BQP47" s="87"/>
      <c r="BQQ47" s="87"/>
      <c r="BQR47" s="87"/>
      <c r="BQS47" s="87"/>
      <c r="BQT47" s="87"/>
      <c r="BQU47" s="87"/>
      <c r="BQV47" s="87"/>
      <c r="BQW47" s="87"/>
      <c r="BQX47" s="87"/>
      <c r="BQY47" s="87"/>
      <c r="BQZ47" s="87"/>
      <c r="BRA47" s="87"/>
      <c r="BRB47" s="87"/>
      <c r="BRC47" s="87"/>
      <c r="BRD47" s="87"/>
      <c r="BRE47" s="87"/>
      <c r="BRF47" s="87"/>
      <c r="BRG47" s="87"/>
      <c r="BRH47" s="87"/>
      <c r="BRI47" s="87"/>
      <c r="BRJ47" s="87"/>
      <c r="BRK47" s="87"/>
      <c r="BRL47" s="87"/>
      <c r="BRM47" s="87"/>
      <c r="BRN47" s="87"/>
      <c r="BRO47" s="87"/>
      <c r="BRP47" s="87"/>
      <c r="BRQ47" s="87"/>
      <c r="BRR47" s="87"/>
      <c r="BRS47" s="87"/>
      <c r="BRT47" s="87"/>
      <c r="BRU47" s="87"/>
      <c r="BRV47" s="87"/>
      <c r="BRW47" s="87"/>
      <c r="BRX47" s="87"/>
      <c r="BRY47" s="87"/>
      <c r="BRZ47" s="87"/>
      <c r="BSA47" s="87"/>
      <c r="BSB47" s="87"/>
      <c r="BSC47" s="87"/>
      <c r="BSD47" s="87"/>
      <c r="BSE47" s="87"/>
      <c r="BSF47" s="87"/>
      <c r="BSG47" s="87"/>
      <c r="BSH47" s="87"/>
      <c r="BSI47" s="87"/>
      <c r="BSJ47" s="87"/>
      <c r="BSK47" s="87"/>
      <c r="BSL47" s="87"/>
      <c r="BSM47" s="87"/>
      <c r="BSN47" s="87"/>
      <c r="BSO47" s="87"/>
      <c r="BSP47" s="87"/>
      <c r="BSQ47" s="87"/>
      <c r="BSR47" s="87"/>
      <c r="BSS47" s="87"/>
      <c r="BST47" s="87"/>
      <c r="BSU47" s="87"/>
      <c r="BSV47" s="87"/>
      <c r="BSW47" s="87"/>
      <c r="BSX47" s="87"/>
      <c r="BSY47" s="87"/>
      <c r="BSZ47" s="87"/>
      <c r="BTA47" s="87"/>
      <c r="BTB47" s="87"/>
      <c r="BTC47" s="87"/>
      <c r="BTD47" s="87"/>
      <c r="BTE47" s="87"/>
      <c r="BTF47" s="87"/>
      <c r="BTG47" s="87"/>
      <c r="BTH47" s="87"/>
      <c r="BTI47" s="87"/>
      <c r="BTJ47" s="87"/>
      <c r="BTK47" s="87"/>
      <c r="BTL47" s="87"/>
      <c r="BTM47" s="87"/>
      <c r="BTN47" s="87"/>
      <c r="BTO47" s="87"/>
      <c r="BTP47" s="87"/>
      <c r="BTQ47" s="87"/>
      <c r="BTR47" s="87"/>
      <c r="BTS47" s="87"/>
      <c r="BTT47" s="87"/>
      <c r="BTU47" s="87"/>
      <c r="BTV47" s="87"/>
      <c r="BTW47" s="87"/>
      <c r="BTX47" s="87"/>
      <c r="BTY47" s="87"/>
      <c r="BTZ47" s="87"/>
      <c r="BUA47" s="87"/>
      <c r="BUB47" s="87"/>
      <c r="BUC47" s="87"/>
      <c r="BUD47" s="87"/>
      <c r="BUE47" s="87"/>
      <c r="BUF47" s="87"/>
      <c r="BUG47" s="87"/>
      <c r="BUH47" s="87"/>
      <c r="BUI47" s="87"/>
      <c r="BUJ47" s="87"/>
      <c r="BUK47" s="87"/>
      <c r="BUL47" s="87"/>
      <c r="BUM47" s="87"/>
      <c r="BUN47" s="87"/>
      <c r="BUO47" s="87"/>
      <c r="BUP47" s="87"/>
      <c r="BUQ47" s="87"/>
      <c r="BUR47" s="87"/>
      <c r="BUS47" s="87"/>
      <c r="BUT47" s="87"/>
      <c r="BUU47" s="87"/>
      <c r="BUV47" s="87"/>
      <c r="BUW47" s="87"/>
      <c r="BUX47" s="87"/>
      <c r="BUY47" s="87"/>
      <c r="BUZ47" s="87"/>
      <c r="BVA47" s="87"/>
      <c r="BVB47" s="87"/>
      <c r="BVC47" s="87"/>
      <c r="BVD47" s="87"/>
      <c r="BVE47" s="87"/>
      <c r="BVF47" s="87"/>
      <c r="BVG47" s="87"/>
      <c r="BVH47" s="87"/>
      <c r="BVI47" s="87"/>
      <c r="BVJ47" s="87"/>
      <c r="BVK47" s="87"/>
      <c r="BVL47" s="87"/>
      <c r="BVM47" s="87"/>
      <c r="BVN47" s="87"/>
      <c r="BVO47" s="87"/>
      <c r="BVP47" s="87"/>
      <c r="BVQ47" s="87"/>
      <c r="BVR47" s="87"/>
      <c r="BVS47" s="87"/>
      <c r="BVT47" s="87"/>
      <c r="BVU47" s="87"/>
      <c r="BVV47" s="87"/>
      <c r="BVW47" s="87"/>
      <c r="BVX47" s="87"/>
      <c r="BVY47" s="87"/>
      <c r="BVZ47" s="87"/>
      <c r="BWA47" s="87"/>
      <c r="BWB47" s="87"/>
      <c r="BWC47" s="87"/>
      <c r="BWD47" s="87"/>
      <c r="BWE47" s="87"/>
      <c r="BWF47" s="87"/>
      <c r="BWG47" s="87"/>
      <c r="BWH47" s="87"/>
      <c r="BWI47" s="87"/>
      <c r="BWJ47" s="87"/>
      <c r="BWK47" s="87"/>
      <c r="BWL47" s="87"/>
      <c r="BWM47" s="87"/>
      <c r="BWN47" s="87"/>
      <c r="BWO47" s="87"/>
      <c r="BWP47" s="87"/>
      <c r="BWQ47" s="87"/>
      <c r="BWR47" s="87"/>
      <c r="BWS47" s="87"/>
      <c r="BWT47" s="87"/>
      <c r="BWU47" s="87"/>
      <c r="BWV47" s="87"/>
      <c r="BWW47" s="87"/>
      <c r="BWX47" s="87"/>
      <c r="BWY47" s="87"/>
      <c r="BWZ47" s="87"/>
      <c r="BXA47" s="87"/>
      <c r="BXB47" s="87"/>
      <c r="BXC47" s="87"/>
      <c r="BXD47" s="87"/>
      <c r="BXE47" s="87"/>
      <c r="BXF47" s="87"/>
      <c r="BXG47" s="87"/>
      <c r="BXH47" s="87"/>
      <c r="BXI47" s="87"/>
      <c r="BXJ47" s="87"/>
      <c r="BXK47" s="87"/>
      <c r="BXL47" s="87"/>
      <c r="BXM47" s="87"/>
      <c r="BXN47" s="87"/>
      <c r="BXO47" s="87"/>
      <c r="BXP47" s="87"/>
      <c r="BXQ47" s="87"/>
      <c r="BXR47" s="87"/>
      <c r="BXS47" s="87"/>
      <c r="BXT47" s="87"/>
      <c r="BXU47" s="87"/>
      <c r="BXV47" s="87"/>
      <c r="BXW47" s="87"/>
      <c r="BXX47" s="87"/>
      <c r="BXY47" s="87"/>
      <c r="BXZ47" s="87"/>
      <c r="BYA47" s="87"/>
      <c r="BYB47" s="87"/>
      <c r="BYC47" s="87"/>
      <c r="BYD47" s="87"/>
      <c r="BYE47" s="87"/>
      <c r="BYF47" s="87"/>
      <c r="BYG47" s="87"/>
      <c r="BYH47" s="87"/>
      <c r="BYI47" s="87"/>
      <c r="BYJ47" s="87"/>
      <c r="BYK47" s="87"/>
      <c r="BYL47" s="87"/>
      <c r="BYM47" s="87"/>
      <c r="BYN47" s="87"/>
      <c r="BYO47" s="87"/>
      <c r="BYP47" s="87"/>
      <c r="BYQ47" s="87"/>
      <c r="BYR47" s="87"/>
      <c r="BYS47" s="87"/>
      <c r="BYT47" s="87"/>
      <c r="BYU47" s="87"/>
      <c r="BYV47" s="87"/>
      <c r="BYW47" s="87"/>
      <c r="BYX47" s="87"/>
      <c r="BYY47" s="87"/>
      <c r="BYZ47" s="87"/>
      <c r="BZA47" s="87"/>
      <c r="BZB47" s="87"/>
      <c r="BZC47" s="87"/>
      <c r="BZD47" s="87"/>
      <c r="BZE47" s="87"/>
      <c r="BZF47" s="87"/>
      <c r="BZG47" s="87"/>
      <c r="BZH47" s="87"/>
      <c r="BZI47" s="87"/>
      <c r="BZJ47" s="87"/>
      <c r="BZK47" s="87"/>
      <c r="BZL47" s="87"/>
      <c r="BZM47" s="87"/>
      <c r="BZN47" s="87"/>
      <c r="BZO47" s="87"/>
      <c r="BZP47" s="87"/>
      <c r="BZQ47" s="87"/>
      <c r="BZR47" s="87"/>
      <c r="BZS47" s="87"/>
      <c r="BZT47" s="87"/>
      <c r="BZU47" s="87"/>
      <c r="BZV47" s="87"/>
      <c r="BZW47" s="87"/>
      <c r="BZX47" s="87"/>
      <c r="BZY47" s="87"/>
      <c r="BZZ47" s="87"/>
      <c r="CAA47" s="87"/>
      <c r="CAB47" s="87"/>
      <c r="CAC47" s="87"/>
      <c r="CAD47" s="87"/>
      <c r="CAE47" s="87"/>
      <c r="CAF47" s="87"/>
      <c r="CAG47" s="87"/>
      <c r="CAH47" s="87"/>
      <c r="CAI47" s="87"/>
      <c r="CAJ47" s="87"/>
      <c r="CAK47" s="87"/>
      <c r="CAL47" s="87"/>
      <c r="CAM47" s="87"/>
      <c r="CAN47" s="87"/>
      <c r="CAO47" s="87"/>
      <c r="CAP47" s="87"/>
      <c r="CAQ47" s="87"/>
      <c r="CAR47" s="87"/>
      <c r="CAS47" s="87"/>
      <c r="CAT47" s="87"/>
      <c r="CAU47" s="87"/>
      <c r="CAV47" s="87"/>
      <c r="CAW47" s="87"/>
      <c r="CAX47" s="87"/>
      <c r="CAY47" s="87"/>
      <c r="CAZ47" s="87"/>
      <c r="CBA47" s="87"/>
      <c r="CBB47" s="87"/>
      <c r="CBC47" s="87"/>
      <c r="CBD47" s="87"/>
      <c r="CBE47" s="87"/>
      <c r="CBF47" s="87"/>
      <c r="CBG47" s="87"/>
      <c r="CBH47" s="87"/>
      <c r="CBI47" s="87"/>
      <c r="CBJ47" s="87"/>
      <c r="CBK47" s="87"/>
      <c r="CBL47" s="87"/>
      <c r="CBM47" s="87"/>
      <c r="CBN47" s="87"/>
      <c r="CBO47" s="87"/>
      <c r="CBP47" s="87"/>
      <c r="CBQ47" s="87"/>
      <c r="CBR47" s="87"/>
      <c r="CBS47" s="87"/>
      <c r="CBT47" s="87"/>
      <c r="CBU47" s="87"/>
      <c r="CBV47" s="87"/>
      <c r="CBW47" s="87"/>
      <c r="CBX47" s="87"/>
      <c r="CBY47" s="87"/>
      <c r="CBZ47" s="87"/>
      <c r="CCA47" s="87"/>
      <c r="CCB47" s="87"/>
      <c r="CCC47" s="87"/>
      <c r="CCD47" s="87"/>
      <c r="CCE47" s="87"/>
      <c r="CCF47" s="87"/>
      <c r="CCG47" s="87"/>
      <c r="CCH47" s="87"/>
      <c r="CCI47" s="87"/>
      <c r="CCJ47" s="87"/>
      <c r="CCK47" s="87"/>
      <c r="CCL47" s="87"/>
      <c r="CCM47" s="87"/>
      <c r="CCN47" s="87"/>
      <c r="CCO47" s="87"/>
      <c r="CCP47" s="87"/>
      <c r="CCQ47" s="87"/>
      <c r="CCR47" s="87"/>
      <c r="CCS47" s="87"/>
      <c r="CCT47" s="87"/>
      <c r="CCU47" s="87"/>
      <c r="CCV47" s="87"/>
      <c r="CCW47" s="87"/>
      <c r="CCX47" s="87"/>
      <c r="CCY47" s="87"/>
      <c r="CCZ47" s="87"/>
      <c r="CDA47" s="87"/>
      <c r="CDB47" s="87"/>
      <c r="CDC47" s="87"/>
      <c r="CDD47" s="87"/>
      <c r="CDE47" s="87"/>
      <c r="CDF47" s="87"/>
      <c r="CDG47" s="87"/>
      <c r="CDH47" s="87"/>
      <c r="CDI47" s="87"/>
      <c r="CDJ47" s="87"/>
      <c r="CDK47" s="87"/>
      <c r="CDL47" s="87"/>
      <c r="CDM47" s="87"/>
      <c r="CDN47" s="87"/>
      <c r="CDO47" s="87"/>
      <c r="CDP47" s="87"/>
      <c r="CDQ47" s="87"/>
      <c r="CDR47" s="87"/>
      <c r="CDS47" s="87"/>
      <c r="CDT47" s="87"/>
      <c r="CDU47" s="87"/>
      <c r="CDV47" s="87"/>
      <c r="CDW47" s="87"/>
      <c r="CDX47" s="87"/>
      <c r="CDY47" s="87"/>
      <c r="CDZ47" s="87"/>
      <c r="CEA47" s="87"/>
      <c r="CEB47" s="87"/>
      <c r="CEC47" s="87"/>
      <c r="CED47" s="87"/>
      <c r="CEE47" s="87"/>
      <c r="CEF47" s="87"/>
      <c r="CEG47" s="87"/>
      <c r="CEH47" s="87"/>
      <c r="CEI47" s="87"/>
      <c r="CEJ47" s="87"/>
      <c r="CEK47" s="87"/>
      <c r="CEL47" s="87"/>
      <c r="CEM47" s="87"/>
      <c r="CEN47" s="87"/>
      <c r="CEO47" s="87"/>
      <c r="CEP47" s="87"/>
      <c r="CEQ47" s="87"/>
      <c r="CER47" s="87"/>
      <c r="CES47" s="87"/>
      <c r="CET47" s="87"/>
      <c r="CEU47" s="87"/>
      <c r="CEV47" s="87"/>
      <c r="CEW47" s="87"/>
      <c r="CEX47" s="87"/>
      <c r="CEY47" s="87"/>
      <c r="CEZ47" s="87"/>
      <c r="CFA47" s="87"/>
      <c r="CFB47" s="87"/>
      <c r="CFC47" s="87"/>
      <c r="CFD47" s="87"/>
      <c r="CFE47" s="87"/>
      <c r="CFF47" s="87"/>
      <c r="CFG47" s="87"/>
      <c r="CFH47" s="87"/>
      <c r="CFI47" s="87"/>
      <c r="CFJ47" s="87"/>
      <c r="CFK47" s="87"/>
      <c r="CFL47" s="87"/>
      <c r="CFM47" s="87"/>
      <c r="CFN47" s="87"/>
      <c r="CFO47" s="87"/>
      <c r="CFP47" s="87"/>
      <c r="CFQ47" s="87"/>
      <c r="CFR47" s="87"/>
      <c r="CFS47" s="87"/>
      <c r="CFT47" s="87"/>
      <c r="CFU47" s="87"/>
      <c r="CFV47" s="87"/>
      <c r="CFW47" s="87"/>
      <c r="CFX47" s="87"/>
      <c r="CFY47" s="87"/>
      <c r="CFZ47" s="87"/>
      <c r="CGA47" s="87"/>
      <c r="CGB47" s="87"/>
      <c r="CGC47" s="87"/>
      <c r="CGD47" s="87"/>
      <c r="CGE47" s="87"/>
      <c r="CGF47" s="87"/>
      <c r="CGG47" s="87"/>
      <c r="CGH47" s="87"/>
      <c r="CGI47" s="87"/>
      <c r="CGJ47" s="87"/>
      <c r="CGK47" s="87"/>
      <c r="CGL47" s="87"/>
      <c r="CGM47" s="87"/>
      <c r="CGN47" s="87"/>
      <c r="CGO47" s="87"/>
      <c r="CGP47" s="87"/>
      <c r="CGQ47" s="87"/>
      <c r="CGR47" s="87"/>
      <c r="CGS47" s="87"/>
      <c r="CGT47" s="87"/>
      <c r="CGU47" s="87"/>
      <c r="CGV47" s="87"/>
      <c r="CGW47" s="87"/>
      <c r="CGX47" s="87"/>
      <c r="CGY47" s="87"/>
      <c r="CGZ47" s="87"/>
      <c r="CHA47" s="87"/>
      <c r="CHB47" s="87"/>
      <c r="CHC47" s="87"/>
      <c r="CHD47" s="87"/>
      <c r="CHE47" s="87"/>
      <c r="CHF47" s="87"/>
      <c r="CHG47" s="87"/>
      <c r="CHH47" s="87"/>
      <c r="CHI47" s="87"/>
      <c r="CHJ47" s="87"/>
      <c r="CHK47" s="87"/>
      <c r="CHL47" s="87"/>
      <c r="CHM47" s="87"/>
      <c r="CHN47" s="87"/>
      <c r="CHO47" s="87"/>
      <c r="CHP47" s="87"/>
      <c r="CHQ47" s="87"/>
      <c r="CHR47" s="87"/>
      <c r="CHS47" s="87"/>
      <c r="CHT47" s="87"/>
      <c r="CHU47" s="87"/>
      <c r="CHV47" s="87"/>
      <c r="CHW47" s="87"/>
      <c r="CHX47" s="87"/>
      <c r="CHY47" s="87"/>
      <c r="CHZ47" s="87"/>
      <c r="CIA47" s="87"/>
      <c r="CIB47" s="87"/>
      <c r="CIC47" s="87"/>
      <c r="CID47" s="87"/>
      <c r="CIE47" s="87"/>
      <c r="CIF47" s="87"/>
      <c r="CIG47" s="87"/>
      <c r="CIH47" s="87"/>
      <c r="CII47" s="87"/>
      <c r="CIJ47" s="87"/>
      <c r="CIK47" s="87"/>
      <c r="CIL47" s="87"/>
      <c r="CIM47" s="87"/>
      <c r="CIN47" s="87"/>
      <c r="CIO47" s="87"/>
      <c r="CIP47" s="87"/>
      <c r="CIQ47" s="87"/>
      <c r="CIR47" s="87"/>
      <c r="CIS47" s="87"/>
      <c r="CIT47" s="87"/>
      <c r="CIU47" s="87"/>
      <c r="CIV47" s="87"/>
      <c r="CIW47" s="87"/>
      <c r="CIX47" s="87"/>
      <c r="CIY47" s="87"/>
      <c r="CIZ47" s="87"/>
      <c r="CJA47" s="87"/>
      <c r="CJB47" s="87"/>
      <c r="CJC47" s="87"/>
      <c r="CJD47" s="87"/>
      <c r="CJE47" s="87"/>
      <c r="CJF47" s="87"/>
      <c r="CJG47" s="87"/>
      <c r="CJH47" s="87"/>
      <c r="CJI47" s="87"/>
      <c r="CJJ47" s="87"/>
      <c r="CJK47" s="87"/>
      <c r="CJL47" s="87"/>
      <c r="CJM47" s="87"/>
      <c r="CJN47" s="87"/>
      <c r="CJO47" s="87"/>
      <c r="CJP47" s="87"/>
      <c r="CJQ47" s="87"/>
      <c r="CJR47" s="87"/>
      <c r="CJS47" s="87"/>
      <c r="CJT47" s="87"/>
      <c r="CJU47" s="87"/>
      <c r="CJV47" s="87"/>
      <c r="CJW47" s="87"/>
      <c r="CJX47" s="87"/>
      <c r="CJY47" s="87"/>
      <c r="CJZ47" s="87"/>
      <c r="CKA47" s="87"/>
      <c r="CKB47" s="87"/>
      <c r="CKC47" s="87"/>
      <c r="CKD47" s="87"/>
      <c r="CKE47" s="87"/>
      <c r="CKF47" s="87"/>
      <c r="CKG47" s="87"/>
      <c r="CKH47" s="87"/>
      <c r="CKI47" s="87"/>
      <c r="CKJ47" s="87"/>
      <c r="CKK47" s="87"/>
      <c r="CKL47" s="87"/>
      <c r="CKM47" s="87"/>
      <c r="CKN47" s="87"/>
      <c r="CKO47" s="87"/>
      <c r="CKP47" s="87"/>
      <c r="CKQ47" s="87"/>
      <c r="CKR47" s="87"/>
      <c r="CKS47" s="87"/>
      <c r="CKT47" s="87"/>
      <c r="CKU47" s="87"/>
      <c r="CKV47" s="87"/>
      <c r="CKW47" s="87"/>
      <c r="CKX47" s="87"/>
      <c r="CKY47" s="87"/>
      <c r="CKZ47" s="87"/>
      <c r="CLA47" s="87"/>
      <c r="CLB47" s="87"/>
      <c r="CLC47" s="87"/>
      <c r="CLD47" s="87"/>
      <c r="CLE47" s="87"/>
      <c r="CLF47" s="87"/>
      <c r="CLG47" s="87"/>
      <c r="CLH47" s="87"/>
      <c r="CLI47" s="87"/>
      <c r="CLJ47" s="87"/>
      <c r="CLK47" s="87"/>
      <c r="CLL47" s="87"/>
      <c r="CLM47" s="87"/>
      <c r="CLN47" s="87"/>
      <c r="CLO47" s="87"/>
      <c r="CLP47" s="87"/>
      <c r="CLQ47" s="87"/>
      <c r="CLR47" s="87"/>
      <c r="CLS47" s="87"/>
      <c r="CLT47" s="87"/>
      <c r="CLU47" s="87"/>
      <c r="CLV47" s="87"/>
      <c r="CLW47" s="87"/>
      <c r="CLX47" s="87"/>
      <c r="CLY47" s="87"/>
      <c r="CLZ47" s="87"/>
      <c r="CMA47" s="87"/>
      <c r="CMB47" s="87"/>
      <c r="CMC47" s="87"/>
      <c r="CMD47" s="87"/>
      <c r="CME47" s="87"/>
      <c r="CMF47" s="87"/>
      <c r="CMG47" s="87"/>
      <c r="CMH47" s="87"/>
      <c r="CMI47" s="87"/>
      <c r="CMJ47" s="87"/>
      <c r="CMK47" s="87"/>
      <c r="CML47" s="87"/>
      <c r="CMM47" s="87"/>
      <c r="CMN47" s="87"/>
      <c r="CMO47" s="87"/>
      <c r="CMP47" s="87"/>
      <c r="CMQ47" s="87"/>
      <c r="CMR47" s="87"/>
      <c r="CMS47" s="87"/>
      <c r="CMT47" s="87"/>
      <c r="CMU47" s="87"/>
      <c r="CMV47" s="87"/>
      <c r="CMW47" s="87"/>
      <c r="CMX47" s="87"/>
      <c r="CMY47" s="87"/>
      <c r="CMZ47" s="87"/>
      <c r="CNA47" s="87"/>
      <c r="CNB47" s="87"/>
      <c r="CNC47" s="87"/>
      <c r="CND47" s="87"/>
      <c r="CNE47" s="87"/>
      <c r="CNF47" s="87"/>
      <c r="CNG47" s="87"/>
      <c r="CNH47" s="87"/>
      <c r="CNI47" s="87"/>
      <c r="CNJ47" s="87"/>
      <c r="CNK47" s="87"/>
      <c r="CNL47" s="87"/>
      <c r="CNM47" s="87"/>
      <c r="CNN47" s="87"/>
      <c r="CNO47" s="87"/>
      <c r="CNP47" s="87"/>
      <c r="CNQ47" s="87"/>
      <c r="CNR47" s="87"/>
      <c r="CNS47" s="87"/>
      <c r="CNT47" s="87"/>
      <c r="CNU47" s="87"/>
      <c r="CNV47" s="87"/>
      <c r="CNW47" s="87"/>
      <c r="CNX47" s="87"/>
      <c r="CNY47" s="87"/>
      <c r="CNZ47" s="87"/>
      <c r="COA47" s="87"/>
      <c r="COB47" s="87"/>
      <c r="COC47" s="87"/>
      <c r="COD47" s="87"/>
      <c r="COE47" s="87"/>
      <c r="COF47" s="87"/>
      <c r="COG47" s="87"/>
      <c r="COH47" s="87"/>
      <c r="COI47" s="87"/>
      <c r="COJ47" s="87"/>
      <c r="COK47" s="87"/>
      <c r="COL47" s="87"/>
      <c r="COM47" s="87"/>
      <c r="CON47" s="87"/>
      <c r="COO47" s="87"/>
      <c r="COP47" s="87"/>
      <c r="COQ47" s="87"/>
      <c r="COR47" s="87"/>
      <c r="COS47" s="87"/>
      <c r="COT47" s="87"/>
      <c r="COU47" s="87"/>
      <c r="COV47" s="87"/>
      <c r="COW47" s="87"/>
      <c r="COX47" s="87"/>
      <c r="COY47" s="87"/>
      <c r="COZ47" s="87"/>
      <c r="CPA47" s="87"/>
      <c r="CPB47" s="87"/>
      <c r="CPC47" s="87"/>
      <c r="CPD47" s="87"/>
      <c r="CPE47" s="87"/>
      <c r="CPF47" s="87"/>
      <c r="CPG47" s="87"/>
      <c r="CPH47" s="87"/>
      <c r="CPI47" s="87"/>
      <c r="CPJ47" s="87"/>
      <c r="CPK47" s="87"/>
      <c r="CPL47" s="87"/>
      <c r="CPM47" s="87"/>
      <c r="CPN47" s="87"/>
      <c r="CPO47" s="87"/>
      <c r="CPP47" s="87"/>
      <c r="CPQ47" s="87"/>
      <c r="CPR47" s="87"/>
      <c r="CPS47" s="87"/>
      <c r="CPT47" s="87"/>
      <c r="CPU47" s="87"/>
      <c r="CPV47" s="87"/>
      <c r="CPW47" s="87"/>
      <c r="CPX47" s="87"/>
      <c r="CPY47" s="87"/>
      <c r="CPZ47" s="87"/>
      <c r="CQA47" s="87"/>
      <c r="CQB47" s="87"/>
      <c r="CQC47" s="87"/>
      <c r="CQD47" s="87"/>
      <c r="CQE47" s="87"/>
      <c r="CQF47" s="87"/>
      <c r="CQG47" s="87"/>
      <c r="CQH47" s="87"/>
      <c r="CQI47" s="87"/>
      <c r="CQJ47" s="87"/>
      <c r="CQK47" s="87"/>
      <c r="CQL47" s="87"/>
      <c r="CQM47" s="87"/>
      <c r="CQN47" s="87"/>
      <c r="CQO47" s="87"/>
      <c r="CQP47" s="87"/>
      <c r="CQQ47" s="87"/>
      <c r="CQR47" s="87"/>
      <c r="CQS47" s="87"/>
      <c r="CQT47" s="87"/>
      <c r="CQU47" s="87"/>
      <c r="CQV47" s="87"/>
      <c r="CQW47" s="87"/>
      <c r="CQX47" s="87"/>
      <c r="CQY47" s="87"/>
      <c r="CQZ47" s="87"/>
      <c r="CRA47" s="87"/>
      <c r="CRB47" s="87"/>
      <c r="CRC47" s="87"/>
      <c r="CRD47" s="87"/>
      <c r="CRE47" s="87"/>
      <c r="CRF47" s="87"/>
      <c r="CRG47" s="87"/>
      <c r="CRH47" s="87"/>
      <c r="CRI47" s="87"/>
      <c r="CRJ47" s="87"/>
      <c r="CRK47" s="87"/>
      <c r="CRL47" s="87"/>
      <c r="CRM47" s="87"/>
      <c r="CRN47" s="87"/>
      <c r="CRO47" s="87"/>
      <c r="CRP47" s="87"/>
      <c r="CRQ47" s="87"/>
      <c r="CRR47" s="87"/>
      <c r="CRS47" s="87"/>
      <c r="CRT47" s="87"/>
      <c r="CRU47" s="87"/>
      <c r="CRV47" s="87"/>
      <c r="CRW47" s="87"/>
      <c r="CRX47" s="87"/>
      <c r="CRY47" s="87"/>
      <c r="CRZ47" s="87"/>
      <c r="CSA47" s="87"/>
      <c r="CSB47" s="87"/>
      <c r="CSC47" s="87"/>
      <c r="CSD47" s="87"/>
      <c r="CSE47" s="87"/>
      <c r="CSF47" s="87"/>
      <c r="CSG47" s="87"/>
      <c r="CSH47" s="87"/>
      <c r="CSI47" s="87"/>
      <c r="CSJ47" s="87"/>
      <c r="CSK47" s="87"/>
      <c r="CSL47" s="87"/>
      <c r="CSM47" s="87"/>
      <c r="CSN47" s="87"/>
      <c r="CSO47" s="87"/>
      <c r="CSP47" s="87"/>
      <c r="CSQ47" s="87"/>
      <c r="CSR47" s="87"/>
      <c r="CSS47" s="87"/>
      <c r="CST47" s="87"/>
      <c r="CSU47" s="87"/>
      <c r="CSV47" s="87"/>
      <c r="CSW47" s="87"/>
      <c r="CSX47" s="87"/>
      <c r="CSY47" s="87"/>
      <c r="CSZ47" s="87"/>
      <c r="CTA47" s="87"/>
      <c r="CTB47" s="87"/>
      <c r="CTC47" s="87"/>
      <c r="CTD47" s="87"/>
      <c r="CTE47" s="87"/>
      <c r="CTF47" s="87"/>
      <c r="CTG47" s="87"/>
      <c r="CTH47" s="87"/>
      <c r="CTI47" s="87"/>
      <c r="CTJ47" s="87"/>
      <c r="CTK47" s="87"/>
      <c r="CTL47" s="87"/>
      <c r="CTM47" s="87"/>
      <c r="CTN47" s="87"/>
      <c r="CTO47" s="87"/>
      <c r="CTP47" s="87"/>
      <c r="CTQ47" s="87"/>
      <c r="CTR47" s="87"/>
      <c r="CTS47" s="87"/>
      <c r="CTT47" s="87"/>
      <c r="CTU47" s="87"/>
      <c r="CTV47" s="87"/>
      <c r="CTW47" s="87"/>
      <c r="CTX47" s="87"/>
      <c r="CTY47" s="87"/>
      <c r="CTZ47" s="87"/>
      <c r="CUA47" s="87"/>
      <c r="CUB47" s="87"/>
      <c r="CUC47" s="87"/>
      <c r="CUD47" s="87"/>
      <c r="CUE47" s="87"/>
      <c r="CUF47" s="87"/>
      <c r="CUG47" s="87"/>
      <c r="CUH47" s="87"/>
      <c r="CUI47" s="87"/>
      <c r="CUJ47" s="87"/>
      <c r="CUK47" s="87"/>
      <c r="CUL47" s="87"/>
      <c r="CUM47" s="87"/>
      <c r="CUN47" s="87"/>
      <c r="CUO47" s="87"/>
      <c r="CUP47" s="87"/>
      <c r="CUQ47" s="87"/>
      <c r="CUR47" s="87"/>
      <c r="CUS47" s="87"/>
      <c r="CUT47" s="87"/>
      <c r="CUU47" s="87"/>
      <c r="CUV47" s="87"/>
      <c r="CUW47" s="87"/>
      <c r="CUX47" s="87"/>
      <c r="CUY47" s="87"/>
      <c r="CUZ47" s="87"/>
      <c r="CVA47" s="87"/>
      <c r="CVB47" s="87"/>
      <c r="CVC47" s="87"/>
      <c r="CVD47" s="87"/>
      <c r="CVE47" s="87"/>
      <c r="CVF47" s="87"/>
      <c r="CVG47" s="87"/>
      <c r="CVH47" s="87"/>
      <c r="CVI47" s="87"/>
      <c r="CVJ47" s="87"/>
      <c r="CVK47" s="87"/>
      <c r="CVL47" s="87"/>
      <c r="CVM47" s="87"/>
      <c r="CVN47" s="87"/>
      <c r="CVO47" s="87"/>
      <c r="CVP47" s="87"/>
      <c r="CVQ47" s="87"/>
      <c r="CVR47" s="87"/>
      <c r="CVS47" s="87"/>
      <c r="CVT47" s="87"/>
      <c r="CVU47" s="87"/>
      <c r="CVV47" s="87"/>
      <c r="CVW47" s="87"/>
      <c r="CVX47" s="87"/>
      <c r="CVY47" s="87"/>
      <c r="CVZ47" s="87"/>
      <c r="CWA47" s="87"/>
      <c r="CWB47" s="87"/>
      <c r="CWC47" s="87"/>
      <c r="CWD47" s="87"/>
      <c r="CWE47" s="87"/>
      <c r="CWF47" s="87"/>
      <c r="CWG47" s="87"/>
      <c r="CWH47" s="87"/>
      <c r="CWI47" s="87"/>
      <c r="CWJ47" s="87"/>
      <c r="CWK47" s="87"/>
      <c r="CWL47" s="87"/>
      <c r="CWM47" s="87"/>
      <c r="CWN47" s="87"/>
      <c r="CWO47" s="87"/>
      <c r="CWP47" s="87"/>
      <c r="CWQ47" s="87"/>
      <c r="CWR47" s="87"/>
      <c r="CWS47" s="87"/>
      <c r="CWT47" s="87"/>
      <c r="CWU47" s="87"/>
      <c r="CWV47" s="87"/>
      <c r="CWW47" s="87"/>
      <c r="CWX47" s="87"/>
      <c r="CWY47" s="87"/>
      <c r="CWZ47" s="87"/>
      <c r="CXA47" s="87"/>
      <c r="CXB47" s="87"/>
      <c r="CXC47" s="87"/>
      <c r="CXD47" s="87"/>
      <c r="CXE47" s="87"/>
      <c r="CXF47" s="87"/>
      <c r="CXG47" s="87"/>
      <c r="CXH47" s="87"/>
      <c r="CXI47" s="87"/>
      <c r="CXJ47" s="87"/>
      <c r="CXK47" s="87"/>
      <c r="CXL47" s="87"/>
      <c r="CXM47" s="87"/>
      <c r="CXN47" s="87"/>
      <c r="CXO47" s="87"/>
      <c r="CXP47" s="87"/>
      <c r="CXQ47" s="87"/>
      <c r="CXR47" s="87"/>
      <c r="CXS47" s="87"/>
      <c r="CXT47" s="87"/>
      <c r="CXU47" s="87"/>
      <c r="CXV47" s="87"/>
      <c r="CXW47" s="87"/>
      <c r="CXX47" s="87"/>
      <c r="CXY47" s="87"/>
      <c r="CXZ47" s="87"/>
      <c r="CYA47" s="87"/>
      <c r="CYB47" s="87"/>
      <c r="CYC47" s="87"/>
      <c r="CYD47" s="87"/>
      <c r="CYE47" s="87"/>
      <c r="CYF47" s="87"/>
      <c r="CYG47" s="87"/>
      <c r="CYH47" s="87"/>
      <c r="CYI47" s="87"/>
      <c r="CYJ47" s="87"/>
      <c r="CYK47" s="87"/>
      <c r="CYL47" s="87"/>
      <c r="CYM47" s="87"/>
      <c r="CYN47" s="87"/>
      <c r="CYO47" s="87"/>
      <c r="CYP47" s="87"/>
      <c r="CYQ47" s="87"/>
      <c r="CYR47" s="87"/>
      <c r="CYS47" s="87"/>
      <c r="CYT47" s="87"/>
      <c r="CYU47" s="87"/>
      <c r="CYV47" s="87"/>
      <c r="CYW47" s="87"/>
      <c r="CYX47" s="87"/>
      <c r="CYY47" s="87"/>
      <c r="CYZ47" s="87"/>
      <c r="CZA47" s="87"/>
      <c r="CZB47" s="87"/>
      <c r="CZC47" s="87"/>
      <c r="CZD47" s="87"/>
      <c r="CZE47" s="87"/>
      <c r="CZF47" s="87"/>
      <c r="CZG47" s="87"/>
      <c r="CZH47" s="87"/>
      <c r="CZI47" s="87"/>
      <c r="CZJ47" s="87"/>
      <c r="CZK47" s="87"/>
      <c r="CZL47" s="87"/>
      <c r="CZM47" s="87"/>
      <c r="CZN47" s="87"/>
      <c r="CZO47" s="87"/>
      <c r="CZP47" s="87"/>
      <c r="CZQ47" s="87"/>
      <c r="CZR47" s="87"/>
      <c r="CZS47" s="87"/>
      <c r="CZT47" s="87"/>
      <c r="CZU47" s="87"/>
      <c r="CZV47" s="87"/>
      <c r="CZW47" s="87"/>
      <c r="CZX47" s="87"/>
      <c r="CZY47" s="87"/>
      <c r="CZZ47" s="87"/>
      <c r="DAA47" s="87"/>
      <c r="DAB47" s="87"/>
      <c r="DAC47" s="87"/>
      <c r="DAD47" s="87"/>
      <c r="DAE47" s="87"/>
      <c r="DAF47" s="87"/>
      <c r="DAG47" s="87"/>
      <c r="DAH47" s="87"/>
      <c r="DAI47" s="87"/>
      <c r="DAJ47" s="87"/>
      <c r="DAK47" s="87"/>
      <c r="DAL47" s="87"/>
      <c r="DAM47" s="87"/>
      <c r="DAN47" s="87"/>
      <c r="DAO47" s="87"/>
      <c r="DAP47" s="87"/>
      <c r="DAQ47" s="87"/>
      <c r="DAR47" s="87"/>
      <c r="DAS47" s="87"/>
      <c r="DAT47" s="87"/>
      <c r="DAU47" s="87"/>
      <c r="DAV47" s="87"/>
      <c r="DAW47" s="87"/>
      <c r="DAX47" s="87"/>
      <c r="DAY47" s="87"/>
      <c r="DAZ47" s="87"/>
      <c r="DBA47" s="87"/>
      <c r="DBB47" s="87"/>
      <c r="DBC47" s="87"/>
      <c r="DBD47" s="87"/>
      <c r="DBE47" s="87"/>
      <c r="DBF47" s="87"/>
      <c r="DBG47" s="87"/>
      <c r="DBH47" s="87"/>
      <c r="DBI47" s="87"/>
      <c r="DBJ47" s="87"/>
      <c r="DBK47" s="87"/>
      <c r="DBL47" s="87"/>
      <c r="DBM47" s="87"/>
      <c r="DBN47" s="87"/>
      <c r="DBO47" s="87"/>
      <c r="DBP47" s="87"/>
      <c r="DBQ47" s="87"/>
      <c r="DBR47" s="87"/>
      <c r="DBS47" s="87"/>
      <c r="DBT47" s="87"/>
      <c r="DBU47" s="87"/>
      <c r="DBV47" s="87"/>
      <c r="DBW47" s="87"/>
      <c r="DBX47" s="87"/>
      <c r="DBY47" s="87"/>
      <c r="DBZ47" s="87"/>
      <c r="DCA47" s="87"/>
      <c r="DCB47" s="87"/>
      <c r="DCC47" s="87"/>
      <c r="DCD47" s="87"/>
      <c r="DCE47" s="87"/>
      <c r="DCF47" s="87"/>
      <c r="DCG47" s="87"/>
      <c r="DCH47" s="87"/>
      <c r="DCI47" s="87"/>
      <c r="DCJ47" s="87"/>
      <c r="DCK47" s="87"/>
      <c r="DCL47" s="87"/>
      <c r="DCM47" s="87"/>
      <c r="DCN47" s="87"/>
      <c r="DCO47" s="87"/>
      <c r="DCP47" s="87"/>
      <c r="DCQ47" s="87"/>
      <c r="DCR47" s="87"/>
      <c r="DCS47" s="87"/>
      <c r="DCT47" s="87"/>
      <c r="DCU47" s="87"/>
      <c r="DCV47" s="87"/>
      <c r="DCW47" s="87"/>
      <c r="DCX47" s="87"/>
      <c r="DCY47" s="87"/>
      <c r="DCZ47" s="87"/>
      <c r="DDA47" s="87"/>
      <c r="DDB47" s="87"/>
      <c r="DDC47" s="87"/>
      <c r="DDD47" s="87"/>
      <c r="DDE47" s="87"/>
      <c r="DDF47" s="87"/>
      <c r="DDG47" s="87"/>
      <c r="DDH47" s="87"/>
      <c r="DDI47" s="87"/>
      <c r="DDJ47" s="87"/>
      <c r="DDK47" s="87"/>
      <c r="DDL47" s="87"/>
      <c r="DDM47" s="87"/>
      <c r="DDN47" s="87"/>
      <c r="DDO47" s="87"/>
      <c r="DDP47" s="87"/>
      <c r="DDQ47" s="87"/>
      <c r="DDR47" s="87"/>
      <c r="DDS47" s="87"/>
      <c r="DDT47" s="87"/>
      <c r="DDU47" s="87"/>
      <c r="DDV47" s="87"/>
      <c r="DDW47" s="87"/>
      <c r="DDX47" s="87"/>
      <c r="DDY47" s="87"/>
      <c r="DDZ47" s="87"/>
      <c r="DEA47" s="87"/>
      <c r="DEB47" s="87"/>
      <c r="DEC47" s="87"/>
      <c r="DED47" s="87"/>
      <c r="DEE47" s="87"/>
      <c r="DEF47" s="87"/>
      <c r="DEG47" s="87"/>
      <c r="DEH47" s="87"/>
      <c r="DEI47" s="87"/>
      <c r="DEJ47" s="87"/>
      <c r="DEK47" s="87"/>
      <c r="DEL47" s="87"/>
      <c r="DEM47" s="87"/>
      <c r="DEN47" s="87"/>
      <c r="DEO47" s="87"/>
      <c r="DEP47" s="87"/>
      <c r="DEQ47" s="87"/>
      <c r="DER47" s="87"/>
      <c r="DES47" s="87"/>
      <c r="DET47" s="87"/>
      <c r="DEU47" s="87"/>
      <c r="DEV47" s="87"/>
      <c r="DEW47" s="87"/>
      <c r="DEX47" s="87"/>
      <c r="DEY47" s="87"/>
      <c r="DEZ47" s="87"/>
      <c r="DFA47" s="87"/>
      <c r="DFB47" s="87"/>
      <c r="DFC47" s="87"/>
      <c r="DFD47" s="87"/>
      <c r="DFE47" s="87"/>
      <c r="DFF47" s="87"/>
      <c r="DFG47" s="87"/>
      <c r="DFH47" s="87"/>
      <c r="DFI47" s="87"/>
      <c r="DFJ47" s="87"/>
      <c r="DFK47" s="87"/>
      <c r="DFL47" s="87"/>
      <c r="DFM47" s="87"/>
      <c r="DFN47" s="87"/>
      <c r="DFO47" s="87"/>
      <c r="DFP47" s="87"/>
      <c r="DFQ47" s="87"/>
      <c r="DFR47" s="87"/>
      <c r="DFS47" s="87"/>
      <c r="DFT47" s="87"/>
      <c r="DFU47" s="87"/>
      <c r="DFV47" s="87"/>
      <c r="DFW47" s="87"/>
      <c r="DFX47" s="87"/>
      <c r="DFY47" s="87"/>
      <c r="DFZ47" s="87"/>
      <c r="DGA47" s="87"/>
      <c r="DGB47" s="87"/>
      <c r="DGC47" s="87"/>
      <c r="DGD47" s="87"/>
      <c r="DGE47" s="87"/>
      <c r="DGF47" s="87"/>
      <c r="DGG47" s="87"/>
      <c r="DGH47" s="87"/>
      <c r="DGI47" s="87"/>
      <c r="DGJ47" s="87"/>
      <c r="DGK47" s="87"/>
      <c r="DGL47" s="87"/>
      <c r="DGM47" s="87"/>
      <c r="DGN47" s="87"/>
      <c r="DGO47" s="87"/>
      <c r="DGP47" s="87"/>
      <c r="DGQ47" s="87"/>
      <c r="DGR47" s="87"/>
      <c r="DGS47" s="87"/>
      <c r="DGT47" s="87"/>
      <c r="DGU47" s="87"/>
      <c r="DGV47" s="87"/>
      <c r="DGW47" s="87"/>
      <c r="DGX47" s="87"/>
      <c r="DGY47" s="87"/>
      <c r="DGZ47" s="87"/>
      <c r="DHA47" s="87"/>
      <c r="DHB47" s="87"/>
      <c r="DHC47" s="87"/>
      <c r="DHD47" s="87"/>
      <c r="DHE47" s="87"/>
      <c r="DHF47" s="87"/>
      <c r="DHG47" s="87"/>
      <c r="DHH47" s="87"/>
      <c r="DHI47" s="87"/>
      <c r="DHJ47" s="87"/>
      <c r="DHK47" s="87"/>
      <c r="DHL47" s="87"/>
      <c r="DHM47" s="87"/>
      <c r="DHN47" s="87"/>
      <c r="DHO47" s="87"/>
      <c r="DHP47" s="87"/>
      <c r="DHQ47" s="87"/>
      <c r="DHR47" s="87"/>
      <c r="DHS47" s="87"/>
      <c r="DHT47" s="87"/>
      <c r="DHU47" s="87"/>
      <c r="DHV47" s="87"/>
      <c r="DHW47" s="87"/>
      <c r="DHX47" s="87"/>
      <c r="DHY47" s="87"/>
      <c r="DHZ47" s="87"/>
      <c r="DIA47" s="87"/>
      <c r="DIB47" s="87"/>
      <c r="DIC47" s="87"/>
      <c r="DID47" s="87"/>
      <c r="DIE47" s="87"/>
      <c r="DIF47" s="87"/>
      <c r="DIG47" s="87"/>
      <c r="DIH47" s="87"/>
      <c r="DII47" s="87"/>
      <c r="DIJ47" s="87"/>
      <c r="DIK47" s="87"/>
      <c r="DIL47" s="87"/>
      <c r="DIM47" s="87"/>
      <c r="DIN47" s="87"/>
      <c r="DIO47" s="87"/>
      <c r="DIP47" s="87"/>
      <c r="DIQ47" s="87"/>
      <c r="DIR47" s="87"/>
      <c r="DIS47" s="87"/>
      <c r="DIT47" s="87"/>
      <c r="DIU47" s="87"/>
      <c r="DIV47" s="87"/>
      <c r="DIW47" s="87"/>
      <c r="DIX47" s="87"/>
      <c r="DIY47" s="87"/>
      <c r="DIZ47" s="87"/>
      <c r="DJA47" s="87"/>
      <c r="DJB47" s="87"/>
      <c r="DJC47" s="87"/>
      <c r="DJD47" s="87"/>
      <c r="DJE47" s="87"/>
      <c r="DJF47" s="87"/>
      <c r="DJG47" s="87"/>
      <c r="DJH47" s="87"/>
      <c r="DJI47" s="87"/>
      <c r="DJJ47" s="87"/>
      <c r="DJK47" s="87"/>
      <c r="DJL47" s="87"/>
      <c r="DJM47" s="87"/>
      <c r="DJN47" s="87"/>
      <c r="DJO47" s="87"/>
      <c r="DJP47" s="87"/>
      <c r="DJQ47" s="87"/>
      <c r="DJR47" s="87"/>
      <c r="DJS47" s="87"/>
      <c r="DJT47" s="87"/>
      <c r="DJU47" s="87"/>
      <c r="DJV47" s="87"/>
      <c r="DJW47" s="87"/>
      <c r="DJX47" s="87"/>
      <c r="DJY47" s="87"/>
      <c r="DJZ47" s="87"/>
      <c r="DKA47" s="87"/>
      <c r="DKB47" s="87"/>
      <c r="DKC47" s="87"/>
      <c r="DKD47" s="87"/>
      <c r="DKE47" s="87"/>
      <c r="DKF47" s="87"/>
      <c r="DKG47" s="87"/>
      <c r="DKH47" s="87"/>
      <c r="DKI47" s="87"/>
      <c r="DKJ47" s="87"/>
      <c r="DKK47" s="87"/>
      <c r="DKL47" s="87"/>
      <c r="DKM47" s="87"/>
      <c r="DKN47" s="87"/>
      <c r="DKO47" s="87"/>
      <c r="DKP47" s="87"/>
      <c r="DKQ47" s="87"/>
      <c r="DKR47" s="87"/>
      <c r="DKS47" s="87"/>
      <c r="DKT47" s="87"/>
      <c r="DKU47" s="87"/>
      <c r="DKV47" s="87"/>
      <c r="DKW47" s="87"/>
      <c r="DKX47" s="87"/>
      <c r="DKY47" s="87"/>
      <c r="DKZ47" s="87"/>
      <c r="DLA47" s="87"/>
      <c r="DLB47" s="87"/>
      <c r="DLC47" s="87"/>
      <c r="DLD47" s="87"/>
      <c r="DLE47" s="87"/>
      <c r="DLF47" s="87"/>
      <c r="DLG47" s="87"/>
      <c r="DLH47" s="87"/>
      <c r="DLI47" s="87"/>
      <c r="DLJ47" s="87"/>
      <c r="DLK47" s="87"/>
      <c r="DLL47" s="87"/>
      <c r="DLM47" s="87"/>
      <c r="DLN47" s="87"/>
      <c r="DLO47" s="87"/>
      <c r="DLP47" s="87"/>
      <c r="DLQ47" s="87"/>
      <c r="DLR47" s="87"/>
      <c r="DLS47" s="87"/>
      <c r="DLT47" s="87"/>
      <c r="DLU47" s="87"/>
      <c r="DLV47" s="87"/>
      <c r="DLW47" s="87"/>
      <c r="DLX47" s="87"/>
      <c r="DLY47" s="87"/>
      <c r="DLZ47" s="87"/>
      <c r="DMA47" s="87"/>
      <c r="DMB47" s="87"/>
      <c r="DMC47" s="87"/>
      <c r="DMD47" s="87"/>
      <c r="DME47" s="87"/>
      <c r="DMF47" s="87"/>
      <c r="DMG47" s="87"/>
      <c r="DMH47" s="87"/>
      <c r="DMI47" s="87"/>
      <c r="DMJ47" s="87"/>
      <c r="DMK47" s="87"/>
      <c r="DML47" s="87"/>
      <c r="DMM47" s="87"/>
      <c r="DMN47" s="87"/>
      <c r="DMO47" s="87"/>
      <c r="DMP47" s="87"/>
      <c r="DMQ47" s="87"/>
      <c r="DMR47" s="87"/>
      <c r="DMS47" s="87"/>
      <c r="DMT47" s="87"/>
      <c r="DMU47" s="87"/>
      <c r="DMV47" s="87"/>
      <c r="DMW47" s="87"/>
      <c r="DMX47" s="87"/>
      <c r="DMY47" s="87"/>
      <c r="DMZ47" s="87"/>
      <c r="DNA47" s="87"/>
      <c r="DNB47" s="87"/>
      <c r="DNC47" s="87"/>
      <c r="DND47" s="87"/>
      <c r="DNE47" s="87"/>
      <c r="DNF47" s="87"/>
      <c r="DNG47" s="87"/>
      <c r="DNH47" s="87"/>
      <c r="DNI47" s="87"/>
      <c r="DNJ47" s="87"/>
      <c r="DNK47" s="87"/>
      <c r="DNL47" s="87"/>
      <c r="DNM47" s="87"/>
      <c r="DNN47" s="87"/>
      <c r="DNO47" s="87"/>
      <c r="DNP47" s="87"/>
      <c r="DNQ47" s="87"/>
      <c r="DNR47" s="87"/>
      <c r="DNS47" s="87"/>
      <c r="DNT47" s="87"/>
      <c r="DNU47" s="87"/>
      <c r="DNV47" s="87"/>
      <c r="DNW47" s="87"/>
      <c r="DNX47" s="87"/>
      <c r="DNY47" s="87"/>
      <c r="DNZ47" s="87"/>
      <c r="DOA47" s="87"/>
      <c r="DOB47" s="87"/>
      <c r="DOC47" s="87"/>
      <c r="DOD47" s="87"/>
      <c r="DOE47" s="87"/>
      <c r="DOF47" s="87"/>
      <c r="DOG47" s="87"/>
      <c r="DOH47" s="87"/>
      <c r="DOI47" s="87"/>
      <c r="DOJ47" s="87"/>
      <c r="DOK47" s="87"/>
      <c r="DOL47" s="87"/>
      <c r="DOM47" s="87"/>
      <c r="DON47" s="87"/>
      <c r="DOO47" s="87"/>
      <c r="DOP47" s="87"/>
      <c r="DOQ47" s="87"/>
      <c r="DOR47" s="87"/>
      <c r="DOS47" s="87"/>
      <c r="DOT47" s="87"/>
      <c r="DOU47" s="87"/>
      <c r="DOV47" s="87"/>
      <c r="DOW47" s="87"/>
      <c r="DOX47" s="87"/>
      <c r="DOY47" s="87"/>
      <c r="DOZ47" s="87"/>
      <c r="DPA47" s="87"/>
      <c r="DPB47" s="87"/>
      <c r="DPC47" s="87"/>
      <c r="DPD47" s="87"/>
      <c r="DPE47" s="87"/>
      <c r="DPF47" s="87"/>
      <c r="DPG47" s="87"/>
      <c r="DPH47" s="87"/>
      <c r="DPI47" s="87"/>
      <c r="DPJ47" s="87"/>
      <c r="DPK47" s="87"/>
      <c r="DPL47" s="87"/>
      <c r="DPM47" s="87"/>
      <c r="DPN47" s="87"/>
      <c r="DPO47" s="87"/>
      <c r="DPP47" s="87"/>
      <c r="DPQ47" s="87"/>
      <c r="DPR47" s="87"/>
      <c r="DPS47" s="87"/>
      <c r="DPT47" s="87"/>
      <c r="DPU47" s="87"/>
      <c r="DPV47" s="87"/>
      <c r="DPW47" s="87"/>
      <c r="DPX47" s="87"/>
      <c r="DPY47" s="87"/>
      <c r="DPZ47" s="87"/>
      <c r="DQA47" s="87"/>
      <c r="DQB47" s="87"/>
      <c r="DQC47" s="87"/>
      <c r="DQD47" s="87"/>
      <c r="DQE47" s="87"/>
      <c r="DQF47" s="87"/>
      <c r="DQG47" s="87"/>
      <c r="DQH47" s="87"/>
      <c r="DQI47" s="87"/>
      <c r="DQJ47" s="87"/>
      <c r="DQK47" s="87"/>
      <c r="DQL47" s="87"/>
      <c r="DQM47" s="87"/>
      <c r="DQN47" s="87"/>
      <c r="DQO47" s="87"/>
      <c r="DQP47" s="87"/>
      <c r="DQQ47" s="87"/>
      <c r="DQR47" s="87"/>
      <c r="DQS47" s="87"/>
      <c r="DQT47" s="87"/>
      <c r="DQU47" s="87"/>
      <c r="DQV47" s="87"/>
      <c r="DQW47" s="87"/>
      <c r="DQX47" s="87"/>
      <c r="DQY47" s="87"/>
      <c r="DQZ47" s="87"/>
      <c r="DRA47" s="87"/>
      <c r="DRB47" s="87"/>
      <c r="DRC47" s="87"/>
      <c r="DRD47" s="87"/>
      <c r="DRE47" s="87"/>
      <c r="DRF47" s="87"/>
      <c r="DRG47" s="87"/>
      <c r="DRH47" s="87"/>
      <c r="DRI47" s="87"/>
      <c r="DRJ47" s="87"/>
      <c r="DRK47" s="87"/>
      <c r="DRL47" s="87"/>
      <c r="DRM47" s="87"/>
      <c r="DRN47" s="87"/>
      <c r="DRO47" s="87"/>
      <c r="DRP47" s="87"/>
      <c r="DRQ47" s="87"/>
      <c r="DRR47" s="87"/>
      <c r="DRS47" s="87"/>
      <c r="DRT47" s="87"/>
      <c r="DRU47" s="87"/>
      <c r="DRV47" s="87"/>
      <c r="DRW47" s="87"/>
      <c r="DRX47" s="87"/>
      <c r="DRY47" s="87"/>
      <c r="DRZ47" s="87"/>
      <c r="DSA47" s="87"/>
      <c r="DSB47" s="87"/>
      <c r="DSC47" s="87"/>
      <c r="DSD47" s="87"/>
      <c r="DSE47" s="87"/>
      <c r="DSF47" s="87"/>
      <c r="DSG47" s="87"/>
      <c r="DSH47" s="87"/>
      <c r="DSI47" s="87"/>
      <c r="DSJ47" s="87"/>
      <c r="DSK47" s="87"/>
      <c r="DSL47" s="87"/>
      <c r="DSM47" s="87"/>
      <c r="DSN47" s="87"/>
      <c r="DSO47" s="87"/>
      <c r="DSP47" s="87"/>
      <c r="DSQ47" s="87"/>
      <c r="DSR47" s="87"/>
      <c r="DSS47" s="87"/>
      <c r="DST47" s="87"/>
      <c r="DSU47" s="87"/>
      <c r="DSV47" s="87"/>
      <c r="DSW47" s="87"/>
      <c r="DSX47" s="87"/>
      <c r="DSY47" s="87"/>
      <c r="DSZ47" s="87"/>
      <c r="DTA47" s="87"/>
      <c r="DTB47" s="87"/>
      <c r="DTC47" s="87"/>
      <c r="DTD47" s="87"/>
      <c r="DTE47" s="87"/>
      <c r="DTF47" s="87"/>
      <c r="DTG47" s="87"/>
      <c r="DTH47" s="87"/>
      <c r="DTI47" s="87"/>
      <c r="DTJ47" s="87"/>
      <c r="DTK47" s="87"/>
      <c r="DTL47" s="87"/>
      <c r="DTM47" s="87"/>
      <c r="DTN47" s="87"/>
      <c r="DTO47" s="87"/>
      <c r="DTP47" s="87"/>
      <c r="DTQ47" s="87"/>
      <c r="DTR47" s="87"/>
      <c r="DTS47" s="87"/>
      <c r="DTT47" s="87"/>
      <c r="DTU47" s="87"/>
      <c r="DTV47" s="87"/>
      <c r="DTW47" s="87"/>
      <c r="DTX47" s="87"/>
      <c r="DTY47" s="87"/>
      <c r="DTZ47" s="87"/>
      <c r="DUA47" s="87"/>
      <c r="DUB47" s="87"/>
      <c r="DUC47" s="87"/>
      <c r="DUD47" s="87"/>
      <c r="DUE47" s="87"/>
      <c r="DUF47" s="87"/>
      <c r="DUG47" s="87"/>
      <c r="DUH47" s="87"/>
      <c r="DUI47" s="87"/>
      <c r="DUJ47" s="87"/>
      <c r="DUK47" s="87"/>
      <c r="DUL47" s="87"/>
      <c r="DUM47" s="87"/>
      <c r="DUN47" s="87"/>
      <c r="DUO47" s="87"/>
      <c r="DUP47" s="87"/>
      <c r="DUQ47" s="87"/>
      <c r="DUR47" s="87"/>
      <c r="DUS47" s="87"/>
      <c r="DUT47" s="87"/>
      <c r="DUU47" s="87"/>
      <c r="DUV47" s="87"/>
      <c r="DUW47" s="87"/>
      <c r="DUX47" s="87"/>
      <c r="DUY47" s="87"/>
      <c r="DUZ47" s="87"/>
      <c r="DVA47" s="87"/>
      <c r="DVB47" s="87"/>
      <c r="DVC47" s="87"/>
      <c r="DVD47" s="87"/>
      <c r="DVE47" s="87"/>
      <c r="DVF47" s="87"/>
      <c r="DVG47" s="87"/>
      <c r="DVH47" s="87"/>
      <c r="DVI47" s="87"/>
      <c r="DVJ47" s="87"/>
      <c r="DVK47" s="87"/>
      <c r="DVL47" s="87"/>
      <c r="DVM47" s="87"/>
      <c r="DVN47" s="87"/>
      <c r="DVO47" s="87"/>
      <c r="DVP47" s="87"/>
      <c r="DVQ47" s="87"/>
      <c r="DVR47" s="87"/>
      <c r="DVS47" s="87"/>
      <c r="DVT47" s="87"/>
      <c r="DVU47" s="87"/>
      <c r="DVV47" s="87"/>
      <c r="DVW47" s="87"/>
      <c r="DVX47" s="87"/>
      <c r="DVY47" s="87"/>
      <c r="DVZ47" s="87"/>
      <c r="DWA47" s="87"/>
      <c r="DWB47" s="87"/>
      <c r="DWC47" s="87"/>
      <c r="DWD47" s="87"/>
      <c r="DWE47" s="87"/>
      <c r="DWF47" s="87"/>
      <c r="DWG47" s="87"/>
      <c r="DWH47" s="87"/>
      <c r="DWI47" s="87"/>
      <c r="DWJ47" s="87"/>
      <c r="DWK47" s="87"/>
      <c r="DWL47" s="87"/>
      <c r="DWM47" s="87"/>
      <c r="DWN47" s="87"/>
      <c r="DWO47" s="87"/>
      <c r="DWP47" s="87"/>
      <c r="DWQ47" s="87"/>
      <c r="DWR47" s="87"/>
      <c r="DWS47" s="87"/>
      <c r="DWT47" s="87"/>
      <c r="DWU47" s="87"/>
      <c r="DWV47" s="87"/>
      <c r="DWW47" s="87"/>
      <c r="DWX47" s="87"/>
      <c r="DWY47" s="87"/>
      <c r="DWZ47" s="87"/>
      <c r="DXA47" s="87"/>
      <c r="DXB47" s="87"/>
      <c r="DXC47" s="87"/>
      <c r="DXD47" s="87"/>
      <c r="DXE47" s="87"/>
      <c r="DXF47" s="87"/>
      <c r="DXG47" s="87"/>
      <c r="DXH47" s="87"/>
      <c r="DXI47" s="87"/>
      <c r="DXJ47" s="87"/>
      <c r="DXK47" s="87"/>
      <c r="DXL47" s="87"/>
      <c r="DXM47" s="87"/>
      <c r="DXN47" s="87"/>
      <c r="DXO47" s="87"/>
      <c r="DXP47" s="87"/>
      <c r="DXQ47" s="87"/>
      <c r="DXR47" s="87"/>
      <c r="DXS47" s="87"/>
      <c r="DXT47" s="87"/>
      <c r="DXU47" s="87"/>
      <c r="DXV47" s="87"/>
      <c r="DXW47" s="87"/>
      <c r="DXX47" s="87"/>
      <c r="DXY47" s="87"/>
      <c r="DXZ47" s="87"/>
      <c r="DYA47" s="87"/>
      <c r="DYB47" s="87"/>
      <c r="DYC47" s="87"/>
      <c r="DYD47" s="87"/>
      <c r="DYE47" s="87"/>
      <c r="DYF47" s="87"/>
      <c r="DYG47" s="87"/>
      <c r="DYH47" s="87"/>
      <c r="DYI47" s="87"/>
      <c r="DYJ47" s="87"/>
      <c r="DYK47" s="87"/>
      <c r="DYL47" s="87"/>
      <c r="DYM47" s="87"/>
      <c r="DYN47" s="87"/>
      <c r="DYO47" s="87"/>
      <c r="DYP47" s="87"/>
      <c r="DYQ47" s="87"/>
      <c r="DYR47" s="87"/>
      <c r="DYS47" s="87"/>
      <c r="DYT47" s="87"/>
      <c r="DYU47" s="87"/>
      <c r="DYV47" s="87"/>
      <c r="DYW47" s="87"/>
      <c r="DYX47" s="87"/>
      <c r="DYY47" s="87"/>
      <c r="DYZ47" s="87"/>
      <c r="DZA47" s="87"/>
      <c r="DZB47" s="87"/>
      <c r="DZC47" s="87"/>
      <c r="DZD47" s="87"/>
      <c r="DZE47" s="87"/>
      <c r="DZF47" s="87"/>
      <c r="DZG47" s="87"/>
      <c r="DZH47" s="87"/>
      <c r="DZI47" s="87"/>
      <c r="DZJ47" s="87"/>
      <c r="DZK47" s="87"/>
      <c r="DZL47" s="87"/>
      <c r="DZM47" s="87"/>
      <c r="DZN47" s="87"/>
      <c r="DZO47" s="87"/>
      <c r="DZP47" s="87"/>
      <c r="DZQ47" s="87"/>
      <c r="DZR47" s="87"/>
      <c r="DZS47" s="87"/>
      <c r="DZT47" s="87"/>
      <c r="DZU47" s="87"/>
      <c r="DZV47" s="87"/>
      <c r="DZW47" s="87"/>
      <c r="DZX47" s="87"/>
      <c r="DZY47" s="87"/>
      <c r="DZZ47" s="87"/>
      <c r="EAA47" s="87"/>
      <c r="EAB47" s="87"/>
      <c r="EAC47" s="87"/>
      <c r="EAD47" s="87"/>
      <c r="EAE47" s="87"/>
      <c r="EAF47" s="87"/>
      <c r="EAG47" s="87"/>
      <c r="EAH47" s="87"/>
      <c r="EAI47" s="87"/>
      <c r="EAJ47" s="87"/>
      <c r="EAK47" s="87"/>
      <c r="EAL47" s="87"/>
      <c r="EAM47" s="87"/>
      <c r="EAN47" s="87"/>
      <c r="EAO47" s="87"/>
      <c r="EAP47" s="87"/>
      <c r="EAQ47" s="87"/>
      <c r="EAR47" s="87"/>
      <c r="EAS47" s="87"/>
      <c r="EAT47" s="87"/>
      <c r="EAU47" s="87"/>
      <c r="EAV47" s="87"/>
      <c r="EAW47" s="87"/>
      <c r="EAX47" s="87"/>
      <c r="EAY47" s="87"/>
      <c r="EAZ47" s="87"/>
      <c r="EBA47" s="87"/>
      <c r="EBB47" s="87"/>
      <c r="EBC47" s="87"/>
      <c r="EBD47" s="87"/>
      <c r="EBE47" s="87"/>
      <c r="EBF47" s="87"/>
      <c r="EBG47" s="87"/>
      <c r="EBH47" s="87"/>
      <c r="EBI47" s="87"/>
      <c r="EBJ47" s="87"/>
      <c r="EBK47" s="87"/>
      <c r="EBL47" s="87"/>
      <c r="EBM47" s="87"/>
      <c r="EBN47" s="87"/>
      <c r="EBO47" s="87"/>
      <c r="EBP47" s="87"/>
      <c r="EBQ47" s="87"/>
      <c r="EBR47" s="87"/>
      <c r="EBS47" s="87"/>
      <c r="EBT47" s="87"/>
      <c r="EBU47" s="87"/>
      <c r="EBV47" s="87"/>
      <c r="EBW47" s="87"/>
      <c r="EBX47" s="87"/>
      <c r="EBY47" s="87"/>
      <c r="EBZ47" s="87"/>
      <c r="ECA47" s="87"/>
      <c r="ECB47" s="87"/>
      <c r="ECC47" s="87"/>
      <c r="ECD47" s="87"/>
      <c r="ECE47" s="87"/>
      <c r="ECF47" s="87"/>
      <c r="ECG47" s="87"/>
      <c r="ECH47" s="87"/>
      <c r="ECI47" s="87"/>
      <c r="ECJ47" s="87"/>
      <c r="ECK47" s="87"/>
      <c r="ECL47" s="87"/>
      <c r="ECM47" s="87"/>
      <c r="ECN47" s="87"/>
      <c r="ECO47" s="87"/>
      <c r="ECP47" s="87"/>
      <c r="ECQ47" s="87"/>
      <c r="ECR47" s="87"/>
      <c r="ECS47" s="87"/>
      <c r="ECT47" s="87"/>
      <c r="ECU47" s="87"/>
      <c r="ECV47" s="87"/>
      <c r="ECW47" s="87"/>
      <c r="ECX47" s="87"/>
      <c r="ECY47" s="87"/>
      <c r="ECZ47" s="87"/>
      <c r="EDA47" s="87"/>
      <c r="EDB47" s="87"/>
      <c r="EDC47" s="87"/>
      <c r="EDD47" s="87"/>
      <c r="EDE47" s="87"/>
      <c r="EDF47" s="87"/>
      <c r="EDG47" s="87"/>
      <c r="EDH47" s="87"/>
      <c r="EDI47" s="87"/>
      <c r="EDJ47" s="87"/>
      <c r="EDK47" s="87"/>
      <c r="EDL47" s="87"/>
      <c r="EDM47" s="87"/>
      <c r="EDN47" s="87"/>
      <c r="EDO47" s="87"/>
      <c r="EDP47" s="87"/>
      <c r="EDQ47" s="87"/>
      <c r="EDR47" s="87"/>
      <c r="EDS47" s="87"/>
      <c r="EDT47" s="87"/>
      <c r="EDU47" s="87"/>
      <c r="EDV47" s="87"/>
      <c r="EDW47" s="87"/>
      <c r="EDX47" s="87"/>
      <c r="EDY47" s="87"/>
      <c r="EDZ47" s="87"/>
      <c r="EEA47" s="87"/>
      <c r="EEB47" s="87"/>
      <c r="EEC47" s="87"/>
      <c r="EED47" s="87"/>
      <c r="EEE47" s="87"/>
      <c r="EEF47" s="87"/>
      <c r="EEG47" s="87"/>
      <c r="EEH47" s="87"/>
      <c r="EEI47" s="87"/>
      <c r="EEJ47" s="87"/>
      <c r="EEK47" s="87"/>
      <c r="EEL47" s="87"/>
      <c r="EEM47" s="87"/>
      <c r="EEN47" s="87"/>
      <c r="EEO47" s="87"/>
      <c r="EEP47" s="87"/>
      <c r="EEQ47" s="87"/>
      <c r="EER47" s="87"/>
      <c r="EES47" s="87"/>
      <c r="EET47" s="87"/>
      <c r="EEU47" s="87"/>
      <c r="EEV47" s="87"/>
      <c r="EEW47" s="87"/>
      <c r="EEX47" s="87"/>
      <c r="EEY47" s="87"/>
      <c r="EEZ47" s="87"/>
      <c r="EFA47" s="87"/>
      <c r="EFB47" s="87"/>
      <c r="EFC47" s="87"/>
      <c r="EFD47" s="87"/>
      <c r="EFE47" s="87"/>
      <c r="EFF47" s="87"/>
      <c r="EFG47" s="87"/>
      <c r="EFH47" s="87"/>
      <c r="EFI47" s="87"/>
      <c r="EFJ47" s="87"/>
      <c r="EFK47" s="87"/>
      <c r="EFL47" s="87"/>
      <c r="EFM47" s="87"/>
      <c r="EFN47" s="87"/>
      <c r="EFO47" s="87"/>
      <c r="EFP47" s="87"/>
      <c r="EFQ47" s="87"/>
      <c r="EFR47" s="87"/>
      <c r="EFS47" s="87"/>
      <c r="EFT47" s="87"/>
      <c r="EFU47" s="87"/>
      <c r="EFV47" s="87"/>
      <c r="EFW47" s="87"/>
      <c r="EFX47" s="87"/>
      <c r="EFY47" s="87"/>
      <c r="EFZ47" s="87"/>
      <c r="EGA47" s="87"/>
      <c r="EGB47" s="87"/>
      <c r="EGC47" s="87"/>
      <c r="EGD47" s="87"/>
      <c r="EGE47" s="87"/>
      <c r="EGF47" s="87"/>
      <c r="EGG47" s="87"/>
      <c r="EGH47" s="87"/>
      <c r="EGI47" s="87"/>
      <c r="EGJ47" s="87"/>
      <c r="EGK47" s="87"/>
      <c r="EGL47" s="87"/>
      <c r="EGM47" s="87"/>
      <c r="EGN47" s="87"/>
      <c r="EGO47" s="87"/>
      <c r="EGP47" s="87"/>
      <c r="EGQ47" s="87"/>
      <c r="EGR47" s="87"/>
      <c r="EGS47" s="87"/>
      <c r="EGT47" s="87"/>
      <c r="EGU47" s="87"/>
      <c r="EGV47" s="87"/>
      <c r="EGW47" s="87"/>
      <c r="EGX47" s="87"/>
      <c r="EGY47" s="87"/>
      <c r="EGZ47" s="87"/>
      <c r="EHA47" s="87"/>
      <c r="EHB47" s="87"/>
      <c r="EHC47" s="87"/>
      <c r="EHD47" s="87"/>
      <c r="EHE47" s="87"/>
      <c r="EHF47" s="87"/>
      <c r="EHG47" s="87"/>
      <c r="EHH47" s="87"/>
      <c r="EHI47" s="87"/>
      <c r="EHJ47" s="87"/>
      <c r="EHK47" s="87"/>
      <c r="EHL47" s="87"/>
      <c r="EHM47" s="87"/>
      <c r="EHN47" s="87"/>
      <c r="EHO47" s="87"/>
      <c r="EHP47" s="87"/>
      <c r="EHQ47" s="87"/>
      <c r="EHR47" s="87"/>
      <c r="EHS47" s="87"/>
      <c r="EHT47" s="87"/>
      <c r="EHU47" s="87"/>
      <c r="EHV47" s="87"/>
      <c r="EHW47" s="87"/>
      <c r="EHX47" s="87"/>
      <c r="EHY47" s="87"/>
      <c r="EHZ47" s="87"/>
      <c r="EIA47" s="87"/>
      <c r="EIB47" s="87"/>
      <c r="EIC47" s="87"/>
      <c r="EID47" s="87"/>
      <c r="EIE47" s="87"/>
      <c r="EIF47" s="87"/>
      <c r="EIG47" s="87"/>
      <c r="EIH47" s="87"/>
      <c r="EII47" s="87"/>
      <c r="EIJ47" s="87"/>
      <c r="EIK47" s="87"/>
      <c r="EIL47" s="87"/>
      <c r="EIM47" s="87"/>
      <c r="EIN47" s="87"/>
      <c r="EIO47" s="87"/>
      <c r="EIP47" s="87"/>
      <c r="EIQ47" s="87"/>
      <c r="EIR47" s="87"/>
      <c r="EIS47" s="87"/>
      <c r="EIT47" s="87"/>
      <c r="EIU47" s="87"/>
      <c r="EIV47" s="87"/>
      <c r="EIW47" s="87"/>
      <c r="EIX47" s="87"/>
      <c r="EIY47" s="87"/>
      <c r="EIZ47" s="87"/>
      <c r="EJA47" s="87"/>
      <c r="EJB47" s="87"/>
      <c r="EJC47" s="87"/>
      <c r="EJD47" s="87"/>
      <c r="EJE47" s="87"/>
      <c r="EJF47" s="87"/>
      <c r="EJG47" s="87"/>
      <c r="EJH47" s="87"/>
      <c r="EJI47" s="87"/>
      <c r="EJJ47" s="87"/>
      <c r="EJK47" s="87"/>
      <c r="EJL47" s="87"/>
      <c r="EJM47" s="87"/>
      <c r="EJN47" s="87"/>
      <c r="EJO47" s="87"/>
      <c r="EJP47" s="87"/>
      <c r="EJQ47" s="87"/>
      <c r="EJR47" s="87"/>
      <c r="EJS47" s="87"/>
      <c r="EJT47" s="87"/>
      <c r="EJU47" s="87"/>
      <c r="EJV47" s="87"/>
      <c r="EJW47" s="87"/>
      <c r="EJX47" s="87"/>
      <c r="EJY47" s="87"/>
      <c r="EJZ47" s="87"/>
      <c r="EKA47" s="87"/>
      <c r="EKB47" s="87"/>
      <c r="EKC47" s="87"/>
      <c r="EKD47" s="87"/>
      <c r="EKE47" s="87"/>
      <c r="EKF47" s="87"/>
      <c r="EKG47" s="87"/>
      <c r="EKH47" s="87"/>
      <c r="EKI47" s="87"/>
      <c r="EKJ47" s="87"/>
      <c r="EKK47" s="87"/>
      <c r="EKL47" s="87"/>
      <c r="EKM47" s="87"/>
      <c r="EKN47" s="87"/>
      <c r="EKO47" s="87"/>
      <c r="EKP47" s="87"/>
      <c r="EKQ47" s="87"/>
      <c r="EKR47" s="87"/>
      <c r="EKS47" s="87"/>
      <c r="EKT47" s="87"/>
      <c r="EKU47" s="87"/>
      <c r="EKV47" s="87"/>
      <c r="EKW47" s="87"/>
      <c r="EKX47" s="87"/>
      <c r="EKY47" s="87"/>
      <c r="EKZ47" s="87"/>
      <c r="ELA47" s="87"/>
      <c r="ELB47" s="87"/>
      <c r="ELC47" s="87"/>
      <c r="ELD47" s="87"/>
      <c r="ELE47" s="87"/>
      <c r="ELF47" s="87"/>
      <c r="ELG47" s="87"/>
      <c r="ELH47" s="87"/>
      <c r="ELI47" s="87"/>
      <c r="ELJ47" s="87"/>
      <c r="ELK47" s="87"/>
      <c r="ELL47" s="87"/>
      <c r="ELM47" s="87"/>
      <c r="ELN47" s="87"/>
      <c r="ELO47" s="87"/>
      <c r="ELP47" s="87"/>
      <c r="ELQ47" s="87"/>
      <c r="ELR47" s="87"/>
      <c r="ELS47" s="87"/>
      <c r="ELT47" s="87"/>
      <c r="ELU47" s="87"/>
      <c r="ELV47" s="87"/>
      <c r="ELW47" s="87"/>
      <c r="ELX47" s="87"/>
      <c r="ELY47" s="87"/>
      <c r="ELZ47" s="87"/>
      <c r="EMA47" s="87"/>
      <c r="EMB47" s="87"/>
      <c r="EMC47" s="87"/>
      <c r="EMD47" s="87"/>
      <c r="EME47" s="87"/>
      <c r="EMF47" s="87"/>
      <c r="EMG47" s="87"/>
      <c r="EMH47" s="87"/>
      <c r="EMI47" s="87"/>
      <c r="EMJ47" s="87"/>
      <c r="EMK47" s="87"/>
      <c r="EML47" s="87"/>
      <c r="EMM47" s="87"/>
      <c r="EMN47" s="87"/>
      <c r="EMO47" s="87"/>
      <c r="EMP47" s="87"/>
      <c r="EMQ47" s="87"/>
      <c r="EMR47" s="87"/>
      <c r="EMS47" s="87"/>
      <c r="EMT47" s="87"/>
      <c r="EMU47" s="87"/>
      <c r="EMV47" s="87"/>
      <c r="EMW47" s="87"/>
      <c r="EMX47" s="87"/>
      <c r="EMY47" s="87"/>
      <c r="EMZ47" s="87"/>
      <c r="ENA47" s="87"/>
      <c r="ENB47" s="87"/>
      <c r="ENC47" s="87"/>
      <c r="END47" s="87"/>
      <c r="ENE47" s="87"/>
      <c r="ENF47" s="87"/>
      <c r="ENG47" s="87"/>
      <c r="ENH47" s="87"/>
      <c r="ENI47" s="87"/>
      <c r="ENJ47" s="87"/>
      <c r="ENK47" s="87"/>
      <c r="ENL47" s="87"/>
      <c r="ENM47" s="87"/>
      <c r="ENN47" s="87"/>
      <c r="ENO47" s="87"/>
      <c r="ENP47" s="87"/>
      <c r="ENQ47" s="87"/>
      <c r="ENR47" s="87"/>
      <c r="ENS47" s="87"/>
      <c r="ENT47" s="87"/>
      <c r="ENU47" s="87"/>
      <c r="ENV47" s="87"/>
      <c r="ENW47" s="87"/>
      <c r="ENX47" s="87"/>
      <c r="ENY47" s="87"/>
      <c r="ENZ47" s="87"/>
      <c r="EOA47" s="87"/>
      <c r="EOB47" s="87"/>
      <c r="EOC47" s="87"/>
      <c r="EOD47" s="87"/>
      <c r="EOE47" s="87"/>
      <c r="EOF47" s="87"/>
      <c r="EOG47" s="87"/>
      <c r="EOH47" s="87"/>
      <c r="EOI47" s="87"/>
      <c r="EOJ47" s="87"/>
      <c r="EOK47" s="87"/>
      <c r="EOL47" s="87"/>
      <c r="EOM47" s="87"/>
      <c r="EON47" s="87"/>
      <c r="EOO47" s="87"/>
      <c r="EOP47" s="87"/>
      <c r="EOQ47" s="87"/>
      <c r="EOR47" s="87"/>
      <c r="EOS47" s="87"/>
      <c r="EOT47" s="87"/>
      <c r="EOU47" s="87"/>
      <c r="EOV47" s="87"/>
      <c r="EOW47" s="87"/>
      <c r="EOX47" s="87"/>
      <c r="EOY47" s="87"/>
      <c r="EOZ47" s="87"/>
      <c r="EPA47" s="87"/>
      <c r="EPB47" s="87"/>
      <c r="EPC47" s="87"/>
      <c r="EPD47" s="87"/>
      <c r="EPE47" s="87"/>
      <c r="EPF47" s="87"/>
      <c r="EPG47" s="87"/>
      <c r="EPH47" s="87"/>
      <c r="EPI47" s="87"/>
      <c r="EPJ47" s="87"/>
      <c r="EPK47" s="87"/>
      <c r="EPL47" s="87"/>
      <c r="EPM47" s="87"/>
      <c r="EPN47" s="87"/>
      <c r="EPO47" s="87"/>
      <c r="EPP47" s="87"/>
      <c r="EPQ47" s="87"/>
      <c r="EPR47" s="87"/>
      <c r="EPS47" s="87"/>
      <c r="EPT47" s="87"/>
      <c r="EPU47" s="87"/>
      <c r="EPV47" s="87"/>
      <c r="EPW47" s="87"/>
      <c r="EPX47" s="87"/>
      <c r="EPY47" s="87"/>
      <c r="EPZ47" s="87"/>
      <c r="EQA47" s="87"/>
      <c r="EQB47" s="87"/>
      <c r="EQC47" s="87"/>
      <c r="EQD47" s="87"/>
      <c r="EQE47" s="87"/>
      <c r="EQF47" s="87"/>
      <c r="EQG47" s="87"/>
      <c r="EQH47" s="87"/>
      <c r="EQI47" s="87"/>
      <c r="EQJ47" s="87"/>
      <c r="EQK47" s="87"/>
      <c r="EQL47" s="87"/>
      <c r="EQM47" s="87"/>
      <c r="EQN47" s="87"/>
      <c r="EQO47" s="87"/>
      <c r="EQP47" s="87"/>
      <c r="EQQ47" s="87"/>
      <c r="EQR47" s="87"/>
      <c r="EQS47" s="87"/>
      <c r="EQT47" s="87"/>
      <c r="EQU47" s="87"/>
      <c r="EQV47" s="87"/>
      <c r="EQW47" s="87"/>
      <c r="EQX47" s="87"/>
      <c r="EQY47" s="87"/>
      <c r="EQZ47" s="87"/>
      <c r="ERA47" s="87"/>
      <c r="ERB47" s="87"/>
      <c r="ERC47" s="87"/>
      <c r="ERD47" s="87"/>
      <c r="ERE47" s="87"/>
      <c r="ERF47" s="87"/>
      <c r="ERG47" s="87"/>
      <c r="ERH47" s="87"/>
      <c r="ERI47" s="87"/>
      <c r="ERJ47" s="87"/>
      <c r="ERK47" s="87"/>
      <c r="ERL47" s="87"/>
      <c r="ERM47" s="87"/>
      <c r="ERN47" s="87"/>
      <c r="ERO47" s="87"/>
      <c r="ERP47" s="87"/>
      <c r="ERQ47" s="87"/>
      <c r="ERR47" s="87"/>
      <c r="ERS47" s="87"/>
      <c r="ERT47" s="87"/>
      <c r="ERU47" s="87"/>
      <c r="ERV47" s="87"/>
      <c r="ERW47" s="87"/>
      <c r="ERX47" s="87"/>
      <c r="ERY47" s="87"/>
      <c r="ERZ47" s="87"/>
      <c r="ESA47" s="87"/>
      <c r="ESB47" s="87"/>
      <c r="ESC47" s="87"/>
      <c r="ESD47" s="87"/>
      <c r="ESE47" s="87"/>
      <c r="ESF47" s="87"/>
      <c r="ESG47" s="87"/>
      <c r="ESH47" s="87"/>
      <c r="ESI47" s="87"/>
      <c r="ESJ47" s="87"/>
      <c r="ESK47" s="87"/>
      <c r="ESL47" s="87"/>
      <c r="ESM47" s="87"/>
      <c r="ESN47" s="87"/>
      <c r="ESO47" s="87"/>
      <c r="ESP47" s="87"/>
      <c r="ESQ47" s="87"/>
      <c r="ESR47" s="87"/>
      <c r="ESS47" s="87"/>
      <c r="EST47" s="87"/>
      <c r="ESU47" s="87"/>
      <c r="ESV47" s="87"/>
      <c r="ESW47" s="87"/>
      <c r="ESX47" s="87"/>
      <c r="ESY47" s="87"/>
      <c r="ESZ47" s="87"/>
      <c r="ETA47" s="87"/>
      <c r="ETB47" s="87"/>
      <c r="ETC47" s="87"/>
      <c r="ETD47" s="87"/>
      <c r="ETE47" s="87"/>
      <c r="ETF47" s="87"/>
      <c r="ETG47" s="87"/>
      <c r="ETH47" s="87"/>
      <c r="ETI47" s="87"/>
      <c r="ETJ47" s="87"/>
      <c r="ETK47" s="87"/>
      <c r="ETL47" s="87"/>
      <c r="ETM47" s="87"/>
      <c r="ETN47" s="87"/>
      <c r="ETO47" s="87"/>
      <c r="ETP47" s="87"/>
      <c r="ETQ47" s="87"/>
      <c r="ETR47" s="87"/>
      <c r="ETS47" s="87"/>
      <c r="ETT47" s="87"/>
      <c r="ETU47" s="87"/>
      <c r="ETV47" s="87"/>
      <c r="ETW47" s="87"/>
      <c r="ETX47" s="87"/>
      <c r="ETY47" s="87"/>
      <c r="ETZ47" s="87"/>
      <c r="EUA47" s="87"/>
      <c r="EUB47" s="87"/>
      <c r="EUC47" s="87"/>
      <c r="EUD47" s="87"/>
      <c r="EUE47" s="87"/>
      <c r="EUF47" s="87"/>
      <c r="EUG47" s="87"/>
      <c r="EUH47" s="87"/>
      <c r="EUI47" s="87"/>
      <c r="EUJ47" s="87"/>
      <c r="EUK47" s="87"/>
      <c r="EUL47" s="87"/>
      <c r="EUM47" s="87"/>
      <c r="EUN47" s="87"/>
      <c r="EUO47" s="87"/>
      <c r="EUP47" s="87"/>
      <c r="EUQ47" s="87"/>
      <c r="EUR47" s="87"/>
      <c r="EUS47" s="87"/>
      <c r="EUT47" s="87"/>
      <c r="EUU47" s="87"/>
      <c r="EUV47" s="87"/>
      <c r="EUW47" s="87"/>
      <c r="EUX47" s="87"/>
      <c r="EUY47" s="87"/>
      <c r="EUZ47" s="87"/>
      <c r="EVA47" s="87"/>
      <c r="EVB47" s="87"/>
      <c r="EVC47" s="87"/>
      <c r="EVD47" s="87"/>
      <c r="EVE47" s="87"/>
      <c r="EVF47" s="87"/>
      <c r="EVG47" s="87"/>
      <c r="EVH47" s="87"/>
      <c r="EVI47" s="87"/>
      <c r="EVJ47" s="87"/>
      <c r="EVK47" s="87"/>
      <c r="EVL47" s="87"/>
      <c r="EVM47" s="87"/>
      <c r="EVN47" s="87"/>
      <c r="EVO47" s="87"/>
      <c r="EVP47" s="87"/>
      <c r="EVQ47" s="87"/>
      <c r="EVR47" s="87"/>
      <c r="EVS47" s="87"/>
      <c r="EVT47" s="87"/>
      <c r="EVU47" s="87"/>
      <c r="EVV47" s="87"/>
      <c r="EVW47" s="87"/>
      <c r="EVX47" s="87"/>
      <c r="EVY47" s="87"/>
      <c r="EVZ47" s="87"/>
      <c r="EWA47" s="87"/>
      <c r="EWB47" s="87"/>
      <c r="EWC47" s="87"/>
      <c r="EWD47" s="87"/>
      <c r="EWE47" s="87"/>
      <c r="EWF47" s="87"/>
      <c r="EWG47" s="87"/>
      <c r="EWH47" s="87"/>
      <c r="EWI47" s="87"/>
      <c r="EWJ47" s="87"/>
      <c r="EWK47" s="87"/>
      <c r="EWL47" s="87"/>
      <c r="EWM47" s="87"/>
      <c r="EWN47" s="87"/>
      <c r="EWO47" s="87"/>
      <c r="EWP47" s="87"/>
      <c r="EWQ47" s="87"/>
      <c r="EWR47" s="87"/>
      <c r="EWS47" s="87"/>
      <c r="EWT47" s="87"/>
      <c r="EWU47" s="87"/>
      <c r="EWV47" s="87"/>
      <c r="EWW47" s="87"/>
      <c r="EWX47" s="87"/>
      <c r="EWY47" s="87"/>
      <c r="EWZ47" s="87"/>
      <c r="EXA47" s="87"/>
      <c r="EXB47" s="87"/>
      <c r="EXC47" s="87"/>
      <c r="EXD47" s="87"/>
      <c r="EXE47" s="87"/>
      <c r="EXF47" s="87"/>
      <c r="EXG47" s="87"/>
      <c r="EXH47" s="87"/>
      <c r="EXI47" s="87"/>
      <c r="EXJ47" s="87"/>
      <c r="EXK47" s="87"/>
      <c r="EXL47" s="87"/>
      <c r="EXM47" s="87"/>
      <c r="EXN47" s="87"/>
      <c r="EXO47" s="87"/>
      <c r="EXP47" s="87"/>
      <c r="EXQ47" s="87"/>
      <c r="EXR47" s="87"/>
      <c r="EXS47" s="87"/>
      <c r="EXT47" s="87"/>
      <c r="EXU47" s="87"/>
      <c r="EXV47" s="87"/>
      <c r="EXW47" s="87"/>
      <c r="EXX47" s="87"/>
      <c r="EXY47" s="87"/>
      <c r="EXZ47" s="87"/>
      <c r="EYA47" s="87"/>
      <c r="EYB47" s="87"/>
      <c r="EYC47" s="87"/>
      <c r="EYD47" s="87"/>
      <c r="EYE47" s="87"/>
      <c r="EYF47" s="87"/>
      <c r="EYG47" s="87"/>
      <c r="EYH47" s="87"/>
      <c r="EYI47" s="87"/>
      <c r="EYJ47" s="87"/>
      <c r="EYK47" s="87"/>
      <c r="EYL47" s="87"/>
      <c r="EYM47" s="87"/>
      <c r="EYN47" s="87"/>
      <c r="EYO47" s="87"/>
      <c r="EYP47" s="87"/>
      <c r="EYQ47" s="87"/>
      <c r="EYR47" s="87"/>
      <c r="EYS47" s="87"/>
      <c r="EYT47" s="87"/>
      <c r="EYU47" s="87"/>
      <c r="EYV47" s="87"/>
      <c r="EYW47" s="87"/>
      <c r="EYX47" s="87"/>
      <c r="EYY47" s="87"/>
      <c r="EYZ47" s="87"/>
      <c r="EZA47" s="87"/>
      <c r="EZB47" s="87"/>
      <c r="EZC47" s="87"/>
      <c r="EZD47" s="87"/>
      <c r="EZE47" s="87"/>
      <c r="EZF47" s="87"/>
      <c r="EZG47" s="87"/>
      <c r="EZH47" s="87"/>
      <c r="EZI47" s="87"/>
      <c r="EZJ47" s="87"/>
      <c r="EZK47" s="87"/>
      <c r="EZL47" s="87"/>
      <c r="EZM47" s="87"/>
      <c r="EZN47" s="87"/>
      <c r="EZO47" s="87"/>
      <c r="EZP47" s="87"/>
      <c r="EZQ47" s="87"/>
      <c r="EZR47" s="87"/>
      <c r="EZS47" s="87"/>
      <c r="EZT47" s="87"/>
      <c r="EZU47" s="87"/>
      <c r="EZV47" s="87"/>
      <c r="EZW47" s="87"/>
      <c r="EZX47" s="87"/>
      <c r="EZY47" s="87"/>
      <c r="EZZ47" s="87"/>
      <c r="FAA47" s="87"/>
      <c r="FAB47" s="87"/>
      <c r="FAC47" s="87"/>
      <c r="FAD47" s="87"/>
      <c r="FAE47" s="87"/>
      <c r="FAF47" s="87"/>
      <c r="FAG47" s="87"/>
      <c r="FAH47" s="87"/>
      <c r="FAI47" s="87"/>
      <c r="FAJ47" s="87"/>
      <c r="FAK47" s="87"/>
      <c r="FAL47" s="87"/>
      <c r="FAM47" s="87"/>
      <c r="FAN47" s="87"/>
      <c r="FAO47" s="87"/>
      <c r="FAP47" s="87"/>
      <c r="FAQ47" s="87"/>
      <c r="FAR47" s="87"/>
      <c r="FAS47" s="87"/>
      <c r="FAT47" s="87"/>
      <c r="FAU47" s="87"/>
      <c r="FAV47" s="87"/>
      <c r="FAW47" s="87"/>
      <c r="FAX47" s="87"/>
      <c r="FAY47" s="87"/>
      <c r="FAZ47" s="87"/>
      <c r="FBA47" s="87"/>
      <c r="FBB47" s="87"/>
      <c r="FBC47" s="87"/>
      <c r="FBD47" s="87"/>
      <c r="FBE47" s="87"/>
      <c r="FBF47" s="87"/>
      <c r="FBG47" s="87"/>
      <c r="FBH47" s="87"/>
      <c r="FBI47" s="87"/>
      <c r="FBJ47" s="87"/>
      <c r="FBK47" s="87"/>
      <c r="FBL47" s="87"/>
      <c r="FBM47" s="87"/>
      <c r="FBN47" s="87"/>
      <c r="FBO47" s="87"/>
      <c r="FBP47" s="87"/>
      <c r="FBQ47" s="87"/>
      <c r="FBR47" s="87"/>
      <c r="FBS47" s="87"/>
      <c r="FBT47" s="87"/>
      <c r="FBU47" s="87"/>
      <c r="FBV47" s="87"/>
      <c r="FBW47" s="87"/>
      <c r="FBX47" s="87"/>
      <c r="FBY47" s="87"/>
      <c r="FBZ47" s="87"/>
      <c r="FCA47" s="87"/>
      <c r="FCB47" s="87"/>
      <c r="FCC47" s="87"/>
      <c r="FCD47" s="87"/>
      <c r="FCE47" s="87"/>
      <c r="FCF47" s="87"/>
      <c r="FCG47" s="87"/>
      <c r="FCH47" s="87"/>
      <c r="FCI47" s="87"/>
      <c r="FCJ47" s="87"/>
      <c r="FCK47" s="87"/>
      <c r="FCL47" s="87"/>
      <c r="FCM47" s="87"/>
      <c r="FCN47" s="87"/>
      <c r="FCO47" s="87"/>
      <c r="FCP47" s="87"/>
      <c r="FCQ47" s="87"/>
      <c r="FCR47" s="87"/>
      <c r="FCS47" s="87"/>
      <c r="FCT47" s="87"/>
      <c r="FCU47" s="87"/>
      <c r="FCV47" s="87"/>
      <c r="FCW47" s="87"/>
      <c r="FCX47" s="87"/>
      <c r="FCY47" s="87"/>
      <c r="FCZ47" s="87"/>
      <c r="FDA47" s="87"/>
      <c r="FDB47" s="87"/>
      <c r="FDC47" s="87"/>
      <c r="FDD47" s="87"/>
      <c r="FDE47" s="87"/>
      <c r="FDF47" s="87"/>
      <c r="FDG47" s="87"/>
      <c r="FDH47" s="87"/>
      <c r="FDI47" s="87"/>
      <c r="FDJ47" s="87"/>
      <c r="FDK47" s="87"/>
      <c r="FDL47" s="87"/>
      <c r="FDM47" s="87"/>
      <c r="FDN47" s="87"/>
      <c r="FDO47" s="87"/>
      <c r="FDP47" s="87"/>
      <c r="FDQ47" s="87"/>
      <c r="FDR47" s="87"/>
      <c r="FDS47" s="87"/>
      <c r="FDT47" s="87"/>
      <c r="FDU47" s="87"/>
      <c r="FDV47" s="87"/>
      <c r="FDW47" s="87"/>
      <c r="FDX47" s="87"/>
      <c r="FDY47" s="87"/>
      <c r="FDZ47" s="87"/>
      <c r="FEA47" s="87"/>
      <c r="FEB47" s="87"/>
      <c r="FEC47" s="87"/>
      <c r="FED47" s="87"/>
      <c r="FEE47" s="87"/>
      <c r="FEF47" s="87"/>
      <c r="FEG47" s="87"/>
      <c r="FEH47" s="87"/>
      <c r="FEI47" s="87"/>
      <c r="FEJ47" s="87"/>
      <c r="FEK47" s="87"/>
      <c r="FEL47" s="87"/>
      <c r="FEM47" s="87"/>
      <c r="FEN47" s="87"/>
      <c r="FEO47" s="87"/>
      <c r="FEP47" s="87"/>
      <c r="FEQ47" s="87"/>
      <c r="FER47" s="87"/>
      <c r="FES47" s="87"/>
      <c r="FET47" s="87"/>
      <c r="FEU47" s="87"/>
      <c r="FEV47" s="87"/>
      <c r="FEW47" s="87"/>
      <c r="FEX47" s="87"/>
      <c r="FEY47" s="87"/>
      <c r="FEZ47" s="87"/>
      <c r="FFA47" s="87"/>
      <c r="FFB47" s="87"/>
      <c r="FFC47" s="87"/>
      <c r="FFD47" s="87"/>
      <c r="FFE47" s="87"/>
      <c r="FFF47" s="87"/>
      <c r="FFG47" s="87"/>
      <c r="FFH47" s="87"/>
      <c r="FFI47" s="87"/>
      <c r="FFJ47" s="87"/>
      <c r="FFK47" s="87"/>
      <c r="FFL47" s="87"/>
      <c r="FFM47" s="87"/>
      <c r="FFN47" s="87"/>
      <c r="FFO47" s="87"/>
      <c r="FFP47" s="87"/>
      <c r="FFQ47" s="87"/>
      <c r="FFR47" s="87"/>
      <c r="FFS47" s="87"/>
      <c r="FFT47" s="87"/>
      <c r="FFU47" s="87"/>
      <c r="FFV47" s="87"/>
      <c r="FFW47" s="87"/>
      <c r="FFX47" s="87"/>
      <c r="FFY47" s="87"/>
      <c r="FFZ47" s="87"/>
      <c r="FGA47" s="87"/>
      <c r="FGB47" s="87"/>
      <c r="FGC47" s="87"/>
      <c r="FGD47" s="87"/>
      <c r="FGE47" s="87"/>
      <c r="FGF47" s="87"/>
      <c r="FGG47" s="87"/>
      <c r="FGH47" s="87"/>
      <c r="FGI47" s="87"/>
      <c r="FGJ47" s="87"/>
      <c r="FGK47" s="87"/>
      <c r="FGL47" s="87"/>
      <c r="FGM47" s="87"/>
      <c r="FGN47" s="87"/>
      <c r="FGO47" s="87"/>
      <c r="FGP47" s="87"/>
      <c r="FGQ47" s="87"/>
      <c r="FGR47" s="87"/>
      <c r="FGS47" s="87"/>
      <c r="FGT47" s="87"/>
      <c r="FGU47" s="87"/>
      <c r="FGV47" s="87"/>
      <c r="FGW47" s="87"/>
      <c r="FGX47" s="87"/>
      <c r="FGY47" s="87"/>
      <c r="FGZ47" s="87"/>
      <c r="FHA47" s="87"/>
      <c r="FHB47" s="87"/>
      <c r="FHC47" s="87"/>
      <c r="FHD47" s="87"/>
      <c r="FHE47" s="87"/>
      <c r="FHF47" s="87"/>
      <c r="FHG47" s="87"/>
      <c r="FHH47" s="87"/>
      <c r="FHI47" s="87"/>
      <c r="FHJ47" s="87"/>
      <c r="FHK47" s="87"/>
      <c r="FHL47" s="87"/>
      <c r="FHM47" s="87"/>
      <c r="FHN47" s="87"/>
      <c r="FHO47" s="87"/>
      <c r="FHP47" s="87"/>
      <c r="FHQ47" s="87"/>
      <c r="FHR47" s="87"/>
      <c r="FHS47" s="87"/>
      <c r="FHT47" s="87"/>
      <c r="FHU47" s="87"/>
      <c r="FHV47" s="87"/>
      <c r="FHW47" s="87"/>
      <c r="FHX47" s="87"/>
      <c r="FHY47" s="87"/>
      <c r="FHZ47" s="87"/>
      <c r="FIA47" s="87"/>
      <c r="FIB47" s="87"/>
      <c r="FIC47" s="87"/>
      <c r="FID47" s="87"/>
      <c r="FIE47" s="87"/>
      <c r="FIF47" s="87"/>
      <c r="FIG47" s="87"/>
      <c r="FIH47" s="87"/>
      <c r="FII47" s="87"/>
      <c r="FIJ47" s="87"/>
      <c r="FIK47" s="87"/>
      <c r="FIL47" s="87"/>
      <c r="FIM47" s="87"/>
      <c r="FIN47" s="87"/>
      <c r="FIO47" s="87"/>
      <c r="FIP47" s="87"/>
      <c r="FIQ47" s="87"/>
      <c r="FIR47" s="87"/>
      <c r="FIS47" s="87"/>
      <c r="FIT47" s="87"/>
      <c r="FIU47" s="87"/>
      <c r="FIV47" s="87"/>
      <c r="FIW47" s="87"/>
      <c r="FIX47" s="87"/>
      <c r="FIY47" s="87"/>
      <c r="FIZ47" s="87"/>
      <c r="FJA47" s="87"/>
      <c r="FJB47" s="87"/>
      <c r="FJC47" s="87"/>
      <c r="FJD47" s="87"/>
      <c r="FJE47" s="87"/>
      <c r="FJF47" s="87"/>
      <c r="FJG47" s="87"/>
      <c r="FJH47" s="87"/>
      <c r="FJI47" s="87"/>
      <c r="FJJ47" s="87"/>
      <c r="FJK47" s="87"/>
      <c r="FJL47" s="87"/>
      <c r="FJM47" s="87"/>
      <c r="FJN47" s="87"/>
      <c r="FJO47" s="87"/>
      <c r="FJP47" s="87"/>
      <c r="FJQ47" s="87"/>
      <c r="FJR47" s="87"/>
      <c r="FJS47" s="87"/>
      <c r="FJT47" s="87"/>
      <c r="FJU47" s="87"/>
      <c r="FJV47" s="87"/>
      <c r="FJW47" s="87"/>
      <c r="FJX47" s="87"/>
      <c r="FJY47" s="87"/>
      <c r="FJZ47" s="87"/>
      <c r="FKA47" s="87"/>
      <c r="FKB47" s="87"/>
      <c r="FKC47" s="87"/>
      <c r="FKD47" s="87"/>
      <c r="FKE47" s="87"/>
      <c r="FKF47" s="87"/>
      <c r="FKG47" s="87"/>
      <c r="FKH47" s="87"/>
      <c r="FKI47" s="87"/>
      <c r="FKJ47" s="87"/>
      <c r="FKK47" s="87"/>
      <c r="FKL47" s="87"/>
      <c r="FKM47" s="87"/>
      <c r="FKN47" s="87"/>
      <c r="FKO47" s="87"/>
      <c r="FKP47" s="87"/>
      <c r="FKQ47" s="87"/>
      <c r="FKR47" s="87"/>
      <c r="FKS47" s="87"/>
      <c r="FKT47" s="87"/>
      <c r="FKU47" s="87"/>
      <c r="FKV47" s="87"/>
      <c r="FKW47" s="87"/>
      <c r="FKX47" s="87"/>
      <c r="FKY47" s="87"/>
      <c r="FKZ47" s="87"/>
      <c r="FLA47" s="87"/>
      <c r="FLB47" s="87"/>
      <c r="FLC47" s="87"/>
      <c r="FLD47" s="87"/>
      <c r="FLE47" s="87"/>
      <c r="FLF47" s="87"/>
      <c r="FLG47" s="87"/>
      <c r="FLH47" s="87"/>
      <c r="FLI47" s="87"/>
      <c r="FLJ47" s="87"/>
      <c r="FLK47" s="87"/>
      <c r="FLL47" s="87"/>
      <c r="FLM47" s="87"/>
      <c r="FLN47" s="87"/>
      <c r="FLO47" s="87"/>
      <c r="FLP47" s="87"/>
      <c r="FLQ47" s="87"/>
      <c r="FLR47" s="87"/>
      <c r="FLS47" s="87"/>
      <c r="FLT47" s="87"/>
      <c r="FLU47" s="87"/>
      <c r="FLV47" s="87"/>
      <c r="FLW47" s="87"/>
      <c r="FLX47" s="87"/>
      <c r="FLY47" s="87"/>
      <c r="FLZ47" s="87"/>
      <c r="FMA47" s="87"/>
      <c r="FMB47" s="87"/>
      <c r="FMC47" s="87"/>
      <c r="FMD47" s="87"/>
      <c r="FME47" s="87"/>
      <c r="FMF47" s="87"/>
      <c r="FMG47" s="87"/>
      <c r="FMH47" s="87"/>
      <c r="FMI47" s="87"/>
      <c r="FMJ47" s="87"/>
      <c r="FMK47" s="87"/>
      <c r="FML47" s="87"/>
      <c r="FMM47" s="87"/>
      <c r="FMN47" s="87"/>
      <c r="FMO47" s="87"/>
      <c r="FMP47" s="87"/>
      <c r="FMQ47" s="87"/>
      <c r="FMR47" s="87"/>
      <c r="FMS47" s="87"/>
      <c r="FMT47" s="87"/>
      <c r="FMU47" s="87"/>
      <c r="FMV47" s="87"/>
      <c r="FMW47" s="87"/>
      <c r="FMX47" s="87"/>
      <c r="FMY47" s="87"/>
      <c r="FMZ47" s="87"/>
      <c r="FNA47" s="87"/>
      <c r="FNB47" s="87"/>
      <c r="FNC47" s="87"/>
      <c r="FND47" s="87"/>
      <c r="FNE47" s="87"/>
      <c r="FNF47" s="87"/>
      <c r="FNG47" s="87"/>
      <c r="FNH47" s="87"/>
      <c r="FNI47" s="87"/>
      <c r="FNJ47" s="87"/>
      <c r="FNK47" s="87"/>
      <c r="FNL47" s="87"/>
      <c r="FNM47" s="87"/>
      <c r="FNN47" s="87"/>
      <c r="FNO47" s="87"/>
      <c r="FNP47" s="87"/>
      <c r="FNQ47" s="87"/>
      <c r="FNR47" s="87"/>
      <c r="FNS47" s="87"/>
      <c r="FNT47" s="87"/>
      <c r="FNU47" s="87"/>
      <c r="FNV47" s="87"/>
      <c r="FNW47" s="87"/>
      <c r="FNX47" s="87"/>
      <c r="FNY47" s="87"/>
      <c r="FNZ47" s="87"/>
      <c r="FOA47" s="87"/>
      <c r="FOB47" s="87"/>
      <c r="FOC47" s="87"/>
      <c r="FOD47" s="87"/>
      <c r="FOE47" s="87"/>
      <c r="FOF47" s="87"/>
      <c r="FOG47" s="87"/>
      <c r="FOH47" s="87"/>
      <c r="FOI47" s="87"/>
      <c r="FOJ47" s="87"/>
      <c r="FOK47" s="87"/>
      <c r="FOL47" s="87"/>
      <c r="FOM47" s="87"/>
      <c r="FON47" s="87"/>
      <c r="FOO47" s="87"/>
      <c r="FOP47" s="87"/>
      <c r="FOQ47" s="87"/>
      <c r="FOR47" s="87"/>
      <c r="FOS47" s="87"/>
      <c r="FOT47" s="87"/>
      <c r="FOU47" s="87"/>
      <c r="FOV47" s="87"/>
      <c r="FOW47" s="87"/>
      <c r="FOX47" s="87"/>
      <c r="FOY47" s="87"/>
      <c r="FOZ47" s="87"/>
      <c r="FPA47" s="87"/>
      <c r="FPB47" s="87"/>
      <c r="FPC47" s="87"/>
      <c r="FPD47" s="87"/>
      <c r="FPE47" s="87"/>
      <c r="FPF47" s="87"/>
      <c r="FPG47" s="87"/>
      <c r="FPH47" s="87"/>
      <c r="FPI47" s="87"/>
      <c r="FPJ47" s="87"/>
      <c r="FPK47" s="87"/>
      <c r="FPL47" s="87"/>
      <c r="FPM47" s="87"/>
      <c r="FPN47" s="87"/>
      <c r="FPO47" s="87"/>
      <c r="FPP47" s="87"/>
      <c r="FPQ47" s="87"/>
      <c r="FPR47" s="87"/>
      <c r="FPS47" s="87"/>
      <c r="FPT47" s="87"/>
      <c r="FPU47" s="87"/>
      <c r="FPV47" s="87"/>
      <c r="FPW47" s="87"/>
      <c r="FPX47" s="87"/>
      <c r="FPY47" s="87"/>
      <c r="FPZ47" s="87"/>
      <c r="FQA47" s="87"/>
      <c r="FQB47" s="87"/>
      <c r="FQC47" s="87"/>
      <c r="FQD47" s="87"/>
      <c r="FQE47" s="87"/>
      <c r="FQF47" s="87"/>
      <c r="FQG47" s="87"/>
      <c r="FQH47" s="87"/>
      <c r="FQI47" s="87"/>
      <c r="FQJ47" s="87"/>
      <c r="FQK47" s="87"/>
      <c r="FQL47" s="87"/>
      <c r="FQM47" s="87"/>
      <c r="FQN47" s="87"/>
      <c r="FQO47" s="87"/>
      <c r="FQP47" s="87"/>
      <c r="FQQ47" s="87"/>
      <c r="FQR47" s="87"/>
      <c r="FQS47" s="87"/>
      <c r="FQT47" s="87"/>
      <c r="FQU47" s="87"/>
      <c r="FQV47" s="87"/>
      <c r="FQW47" s="87"/>
      <c r="FQX47" s="87"/>
      <c r="FQY47" s="87"/>
      <c r="FQZ47" s="87"/>
      <c r="FRA47" s="87"/>
      <c r="FRB47" s="87"/>
      <c r="FRC47" s="87"/>
      <c r="FRD47" s="87"/>
      <c r="FRE47" s="87"/>
      <c r="FRF47" s="87"/>
      <c r="FRG47" s="87"/>
      <c r="FRH47" s="87"/>
      <c r="FRI47" s="87"/>
      <c r="FRJ47" s="87"/>
      <c r="FRK47" s="87"/>
      <c r="FRL47" s="87"/>
      <c r="FRM47" s="87"/>
      <c r="FRN47" s="87"/>
      <c r="FRO47" s="87"/>
      <c r="FRP47" s="87"/>
      <c r="FRQ47" s="87"/>
      <c r="FRR47" s="87"/>
      <c r="FRS47" s="87"/>
      <c r="FRT47" s="87"/>
      <c r="FRU47" s="87"/>
      <c r="FRV47" s="87"/>
      <c r="FRW47" s="87"/>
      <c r="FRX47" s="87"/>
      <c r="FRY47" s="87"/>
      <c r="FRZ47" s="87"/>
      <c r="FSA47" s="87"/>
      <c r="FSB47" s="87"/>
      <c r="FSC47" s="87"/>
      <c r="FSD47" s="87"/>
      <c r="FSE47" s="87"/>
      <c r="FSF47" s="87"/>
      <c r="FSG47" s="87"/>
      <c r="FSH47" s="87"/>
      <c r="FSI47" s="87"/>
      <c r="FSJ47" s="87"/>
      <c r="FSK47" s="87"/>
      <c r="FSL47" s="87"/>
      <c r="FSM47" s="87"/>
      <c r="FSN47" s="87"/>
      <c r="FSO47" s="87"/>
      <c r="FSP47" s="87"/>
      <c r="FSQ47" s="87"/>
      <c r="FSR47" s="87"/>
      <c r="FSS47" s="87"/>
      <c r="FST47" s="87"/>
      <c r="FSU47" s="87"/>
      <c r="FSV47" s="87"/>
      <c r="FSW47" s="87"/>
      <c r="FSX47" s="87"/>
      <c r="FSY47" s="87"/>
      <c r="FSZ47" s="87"/>
      <c r="FTA47" s="87"/>
      <c r="FTB47" s="87"/>
      <c r="FTC47" s="87"/>
      <c r="FTD47" s="87"/>
      <c r="FTE47" s="87"/>
      <c r="FTF47" s="87"/>
      <c r="FTG47" s="87"/>
      <c r="FTH47" s="87"/>
      <c r="FTI47" s="87"/>
      <c r="FTJ47" s="87"/>
      <c r="FTK47" s="87"/>
      <c r="FTL47" s="87"/>
      <c r="FTM47" s="87"/>
      <c r="FTN47" s="87"/>
      <c r="FTO47" s="87"/>
      <c r="FTP47" s="87"/>
      <c r="FTQ47" s="87"/>
      <c r="FTR47" s="87"/>
      <c r="FTS47" s="87"/>
      <c r="FTT47" s="87"/>
      <c r="FTU47" s="87"/>
      <c r="FTV47" s="87"/>
      <c r="FTW47" s="87"/>
      <c r="FTX47" s="87"/>
      <c r="FTY47" s="87"/>
      <c r="FTZ47" s="87"/>
      <c r="FUA47" s="87"/>
      <c r="FUB47" s="87"/>
      <c r="FUC47" s="87"/>
      <c r="FUD47" s="87"/>
      <c r="FUE47" s="87"/>
      <c r="FUF47" s="87"/>
      <c r="FUG47" s="87"/>
      <c r="FUH47" s="87"/>
      <c r="FUI47" s="87"/>
      <c r="FUJ47" s="87"/>
      <c r="FUK47" s="87"/>
      <c r="FUL47" s="87"/>
      <c r="FUM47" s="87"/>
      <c r="FUN47" s="87"/>
      <c r="FUO47" s="87"/>
      <c r="FUP47" s="87"/>
      <c r="FUQ47" s="87"/>
      <c r="FUR47" s="87"/>
      <c r="FUS47" s="87"/>
      <c r="FUT47" s="87"/>
      <c r="FUU47" s="87"/>
      <c r="FUV47" s="87"/>
      <c r="FUW47" s="87"/>
      <c r="FUX47" s="87"/>
      <c r="FUY47" s="87"/>
      <c r="FUZ47" s="87"/>
      <c r="FVA47" s="87"/>
      <c r="FVB47" s="87"/>
      <c r="FVC47" s="87"/>
      <c r="FVD47" s="87"/>
      <c r="FVE47" s="87"/>
      <c r="FVF47" s="87"/>
      <c r="FVG47" s="87"/>
      <c r="FVH47" s="87"/>
      <c r="FVI47" s="87"/>
      <c r="FVJ47" s="87"/>
      <c r="FVK47" s="87"/>
      <c r="FVL47" s="87"/>
      <c r="FVM47" s="87"/>
      <c r="FVN47" s="87"/>
      <c r="FVO47" s="87"/>
      <c r="FVP47" s="87"/>
      <c r="FVQ47" s="87"/>
      <c r="FVR47" s="87"/>
      <c r="FVS47" s="87"/>
      <c r="FVT47" s="87"/>
      <c r="FVU47" s="87"/>
      <c r="FVV47" s="87"/>
      <c r="FVW47" s="87"/>
      <c r="FVX47" s="87"/>
      <c r="FVY47" s="87"/>
      <c r="FVZ47" s="87"/>
      <c r="FWA47" s="87"/>
      <c r="FWB47" s="87"/>
      <c r="FWC47" s="87"/>
      <c r="FWD47" s="87"/>
      <c r="FWE47" s="87"/>
      <c r="FWF47" s="87"/>
      <c r="FWG47" s="87"/>
      <c r="FWH47" s="87"/>
      <c r="FWI47" s="87"/>
      <c r="FWJ47" s="87"/>
      <c r="FWK47" s="87"/>
      <c r="FWL47" s="87"/>
      <c r="FWM47" s="87"/>
      <c r="FWN47" s="87"/>
      <c r="FWO47" s="87"/>
      <c r="FWP47" s="87"/>
      <c r="FWQ47" s="87"/>
      <c r="FWR47" s="87"/>
      <c r="FWS47" s="87"/>
      <c r="FWT47" s="87"/>
      <c r="FWU47" s="87"/>
      <c r="FWV47" s="87"/>
      <c r="FWW47" s="87"/>
      <c r="FWX47" s="87"/>
      <c r="FWY47" s="87"/>
      <c r="FWZ47" s="87"/>
      <c r="FXA47" s="87"/>
      <c r="FXB47" s="87"/>
      <c r="FXC47" s="87"/>
      <c r="FXD47" s="87"/>
      <c r="FXE47" s="87"/>
      <c r="FXF47" s="87"/>
      <c r="FXG47" s="87"/>
      <c r="FXH47" s="87"/>
      <c r="FXI47" s="87"/>
      <c r="FXJ47" s="87"/>
      <c r="FXK47" s="87"/>
      <c r="FXL47" s="87"/>
      <c r="FXM47" s="87"/>
      <c r="FXN47" s="87"/>
      <c r="FXO47" s="87"/>
      <c r="FXP47" s="87"/>
      <c r="FXQ47" s="87"/>
      <c r="FXR47" s="87"/>
      <c r="FXS47" s="87"/>
      <c r="FXT47" s="87"/>
      <c r="FXU47" s="87"/>
      <c r="FXV47" s="87"/>
      <c r="FXW47" s="87"/>
      <c r="FXX47" s="87"/>
      <c r="FXY47" s="87"/>
      <c r="FXZ47" s="87"/>
      <c r="FYA47" s="87"/>
      <c r="FYB47" s="87"/>
      <c r="FYC47" s="87"/>
      <c r="FYD47" s="87"/>
      <c r="FYE47" s="87"/>
      <c r="FYF47" s="87"/>
      <c r="FYG47" s="87"/>
      <c r="FYH47" s="87"/>
      <c r="FYI47" s="87"/>
      <c r="FYJ47" s="87"/>
      <c r="FYK47" s="87"/>
      <c r="FYL47" s="87"/>
      <c r="FYM47" s="87"/>
      <c r="FYN47" s="87"/>
      <c r="FYO47" s="87"/>
      <c r="FYP47" s="87"/>
      <c r="FYQ47" s="87"/>
      <c r="FYR47" s="87"/>
      <c r="FYS47" s="87"/>
      <c r="FYT47" s="87"/>
      <c r="FYU47" s="87"/>
      <c r="FYV47" s="87"/>
      <c r="FYW47" s="87"/>
      <c r="FYX47" s="87"/>
      <c r="FYY47" s="87"/>
      <c r="FYZ47" s="87"/>
      <c r="FZA47" s="87"/>
      <c r="FZB47" s="87"/>
      <c r="FZC47" s="87"/>
      <c r="FZD47" s="87"/>
      <c r="FZE47" s="87"/>
      <c r="FZF47" s="87"/>
      <c r="FZG47" s="87"/>
      <c r="FZH47" s="87"/>
      <c r="FZI47" s="87"/>
      <c r="FZJ47" s="87"/>
      <c r="FZK47" s="87"/>
      <c r="FZL47" s="87"/>
      <c r="FZM47" s="87"/>
      <c r="FZN47" s="87"/>
      <c r="FZO47" s="87"/>
      <c r="FZP47" s="87"/>
      <c r="FZQ47" s="87"/>
      <c r="FZR47" s="87"/>
      <c r="FZS47" s="87"/>
      <c r="FZT47" s="87"/>
      <c r="FZU47" s="87"/>
      <c r="FZV47" s="87"/>
      <c r="FZW47" s="87"/>
      <c r="FZX47" s="87"/>
      <c r="FZY47" s="87"/>
      <c r="FZZ47" s="87"/>
      <c r="GAA47" s="87"/>
      <c r="GAB47" s="87"/>
      <c r="GAC47" s="87"/>
      <c r="GAD47" s="87"/>
      <c r="GAE47" s="87"/>
      <c r="GAF47" s="87"/>
      <c r="GAG47" s="87"/>
      <c r="GAH47" s="87"/>
      <c r="GAI47" s="87"/>
      <c r="GAJ47" s="87"/>
      <c r="GAK47" s="87"/>
      <c r="GAL47" s="87"/>
      <c r="GAM47" s="87"/>
      <c r="GAN47" s="87"/>
      <c r="GAO47" s="87"/>
      <c r="GAP47" s="87"/>
      <c r="GAQ47" s="87"/>
      <c r="GAR47" s="87"/>
      <c r="GAS47" s="87"/>
      <c r="GAT47" s="87"/>
      <c r="GAU47" s="87"/>
      <c r="GAV47" s="87"/>
      <c r="GAW47" s="87"/>
      <c r="GAX47" s="87"/>
      <c r="GAY47" s="87"/>
      <c r="GAZ47" s="87"/>
      <c r="GBA47" s="87"/>
      <c r="GBB47" s="87"/>
      <c r="GBC47" s="87"/>
      <c r="GBD47" s="87"/>
      <c r="GBE47" s="87"/>
      <c r="GBF47" s="87"/>
      <c r="GBG47" s="87"/>
      <c r="GBH47" s="87"/>
      <c r="GBI47" s="87"/>
      <c r="GBJ47" s="87"/>
      <c r="GBK47" s="87"/>
      <c r="GBL47" s="87"/>
      <c r="GBM47" s="87"/>
      <c r="GBN47" s="87"/>
      <c r="GBO47" s="87"/>
      <c r="GBP47" s="87"/>
      <c r="GBQ47" s="87"/>
      <c r="GBR47" s="87"/>
      <c r="GBS47" s="87"/>
      <c r="GBT47" s="87"/>
      <c r="GBU47" s="87"/>
      <c r="GBV47" s="87"/>
      <c r="GBW47" s="87"/>
      <c r="GBX47" s="87"/>
      <c r="GBY47" s="87"/>
      <c r="GBZ47" s="87"/>
      <c r="GCA47" s="87"/>
      <c r="GCB47" s="87"/>
      <c r="GCC47" s="87"/>
      <c r="GCD47" s="87"/>
      <c r="GCE47" s="87"/>
      <c r="GCF47" s="87"/>
      <c r="GCG47" s="87"/>
      <c r="GCH47" s="87"/>
      <c r="GCI47" s="87"/>
      <c r="GCJ47" s="87"/>
      <c r="GCK47" s="87"/>
      <c r="GCL47" s="87"/>
      <c r="GCM47" s="87"/>
      <c r="GCN47" s="87"/>
      <c r="GCO47" s="87"/>
      <c r="GCP47" s="87"/>
      <c r="GCQ47" s="87"/>
      <c r="GCR47" s="87"/>
      <c r="GCS47" s="87"/>
      <c r="GCT47" s="87"/>
      <c r="GCU47" s="87"/>
      <c r="GCV47" s="87"/>
      <c r="GCW47" s="87"/>
      <c r="GCX47" s="87"/>
      <c r="GCY47" s="87"/>
      <c r="GCZ47" s="87"/>
      <c r="GDA47" s="87"/>
      <c r="GDB47" s="87"/>
      <c r="GDC47" s="87"/>
      <c r="GDD47" s="87"/>
      <c r="GDE47" s="87"/>
      <c r="GDF47" s="87"/>
      <c r="GDG47" s="87"/>
      <c r="GDH47" s="87"/>
      <c r="GDI47" s="87"/>
      <c r="GDJ47" s="87"/>
      <c r="GDK47" s="87"/>
      <c r="GDL47" s="87"/>
      <c r="GDM47" s="87"/>
      <c r="GDN47" s="87"/>
      <c r="GDO47" s="87"/>
      <c r="GDP47" s="87"/>
      <c r="GDQ47" s="87"/>
      <c r="GDR47" s="87"/>
      <c r="GDS47" s="87"/>
      <c r="GDT47" s="87"/>
      <c r="GDU47" s="87"/>
      <c r="GDV47" s="87"/>
      <c r="GDW47" s="87"/>
      <c r="GDX47" s="87"/>
      <c r="GDY47" s="87"/>
      <c r="GDZ47" s="87"/>
      <c r="GEA47" s="87"/>
      <c r="GEB47" s="87"/>
      <c r="GEC47" s="87"/>
      <c r="GED47" s="87"/>
      <c r="GEE47" s="87"/>
      <c r="GEF47" s="87"/>
      <c r="GEG47" s="87"/>
      <c r="GEH47" s="87"/>
      <c r="GEI47" s="87"/>
      <c r="GEJ47" s="87"/>
      <c r="GEK47" s="87"/>
      <c r="GEL47" s="87"/>
      <c r="GEM47" s="87"/>
      <c r="GEN47" s="87"/>
      <c r="GEO47" s="87"/>
      <c r="GEP47" s="87"/>
      <c r="GEQ47" s="87"/>
      <c r="GER47" s="87"/>
      <c r="GES47" s="87"/>
      <c r="GET47" s="87"/>
      <c r="GEU47" s="87"/>
      <c r="GEV47" s="87"/>
      <c r="GEW47" s="87"/>
      <c r="GEX47" s="87"/>
      <c r="GEY47" s="87"/>
      <c r="GEZ47" s="87"/>
      <c r="GFA47" s="87"/>
      <c r="GFB47" s="87"/>
      <c r="GFC47" s="87"/>
      <c r="GFD47" s="87"/>
      <c r="GFE47" s="87"/>
      <c r="GFF47" s="87"/>
      <c r="GFG47" s="87"/>
      <c r="GFH47" s="87"/>
      <c r="GFI47" s="87"/>
      <c r="GFJ47" s="87"/>
      <c r="GFK47" s="87"/>
      <c r="GFL47" s="87"/>
      <c r="GFM47" s="87"/>
      <c r="GFN47" s="87"/>
      <c r="GFO47" s="87"/>
      <c r="GFP47" s="87"/>
      <c r="GFQ47" s="87"/>
      <c r="GFR47" s="87"/>
      <c r="GFS47" s="87"/>
      <c r="GFT47" s="87"/>
      <c r="GFU47" s="87"/>
      <c r="GFV47" s="87"/>
      <c r="GFW47" s="87"/>
      <c r="GFX47" s="87"/>
      <c r="GFY47" s="87"/>
      <c r="GFZ47" s="87"/>
      <c r="GGA47" s="87"/>
      <c r="GGB47" s="87"/>
      <c r="GGC47" s="87"/>
      <c r="GGD47" s="87"/>
      <c r="GGE47" s="87"/>
      <c r="GGF47" s="87"/>
      <c r="GGG47" s="87"/>
      <c r="GGH47" s="87"/>
      <c r="GGI47" s="87"/>
      <c r="GGJ47" s="87"/>
      <c r="GGK47" s="87"/>
      <c r="GGL47" s="87"/>
      <c r="GGM47" s="87"/>
      <c r="GGN47" s="87"/>
      <c r="GGO47" s="87"/>
      <c r="GGP47" s="87"/>
      <c r="GGQ47" s="87"/>
      <c r="GGR47" s="87"/>
      <c r="GGS47" s="87"/>
      <c r="GGT47" s="87"/>
      <c r="GGU47" s="87"/>
      <c r="GGV47" s="87"/>
      <c r="GGW47" s="87"/>
      <c r="GGX47" s="87"/>
      <c r="GGY47" s="87"/>
      <c r="GGZ47" s="87"/>
      <c r="GHA47" s="87"/>
      <c r="GHB47" s="87"/>
      <c r="GHC47" s="87"/>
      <c r="GHD47" s="87"/>
      <c r="GHE47" s="87"/>
      <c r="GHF47" s="87"/>
      <c r="GHG47" s="87"/>
      <c r="GHH47" s="87"/>
      <c r="GHI47" s="87"/>
      <c r="GHJ47" s="87"/>
      <c r="GHK47" s="87"/>
      <c r="GHL47" s="87"/>
      <c r="GHM47" s="87"/>
      <c r="GHN47" s="87"/>
      <c r="GHO47" s="87"/>
      <c r="GHP47" s="87"/>
      <c r="GHQ47" s="87"/>
      <c r="GHR47" s="87"/>
      <c r="GHS47" s="87"/>
      <c r="GHT47" s="87"/>
      <c r="GHU47" s="87"/>
      <c r="GHV47" s="87"/>
      <c r="GHW47" s="87"/>
      <c r="GHX47" s="87"/>
      <c r="GHY47" s="87"/>
      <c r="GHZ47" s="87"/>
      <c r="GIA47" s="87"/>
      <c r="GIB47" s="87"/>
      <c r="GIC47" s="87"/>
      <c r="GID47" s="87"/>
      <c r="GIE47" s="87"/>
      <c r="GIF47" s="87"/>
      <c r="GIG47" s="87"/>
      <c r="GIH47" s="87"/>
      <c r="GII47" s="87"/>
      <c r="GIJ47" s="87"/>
      <c r="GIK47" s="87"/>
      <c r="GIL47" s="87"/>
      <c r="GIM47" s="87"/>
      <c r="GIN47" s="87"/>
      <c r="GIO47" s="87"/>
      <c r="GIP47" s="87"/>
      <c r="GIQ47" s="87"/>
      <c r="GIR47" s="87"/>
      <c r="GIS47" s="87"/>
      <c r="GIT47" s="87"/>
      <c r="GIU47" s="87"/>
      <c r="GIV47" s="87"/>
      <c r="GIW47" s="87"/>
      <c r="GIX47" s="87"/>
      <c r="GIY47" s="87"/>
      <c r="GIZ47" s="87"/>
      <c r="GJA47" s="87"/>
      <c r="GJB47" s="87"/>
      <c r="GJC47" s="87"/>
      <c r="GJD47" s="87"/>
      <c r="GJE47" s="87"/>
      <c r="GJF47" s="87"/>
      <c r="GJG47" s="87"/>
      <c r="GJH47" s="87"/>
      <c r="GJI47" s="87"/>
      <c r="GJJ47" s="87"/>
      <c r="GJK47" s="87"/>
      <c r="GJL47" s="87"/>
      <c r="GJM47" s="87"/>
      <c r="GJN47" s="87"/>
      <c r="GJO47" s="87"/>
      <c r="GJP47" s="87"/>
      <c r="GJQ47" s="87"/>
      <c r="GJR47" s="87"/>
      <c r="GJS47" s="87"/>
      <c r="GJT47" s="87"/>
      <c r="GJU47" s="87"/>
      <c r="GJV47" s="87"/>
      <c r="GJW47" s="87"/>
      <c r="GJX47" s="87"/>
      <c r="GJY47" s="87"/>
      <c r="GJZ47" s="87"/>
      <c r="GKA47" s="87"/>
      <c r="GKB47" s="87"/>
      <c r="GKC47" s="87"/>
      <c r="GKD47" s="87"/>
      <c r="GKE47" s="87"/>
      <c r="GKF47" s="87"/>
      <c r="GKG47" s="87"/>
      <c r="GKH47" s="87"/>
      <c r="GKI47" s="87"/>
      <c r="GKJ47" s="87"/>
      <c r="GKK47" s="87"/>
      <c r="GKL47" s="87"/>
      <c r="GKM47" s="87"/>
      <c r="GKN47" s="87"/>
      <c r="GKO47" s="87"/>
      <c r="GKP47" s="87"/>
      <c r="GKQ47" s="87"/>
      <c r="GKR47" s="87"/>
      <c r="GKS47" s="87"/>
      <c r="GKT47" s="87"/>
      <c r="GKU47" s="87"/>
      <c r="GKV47" s="87"/>
      <c r="GKW47" s="87"/>
      <c r="GKX47" s="87"/>
      <c r="GKY47" s="87"/>
      <c r="GKZ47" s="87"/>
      <c r="GLA47" s="87"/>
      <c r="GLB47" s="87"/>
      <c r="GLC47" s="87"/>
      <c r="GLD47" s="87"/>
      <c r="GLE47" s="87"/>
      <c r="GLF47" s="87"/>
      <c r="GLG47" s="87"/>
      <c r="GLH47" s="87"/>
      <c r="GLI47" s="87"/>
      <c r="GLJ47" s="87"/>
      <c r="GLK47" s="87"/>
      <c r="GLL47" s="87"/>
      <c r="GLM47" s="87"/>
      <c r="GLN47" s="87"/>
      <c r="GLO47" s="87"/>
      <c r="GLP47" s="87"/>
      <c r="GLQ47" s="87"/>
      <c r="GLR47" s="87"/>
      <c r="GLS47" s="87"/>
      <c r="GLT47" s="87"/>
      <c r="GLU47" s="87"/>
      <c r="GLV47" s="87"/>
      <c r="GLW47" s="87"/>
      <c r="GLX47" s="87"/>
      <c r="GLY47" s="87"/>
      <c r="GLZ47" s="87"/>
      <c r="GMA47" s="87"/>
      <c r="GMB47" s="87"/>
      <c r="GMC47" s="87"/>
      <c r="GMD47" s="87"/>
      <c r="GME47" s="87"/>
      <c r="GMF47" s="87"/>
      <c r="GMG47" s="87"/>
      <c r="GMH47" s="87"/>
      <c r="GMI47" s="87"/>
      <c r="GMJ47" s="87"/>
      <c r="GMK47" s="87"/>
      <c r="GML47" s="87"/>
      <c r="GMM47" s="87"/>
      <c r="GMN47" s="87"/>
      <c r="GMO47" s="87"/>
      <c r="GMP47" s="87"/>
      <c r="GMQ47" s="87"/>
      <c r="GMR47" s="87"/>
      <c r="GMS47" s="87"/>
      <c r="GMT47" s="87"/>
      <c r="GMU47" s="87"/>
      <c r="GMV47" s="87"/>
      <c r="GMW47" s="87"/>
      <c r="GMX47" s="87"/>
      <c r="GMY47" s="87"/>
      <c r="GMZ47" s="87"/>
      <c r="GNA47" s="87"/>
      <c r="GNB47" s="87"/>
      <c r="GNC47" s="87"/>
      <c r="GND47" s="87"/>
      <c r="GNE47" s="87"/>
      <c r="GNF47" s="87"/>
      <c r="GNG47" s="87"/>
      <c r="GNH47" s="87"/>
      <c r="GNI47" s="87"/>
      <c r="GNJ47" s="87"/>
      <c r="GNK47" s="87"/>
      <c r="GNL47" s="87"/>
      <c r="GNM47" s="87"/>
      <c r="GNN47" s="87"/>
      <c r="GNO47" s="87"/>
      <c r="GNP47" s="87"/>
      <c r="GNQ47" s="87"/>
      <c r="GNR47" s="87"/>
      <c r="GNS47" s="87"/>
      <c r="GNT47" s="87"/>
      <c r="GNU47" s="87"/>
      <c r="GNV47" s="87"/>
      <c r="GNW47" s="87"/>
      <c r="GNX47" s="87"/>
      <c r="GNY47" s="87"/>
      <c r="GNZ47" s="87"/>
      <c r="GOA47" s="87"/>
      <c r="GOB47" s="87"/>
      <c r="GOC47" s="87"/>
      <c r="GOD47" s="87"/>
      <c r="GOE47" s="87"/>
      <c r="GOF47" s="87"/>
      <c r="GOG47" s="87"/>
      <c r="GOH47" s="87"/>
      <c r="GOI47" s="87"/>
      <c r="GOJ47" s="87"/>
      <c r="GOK47" s="87"/>
      <c r="GOL47" s="87"/>
      <c r="GOM47" s="87"/>
      <c r="GON47" s="87"/>
      <c r="GOO47" s="87"/>
      <c r="GOP47" s="87"/>
      <c r="GOQ47" s="87"/>
      <c r="GOR47" s="87"/>
      <c r="GOS47" s="87"/>
      <c r="GOT47" s="87"/>
      <c r="GOU47" s="87"/>
      <c r="GOV47" s="87"/>
      <c r="GOW47" s="87"/>
      <c r="GOX47" s="87"/>
      <c r="GOY47" s="87"/>
      <c r="GOZ47" s="87"/>
      <c r="GPA47" s="87"/>
      <c r="GPB47" s="87"/>
      <c r="GPC47" s="87"/>
      <c r="GPD47" s="87"/>
      <c r="GPE47" s="87"/>
      <c r="GPF47" s="87"/>
      <c r="GPG47" s="87"/>
      <c r="GPH47" s="87"/>
      <c r="GPI47" s="87"/>
      <c r="GPJ47" s="87"/>
      <c r="GPK47" s="87"/>
      <c r="GPL47" s="87"/>
      <c r="GPM47" s="87"/>
      <c r="GPN47" s="87"/>
      <c r="GPO47" s="87"/>
      <c r="GPP47" s="87"/>
      <c r="GPQ47" s="87"/>
      <c r="GPR47" s="87"/>
      <c r="GPS47" s="87"/>
      <c r="GPT47" s="87"/>
      <c r="GPU47" s="87"/>
      <c r="GPV47" s="87"/>
      <c r="GPW47" s="87"/>
      <c r="GPX47" s="87"/>
      <c r="GPY47" s="87"/>
      <c r="GPZ47" s="87"/>
      <c r="GQA47" s="87"/>
      <c r="GQB47" s="87"/>
      <c r="GQC47" s="87"/>
      <c r="GQD47" s="87"/>
      <c r="GQE47" s="87"/>
      <c r="GQF47" s="87"/>
      <c r="GQG47" s="87"/>
      <c r="GQH47" s="87"/>
      <c r="GQI47" s="87"/>
      <c r="GQJ47" s="87"/>
      <c r="GQK47" s="87"/>
      <c r="GQL47" s="87"/>
      <c r="GQM47" s="87"/>
      <c r="GQN47" s="87"/>
      <c r="GQO47" s="87"/>
      <c r="GQP47" s="87"/>
      <c r="GQQ47" s="87"/>
      <c r="GQR47" s="87"/>
      <c r="GQS47" s="87"/>
      <c r="GQT47" s="87"/>
      <c r="GQU47" s="87"/>
      <c r="GQV47" s="87"/>
      <c r="GQW47" s="87"/>
      <c r="GQX47" s="87"/>
      <c r="GQY47" s="87"/>
      <c r="GQZ47" s="87"/>
      <c r="GRA47" s="87"/>
      <c r="GRB47" s="87"/>
      <c r="GRC47" s="87"/>
      <c r="GRD47" s="87"/>
      <c r="GRE47" s="87"/>
      <c r="GRF47" s="87"/>
      <c r="GRG47" s="87"/>
      <c r="GRH47" s="87"/>
      <c r="GRI47" s="87"/>
      <c r="GRJ47" s="87"/>
      <c r="GRK47" s="87"/>
      <c r="GRL47" s="87"/>
      <c r="GRM47" s="87"/>
      <c r="GRN47" s="87"/>
      <c r="GRO47" s="87"/>
      <c r="GRP47" s="87"/>
      <c r="GRQ47" s="87"/>
      <c r="GRR47" s="87"/>
      <c r="GRS47" s="87"/>
      <c r="GRT47" s="87"/>
      <c r="GRU47" s="87"/>
      <c r="GRV47" s="87"/>
      <c r="GRW47" s="87"/>
      <c r="GRX47" s="87"/>
      <c r="GRY47" s="87"/>
      <c r="GRZ47" s="87"/>
      <c r="GSA47" s="87"/>
      <c r="GSB47" s="87"/>
      <c r="GSC47" s="87"/>
      <c r="GSD47" s="87"/>
      <c r="GSE47" s="87"/>
      <c r="GSF47" s="87"/>
      <c r="GSG47" s="87"/>
      <c r="GSH47" s="87"/>
      <c r="GSI47" s="87"/>
      <c r="GSJ47" s="87"/>
      <c r="GSK47" s="87"/>
      <c r="GSL47" s="87"/>
      <c r="GSM47" s="87"/>
      <c r="GSN47" s="87"/>
      <c r="GSO47" s="87"/>
      <c r="GSP47" s="87"/>
      <c r="GSQ47" s="87"/>
      <c r="GSR47" s="87"/>
      <c r="GSS47" s="87"/>
      <c r="GST47" s="87"/>
      <c r="GSU47" s="87"/>
      <c r="GSV47" s="87"/>
      <c r="GSW47" s="87"/>
      <c r="GSX47" s="87"/>
      <c r="GSY47" s="87"/>
      <c r="GSZ47" s="87"/>
      <c r="GTA47" s="87"/>
      <c r="GTB47" s="87"/>
      <c r="GTC47" s="87"/>
      <c r="GTD47" s="87"/>
      <c r="GTE47" s="87"/>
      <c r="GTF47" s="87"/>
      <c r="GTG47" s="87"/>
      <c r="GTH47" s="87"/>
      <c r="GTI47" s="87"/>
      <c r="GTJ47" s="87"/>
      <c r="GTK47" s="87"/>
      <c r="GTL47" s="87"/>
      <c r="GTM47" s="87"/>
      <c r="GTN47" s="87"/>
      <c r="GTO47" s="87"/>
      <c r="GTP47" s="87"/>
      <c r="GTQ47" s="87"/>
      <c r="GTR47" s="87"/>
      <c r="GTS47" s="87"/>
      <c r="GTT47" s="87"/>
      <c r="GTU47" s="87"/>
      <c r="GTV47" s="87"/>
      <c r="GTW47" s="87"/>
      <c r="GTX47" s="87"/>
      <c r="GTY47" s="87"/>
      <c r="GTZ47" s="87"/>
      <c r="GUA47" s="87"/>
      <c r="GUB47" s="87"/>
      <c r="GUC47" s="87"/>
      <c r="GUD47" s="87"/>
      <c r="GUE47" s="87"/>
      <c r="GUF47" s="87"/>
      <c r="GUG47" s="87"/>
      <c r="GUH47" s="87"/>
      <c r="GUI47" s="87"/>
      <c r="GUJ47" s="87"/>
      <c r="GUK47" s="87"/>
      <c r="GUL47" s="87"/>
      <c r="GUM47" s="87"/>
      <c r="GUN47" s="87"/>
      <c r="GUO47" s="87"/>
      <c r="GUP47" s="87"/>
      <c r="GUQ47" s="87"/>
      <c r="GUR47" s="87"/>
      <c r="GUS47" s="87"/>
      <c r="GUT47" s="87"/>
      <c r="GUU47" s="87"/>
      <c r="GUV47" s="87"/>
      <c r="GUW47" s="87"/>
      <c r="GUX47" s="87"/>
      <c r="GUY47" s="87"/>
      <c r="GUZ47" s="87"/>
      <c r="GVA47" s="87"/>
      <c r="GVB47" s="87"/>
      <c r="GVC47" s="87"/>
      <c r="GVD47" s="87"/>
      <c r="GVE47" s="87"/>
      <c r="GVF47" s="87"/>
      <c r="GVG47" s="87"/>
      <c r="GVH47" s="87"/>
      <c r="GVI47" s="87"/>
      <c r="GVJ47" s="87"/>
      <c r="GVK47" s="87"/>
      <c r="GVL47" s="87"/>
      <c r="GVM47" s="87"/>
      <c r="GVN47" s="87"/>
      <c r="GVO47" s="87"/>
      <c r="GVP47" s="87"/>
      <c r="GVQ47" s="87"/>
      <c r="GVR47" s="87"/>
      <c r="GVS47" s="87"/>
      <c r="GVT47" s="87"/>
      <c r="GVU47" s="87"/>
      <c r="GVV47" s="87"/>
      <c r="GVW47" s="87"/>
      <c r="GVX47" s="87"/>
      <c r="GVY47" s="87"/>
      <c r="GVZ47" s="87"/>
      <c r="GWA47" s="87"/>
      <c r="GWB47" s="87"/>
      <c r="GWC47" s="87"/>
      <c r="GWD47" s="87"/>
      <c r="GWE47" s="87"/>
      <c r="GWF47" s="87"/>
      <c r="GWG47" s="87"/>
      <c r="GWH47" s="87"/>
      <c r="GWI47" s="87"/>
      <c r="GWJ47" s="87"/>
      <c r="GWK47" s="87"/>
      <c r="GWL47" s="87"/>
      <c r="GWM47" s="87"/>
      <c r="GWN47" s="87"/>
      <c r="GWO47" s="87"/>
      <c r="GWP47" s="87"/>
      <c r="GWQ47" s="87"/>
      <c r="GWR47" s="87"/>
      <c r="GWS47" s="87"/>
      <c r="GWT47" s="87"/>
      <c r="GWU47" s="87"/>
      <c r="GWV47" s="87"/>
      <c r="GWW47" s="87"/>
      <c r="GWX47" s="87"/>
      <c r="GWY47" s="87"/>
      <c r="GWZ47" s="87"/>
      <c r="GXA47" s="87"/>
      <c r="GXB47" s="87"/>
      <c r="GXC47" s="87"/>
      <c r="GXD47" s="87"/>
      <c r="GXE47" s="87"/>
      <c r="GXF47" s="87"/>
      <c r="GXG47" s="87"/>
      <c r="GXH47" s="87"/>
      <c r="GXI47" s="87"/>
      <c r="GXJ47" s="87"/>
      <c r="GXK47" s="87"/>
      <c r="GXL47" s="87"/>
      <c r="GXM47" s="87"/>
      <c r="GXN47" s="87"/>
      <c r="GXO47" s="87"/>
      <c r="GXP47" s="87"/>
      <c r="GXQ47" s="87"/>
      <c r="GXR47" s="87"/>
      <c r="GXS47" s="87"/>
      <c r="GXT47" s="87"/>
      <c r="GXU47" s="87"/>
      <c r="GXV47" s="87"/>
      <c r="GXW47" s="87"/>
      <c r="GXX47" s="87"/>
      <c r="GXY47" s="87"/>
      <c r="GXZ47" s="87"/>
      <c r="GYA47" s="87"/>
      <c r="GYB47" s="87"/>
      <c r="GYC47" s="87"/>
      <c r="GYD47" s="87"/>
      <c r="GYE47" s="87"/>
      <c r="GYF47" s="87"/>
      <c r="GYG47" s="87"/>
      <c r="GYH47" s="87"/>
      <c r="GYI47" s="87"/>
      <c r="GYJ47" s="87"/>
      <c r="GYK47" s="87"/>
      <c r="GYL47" s="87"/>
      <c r="GYM47" s="87"/>
      <c r="GYN47" s="87"/>
      <c r="GYO47" s="87"/>
      <c r="GYP47" s="87"/>
      <c r="GYQ47" s="87"/>
      <c r="GYR47" s="87"/>
      <c r="GYS47" s="87"/>
      <c r="GYT47" s="87"/>
      <c r="GYU47" s="87"/>
      <c r="GYV47" s="87"/>
      <c r="GYW47" s="87"/>
      <c r="GYX47" s="87"/>
      <c r="GYY47" s="87"/>
      <c r="GYZ47" s="87"/>
      <c r="GZA47" s="87"/>
      <c r="GZB47" s="87"/>
      <c r="GZC47" s="87"/>
      <c r="GZD47" s="87"/>
      <c r="GZE47" s="87"/>
      <c r="GZF47" s="87"/>
      <c r="GZG47" s="87"/>
      <c r="GZH47" s="87"/>
      <c r="GZI47" s="87"/>
      <c r="GZJ47" s="87"/>
      <c r="GZK47" s="87"/>
      <c r="GZL47" s="87"/>
      <c r="GZM47" s="87"/>
      <c r="GZN47" s="87"/>
      <c r="GZO47" s="87"/>
      <c r="GZP47" s="87"/>
      <c r="GZQ47" s="87"/>
      <c r="GZR47" s="87"/>
      <c r="GZS47" s="87"/>
      <c r="GZT47" s="87"/>
      <c r="GZU47" s="87"/>
      <c r="GZV47" s="87"/>
      <c r="GZW47" s="87"/>
      <c r="GZX47" s="87"/>
      <c r="GZY47" s="87"/>
      <c r="GZZ47" s="87"/>
      <c r="HAA47" s="87"/>
      <c r="HAB47" s="87"/>
      <c r="HAC47" s="87"/>
      <c r="HAD47" s="87"/>
      <c r="HAE47" s="87"/>
      <c r="HAF47" s="87"/>
      <c r="HAG47" s="87"/>
      <c r="HAH47" s="87"/>
      <c r="HAI47" s="87"/>
      <c r="HAJ47" s="87"/>
      <c r="HAK47" s="87"/>
      <c r="HAL47" s="87"/>
      <c r="HAM47" s="87"/>
      <c r="HAN47" s="87"/>
      <c r="HAO47" s="87"/>
      <c r="HAP47" s="87"/>
      <c r="HAQ47" s="87"/>
      <c r="HAR47" s="87"/>
      <c r="HAS47" s="87"/>
      <c r="HAT47" s="87"/>
      <c r="HAU47" s="87"/>
      <c r="HAV47" s="87"/>
      <c r="HAW47" s="87"/>
      <c r="HAX47" s="87"/>
      <c r="HAY47" s="87"/>
      <c r="HAZ47" s="87"/>
      <c r="HBA47" s="87"/>
      <c r="HBB47" s="87"/>
      <c r="HBC47" s="87"/>
      <c r="HBD47" s="87"/>
      <c r="HBE47" s="87"/>
      <c r="HBF47" s="87"/>
      <c r="HBG47" s="87"/>
      <c r="HBH47" s="87"/>
      <c r="HBI47" s="87"/>
      <c r="HBJ47" s="87"/>
      <c r="HBK47" s="87"/>
      <c r="HBL47" s="87"/>
      <c r="HBM47" s="87"/>
      <c r="HBN47" s="87"/>
      <c r="HBO47" s="87"/>
      <c r="HBP47" s="87"/>
      <c r="HBQ47" s="87"/>
      <c r="HBR47" s="87"/>
      <c r="HBS47" s="87"/>
      <c r="HBT47" s="87"/>
      <c r="HBU47" s="87"/>
      <c r="HBV47" s="87"/>
      <c r="HBW47" s="87"/>
      <c r="HBX47" s="87"/>
      <c r="HBY47" s="87"/>
      <c r="HBZ47" s="87"/>
      <c r="HCA47" s="87"/>
      <c r="HCB47" s="87"/>
      <c r="HCC47" s="87"/>
      <c r="HCD47" s="87"/>
      <c r="HCE47" s="87"/>
      <c r="HCF47" s="87"/>
      <c r="HCG47" s="87"/>
      <c r="HCH47" s="87"/>
      <c r="HCI47" s="87"/>
      <c r="HCJ47" s="87"/>
      <c r="HCK47" s="87"/>
      <c r="HCL47" s="87"/>
      <c r="HCM47" s="87"/>
      <c r="HCN47" s="87"/>
      <c r="HCO47" s="87"/>
      <c r="HCP47" s="87"/>
      <c r="HCQ47" s="87"/>
      <c r="HCR47" s="87"/>
      <c r="HCS47" s="87"/>
      <c r="HCT47" s="87"/>
      <c r="HCU47" s="87"/>
      <c r="HCV47" s="87"/>
      <c r="HCW47" s="87"/>
      <c r="HCX47" s="87"/>
      <c r="HCY47" s="87"/>
      <c r="HCZ47" s="87"/>
      <c r="HDA47" s="87"/>
      <c r="HDB47" s="87"/>
      <c r="HDC47" s="87"/>
      <c r="HDD47" s="87"/>
      <c r="HDE47" s="87"/>
      <c r="HDF47" s="87"/>
      <c r="HDG47" s="87"/>
      <c r="HDH47" s="87"/>
      <c r="HDI47" s="87"/>
      <c r="HDJ47" s="87"/>
      <c r="HDK47" s="87"/>
      <c r="HDL47" s="87"/>
      <c r="HDM47" s="87"/>
      <c r="HDN47" s="87"/>
      <c r="HDO47" s="87"/>
      <c r="HDP47" s="87"/>
      <c r="HDQ47" s="87"/>
      <c r="HDR47" s="87"/>
      <c r="HDS47" s="87"/>
      <c r="HDT47" s="87"/>
      <c r="HDU47" s="87"/>
      <c r="HDV47" s="87"/>
      <c r="HDW47" s="87"/>
      <c r="HDX47" s="87"/>
      <c r="HDY47" s="87"/>
      <c r="HDZ47" s="87"/>
      <c r="HEA47" s="87"/>
      <c r="HEB47" s="87"/>
      <c r="HEC47" s="87"/>
      <c r="HED47" s="87"/>
      <c r="HEE47" s="87"/>
      <c r="HEF47" s="87"/>
      <c r="HEG47" s="87"/>
      <c r="HEH47" s="87"/>
      <c r="HEI47" s="87"/>
      <c r="HEJ47" s="87"/>
      <c r="HEK47" s="87"/>
      <c r="HEL47" s="87"/>
      <c r="HEM47" s="87"/>
      <c r="HEN47" s="87"/>
      <c r="HEO47" s="87"/>
      <c r="HEP47" s="87"/>
      <c r="HEQ47" s="87"/>
      <c r="HER47" s="87"/>
      <c r="HES47" s="87"/>
      <c r="HET47" s="87"/>
      <c r="HEU47" s="87"/>
      <c r="HEV47" s="87"/>
      <c r="HEW47" s="87"/>
      <c r="HEX47" s="87"/>
      <c r="HEY47" s="87"/>
      <c r="HEZ47" s="87"/>
      <c r="HFA47" s="87"/>
      <c r="HFB47" s="87"/>
      <c r="HFC47" s="87"/>
      <c r="HFD47" s="87"/>
      <c r="HFE47" s="87"/>
      <c r="HFF47" s="87"/>
      <c r="HFG47" s="87"/>
      <c r="HFH47" s="87"/>
      <c r="HFI47" s="87"/>
      <c r="HFJ47" s="87"/>
      <c r="HFK47" s="87"/>
      <c r="HFL47" s="87"/>
      <c r="HFM47" s="87"/>
      <c r="HFN47" s="87"/>
      <c r="HFO47" s="87"/>
      <c r="HFP47" s="87"/>
      <c r="HFQ47" s="87"/>
      <c r="HFR47" s="87"/>
      <c r="HFS47" s="87"/>
      <c r="HFT47" s="87"/>
      <c r="HFU47" s="87"/>
      <c r="HFV47" s="87"/>
      <c r="HFW47" s="87"/>
      <c r="HFX47" s="87"/>
      <c r="HFY47" s="87"/>
      <c r="HFZ47" s="87"/>
      <c r="HGA47" s="87"/>
      <c r="HGB47" s="87"/>
      <c r="HGC47" s="87"/>
      <c r="HGD47" s="87"/>
      <c r="HGE47" s="87"/>
      <c r="HGF47" s="87"/>
      <c r="HGG47" s="87"/>
      <c r="HGH47" s="87"/>
      <c r="HGI47" s="87"/>
      <c r="HGJ47" s="87"/>
      <c r="HGK47" s="87"/>
      <c r="HGL47" s="87"/>
      <c r="HGM47" s="87"/>
      <c r="HGN47" s="87"/>
      <c r="HGO47" s="87"/>
      <c r="HGP47" s="87"/>
      <c r="HGQ47" s="87"/>
      <c r="HGR47" s="87"/>
      <c r="HGS47" s="87"/>
      <c r="HGT47" s="87"/>
      <c r="HGU47" s="87"/>
      <c r="HGV47" s="87"/>
      <c r="HGW47" s="87"/>
      <c r="HGX47" s="87"/>
      <c r="HGY47" s="87"/>
      <c r="HGZ47" s="87"/>
      <c r="HHA47" s="87"/>
      <c r="HHB47" s="87"/>
      <c r="HHC47" s="87"/>
      <c r="HHD47" s="87"/>
      <c r="HHE47" s="87"/>
      <c r="HHF47" s="87"/>
      <c r="HHG47" s="87"/>
      <c r="HHH47" s="87"/>
      <c r="HHI47" s="87"/>
      <c r="HHJ47" s="87"/>
      <c r="HHK47" s="87"/>
      <c r="HHL47" s="87"/>
      <c r="HHM47" s="87"/>
      <c r="HHN47" s="87"/>
      <c r="HHO47" s="87"/>
      <c r="HHP47" s="87"/>
      <c r="HHQ47" s="87"/>
      <c r="HHR47" s="87"/>
      <c r="HHS47" s="87"/>
      <c r="HHT47" s="87"/>
      <c r="HHU47" s="87"/>
      <c r="HHV47" s="87"/>
      <c r="HHW47" s="87"/>
      <c r="HHX47" s="87"/>
      <c r="HHY47" s="87"/>
      <c r="HHZ47" s="87"/>
      <c r="HIA47" s="87"/>
      <c r="HIB47" s="87"/>
      <c r="HIC47" s="87"/>
      <c r="HID47" s="87"/>
      <c r="HIE47" s="87"/>
      <c r="HIF47" s="87"/>
      <c r="HIG47" s="87"/>
      <c r="HIH47" s="87"/>
      <c r="HII47" s="87"/>
      <c r="HIJ47" s="87"/>
      <c r="HIK47" s="87"/>
      <c r="HIL47" s="87"/>
      <c r="HIM47" s="87"/>
      <c r="HIN47" s="87"/>
      <c r="HIO47" s="87"/>
      <c r="HIP47" s="87"/>
      <c r="HIQ47" s="87"/>
      <c r="HIR47" s="87"/>
      <c r="HIS47" s="87"/>
      <c r="HIT47" s="87"/>
      <c r="HIU47" s="87"/>
      <c r="HIV47" s="87"/>
      <c r="HIW47" s="87"/>
      <c r="HIX47" s="87"/>
      <c r="HIY47" s="87"/>
      <c r="HIZ47" s="87"/>
      <c r="HJA47" s="87"/>
      <c r="HJB47" s="87"/>
      <c r="HJC47" s="87"/>
      <c r="HJD47" s="87"/>
      <c r="HJE47" s="87"/>
      <c r="HJF47" s="87"/>
      <c r="HJG47" s="87"/>
      <c r="HJH47" s="87"/>
      <c r="HJI47" s="87"/>
      <c r="HJJ47" s="87"/>
      <c r="HJK47" s="87"/>
      <c r="HJL47" s="87"/>
      <c r="HJM47" s="87"/>
      <c r="HJN47" s="87"/>
      <c r="HJO47" s="87"/>
      <c r="HJP47" s="87"/>
      <c r="HJQ47" s="87"/>
      <c r="HJR47" s="87"/>
      <c r="HJS47" s="87"/>
      <c r="HJT47" s="87"/>
      <c r="HJU47" s="87"/>
      <c r="HJV47" s="87"/>
      <c r="HJW47" s="87"/>
      <c r="HJX47" s="87"/>
      <c r="HJY47" s="87"/>
      <c r="HJZ47" s="87"/>
      <c r="HKA47" s="87"/>
      <c r="HKB47" s="87"/>
      <c r="HKC47" s="87"/>
      <c r="HKD47" s="87"/>
      <c r="HKE47" s="87"/>
      <c r="HKF47" s="87"/>
      <c r="HKG47" s="87"/>
      <c r="HKH47" s="87"/>
      <c r="HKI47" s="87"/>
      <c r="HKJ47" s="87"/>
      <c r="HKK47" s="87"/>
      <c r="HKL47" s="87"/>
      <c r="HKM47" s="87"/>
      <c r="HKN47" s="87"/>
      <c r="HKO47" s="87"/>
      <c r="HKP47" s="87"/>
      <c r="HKQ47" s="87"/>
      <c r="HKR47" s="87"/>
      <c r="HKS47" s="87"/>
      <c r="HKT47" s="87"/>
      <c r="HKU47" s="87"/>
      <c r="HKV47" s="87"/>
      <c r="HKW47" s="87"/>
      <c r="HKX47" s="87"/>
      <c r="HKY47" s="87"/>
      <c r="HKZ47" s="87"/>
      <c r="HLA47" s="87"/>
      <c r="HLB47" s="87"/>
      <c r="HLC47" s="87"/>
      <c r="HLD47" s="87"/>
      <c r="HLE47" s="87"/>
      <c r="HLF47" s="87"/>
      <c r="HLG47" s="87"/>
      <c r="HLH47" s="87"/>
      <c r="HLI47" s="87"/>
      <c r="HLJ47" s="87"/>
      <c r="HLK47" s="87"/>
      <c r="HLL47" s="87"/>
      <c r="HLM47" s="87"/>
      <c r="HLN47" s="87"/>
      <c r="HLO47" s="87"/>
      <c r="HLP47" s="87"/>
      <c r="HLQ47" s="87"/>
      <c r="HLR47" s="87"/>
      <c r="HLS47" s="87"/>
      <c r="HLT47" s="87"/>
      <c r="HLU47" s="87"/>
      <c r="HLV47" s="87"/>
      <c r="HLW47" s="87"/>
      <c r="HLX47" s="87"/>
      <c r="HLY47" s="87"/>
      <c r="HLZ47" s="87"/>
      <c r="HMA47" s="87"/>
      <c r="HMB47" s="87"/>
      <c r="HMC47" s="87"/>
      <c r="HMD47" s="87"/>
      <c r="HME47" s="87"/>
      <c r="HMF47" s="87"/>
      <c r="HMG47" s="87"/>
      <c r="HMH47" s="87"/>
      <c r="HMI47" s="87"/>
      <c r="HMJ47" s="87"/>
      <c r="HMK47" s="87"/>
      <c r="HML47" s="87"/>
      <c r="HMM47" s="87"/>
      <c r="HMN47" s="87"/>
      <c r="HMO47" s="87"/>
      <c r="HMP47" s="87"/>
      <c r="HMQ47" s="87"/>
      <c r="HMR47" s="87"/>
      <c r="HMS47" s="87"/>
      <c r="HMT47" s="87"/>
      <c r="HMU47" s="87"/>
      <c r="HMV47" s="87"/>
      <c r="HMW47" s="87"/>
      <c r="HMX47" s="87"/>
      <c r="HMY47" s="87"/>
      <c r="HMZ47" s="87"/>
      <c r="HNA47" s="87"/>
      <c r="HNB47" s="87"/>
      <c r="HNC47" s="87"/>
      <c r="HND47" s="87"/>
      <c r="HNE47" s="87"/>
      <c r="HNF47" s="87"/>
      <c r="HNG47" s="87"/>
      <c r="HNH47" s="87"/>
      <c r="HNI47" s="87"/>
      <c r="HNJ47" s="87"/>
      <c r="HNK47" s="87"/>
      <c r="HNL47" s="87"/>
      <c r="HNM47" s="87"/>
      <c r="HNN47" s="87"/>
      <c r="HNO47" s="87"/>
      <c r="HNP47" s="87"/>
      <c r="HNQ47" s="87"/>
      <c r="HNR47" s="87"/>
      <c r="HNS47" s="87"/>
      <c r="HNT47" s="87"/>
      <c r="HNU47" s="87"/>
      <c r="HNV47" s="87"/>
      <c r="HNW47" s="87"/>
      <c r="HNX47" s="87"/>
      <c r="HNY47" s="87"/>
      <c r="HNZ47" s="87"/>
      <c r="HOA47" s="87"/>
      <c r="HOB47" s="87"/>
      <c r="HOC47" s="87"/>
      <c r="HOD47" s="87"/>
      <c r="HOE47" s="87"/>
      <c r="HOF47" s="87"/>
      <c r="HOG47" s="87"/>
      <c r="HOH47" s="87"/>
      <c r="HOI47" s="87"/>
      <c r="HOJ47" s="87"/>
      <c r="HOK47" s="87"/>
      <c r="HOL47" s="87"/>
      <c r="HOM47" s="87"/>
      <c r="HON47" s="87"/>
      <c r="HOO47" s="87"/>
      <c r="HOP47" s="87"/>
      <c r="HOQ47" s="87"/>
      <c r="HOR47" s="87"/>
      <c r="HOS47" s="87"/>
      <c r="HOT47" s="87"/>
      <c r="HOU47" s="87"/>
      <c r="HOV47" s="87"/>
      <c r="HOW47" s="87"/>
      <c r="HOX47" s="87"/>
      <c r="HOY47" s="87"/>
      <c r="HOZ47" s="87"/>
      <c r="HPA47" s="87"/>
      <c r="HPB47" s="87"/>
      <c r="HPC47" s="87"/>
      <c r="HPD47" s="87"/>
      <c r="HPE47" s="87"/>
      <c r="HPF47" s="87"/>
      <c r="HPG47" s="87"/>
      <c r="HPH47" s="87"/>
      <c r="HPI47" s="87"/>
      <c r="HPJ47" s="87"/>
      <c r="HPK47" s="87"/>
      <c r="HPL47" s="87"/>
      <c r="HPM47" s="87"/>
      <c r="HPN47" s="87"/>
      <c r="HPO47" s="87"/>
      <c r="HPP47" s="87"/>
      <c r="HPQ47" s="87"/>
      <c r="HPR47" s="87"/>
      <c r="HPS47" s="87"/>
      <c r="HPT47" s="87"/>
      <c r="HPU47" s="87"/>
      <c r="HPV47" s="87"/>
      <c r="HPW47" s="87"/>
      <c r="HPX47" s="87"/>
      <c r="HPY47" s="87"/>
      <c r="HPZ47" s="87"/>
      <c r="HQA47" s="87"/>
      <c r="HQB47" s="87"/>
      <c r="HQC47" s="87"/>
      <c r="HQD47" s="87"/>
      <c r="HQE47" s="87"/>
      <c r="HQF47" s="87"/>
      <c r="HQG47" s="87"/>
      <c r="HQH47" s="87"/>
      <c r="HQI47" s="87"/>
      <c r="HQJ47" s="87"/>
      <c r="HQK47" s="87"/>
      <c r="HQL47" s="87"/>
      <c r="HQM47" s="87"/>
      <c r="HQN47" s="87"/>
      <c r="HQO47" s="87"/>
      <c r="HQP47" s="87"/>
      <c r="HQQ47" s="87"/>
      <c r="HQR47" s="87"/>
      <c r="HQS47" s="87"/>
      <c r="HQT47" s="87"/>
      <c r="HQU47" s="87"/>
      <c r="HQV47" s="87"/>
      <c r="HQW47" s="87"/>
      <c r="HQX47" s="87"/>
      <c r="HQY47" s="87"/>
      <c r="HQZ47" s="87"/>
      <c r="HRA47" s="87"/>
      <c r="HRB47" s="87"/>
      <c r="HRC47" s="87"/>
      <c r="HRD47" s="87"/>
      <c r="HRE47" s="87"/>
      <c r="HRF47" s="87"/>
      <c r="HRG47" s="87"/>
      <c r="HRH47" s="87"/>
      <c r="HRI47" s="87"/>
      <c r="HRJ47" s="87"/>
      <c r="HRK47" s="87"/>
      <c r="HRL47" s="87"/>
      <c r="HRM47" s="87"/>
      <c r="HRN47" s="87"/>
      <c r="HRO47" s="87"/>
      <c r="HRP47" s="87"/>
      <c r="HRQ47" s="87"/>
      <c r="HRR47" s="87"/>
      <c r="HRS47" s="87"/>
      <c r="HRT47" s="87"/>
      <c r="HRU47" s="87"/>
      <c r="HRV47" s="87"/>
      <c r="HRW47" s="87"/>
      <c r="HRX47" s="87"/>
      <c r="HRY47" s="87"/>
      <c r="HRZ47" s="87"/>
      <c r="HSA47" s="87"/>
      <c r="HSB47" s="87"/>
      <c r="HSC47" s="87"/>
      <c r="HSD47" s="87"/>
      <c r="HSE47" s="87"/>
      <c r="HSF47" s="87"/>
      <c r="HSG47" s="87"/>
      <c r="HSH47" s="87"/>
      <c r="HSI47" s="87"/>
      <c r="HSJ47" s="87"/>
      <c r="HSK47" s="87"/>
      <c r="HSL47" s="87"/>
      <c r="HSM47" s="87"/>
      <c r="HSN47" s="87"/>
      <c r="HSO47" s="87"/>
      <c r="HSP47" s="87"/>
      <c r="HSQ47" s="87"/>
      <c r="HSR47" s="87"/>
      <c r="HSS47" s="87"/>
      <c r="HST47" s="87"/>
      <c r="HSU47" s="87"/>
      <c r="HSV47" s="87"/>
      <c r="HSW47" s="87"/>
      <c r="HSX47" s="87"/>
      <c r="HSY47" s="87"/>
      <c r="HSZ47" s="87"/>
      <c r="HTA47" s="87"/>
      <c r="HTB47" s="87"/>
      <c r="HTC47" s="87"/>
      <c r="HTD47" s="87"/>
      <c r="HTE47" s="87"/>
      <c r="HTF47" s="87"/>
      <c r="HTG47" s="87"/>
      <c r="HTH47" s="87"/>
      <c r="HTI47" s="87"/>
      <c r="HTJ47" s="87"/>
      <c r="HTK47" s="87"/>
      <c r="HTL47" s="87"/>
      <c r="HTM47" s="87"/>
      <c r="HTN47" s="87"/>
      <c r="HTO47" s="87"/>
      <c r="HTP47" s="87"/>
      <c r="HTQ47" s="87"/>
      <c r="HTR47" s="87"/>
      <c r="HTS47" s="87"/>
      <c r="HTT47" s="87"/>
      <c r="HTU47" s="87"/>
      <c r="HTV47" s="87"/>
      <c r="HTW47" s="87"/>
      <c r="HTX47" s="87"/>
      <c r="HTY47" s="87"/>
      <c r="HTZ47" s="87"/>
      <c r="HUA47" s="87"/>
      <c r="HUB47" s="87"/>
      <c r="HUC47" s="87"/>
      <c r="HUD47" s="87"/>
      <c r="HUE47" s="87"/>
      <c r="HUF47" s="87"/>
      <c r="HUG47" s="87"/>
      <c r="HUH47" s="87"/>
      <c r="HUI47" s="87"/>
      <c r="HUJ47" s="87"/>
      <c r="HUK47" s="87"/>
      <c r="HUL47" s="87"/>
      <c r="HUM47" s="87"/>
      <c r="HUN47" s="87"/>
      <c r="HUO47" s="87"/>
      <c r="HUP47" s="87"/>
      <c r="HUQ47" s="87"/>
      <c r="HUR47" s="87"/>
      <c r="HUS47" s="87"/>
      <c r="HUT47" s="87"/>
      <c r="HUU47" s="87"/>
      <c r="HUV47" s="87"/>
      <c r="HUW47" s="87"/>
      <c r="HUX47" s="87"/>
      <c r="HUY47" s="87"/>
      <c r="HUZ47" s="87"/>
      <c r="HVA47" s="87"/>
      <c r="HVB47" s="87"/>
      <c r="HVC47" s="87"/>
      <c r="HVD47" s="87"/>
      <c r="HVE47" s="87"/>
      <c r="HVF47" s="87"/>
      <c r="HVG47" s="87"/>
      <c r="HVH47" s="87"/>
      <c r="HVI47" s="87"/>
      <c r="HVJ47" s="87"/>
      <c r="HVK47" s="87"/>
      <c r="HVL47" s="87"/>
      <c r="HVM47" s="87"/>
      <c r="HVN47" s="87"/>
      <c r="HVO47" s="87"/>
      <c r="HVP47" s="87"/>
      <c r="HVQ47" s="87"/>
      <c r="HVR47" s="87"/>
      <c r="HVS47" s="87"/>
      <c r="HVT47" s="87"/>
      <c r="HVU47" s="87"/>
      <c r="HVV47" s="87"/>
      <c r="HVW47" s="87"/>
      <c r="HVX47" s="87"/>
      <c r="HVY47" s="87"/>
      <c r="HVZ47" s="87"/>
      <c r="HWA47" s="87"/>
      <c r="HWB47" s="87"/>
      <c r="HWC47" s="87"/>
      <c r="HWD47" s="87"/>
      <c r="HWE47" s="87"/>
      <c r="HWF47" s="87"/>
      <c r="HWG47" s="87"/>
      <c r="HWH47" s="87"/>
      <c r="HWI47" s="87"/>
      <c r="HWJ47" s="87"/>
      <c r="HWK47" s="87"/>
      <c r="HWL47" s="87"/>
      <c r="HWM47" s="87"/>
      <c r="HWN47" s="87"/>
      <c r="HWO47" s="87"/>
      <c r="HWP47" s="87"/>
      <c r="HWQ47" s="87"/>
      <c r="HWR47" s="87"/>
      <c r="HWS47" s="87"/>
      <c r="HWT47" s="87"/>
      <c r="HWU47" s="87"/>
      <c r="HWV47" s="87"/>
      <c r="HWW47" s="87"/>
      <c r="HWX47" s="87"/>
      <c r="HWY47" s="87"/>
      <c r="HWZ47" s="87"/>
      <c r="HXA47" s="87"/>
      <c r="HXB47" s="87"/>
      <c r="HXC47" s="87"/>
      <c r="HXD47" s="87"/>
      <c r="HXE47" s="87"/>
      <c r="HXF47" s="87"/>
      <c r="HXG47" s="87"/>
      <c r="HXH47" s="87"/>
      <c r="HXI47" s="87"/>
      <c r="HXJ47" s="87"/>
      <c r="HXK47" s="87"/>
      <c r="HXL47" s="87"/>
      <c r="HXM47" s="87"/>
      <c r="HXN47" s="87"/>
      <c r="HXO47" s="87"/>
      <c r="HXP47" s="87"/>
      <c r="HXQ47" s="87"/>
      <c r="HXR47" s="87"/>
      <c r="HXS47" s="87"/>
      <c r="HXT47" s="87"/>
      <c r="HXU47" s="87"/>
      <c r="HXV47" s="87"/>
      <c r="HXW47" s="87"/>
      <c r="HXX47" s="87"/>
      <c r="HXY47" s="87"/>
      <c r="HXZ47" s="87"/>
      <c r="HYA47" s="87"/>
      <c r="HYB47" s="87"/>
      <c r="HYC47" s="87"/>
      <c r="HYD47" s="87"/>
      <c r="HYE47" s="87"/>
      <c r="HYF47" s="87"/>
      <c r="HYG47" s="87"/>
      <c r="HYH47" s="87"/>
      <c r="HYI47" s="87"/>
      <c r="HYJ47" s="87"/>
      <c r="HYK47" s="87"/>
      <c r="HYL47" s="87"/>
      <c r="HYM47" s="87"/>
      <c r="HYN47" s="87"/>
      <c r="HYO47" s="87"/>
      <c r="HYP47" s="87"/>
      <c r="HYQ47" s="87"/>
      <c r="HYR47" s="87"/>
      <c r="HYS47" s="87"/>
      <c r="HYT47" s="87"/>
      <c r="HYU47" s="87"/>
      <c r="HYV47" s="87"/>
      <c r="HYW47" s="87"/>
      <c r="HYX47" s="87"/>
      <c r="HYY47" s="87"/>
      <c r="HYZ47" s="87"/>
      <c r="HZA47" s="87"/>
      <c r="HZB47" s="87"/>
      <c r="HZC47" s="87"/>
      <c r="HZD47" s="87"/>
      <c r="HZE47" s="87"/>
      <c r="HZF47" s="87"/>
      <c r="HZG47" s="87"/>
      <c r="HZH47" s="87"/>
      <c r="HZI47" s="87"/>
      <c r="HZJ47" s="87"/>
      <c r="HZK47" s="87"/>
      <c r="HZL47" s="87"/>
      <c r="HZM47" s="87"/>
      <c r="HZN47" s="87"/>
      <c r="HZO47" s="87"/>
      <c r="HZP47" s="87"/>
      <c r="HZQ47" s="87"/>
      <c r="HZR47" s="87"/>
      <c r="HZS47" s="87"/>
      <c r="HZT47" s="87"/>
      <c r="HZU47" s="87"/>
      <c r="HZV47" s="87"/>
      <c r="HZW47" s="87"/>
      <c r="HZX47" s="87"/>
      <c r="HZY47" s="87"/>
      <c r="HZZ47" s="87"/>
      <c r="IAA47" s="87"/>
      <c r="IAB47" s="87"/>
      <c r="IAC47" s="87"/>
      <c r="IAD47" s="87"/>
      <c r="IAE47" s="87"/>
      <c r="IAF47" s="87"/>
      <c r="IAG47" s="87"/>
      <c r="IAH47" s="87"/>
      <c r="IAI47" s="87"/>
      <c r="IAJ47" s="87"/>
      <c r="IAK47" s="87"/>
      <c r="IAL47" s="87"/>
      <c r="IAM47" s="87"/>
      <c r="IAN47" s="87"/>
      <c r="IAO47" s="87"/>
      <c r="IAP47" s="87"/>
      <c r="IAQ47" s="87"/>
      <c r="IAR47" s="87"/>
      <c r="IAS47" s="87"/>
      <c r="IAT47" s="87"/>
      <c r="IAU47" s="87"/>
      <c r="IAV47" s="87"/>
      <c r="IAW47" s="87"/>
      <c r="IAX47" s="87"/>
      <c r="IAY47" s="87"/>
      <c r="IAZ47" s="87"/>
      <c r="IBA47" s="87"/>
      <c r="IBB47" s="87"/>
      <c r="IBC47" s="87"/>
      <c r="IBD47" s="87"/>
      <c r="IBE47" s="87"/>
      <c r="IBF47" s="87"/>
      <c r="IBG47" s="87"/>
      <c r="IBH47" s="87"/>
      <c r="IBI47" s="87"/>
      <c r="IBJ47" s="87"/>
      <c r="IBK47" s="87"/>
      <c r="IBL47" s="87"/>
      <c r="IBM47" s="87"/>
      <c r="IBN47" s="87"/>
      <c r="IBO47" s="87"/>
      <c r="IBP47" s="87"/>
      <c r="IBQ47" s="87"/>
      <c r="IBR47" s="87"/>
      <c r="IBS47" s="87"/>
      <c r="IBT47" s="87"/>
      <c r="IBU47" s="87"/>
      <c r="IBV47" s="87"/>
      <c r="IBW47" s="87"/>
      <c r="IBX47" s="87"/>
      <c r="IBY47" s="87"/>
      <c r="IBZ47" s="87"/>
      <c r="ICA47" s="87"/>
      <c r="ICB47" s="87"/>
      <c r="ICC47" s="87"/>
      <c r="ICD47" s="87"/>
      <c r="ICE47" s="87"/>
      <c r="ICF47" s="87"/>
      <c r="ICG47" s="87"/>
      <c r="ICH47" s="87"/>
      <c r="ICI47" s="87"/>
      <c r="ICJ47" s="87"/>
      <c r="ICK47" s="87"/>
      <c r="ICL47" s="87"/>
      <c r="ICM47" s="87"/>
      <c r="ICN47" s="87"/>
      <c r="ICO47" s="87"/>
      <c r="ICP47" s="87"/>
      <c r="ICQ47" s="87"/>
      <c r="ICR47" s="87"/>
      <c r="ICS47" s="87"/>
      <c r="ICT47" s="87"/>
      <c r="ICU47" s="87"/>
      <c r="ICV47" s="87"/>
      <c r="ICW47" s="87"/>
      <c r="ICX47" s="87"/>
      <c r="ICY47" s="87"/>
      <c r="ICZ47" s="87"/>
      <c r="IDA47" s="87"/>
      <c r="IDB47" s="87"/>
      <c r="IDC47" s="87"/>
      <c r="IDD47" s="87"/>
      <c r="IDE47" s="87"/>
      <c r="IDF47" s="87"/>
      <c r="IDG47" s="87"/>
      <c r="IDH47" s="87"/>
      <c r="IDI47" s="87"/>
      <c r="IDJ47" s="87"/>
      <c r="IDK47" s="87"/>
      <c r="IDL47" s="87"/>
      <c r="IDM47" s="87"/>
      <c r="IDN47" s="87"/>
      <c r="IDO47" s="87"/>
      <c r="IDP47" s="87"/>
      <c r="IDQ47" s="87"/>
      <c r="IDR47" s="87"/>
      <c r="IDS47" s="87"/>
      <c r="IDT47" s="87"/>
      <c r="IDU47" s="87"/>
      <c r="IDV47" s="87"/>
      <c r="IDW47" s="87"/>
      <c r="IDX47" s="87"/>
      <c r="IDY47" s="87"/>
      <c r="IDZ47" s="87"/>
      <c r="IEA47" s="87"/>
      <c r="IEB47" s="87"/>
      <c r="IEC47" s="87"/>
      <c r="IED47" s="87"/>
      <c r="IEE47" s="87"/>
      <c r="IEF47" s="87"/>
      <c r="IEG47" s="87"/>
      <c r="IEH47" s="87"/>
      <c r="IEI47" s="87"/>
      <c r="IEJ47" s="87"/>
      <c r="IEK47" s="87"/>
      <c r="IEL47" s="87"/>
      <c r="IEM47" s="87"/>
      <c r="IEN47" s="87"/>
      <c r="IEO47" s="87"/>
      <c r="IEP47" s="87"/>
      <c r="IEQ47" s="87"/>
      <c r="IER47" s="87"/>
      <c r="IES47" s="87"/>
      <c r="IET47" s="87"/>
      <c r="IEU47" s="87"/>
      <c r="IEV47" s="87"/>
      <c r="IEW47" s="87"/>
      <c r="IEX47" s="87"/>
      <c r="IEY47" s="87"/>
      <c r="IEZ47" s="87"/>
      <c r="IFA47" s="87"/>
      <c r="IFB47" s="87"/>
      <c r="IFC47" s="87"/>
      <c r="IFD47" s="87"/>
      <c r="IFE47" s="87"/>
      <c r="IFF47" s="87"/>
      <c r="IFG47" s="87"/>
      <c r="IFH47" s="87"/>
      <c r="IFI47" s="87"/>
      <c r="IFJ47" s="87"/>
      <c r="IFK47" s="87"/>
      <c r="IFL47" s="87"/>
      <c r="IFM47" s="87"/>
      <c r="IFN47" s="87"/>
      <c r="IFO47" s="87"/>
      <c r="IFP47" s="87"/>
      <c r="IFQ47" s="87"/>
      <c r="IFR47" s="87"/>
      <c r="IFS47" s="87"/>
      <c r="IFT47" s="87"/>
      <c r="IFU47" s="87"/>
      <c r="IFV47" s="87"/>
      <c r="IFW47" s="87"/>
      <c r="IFX47" s="87"/>
      <c r="IFY47" s="87"/>
      <c r="IFZ47" s="87"/>
      <c r="IGA47" s="87"/>
      <c r="IGB47" s="87"/>
      <c r="IGC47" s="87"/>
      <c r="IGD47" s="87"/>
      <c r="IGE47" s="87"/>
      <c r="IGF47" s="87"/>
      <c r="IGG47" s="87"/>
      <c r="IGH47" s="87"/>
      <c r="IGI47" s="87"/>
      <c r="IGJ47" s="87"/>
      <c r="IGK47" s="87"/>
      <c r="IGL47" s="87"/>
      <c r="IGM47" s="87"/>
      <c r="IGN47" s="87"/>
      <c r="IGO47" s="87"/>
      <c r="IGP47" s="87"/>
      <c r="IGQ47" s="87"/>
      <c r="IGR47" s="87"/>
      <c r="IGS47" s="87"/>
      <c r="IGT47" s="87"/>
      <c r="IGU47" s="87"/>
      <c r="IGV47" s="87"/>
      <c r="IGW47" s="87"/>
      <c r="IGX47" s="87"/>
      <c r="IGY47" s="87"/>
      <c r="IGZ47" s="87"/>
      <c r="IHA47" s="87"/>
      <c r="IHB47" s="87"/>
      <c r="IHC47" s="87"/>
      <c r="IHD47" s="87"/>
      <c r="IHE47" s="87"/>
      <c r="IHF47" s="87"/>
      <c r="IHG47" s="87"/>
      <c r="IHH47" s="87"/>
      <c r="IHI47" s="87"/>
      <c r="IHJ47" s="87"/>
      <c r="IHK47" s="87"/>
      <c r="IHL47" s="87"/>
      <c r="IHM47" s="87"/>
      <c r="IHN47" s="87"/>
      <c r="IHO47" s="87"/>
      <c r="IHP47" s="87"/>
      <c r="IHQ47" s="87"/>
      <c r="IHR47" s="87"/>
      <c r="IHS47" s="87"/>
      <c r="IHT47" s="87"/>
      <c r="IHU47" s="87"/>
      <c r="IHV47" s="87"/>
      <c r="IHW47" s="87"/>
      <c r="IHX47" s="87"/>
      <c r="IHY47" s="87"/>
      <c r="IHZ47" s="87"/>
      <c r="IIA47" s="87"/>
      <c r="IIB47" s="87"/>
      <c r="IIC47" s="87"/>
      <c r="IID47" s="87"/>
      <c r="IIE47" s="87"/>
      <c r="IIF47" s="87"/>
      <c r="IIG47" s="87"/>
      <c r="IIH47" s="87"/>
      <c r="III47" s="87"/>
      <c r="IIJ47" s="87"/>
      <c r="IIK47" s="87"/>
      <c r="IIL47" s="87"/>
      <c r="IIM47" s="87"/>
      <c r="IIN47" s="87"/>
      <c r="IIO47" s="87"/>
      <c r="IIP47" s="87"/>
      <c r="IIQ47" s="87"/>
      <c r="IIR47" s="87"/>
      <c r="IIS47" s="87"/>
      <c r="IIT47" s="87"/>
      <c r="IIU47" s="87"/>
      <c r="IIV47" s="87"/>
      <c r="IIW47" s="87"/>
      <c r="IIX47" s="87"/>
      <c r="IIY47" s="87"/>
      <c r="IIZ47" s="87"/>
      <c r="IJA47" s="87"/>
      <c r="IJB47" s="87"/>
      <c r="IJC47" s="87"/>
      <c r="IJD47" s="87"/>
      <c r="IJE47" s="87"/>
      <c r="IJF47" s="87"/>
      <c r="IJG47" s="87"/>
      <c r="IJH47" s="87"/>
      <c r="IJI47" s="87"/>
      <c r="IJJ47" s="87"/>
      <c r="IJK47" s="87"/>
      <c r="IJL47" s="87"/>
      <c r="IJM47" s="87"/>
      <c r="IJN47" s="87"/>
      <c r="IJO47" s="87"/>
      <c r="IJP47" s="87"/>
      <c r="IJQ47" s="87"/>
      <c r="IJR47" s="87"/>
      <c r="IJS47" s="87"/>
      <c r="IJT47" s="87"/>
      <c r="IJU47" s="87"/>
      <c r="IJV47" s="87"/>
      <c r="IJW47" s="87"/>
      <c r="IJX47" s="87"/>
      <c r="IJY47" s="87"/>
      <c r="IJZ47" s="87"/>
      <c r="IKA47" s="87"/>
      <c r="IKB47" s="87"/>
      <c r="IKC47" s="87"/>
      <c r="IKD47" s="87"/>
      <c r="IKE47" s="87"/>
      <c r="IKF47" s="87"/>
      <c r="IKG47" s="87"/>
      <c r="IKH47" s="87"/>
      <c r="IKI47" s="87"/>
      <c r="IKJ47" s="87"/>
      <c r="IKK47" s="87"/>
      <c r="IKL47" s="87"/>
      <c r="IKM47" s="87"/>
      <c r="IKN47" s="87"/>
      <c r="IKO47" s="87"/>
      <c r="IKP47" s="87"/>
      <c r="IKQ47" s="87"/>
      <c r="IKR47" s="87"/>
      <c r="IKS47" s="87"/>
      <c r="IKT47" s="87"/>
      <c r="IKU47" s="87"/>
      <c r="IKV47" s="87"/>
      <c r="IKW47" s="87"/>
      <c r="IKX47" s="87"/>
      <c r="IKY47" s="87"/>
      <c r="IKZ47" s="87"/>
      <c r="ILA47" s="87"/>
      <c r="ILB47" s="87"/>
      <c r="ILC47" s="87"/>
      <c r="ILD47" s="87"/>
      <c r="ILE47" s="87"/>
      <c r="ILF47" s="87"/>
      <c r="ILG47" s="87"/>
      <c r="ILH47" s="87"/>
      <c r="ILI47" s="87"/>
      <c r="ILJ47" s="87"/>
      <c r="ILK47" s="87"/>
      <c r="ILL47" s="87"/>
      <c r="ILM47" s="87"/>
      <c r="ILN47" s="87"/>
      <c r="ILO47" s="87"/>
      <c r="ILP47" s="87"/>
      <c r="ILQ47" s="87"/>
      <c r="ILR47" s="87"/>
      <c r="ILS47" s="87"/>
      <c r="ILT47" s="87"/>
      <c r="ILU47" s="87"/>
      <c r="ILV47" s="87"/>
      <c r="ILW47" s="87"/>
      <c r="ILX47" s="87"/>
      <c r="ILY47" s="87"/>
      <c r="ILZ47" s="87"/>
      <c r="IMA47" s="87"/>
      <c r="IMB47" s="87"/>
      <c r="IMC47" s="87"/>
      <c r="IMD47" s="87"/>
      <c r="IME47" s="87"/>
      <c r="IMF47" s="87"/>
      <c r="IMG47" s="87"/>
      <c r="IMH47" s="87"/>
      <c r="IMI47" s="87"/>
      <c r="IMJ47" s="87"/>
      <c r="IMK47" s="87"/>
      <c r="IML47" s="87"/>
      <c r="IMM47" s="87"/>
      <c r="IMN47" s="87"/>
      <c r="IMO47" s="87"/>
      <c r="IMP47" s="87"/>
      <c r="IMQ47" s="87"/>
      <c r="IMR47" s="87"/>
      <c r="IMS47" s="87"/>
      <c r="IMT47" s="87"/>
      <c r="IMU47" s="87"/>
      <c r="IMV47" s="87"/>
      <c r="IMW47" s="87"/>
      <c r="IMX47" s="87"/>
      <c r="IMY47" s="87"/>
      <c r="IMZ47" s="87"/>
      <c r="INA47" s="87"/>
      <c r="INB47" s="87"/>
      <c r="INC47" s="87"/>
      <c r="IND47" s="87"/>
      <c r="INE47" s="87"/>
      <c r="INF47" s="87"/>
      <c r="ING47" s="87"/>
      <c r="INH47" s="87"/>
      <c r="INI47" s="87"/>
      <c r="INJ47" s="87"/>
      <c r="INK47" s="87"/>
      <c r="INL47" s="87"/>
      <c r="INM47" s="87"/>
      <c r="INN47" s="87"/>
      <c r="INO47" s="87"/>
      <c r="INP47" s="87"/>
      <c r="INQ47" s="87"/>
      <c r="INR47" s="87"/>
      <c r="INS47" s="87"/>
      <c r="INT47" s="87"/>
      <c r="INU47" s="87"/>
      <c r="INV47" s="87"/>
      <c r="INW47" s="87"/>
      <c r="INX47" s="87"/>
      <c r="INY47" s="87"/>
      <c r="INZ47" s="87"/>
      <c r="IOA47" s="87"/>
      <c r="IOB47" s="87"/>
      <c r="IOC47" s="87"/>
      <c r="IOD47" s="87"/>
      <c r="IOE47" s="87"/>
      <c r="IOF47" s="87"/>
      <c r="IOG47" s="87"/>
      <c r="IOH47" s="87"/>
      <c r="IOI47" s="87"/>
      <c r="IOJ47" s="87"/>
      <c r="IOK47" s="87"/>
      <c r="IOL47" s="87"/>
      <c r="IOM47" s="87"/>
      <c r="ION47" s="87"/>
      <c r="IOO47" s="87"/>
      <c r="IOP47" s="87"/>
      <c r="IOQ47" s="87"/>
      <c r="IOR47" s="87"/>
      <c r="IOS47" s="87"/>
      <c r="IOT47" s="87"/>
      <c r="IOU47" s="87"/>
      <c r="IOV47" s="87"/>
      <c r="IOW47" s="87"/>
      <c r="IOX47" s="87"/>
      <c r="IOY47" s="87"/>
      <c r="IOZ47" s="87"/>
      <c r="IPA47" s="87"/>
      <c r="IPB47" s="87"/>
      <c r="IPC47" s="87"/>
      <c r="IPD47" s="87"/>
      <c r="IPE47" s="87"/>
      <c r="IPF47" s="87"/>
      <c r="IPG47" s="87"/>
      <c r="IPH47" s="87"/>
      <c r="IPI47" s="87"/>
      <c r="IPJ47" s="87"/>
      <c r="IPK47" s="87"/>
      <c r="IPL47" s="87"/>
      <c r="IPM47" s="87"/>
      <c r="IPN47" s="87"/>
      <c r="IPO47" s="87"/>
      <c r="IPP47" s="87"/>
      <c r="IPQ47" s="87"/>
      <c r="IPR47" s="87"/>
      <c r="IPS47" s="87"/>
      <c r="IPT47" s="87"/>
      <c r="IPU47" s="87"/>
      <c r="IPV47" s="87"/>
      <c r="IPW47" s="87"/>
      <c r="IPX47" s="87"/>
      <c r="IPY47" s="87"/>
      <c r="IPZ47" s="87"/>
      <c r="IQA47" s="87"/>
      <c r="IQB47" s="87"/>
      <c r="IQC47" s="87"/>
      <c r="IQD47" s="87"/>
      <c r="IQE47" s="87"/>
      <c r="IQF47" s="87"/>
      <c r="IQG47" s="87"/>
      <c r="IQH47" s="87"/>
      <c r="IQI47" s="87"/>
      <c r="IQJ47" s="87"/>
      <c r="IQK47" s="87"/>
      <c r="IQL47" s="87"/>
      <c r="IQM47" s="87"/>
      <c r="IQN47" s="87"/>
      <c r="IQO47" s="87"/>
      <c r="IQP47" s="87"/>
      <c r="IQQ47" s="87"/>
      <c r="IQR47" s="87"/>
      <c r="IQS47" s="87"/>
      <c r="IQT47" s="87"/>
      <c r="IQU47" s="87"/>
      <c r="IQV47" s="87"/>
      <c r="IQW47" s="87"/>
      <c r="IQX47" s="87"/>
      <c r="IQY47" s="87"/>
      <c r="IQZ47" s="87"/>
      <c r="IRA47" s="87"/>
      <c r="IRB47" s="87"/>
      <c r="IRC47" s="87"/>
      <c r="IRD47" s="87"/>
      <c r="IRE47" s="87"/>
      <c r="IRF47" s="87"/>
      <c r="IRG47" s="87"/>
      <c r="IRH47" s="87"/>
      <c r="IRI47" s="87"/>
      <c r="IRJ47" s="87"/>
      <c r="IRK47" s="87"/>
      <c r="IRL47" s="87"/>
      <c r="IRM47" s="87"/>
      <c r="IRN47" s="87"/>
      <c r="IRO47" s="87"/>
      <c r="IRP47" s="87"/>
      <c r="IRQ47" s="87"/>
      <c r="IRR47" s="87"/>
      <c r="IRS47" s="87"/>
      <c r="IRT47" s="87"/>
      <c r="IRU47" s="87"/>
      <c r="IRV47" s="87"/>
      <c r="IRW47" s="87"/>
      <c r="IRX47" s="87"/>
      <c r="IRY47" s="87"/>
      <c r="IRZ47" s="87"/>
      <c r="ISA47" s="87"/>
      <c r="ISB47" s="87"/>
      <c r="ISC47" s="87"/>
      <c r="ISD47" s="87"/>
      <c r="ISE47" s="87"/>
      <c r="ISF47" s="87"/>
      <c r="ISG47" s="87"/>
      <c r="ISH47" s="87"/>
      <c r="ISI47" s="87"/>
      <c r="ISJ47" s="87"/>
      <c r="ISK47" s="87"/>
      <c r="ISL47" s="87"/>
      <c r="ISM47" s="87"/>
      <c r="ISN47" s="87"/>
      <c r="ISO47" s="87"/>
      <c r="ISP47" s="87"/>
      <c r="ISQ47" s="87"/>
      <c r="ISR47" s="87"/>
      <c r="ISS47" s="87"/>
      <c r="IST47" s="87"/>
      <c r="ISU47" s="87"/>
      <c r="ISV47" s="87"/>
      <c r="ISW47" s="87"/>
      <c r="ISX47" s="87"/>
      <c r="ISY47" s="87"/>
      <c r="ISZ47" s="87"/>
      <c r="ITA47" s="87"/>
      <c r="ITB47" s="87"/>
      <c r="ITC47" s="87"/>
      <c r="ITD47" s="87"/>
      <c r="ITE47" s="87"/>
      <c r="ITF47" s="87"/>
      <c r="ITG47" s="87"/>
      <c r="ITH47" s="87"/>
      <c r="ITI47" s="87"/>
      <c r="ITJ47" s="87"/>
      <c r="ITK47" s="87"/>
      <c r="ITL47" s="87"/>
      <c r="ITM47" s="87"/>
      <c r="ITN47" s="87"/>
      <c r="ITO47" s="87"/>
      <c r="ITP47" s="87"/>
      <c r="ITQ47" s="87"/>
      <c r="ITR47" s="87"/>
      <c r="ITS47" s="87"/>
      <c r="ITT47" s="87"/>
      <c r="ITU47" s="87"/>
      <c r="ITV47" s="87"/>
      <c r="ITW47" s="87"/>
      <c r="ITX47" s="87"/>
      <c r="ITY47" s="87"/>
      <c r="ITZ47" s="87"/>
      <c r="IUA47" s="87"/>
      <c r="IUB47" s="87"/>
      <c r="IUC47" s="87"/>
      <c r="IUD47" s="87"/>
      <c r="IUE47" s="87"/>
      <c r="IUF47" s="87"/>
      <c r="IUG47" s="87"/>
      <c r="IUH47" s="87"/>
      <c r="IUI47" s="87"/>
      <c r="IUJ47" s="87"/>
      <c r="IUK47" s="87"/>
      <c r="IUL47" s="87"/>
      <c r="IUM47" s="87"/>
      <c r="IUN47" s="87"/>
      <c r="IUO47" s="87"/>
      <c r="IUP47" s="87"/>
      <c r="IUQ47" s="87"/>
      <c r="IUR47" s="87"/>
      <c r="IUS47" s="87"/>
      <c r="IUT47" s="87"/>
      <c r="IUU47" s="87"/>
      <c r="IUV47" s="87"/>
      <c r="IUW47" s="87"/>
      <c r="IUX47" s="87"/>
      <c r="IUY47" s="87"/>
      <c r="IUZ47" s="87"/>
      <c r="IVA47" s="87"/>
      <c r="IVB47" s="87"/>
      <c r="IVC47" s="87"/>
      <c r="IVD47" s="87"/>
      <c r="IVE47" s="87"/>
      <c r="IVF47" s="87"/>
      <c r="IVG47" s="87"/>
      <c r="IVH47" s="87"/>
      <c r="IVI47" s="87"/>
      <c r="IVJ47" s="87"/>
      <c r="IVK47" s="87"/>
      <c r="IVL47" s="87"/>
      <c r="IVM47" s="87"/>
      <c r="IVN47" s="87"/>
      <c r="IVO47" s="87"/>
      <c r="IVP47" s="87"/>
      <c r="IVQ47" s="87"/>
      <c r="IVR47" s="87"/>
      <c r="IVS47" s="87"/>
      <c r="IVT47" s="87"/>
      <c r="IVU47" s="87"/>
      <c r="IVV47" s="87"/>
      <c r="IVW47" s="87"/>
      <c r="IVX47" s="87"/>
      <c r="IVY47" s="87"/>
      <c r="IVZ47" s="87"/>
      <c r="IWA47" s="87"/>
      <c r="IWB47" s="87"/>
      <c r="IWC47" s="87"/>
      <c r="IWD47" s="87"/>
      <c r="IWE47" s="87"/>
      <c r="IWF47" s="87"/>
      <c r="IWG47" s="87"/>
      <c r="IWH47" s="87"/>
      <c r="IWI47" s="87"/>
      <c r="IWJ47" s="87"/>
      <c r="IWK47" s="87"/>
      <c r="IWL47" s="87"/>
      <c r="IWM47" s="87"/>
      <c r="IWN47" s="87"/>
      <c r="IWO47" s="87"/>
      <c r="IWP47" s="87"/>
      <c r="IWQ47" s="87"/>
      <c r="IWR47" s="87"/>
      <c r="IWS47" s="87"/>
      <c r="IWT47" s="87"/>
      <c r="IWU47" s="87"/>
      <c r="IWV47" s="87"/>
      <c r="IWW47" s="87"/>
      <c r="IWX47" s="87"/>
      <c r="IWY47" s="87"/>
      <c r="IWZ47" s="87"/>
      <c r="IXA47" s="87"/>
      <c r="IXB47" s="87"/>
      <c r="IXC47" s="87"/>
      <c r="IXD47" s="87"/>
      <c r="IXE47" s="87"/>
      <c r="IXF47" s="87"/>
      <c r="IXG47" s="87"/>
      <c r="IXH47" s="87"/>
      <c r="IXI47" s="87"/>
      <c r="IXJ47" s="87"/>
      <c r="IXK47" s="87"/>
      <c r="IXL47" s="87"/>
      <c r="IXM47" s="87"/>
      <c r="IXN47" s="87"/>
      <c r="IXO47" s="87"/>
      <c r="IXP47" s="87"/>
      <c r="IXQ47" s="87"/>
      <c r="IXR47" s="87"/>
      <c r="IXS47" s="87"/>
      <c r="IXT47" s="87"/>
      <c r="IXU47" s="87"/>
      <c r="IXV47" s="87"/>
      <c r="IXW47" s="87"/>
      <c r="IXX47" s="87"/>
      <c r="IXY47" s="87"/>
      <c r="IXZ47" s="87"/>
      <c r="IYA47" s="87"/>
      <c r="IYB47" s="87"/>
      <c r="IYC47" s="87"/>
      <c r="IYD47" s="87"/>
      <c r="IYE47" s="87"/>
      <c r="IYF47" s="87"/>
      <c r="IYG47" s="87"/>
      <c r="IYH47" s="87"/>
      <c r="IYI47" s="87"/>
      <c r="IYJ47" s="87"/>
      <c r="IYK47" s="87"/>
      <c r="IYL47" s="87"/>
      <c r="IYM47" s="87"/>
      <c r="IYN47" s="87"/>
      <c r="IYO47" s="87"/>
      <c r="IYP47" s="87"/>
      <c r="IYQ47" s="87"/>
      <c r="IYR47" s="87"/>
      <c r="IYS47" s="87"/>
      <c r="IYT47" s="87"/>
      <c r="IYU47" s="87"/>
      <c r="IYV47" s="87"/>
      <c r="IYW47" s="87"/>
      <c r="IYX47" s="87"/>
      <c r="IYY47" s="87"/>
      <c r="IYZ47" s="87"/>
      <c r="IZA47" s="87"/>
      <c r="IZB47" s="87"/>
      <c r="IZC47" s="87"/>
      <c r="IZD47" s="87"/>
      <c r="IZE47" s="87"/>
      <c r="IZF47" s="87"/>
      <c r="IZG47" s="87"/>
      <c r="IZH47" s="87"/>
      <c r="IZI47" s="87"/>
      <c r="IZJ47" s="87"/>
      <c r="IZK47" s="87"/>
      <c r="IZL47" s="87"/>
      <c r="IZM47" s="87"/>
      <c r="IZN47" s="87"/>
      <c r="IZO47" s="87"/>
      <c r="IZP47" s="87"/>
      <c r="IZQ47" s="87"/>
      <c r="IZR47" s="87"/>
      <c r="IZS47" s="87"/>
      <c r="IZT47" s="87"/>
      <c r="IZU47" s="87"/>
      <c r="IZV47" s="87"/>
      <c r="IZW47" s="87"/>
      <c r="IZX47" s="87"/>
      <c r="IZY47" s="87"/>
      <c r="IZZ47" s="87"/>
      <c r="JAA47" s="87"/>
      <c r="JAB47" s="87"/>
      <c r="JAC47" s="87"/>
      <c r="JAD47" s="87"/>
      <c r="JAE47" s="87"/>
      <c r="JAF47" s="87"/>
      <c r="JAG47" s="87"/>
      <c r="JAH47" s="87"/>
      <c r="JAI47" s="87"/>
      <c r="JAJ47" s="87"/>
      <c r="JAK47" s="87"/>
      <c r="JAL47" s="87"/>
      <c r="JAM47" s="87"/>
      <c r="JAN47" s="87"/>
      <c r="JAO47" s="87"/>
      <c r="JAP47" s="87"/>
      <c r="JAQ47" s="87"/>
      <c r="JAR47" s="87"/>
      <c r="JAS47" s="87"/>
      <c r="JAT47" s="87"/>
      <c r="JAU47" s="87"/>
      <c r="JAV47" s="87"/>
      <c r="JAW47" s="87"/>
      <c r="JAX47" s="87"/>
      <c r="JAY47" s="87"/>
      <c r="JAZ47" s="87"/>
      <c r="JBA47" s="87"/>
      <c r="JBB47" s="87"/>
      <c r="JBC47" s="87"/>
      <c r="JBD47" s="87"/>
      <c r="JBE47" s="87"/>
      <c r="JBF47" s="87"/>
      <c r="JBG47" s="87"/>
      <c r="JBH47" s="87"/>
      <c r="JBI47" s="87"/>
      <c r="JBJ47" s="87"/>
      <c r="JBK47" s="87"/>
      <c r="JBL47" s="87"/>
      <c r="JBM47" s="87"/>
      <c r="JBN47" s="87"/>
      <c r="JBO47" s="87"/>
      <c r="JBP47" s="87"/>
      <c r="JBQ47" s="87"/>
      <c r="JBR47" s="87"/>
      <c r="JBS47" s="87"/>
      <c r="JBT47" s="87"/>
      <c r="JBU47" s="87"/>
      <c r="JBV47" s="87"/>
      <c r="JBW47" s="87"/>
      <c r="JBX47" s="87"/>
      <c r="JBY47" s="87"/>
      <c r="JBZ47" s="87"/>
      <c r="JCA47" s="87"/>
      <c r="JCB47" s="87"/>
      <c r="JCC47" s="87"/>
      <c r="JCD47" s="87"/>
      <c r="JCE47" s="87"/>
      <c r="JCF47" s="87"/>
      <c r="JCG47" s="87"/>
      <c r="JCH47" s="87"/>
      <c r="JCI47" s="87"/>
      <c r="JCJ47" s="87"/>
      <c r="JCK47" s="87"/>
      <c r="JCL47" s="87"/>
      <c r="JCM47" s="87"/>
      <c r="JCN47" s="87"/>
      <c r="JCO47" s="87"/>
      <c r="JCP47" s="87"/>
      <c r="JCQ47" s="87"/>
      <c r="JCR47" s="87"/>
      <c r="JCS47" s="87"/>
      <c r="JCT47" s="87"/>
      <c r="JCU47" s="87"/>
      <c r="JCV47" s="87"/>
      <c r="JCW47" s="87"/>
      <c r="JCX47" s="87"/>
      <c r="JCY47" s="87"/>
      <c r="JCZ47" s="87"/>
      <c r="JDA47" s="87"/>
      <c r="JDB47" s="87"/>
      <c r="JDC47" s="87"/>
      <c r="JDD47" s="87"/>
      <c r="JDE47" s="87"/>
      <c r="JDF47" s="87"/>
      <c r="JDG47" s="87"/>
      <c r="JDH47" s="87"/>
      <c r="JDI47" s="87"/>
      <c r="JDJ47" s="87"/>
      <c r="JDK47" s="87"/>
      <c r="JDL47" s="87"/>
      <c r="JDM47" s="87"/>
      <c r="JDN47" s="87"/>
      <c r="JDO47" s="87"/>
      <c r="JDP47" s="87"/>
      <c r="JDQ47" s="87"/>
      <c r="JDR47" s="87"/>
      <c r="JDS47" s="87"/>
      <c r="JDT47" s="87"/>
      <c r="JDU47" s="87"/>
      <c r="JDV47" s="87"/>
      <c r="JDW47" s="87"/>
      <c r="JDX47" s="87"/>
      <c r="JDY47" s="87"/>
      <c r="JDZ47" s="87"/>
      <c r="JEA47" s="87"/>
      <c r="JEB47" s="87"/>
      <c r="JEC47" s="87"/>
      <c r="JED47" s="87"/>
      <c r="JEE47" s="87"/>
      <c r="JEF47" s="87"/>
      <c r="JEG47" s="87"/>
      <c r="JEH47" s="87"/>
      <c r="JEI47" s="87"/>
      <c r="JEJ47" s="87"/>
      <c r="JEK47" s="87"/>
      <c r="JEL47" s="87"/>
      <c r="JEM47" s="87"/>
      <c r="JEN47" s="87"/>
      <c r="JEO47" s="87"/>
      <c r="JEP47" s="87"/>
      <c r="JEQ47" s="87"/>
      <c r="JER47" s="87"/>
      <c r="JES47" s="87"/>
      <c r="JET47" s="87"/>
      <c r="JEU47" s="87"/>
      <c r="JEV47" s="87"/>
      <c r="JEW47" s="87"/>
      <c r="JEX47" s="87"/>
      <c r="JEY47" s="87"/>
      <c r="JEZ47" s="87"/>
      <c r="JFA47" s="87"/>
      <c r="JFB47" s="87"/>
      <c r="JFC47" s="87"/>
      <c r="JFD47" s="87"/>
      <c r="JFE47" s="87"/>
      <c r="JFF47" s="87"/>
      <c r="JFG47" s="87"/>
      <c r="JFH47" s="87"/>
      <c r="JFI47" s="87"/>
      <c r="JFJ47" s="87"/>
      <c r="JFK47" s="87"/>
      <c r="JFL47" s="87"/>
      <c r="JFM47" s="87"/>
      <c r="JFN47" s="87"/>
      <c r="JFO47" s="87"/>
      <c r="JFP47" s="87"/>
      <c r="JFQ47" s="87"/>
      <c r="JFR47" s="87"/>
      <c r="JFS47" s="87"/>
      <c r="JFT47" s="87"/>
      <c r="JFU47" s="87"/>
      <c r="JFV47" s="87"/>
      <c r="JFW47" s="87"/>
      <c r="JFX47" s="87"/>
      <c r="JFY47" s="87"/>
      <c r="JFZ47" s="87"/>
      <c r="JGA47" s="87"/>
      <c r="JGB47" s="87"/>
      <c r="JGC47" s="87"/>
      <c r="JGD47" s="87"/>
      <c r="JGE47" s="87"/>
      <c r="JGF47" s="87"/>
      <c r="JGG47" s="87"/>
      <c r="JGH47" s="87"/>
      <c r="JGI47" s="87"/>
      <c r="JGJ47" s="87"/>
      <c r="JGK47" s="87"/>
      <c r="JGL47" s="87"/>
      <c r="JGM47" s="87"/>
      <c r="JGN47" s="87"/>
      <c r="JGO47" s="87"/>
      <c r="JGP47" s="87"/>
      <c r="JGQ47" s="87"/>
      <c r="JGR47" s="87"/>
      <c r="JGS47" s="87"/>
      <c r="JGT47" s="87"/>
      <c r="JGU47" s="87"/>
      <c r="JGV47" s="87"/>
      <c r="JGW47" s="87"/>
      <c r="JGX47" s="87"/>
      <c r="JGY47" s="87"/>
      <c r="JGZ47" s="87"/>
      <c r="JHA47" s="87"/>
      <c r="JHB47" s="87"/>
      <c r="JHC47" s="87"/>
      <c r="JHD47" s="87"/>
      <c r="JHE47" s="87"/>
      <c r="JHF47" s="87"/>
      <c r="JHG47" s="87"/>
      <c r="JHH47" s="87"/>
      <c r="JHI47" s="87"/>
      <c r="JHJ47" s="87"/>
      <c r="JHK47" s="87"/>
      <c r="JHL47" s="87"/>
      <c r="JHM47" s="87"/>
      <c r="JHN47" s="87"/>
      <c r="JHO47" s="87"/>
      <c r="JHP47" s="87"/>
      <c r="JHQ47" s="87"/>
      <c r="JHR47" s="87"/>
      <c r="JHS47" s="87"/>
      <c r="JHT47" s="87"/>
      <c r="JHU47" s="87"/>
      <c r="JHV47" s="87"/>
      <c r="JHW47" s="87"/>
      <c r="JHX47" s="87"/>
      <c r="JHY47" s="87"/>
      <c r="JHZ47" s="87"/>
      <c r="JIA47" s="87"/>
      <c r="JIB47" s="87"/>
      <c r="JIC47" s="87"/>
      <c r="JID47" s="87"/>
      <c r="JIE47" s="87"/>
      <c r="JIF47" s="87"/>
      <c r="JIG47" s="87"/>
      <c r="JIH47" s="87"/>
      <c r="JII47" s="87"/>
      <c r="JIJ47" s="87"/>
      <c r="JIK47" s="87"/>
      <c r="JIL47" s="87"/>
      <c r="JIM47" s="87"/>
      <c r="JIN47" s="87"/>
      <c r="JIO47" s="87"/>
      <c r="JIP47" s="87"/>
      <c r="JIQ47" s="87"/>
      <c r="JIR47" s="87"/>
      <c r="JIS47" s="87"/>
      <c r="JIT47" s="87"/>
      <c r="JIU47" s="87"/>
      <c r="JIV47" s="87"/>
      <c r="JIW47" s="87"/>
      <c r="JIX47" s="87"/>
      <c r="JIY47" s="87"/>
      <c r="JIZ47" s="87"/>
      <c r="JJA47" s="87"/>
      <c r="JJB47" s="87"/>
      <c r="JJC47" s="87"/>
      <c r="JJD47" s="87"/>
      <c r="JJE47" s="87"/>
      <c r="JJF47" s="87"/>
      <c r="JJG47" s="87"/>
      <c r="JJH47" s="87"/>
      <c r="JJI47" s="87"/>
      <c r="JJJ47" s="87"/>
      <c r="JJK47" s="87"/>
      <c r="JJL47" s="87"/>
      <c r="JJM47" s="87"/>
      <c r="JJN47" s="87"/>
      <c r="JJO47" s="87"/>
      <c r="JJP47" s="87"/>
      <c r="JJQ47" s="87"/>
      <c r="JJR47" s="87"/>
      <c r="JJS47" s="87"/>
      <c r="JJT47" s="87"/>
      <c r="JJU47" s="87"/>
      <c r="JJV47" s="87"/>
      <c r="JJW47" s="87"/>
      <c r="JJX47" s="87"/>
      <c r="JJY47" s="87"/>
      <c r="JJZ47" s="87"/>
      <c r="JKA47" s="87"/>
      <c r="JKB47" s="87"/>
      <c r="JKC47" s="87"/>
      <c r="JKD47" s="87"/>
      <c r="JKE47" s="87"/>
      <c r="JKF47" s="87"/>
      <c r="JKG47" s="87"/>
      <c r="JKH47" s="87"/>
      <c r="JKI47" s="87"/>
      <c r="JKJ47" s="87"/>
      <c r="JKK47" s="87"/>
      <c r="JKL47" s="87"/>
      <c r="JKM47" s="87"/>
      <c r="JKN47" s="87"/>
      <c r="JKO47" s="87"/>
      <c r="JKP47" s="87"/>
      <c r="JKQ47" s="87"/>
      <c r="JKR47" s="87"/>
      <c r="JKS47" s="87"/>
      <c r="JKT47" s="87"/>
      <c r="JKU47" s="87"/>
      <c r="JKV47" s="87"/>
      <c r="JKW47" s="87"/>
      <c r="JKX47" s="87"/>
      <c r="JKY47" s="87"/>
      <c r="JKZ47" s="87"/>
      <c r="JLA47" s="87"/>
      <c r="JLB47" s="87"/>
      <c r="JLC47" s="87"/>
      <c r="JLD47" s="87"/>
      <c r="JLE47" s="87"/>
      <c r="JLF47" s="87"/>
      <c r="JLG47" s="87"/>
      <c r="JLH47" s="87"/>
      <c r="JLI47" s="87"/>
      <c r="JLJ47" s="87"/>
      <c r="JLK47" s="87"/>
      <c r="JLL47" s="87"/>
      <c r="JLM47" s="87"/>
      <c r="JLN47" s="87"/>
      <c r="JLO47" s="87"/>
      <c r="JLP47" s="87"/>
      <c r="JLQ47" s="87"/>
      <c r="JLR47" s="87"/>
      <c r="JLS47" s="87"/>
      <c r="JLT47" s="87"/>
      <c r="JLU47" s="87"/>
      <c r="JLV47" s="87"/>
      <c r="JLW47" s="87"/>
      <c r="JLX47" s="87"/>
      <c r="JLY47" s="87"/>
      <c r="JLZ47" s="87"/>
      <c r="JMA47" s="87"/>
      <c r="JMB47" s="87"/>
      <c r="JMC47" s="87"/>
      <c r="JMD47" s="87"/>
      <c r="JME47" s="87"/>
      <c r="JMF47" s="87"/>
      <c r="JMG47" s="87"/>
      <c r="JMH47" s="87"/>
      <c r="JMI47" s="87"/>
      <c r="JMJ47" s="87"/>
      <c r="JMK47" s="87"/>
      <c r="JML47" s="87"/>
      <c r="JMM47" s="87"/>
      <c r="JMN47" s="87"/>
      <c r="JMO47" s="87"/>
      <c r="JMP47" s="87"/>
      <c r="JMQ47" s="87"/>
      <c r="JMR47" s="87"/>
      <c r="JMS47" s="87"/>
      <c r="JMT47" s="87"/>
      <c r="JMU47" s="87"/>
      <c r="JMV47" s="87"/>
      <c r="JMW47" s="87"/>
      <c r="JMX47" s="87"/>
      <c r="JMY47" s="87"/>
      <c r="JMZ47" s="87"/>
      <c r="JNA47" s="87"/>
      <c r="JNB47" s="87"/>
      <c r="JNC47" s="87"/>
      <c r="JND47" s="87"/>
      <c r="JNE47" s="87"/>
      <c r="JNF47" s="87"/>
      <c r="JNG47" s="87"/>
      <c r="JNH47" s="87"/>
      <c r="JNI47" s="87"/>
      <c r="JNJ47" s="87"/>
      <c r="JNK47" s="87"/>
      <c r="JNL47" s="87"/>
      <c r="JNM47" s="87"/>
      <c r="JNN47" s="87"/>
      <c r="JNO47" s="87"/>
      <c r="JNP47" s="87"/>
      <c r="JNQ47" s="87"/>
      <c r="JNR47" s="87"/>
      <c r="JNS47" s="87"/>
      <c r="JNT47" s="87"/>
      <c r="JNU47" s="87"/>
      <c r="JNV47" s="87"/>
      <c r="JNW47" s="87"/>
      <c r="JNX47" s="87"/>
      <c r="JNY47" s="87"/>
      <c r="JNZ47" s="87"/>
      <c r="JOA47" s="87"/>
      <c r="JOB47" s="87"/>
      <c r="JOC47" s="87"/>
      <c r="JOD47" s="87"/>
      <c r="JOE47" s="87"/>
      <c r="JOF47" s="87"/>
      <c r="JOG47" s="87"/>
      <c r="JOH47" s="87"/>
      <c r="JOI47" s="87"/>
      <c r="JOJ47" s="87"/>
      <c r="JOK47" s="87"/>
      <c r="JOL47" s="87"/>
      <c r="JOM47" s="87"/>
      <c r="JON47" s="87"/>
      <c r="JOO47" s="87"/>
      <c r="JOP47" s="87"/>
      <c r="JOQ47" s="87"/>
      <c r="JOR47" s="87"/>
      <c r="JOS47" s="87"/>
      <c r="JOT47" s="87"/>
      <c r="JOU47" s="87"/>
      <c r="JOV47" s="87"/>
      <c r="JOW47" s="87"/>
      <c r="JOX47" s="87"/>
      <c r="JOY47" s="87"/>
      <c r="JOZ47" s="87"/>
      <c r="JPA47" s="87"/>
      <c r="JPB47" s="87"/>
      <c r="JPC47" s="87"/>
      <c r="JPD47" s="87"/>
      <c r="JPE47" s="87"/>
      <c r="JPF47" s="87"/>
      <c r="JPG47" s="87"/>
      <c r="JPH47" s="87"/>
      <c r="JPI47" s="87"/>
      <c r="JPJ47" s="87"/>
      <c r="JPK47" s="87"/>
      <c r="JPL47" s="87"/>
      <c r="JPM47" s="87"/>
      <c r="JPN47" s="87"/>
      <c r="JPO47" s="87"/>
      <c r="JPP47" s="87"/>
      <c r="JPQ47" s="87"/>
      <c r="JPR47" s="87"/>
      <c r="JPS47" s="87"/>
      <c r="JPT47" s="87"/>
      <c r="JPU47" s="87"/>
      <c r="JPV47" s="87"/>
      <c r="JPW47" s="87"/>
      <c r="JPX47" s="87"/>
      <c r="JPY47" s="87"/>
      <c r="JPZ47" s="87"/>
      <c r="JQA47" s="87"/>
      <c r="JQB47" s="87"/>
      <c r="JQC47" s="87"/>
      <c r="JQD47" s="87"/>
      <c r="JQE47" s="87"/>
      <c r="JQF47" s="87"/>
      <c r="JQG47" s="87"/>
      <c r="JQH47" s="87"/>
      <c r="JQI47" s="87"/>
      <c r="JQJ47" s="87"/>
      <c r="JQK47" s="87"/>
      <c r="JQL47" s="87"/>
      <c r="JQM47" s="87"/>
      <c r="JQN47" s="87"/>
      <c r="JQO47" s="87"/>
      <c r="JQP47" s="87"/>
      <c r="JQQ47" s="87"/>
      <c r="JQR47" s="87"/>
      <c r="JQS47" s="87"/>
      <c r="JQT47" s="87"/>
      <c r="JQU47" s="87"/>
      <c r="JQV47" s="87"/>
      <c r="JQW47" s="87"/>
      <c r="JQX47" s="87"/>
      <c r="JQY47" s="87"/>
      <c r="JQZ47" s="87"/>
      <c r="JRA47" s="87"/>
      <c r="JRB47" s="87"/>
      <c r="JRC47" s="87"/>
      <c r="JRD47" s="87"/>
      <c r="JRE47" s="87"/>
      <c r="JRF47" s="87"/>
      <c r="JRG47" s="87"/>
      <c r="JRH47" s="87"/>
      <c r="JRI47" s="87"/>
      <c r="JRJ47" s="87"/>
      <c r="JRK47" s="87"/>
      <c r="JRL47" s="87"/>
      <c r="JRM47" s="87"/>
      <c r="JRN47" s="87"/>
      <c r="JRO47" s="87"/>
      <c r="JRP47" s="87"/>
      <c r="JRQ47" s="87"/>
      <c r="JRR47" s="87"/>
      <c r="JRS47" s="87"/>
      <c r="JRT47" s="87"/>
      <c r="JRU47" s="87"/>
      <c r="JRV47" s="87"/>
      <c r="JRW47" s="87"/>
      <c r="JRX47" s="87"/>
      <c r="JRY47" s="87"/>
      <c r="JRZ47" s="87"/>
      <c r="JSA47" s="87"/>
      <c r="JSB47" s="87"/>
      <c r="JSC47" s="87"/>
      <c r="JSD47" s="87"/>
      <c r="JSE47" s="87"/>
      <c r="JSF47" s="87"/>
      <c r="JSG47" s="87"/>
      <c r="JSH47" s="87"/>
      <c r="JSI47" s="87"/>
      <c r="JSJ47" s="87"/>
      <c r="JSK47" s="87"/>
      <c r="JSL47" s="87"/>
      <c r="JSM47" s="87"/>
      <c r="JSN47" s="87"/>
      <c r="JSO47" s="87"/>
      <c r="JSP47" s="87"/>
      <c r="JSQ47" s="87"/>
      <c r="JSR47" s="87"/>
      <c r="JSS47" s="87"/>
      <c r="JST47" s="87"/>
      <c r="JSU47" s="87"/>
      <c r="JSV47" s="87"/>
      <c r="JSW47" s="87"/>
      <c r="JSX47" s="87"/>
      <c r="JSY47" s="87"/>
      <c r="JSZ47" s="87"/>
      <c r="JTA47" s="87"/>
      <c r="JTB47" s="87"/>
      <c r="JTC47" s="87"/>
      <c r="JTD47" s="87"/>
      <c r="JTE47" s="87"/>
      <c r="JTF47" s="87"/>
      <c r="JTG47" s="87"/>
      <c r="JTH47" s="87"/>
      <c r="JTI47" s="87"/>
      <c r="JTJ47" s="87"/>
      <c r="JTK47" s="87"/>
      <c r="JTL47" s="87"/>
      <c r="JTM47" s="87"/>
      <c r="JTN47" s="87"/>
      <c r="JTO47" s="87"/>
      <c r="JTP47" s="87"/>
      <c r="JTQ47" s="87"/>
      <c r="JTR47" s="87"/>
      <c r="JTS47" s="87"/>
      <c r="JTT47" s="87"/>
      <c r="JTU47" s="87"/>
      <c r="JTV47" s="87"/>
      <c r="JTW47" s="87"/>
      <c r="JTX47" s="87"/>
      <c r="JTY47" s="87"/>
      <c r="JTZ47" s="87"/>
      <c r="JUA47" s="87"/>
      <c r="JUB47" s="87"/>
      <c r="JUC47" s="87"/>
      <c r="JUD47" s="87"/>
      <c r="JUE47" s="87"/>
      <c r="JUF47" s="87"/>
      <c r="JUG47" s="87"/>
      <c r="JUH47" s="87"/>
      <c r="JUI47" s="87"/>
      <c r="JUJ47" s="87"/>
      <c r="JUK47" s="87"/>
      <c r="JUL47" s="87"/>
      <c r="JUM47" s="87"/>
      <c r="JUN47" s="87"/>
      <c r="JUO47" s="87"/>
      <c r="JUP47" s="87"/>
      <c r="JUQ47" s="87"/>
      <c r="JUR47" s="87"/>
      <c r="JUS47" s="87"/>
      <c r="JUT47" s="87"/>
      <c r="JUU47" s="87"/>
      <c r="JUV47" s="87"/>
      <c r="JUW47" s="87"/>
      <c r="JUX47" s="87"/>
      <c r="JUY47" s="87"/>
      <c r="JUZ47" s="87"/>
      <c r="JVA47" s="87"/>
      <c r="JVB47" s="87"/>
      <c r="JVC47" s="87"/>
      <c r="JVD47" s="87"/>
      <c r="JVE47" s="87"/>
      <c r="JVF47" s="87"/>
      <c r="JVG47" s="87"/>
      <c r="JVH47" s="87"/>
      <c r="JVI47" s="87"/>
      <c r="JVJ47" s="87"/>
      <c r="JVK47" s="87"/>
      <c r="JVL47" s="87"/>
      <c r="JVM47" s="87"/>
      <c r="JVN47" s="87"/>
      <c r="JVO47" s="87"/>
      <c r="JVP47" s="87"/>
      <c r="JVQ47" s="87"/>
      <c r="JVR47" s="87"/>
      <c r="JVS47" s="87"/>
      <c r="JVT47" s="87"/>
      <c r="JVU47" s="87"/>
      <c r="JVV47" s="87"/>
      <c r="JVW47" s="87"/>
      <c r="JVX47" s="87"/>
      <c r="JVY47" s="87"/>
      <c r="JVZ47" s="87"/>
      <c r="JWA47" s="87"/>
      <c r="JWB47" s="87"/>
      <c r="JWC47" s="87"/>
      <c r="JWD47" s="87"/>
      <c r="JWE47" s="87"/>
      <c r="JWF47" s="87"/>
      <c r="JWG47" s="87"/>
      <c r="JWH47" s="87"/>
      <c r="JWI47" s="87"/>
      <c r="JWJ47" s="87"/>
      <c r="JWK47" s="87"/>
      <c r="JWL47" s="87"/>
      <c r="JWM47" s="87"/>
      <c r="JWN47" s="87"/>
      <c r="JWO47" s="87"/>
      <c r="JWP47" s="87"/>
      <c r="JWQ47" s="87"/>
      <c r="JWR47" s="87"/>
      <c r="JWS47" s="87"/>
      <c r="JWT47" s="87"/>
      <c r="JWU47" s="87"/>
      <c r="JWV47" s="87"/>
      <c r="JWW47" s="87"/>
      <c r="JWX47" s="87"/>
      <c r="JWY47" s="87"/>
      <c r="JWZ47" s="87"/>
      <c r="JXA47" s="87"/>
      <c r="JXB47" s="87"/>
      <c r="JXC47" s="87"/>
      <c r="JXD47" s="87"/>
      <c r="JXE47" s="87"/>
      <c r="JXF47" s="87"/>
      <c r="JXG47" s="87"/>
      <c r="JXH47" s="87"/>
      <c r="JXI47" s="87"/>
      <c r="JXJ47" s="87"/>
      <c r="JXK47" s="87"/>
      <c r="JXL47" s="87"/>
      <c r="JXM47" s="87"/>
      <c r="JXN47" s="87"/>
      <c r="JXO47" s="87"/>
      <c r="JXP47" s="87"/>
      <c r="JXQ47" s="87"/>
      <c r="JXR47" s="87"/>
      <c r="JXS47" s="87"/>
      <c r="JXT47" s="87"/>
      <c r="JXU47" s="87"/>
      <c r="JXV47" s="87"/>
      <c r="JXW47" s="87"/>
      <c r="JXX47" s="87"/>
      <c r="JXY47" s="87"/>
      <c r="JXZ47" s="87"/>
      <c r="JYA47" s="87"/>
      <c r="JYB47" s="87"/>
      <c r="JYC47" s="87"/>
      <c r="JYD47" s="87"/>
      <c r="JYE47" s="87"/>
      <c r="JYF47" s="87"/>
      <c r="JYG47" s="87"/>
      <c r="JYH47" s="87"/>
      <c r="JYI47" s="87"/>
      <c r="JYJ47" s="87"/>
      <c r="JYK47" s="87"/>
      <c r="JYL47" s="87"/>
      <c r="JYM47" s="87"/>
      <c r="JYN47" s="87"/>
      <c r="JYO47" s="87"/>
      <c r="JYP47" s="87"/>
      <c r="JYQ47" s="87"/>
      <c r="JYR47" s="87"/>
      <c r="JYS47" s="87"/>
      <c r="JYT47" s="87"/>
      <c r="JYU47" s="87"/>
      <c r="JYV47" s="87"/>
      <c r="JYW47" s="87"/>
      <c r="JYX47" s="87"/>
      <c r="JYY47" s="87"/>
      <c r="JYZ47" s="87"/>
      <c r="JZA47" s="87"/>
      <c r="JZB47" s="87"/>
      <c r="JZC47" s="87"/>
      <c r="JZD47" s="87"/>
      <c r="JZE47" s="87"/>
      <c r="JZF47" s="87"/>
      <c r="JZG47" s="87"/>
      <c r="JZH47" s="87"/>
      <c r="JZI47" s="87"/>
      <c r="JZJ47" s="87"/>
      <c r="JZK47" s="87"/>
      <c r="JZL47" s="87"/>
      <c r="JZM47" s="87"/>
      <c r="JZN47" s="87"/>
      <c r="JZO47" s="87"/>
      <c r="JZP47" s="87"/>
      <c r="JZQ47" s="87"/>
      <c r="JZR47" s="87"/>
      <c r="JZS47" s="87"/>
      <c r="JZT47" s="87"/>
      <c r="JZU47" s="87"/>
      <c r="JZV47" s="87"/>
      <c r="JZW47" s="87"/>
      <c r="JZX47" s="87"/>
      <c r="JZY47" s="87"/>
      <c r="JZZ47" s="87"/>
      <c r="KAA47" s="87"/>
      <c r="KAB47" s="87"/>
      <c r="KAC47" s="87"/>
      <c r="KAD47" s="87"/>
      <c r="KAE47" s="87"/>
      <c r="KAF47" s="87"/>
      <c r="KAG47" s="87"/>
      <c r="KAH47" s="87"/>
      <c r="KAI47" s="87"/>
      <c r="KAJ47" s="87"/>
      <c r="KAK47" s="87"/>
      <c r="KAL47" s="87"/>
      <c r="KAM47" s="87"/>
      <c r="KAN47" s="87"/>
      <c r="KAO47" s="87"/>
      <c r="KAP47" s="87"/>
      <c r="KAQ47" s="87"/>
      <c r="KAR47" s="87"/>
      <c r="KAS47" s="87"/>
      <c r="KAT47" s="87"/>
      <c r="KAU47" s="87"/>
      <c r="KAV47" s="87"/>
      <c r="KAW47" s="87"/>
      <c r="KAX47" s="87"/>
      <c r="KAY47" s="87"/>
      <c r="KAZ47" s="87"/>
      <c r="KBA47" s="87"/>
      <c r="KBB47" s="87"/>
      <c r="KBC47" s="87"/>
      <c r="KBD47" s="87"/>
      <c r="KBE47" s="87"/>
      <c r="KBF47" s="87"/>
      <c r="KBG47" s="87"/>
      <c r="KBH47" s="87"/>
      <c r="KBI47" s="87"/>
      <c r="KBJ47" s="87"/>
      <c r="KBK47" s="87"/>
      <c r="KBL47" s="87"/>
      <c r="KBM47" s="87"/>
      <c r="KBN47" s="87"/>
      <c r="KBO47" s="87"/>
      <c r="KBP47" s="87"/>
      <c r="KBQ47" s="87"/>
      <c r="KBR47" s="87"/>
      <c r="KBS47" s="87"/>
      <c r="KBT47" s="87"/>
      <c r="KBU47" s="87"/>
      <c r="KBV47" s="87"/>
      <c r="KBW47" s="87"/>
      <c r="KBX47" s="87"/>
      <c r="KBY47" s="87"/>
      <c r="KBZ47" s="87"/>
      <c r="KCA47" s="87"/>
      <c r="KCB47" s="87"/>
      <c r="KCC47" s="87"/>
      <c r="KCD47" s="87"/>
      <c r="KCE47" s="87"/>
      <c r="KCF47" s="87"/>
      <c r="KCG47" s="87"/>
      <c r="KCH47" s="87"/>
      <c r="KCI47" s="87"/>
      <c r="KCJ47" s="87"/>
      <c r="KCK47" s="87"/>
      <c r="KCL47" s="87"/>
      <c r="KCM47" s="87"/>
      <c r="KCN47" s="87"/>
      <c r="KCO47" s="87"/>
      <c r="KCP47" s="87"/>
      <c r="KCQ47" s="87"/>
      <c r="KCR47" s="87"/>
      <c r="KCS47" s="87"/>
      <c r="KCT47" s="87"/>
      <c r="KCU47" s="87"/>
      <c r="KCV47" s="87"/>
      <c r="KCW47" s="87"/>
      <c r="KCX47" s="87"/>
      <c r="KCY47" s="87"/>
      <c r="KCZ47" s="87"/>
      <c r="KDA47" s="87"/>
      <c r="KDB47" s="87"/>
      <c r="KDC47" s="87"/>
      <c r="KDD47" s="87"/>
      <c r="KDE47" s="87"/>
      <c r="KDF47" s="87"/>
      <c r="KDG47" s="87"/>
      <c r="KDH47" s="87"/>
      <c r="KDI47" s="87"/>
      <c r="KDJ47" s="87"/>
      <c r="KDK47" s="87"/>
      <c r="KDL47" s="87"/>
      <c r="KDM47" s="87"/>
      <c r="KDN47" s="87"/>
      <c r="KDO47" s="87"/>
      <c r="KDP47" s="87"/>
      <c r="KDQ47" s="87"/>
      <c r="KDR47" s="87"/>
      <c r="KDS47" s="87"/>
      <c r="KDT47" s="87"/>
      <c r="KDU47" s="87"/>
      <c r="KDV47" s="87"/>
      <c r="KDW47" s="87"/>
      <c r="KDX47" s="87"/>
      <c r="KDY47" s="87"/>
      <c r="KDZ47" s="87"/>
      <c r="KEA47" s="87"/>
      <c r="KEB47" s="87"/>
      <c r="KEC47" s="87"/>
      <c r="KED47" s="87"/>
      <c r="KEE47" s="87"/>
      <c r="KEF47" s="87"/>
      <c r="KEG47" s="87"/>
      <c r="KEH47" s="87"/>
      <c r="KEI47" s="87"/>
      <c r="KEJ47" s="87"/>
      <c r="KEK47" s="87"/>
      <c r="KEL47" s="87"/>
      <c r="KEM47" s="87"/>
      <c r="KEN47" s="87"/>
      <c r="KEO47" s="87"/>
      <c r="KEP47" s="87"/>
      <c r="KEQ47" s="87"/>
      <c r="KER47" s="87"/>
      <c r="KES47" s="87"/>
      <c r="KET47" s="87"/>
      <c r="KEU47" s="87"/>
      <c r="KEV47" s="87"/>
      <c r="KEW47" s="87"/>
      <c r="KEX47" s="87"/>
      <c r="KEY47" s="87"/>
      <c r="KEZ47" s="87"/>
      <c r="KFA47" s="87"/>
      <c r="KFB47" s="87"/>
      <c r="KFC47" s="87"/>
      <c r="KFD47" s="87"/>
      <c r="KFE47" s="87"/>
      <c r="KFF47" s="87"/>
      <c r="KFG47" s="87"/>
      <c r="KFH47" s="87"/>
      <c r="KFI47" s="87"/>
      <c r="KFJ47" s="87"/>
      <c r="KFK47" s="87"/>
      <c r="KFL47" s="87"/>
      <c r="KFM47" s="87"/>
      <c r="KFN47" s="87"/>
      <c r="KFO47" s="87"/>
      <c r="KFP47" s="87"/>
      <c r="KFQ47" s="87"/>
      <c r="KFR47" s="87"/>
      <c r="KFS47" s="87"/>
      <c r="KFT47" s="87"/>
      <c r="KFU47" s="87"/>
      <c r="KFV47" s="87"/>
      <c r="KFW47" s="87"/>
      <c r="KFX47" s="87"/>
      <c r="KFY47" s="87"/>
      <c r="KFZ47" s="87"/>
      <c r="KGA47" s="87"/>
      <c r="KGB47" s="87"/>
      <c r="KGC47" s="87"/>
      <c r="KGD47" s="87"/>
      <c r="KGE47" s="87"/>
      <c r="KGF47" s="87"/>
      <c r="KGG47" s="87"/>
      <c r="KGH47" s="87"/>
      <c r="KGI47" s="87"/>
      <c r="KGJ47" s="87"/>
      <c r="KGK47" s="87"/>
      <c r="KGL47" s="87"/>
      <c r="KGM47" s="87"/>
      <c r="KGN47" s="87"/>
      <c r="KGO47" s="87"/>
      <c r="KGP47" s="87"/>
      <c r="KGQ47" s="87"/>
      <c r="KGR47" s="87"/>
      <c r="KGS47" s="87"/>
      <c r="KGT47" s="87"/>
      <c r="KGU47" s="87"/>
      <c r="KGV47" s="87"/>
      <c r="KGW47" s="87"/>
      <c r="KGX47" s="87"/>
      <c r="KGY47" s="87"/>
      <c r="KGZ47" s="87"/>
      <c r="KHA47" s="87"/>
      <c r="KHB47" s="87"/>
      <c r="KHC47" s="87"/>
      <c r="KHD47" s="87"/>
      <c r="KHE47" s="87"/>
      <c r="KHF47" s="87"/>
      <c r="KHG47" s="87"/>
      <c r="KHH47" s="87"/>
      <c r="KHI47" s="87"/>
      <c r="KHJ47" s="87"/>
      <c r="KHK47" s="87"/>
      <c r="KHL47" s="87"/>
      <c r="KHM47" s="87"/>
      <c r="KHN47" s="87"/>
      <c r="KHO47" s="87"/>
      <c r="KHP47" s="87"/>
      <c r="KHQ47" s="87"/>
      <c r="KHR47" s="87"/>
      <c r="KHS47" s="87"/>
      <c r="KHT47" s="87"/>
      <c r="KHU47" s="87"/>
      <c r="KHV47" s="87"/>
      <c r="KHW47" s="87"/>
      <c r="KHX47" s="87"/>
      <c r="KHY47" s="87"/>
      <c r="KHZ47" s="87"/>
      <c r="KIA47" s="87"/>
      <c r="KIB47" s="87"/>
      <c r="KIC47" s="87"/>
      <c r="KID47" s="87"/>
      <c r="KIE47" s="87"/>
      <c r="KIF47" s="87"/>
      <c r="KIG47" s="87"/>
      <c r="KIH47" s="87"/>
      <c r="KII47" s="87"/>
      <c r="KIJ47" s="87"/>
      <c r="KIK47" s="87"/>
      <c r="KIL47" s="87"/>
      <c r="KIM47" s="87"/>
      <c r="KIN47" s="87"/>
      <c r="KIO47" s="87"/>
      <c r="KIP47" s="87"/>
      <c r="KIQ47" s="87"/>
      <c r="KIR47" s="87"/>
      <c r="KIS47" s="87"/>
      <c r="KIT47" s="87"/>
      <c r="KIU47" s="87"/>
      <c r="KIV47" s="87"/>
      <c r="KIW47" s="87"/>
      <c r="KIX47" s="87"/>
      <c r="KIY47" s="87"/>
      <c r="KIZ47" s="87"/>
      <c r="KJA47" s="87"/>
      <c r="KJB47" s="87"/>
      <c r="KJC47" s="87"/>
      <c r="KJD47" s="87"/>
      <c r="KJE47" s="87"/>
      <c r="KJF47" s="87"/>
      <c r="KJG47" s="87"/>
      <c r="KJH47" s="87"/>
      <c r="KJI47" s="87"/>
      <c r="KJJ47" s="87"/>
      <c r="KJK47" s="87"/>
      <c r="KJL47" s="87"/>
      <c r="KJM47" s="87"/>
      <c r="KJN47" s="87"/>
      <c r="KJO47" s="87"/>
      <c r="KJP47" s="87"/>
      <c r="KJQ47" s="87"/>
      <c r="KJR47" s="87"/>
      <c r="KJS47" s="87"/>
      <c r="KJT47" s="87"/>
      <c r="KJU47" s="87"/>
      <c r="KJV47" s="87"/>
      <c r="KJW47" s="87"/>
      <c r="KJX47" s="87"/>
      <c r="KJY47" s="87"/>
      <c r="KJZ47" s="87"/>
      <c r="KKA47" s="87"/>
      <c r="KKB47" s="87"/>
      <c r="KKC47" s="87"/>
      <c r="KKD47" s="87"/>
      <c r="KKE47" s="87"/>
      <c r="KKF47" s="87"/>
      <c r="KKG47" s="87"/>
      <c r="KKH47" s="87"/>
      <c r="KKI47" s="87"/>
      <c r="KKJ47" s="87"/>
      <c r="KKK47" s="87"/>
      <c r="KKL47" s="87"/>
      <c r="KKM47" s="87"/>
      <c r="KKN47" s="87"/>
      <c r="KKO47" s="87"/>
      <c r="KKP47" s="87"/>
      <c r="KKQ47" s="87"/>
      <c r="KKR47" s="87"/>
      <c r="KKS47" s="87"/>
      <c r="KKT47" s="87"/>
      <c r="KKU47" s="87"/>
      <c r="KKV47" s="87"/>
      <c r="KKW47" s="87"/>
      <c r="KKX47" s="87"/>
      <c r="KKY47" s="87"/>
      <c r="KKZ47" s="87"/>
      <c r="KLA47" s="87"/>
      <c r="KLB47" s="87"/>
      <c r="KLC47" s="87"/>
      <c r="KLD47" s="87"/>
      <c r="KLE47" s="87"/>
      <c r="KLF47" s="87"/>
      <c r="KLG47" s="87"/>
      <c r="KLH47" s="87"/>
      <c r="KLI47" s="87"/>
      <c r="KLJ47" s="87"/>
      <c r="KLK47" s="87"/>
      <c r="KLL47" s="87"/>
      <c r="KLM47" s="87"/>
      <c r="KLN47" s="87"/>
      <c r="KLO47" s="87"/>
      <c r="KLP47" s="87"/>
      <c r="KLQ47" s="87"/>
      <c r="KLR47" s="87"/>
      <c r="KLS47" s="87"/>
      <c r="KLT47" s="87"/>
      <c r="KLU47" s="87"/>
      <c r="KLV47" s="87"/>
      <c r="KLW47" s="87"/>
      <c r="KLX47" s="87"/>
      <c r="KLY47" s="87"/>
      <c r="KLZ47" s="87"/>
      <c r="KMA47" s="87"/>
      <c r="KMB47" s="87"/>
      <c r="KMC47" s="87"/>
      <c r="KMD47" s="87"/>
      <c r="KME47" s="87"/>
      <c r="KMF47" s="87"/>
      <c r="KMG47" s="87"/>
      <c r="KMH47" s="87"/>
      <c r="KMI47" s="87"/>
      <c r="KMJ47" s="87"/>
      <c r="KMK47" s="87"/>
      <c r="KML47" s="87"/>
      <c r="KMM47" s="87"/>
      <c r="KMN47" s="87"/>
      <c r="KMO47" s="87"/>
      <c r="KMP47" s="87"/>
      <c r="KMQ47" s="87"/>
      <c r="KMR47" s="87"/>
      <c r="KMS47" s="87"/>
      <c r="KMT47" s="87"/>
      <c r="KMU47" s="87"/>
      <c r="KMV47" s="87"/>
      <c r="KMW47" s="87"/>
      <c r="KMX47" s="87"/>
      <c r="KMY47" s="87"/>
      <c r="KMZ47" s="87"/>
      <c r="KNA47" s="87"/>
      <c r="KNB47" s="87"/>
      <c r="KNC47" s="87"/>
      <c r="KND47" s="87"/>
      <c r="KNE47" s="87"/>
      <c r="KNF47" s="87"/>
      <c r="KNG47" s="87"/>
      <c r="KNH47" s="87"/>
      <c r="KNI47" s="87"/>
      <c r="KNJ47" s="87"/>
      <c r="KNK47" s="87"/>
      <c r="KNL47" s="87"/>
      <c r="KNM47" s="87"/>
      <c r="KNN47" s="87"/>
      <c r="KNO47" s="87"/>
      <c r="KNP47" s="87"/>
      <c r="KNQ47" s="87"/>
      <c r="KNR47" s="87"/>
      <c r="KNS47" s="87"/>
      <c r="KNT47" s="87"/>
      <c r="KNU47" s="87"/>
      <c r="KNV47" s="87"/>
      <c r="KNW47" s="87"/>
      <c r="KNX47" s="87"/>
      <c r="KNY47" s="87"/>
      <c r="KNZ47" s="87"/>
      <c r="KOA47" s="87"/>
      <c r="KOB47" s="87"/>
      <c r="KOC47" s="87"/>
      <c r="KOD47" s="87"/>
      <c r="KOE47" s="87"/>
      <c r="KOF47" s="87"/>
      <c r="KOG47" s="87"/>
      <c r="KOH47" s="87"/>
      <c r="KOI47" s="87"/>
      <c r="KOJ47" s="87"/>
      <c r="KOK47" s="87"/>
      <c r="KOL47" s="87"/>
      <c r="KOM47" s="87"/>
      <c r="KON47" s="87"/>
      <c r="KOO47" s="87"/>
      <c r="KOP47" s="87"/>
      <c r="KOQ47" s="87"/>
      <c r="KOR47" s="87"/>
      <c r="KOS47" s="87"/>
      <c r="KOT47" s="87"/>
      <c r="KOU47" s="87"/>
      <c r="KOV47" s="87"/>
      <c r="KOW47" s="87"/>
      <c r="KOX47" s="87"/>
      <c r="KOY47" s="87"/>
      <c r="KOZ47" s="87"/>
      <c r="KPA47" s="87"/>
      <c r="KPB47" s="87"/>
      <c r="KPC47" s="87"/>
      <c r="KPD47" s="87"/>
      <c r="KPE47" s="87"/>
      <c r="KPF47" s="87"/>
      <c r="KPG47" s="87"/>
      <c r="KPH47" s="87"/>
      <c r="KPI47" s="87"/>
      <c r="KPJ47" s="87"/>
      <c r="KPK47" s="87"/>
      <c r="KPL47" s="87"/>
      <c r="KPM47" s="87"/>
      <c r="KPN47" s="87"/>
      <c r="KPO47" s="87"/>
      <c r="KPP47" s="87"/>
      <c r="KPQ47" s="87"/>
      <c r="KPR47" s="87"/>
      <c r="KPS47" s="87"/>
      <c r="KPT47" s="87"/>
      <c r="KPU47" s="87"/>
      <c r="KPV47" s="87"/>
      <c r="KPW47" s="87"/>
      <c r="KPX47" s="87"/>
      <c r="KPY47" s="87"/>
      <c r="KPZ47" s="87"/>
      <c r="KQA47" s="87"/>
      <c r="KQB47" s="87"/>
      <c r="KQC47" s="87"/>
      <c r="KQD47" s="87"/>
      <c r="KQE47" s="87"/>
      <c r="KQF47" s="87"/>
      <c r="KQG47" s="87"/>
      <c r="KQH47" s="87"/>
      <c r="KQI47" s="87"/>
      <c r="KQJ47" s="87"/>
      <c r="KQK47" s="87"/>
      <c r="KQL47" s="87"/>
      <c r="KQM47" s="87"/>
      <c r="KQN47" s="87"/>
      <c r="KQO47" s="87"/>
      <c r="KQP47" s="87"/>
      <c r="KQQ47" s="87"/>
      <c r="KQR47" s="87"/>
      <c r="KQS47" s="87"/>
      <c r="KQT47" s="87"/>
      <c r="KQU47" s="87"/>
      <c r="KQV47" s="87"/>
      <c r="KQW47" s="87"/>
      <c r="KQX47" s="87"/>
      <c r="KQY47" s="87"/>
      <c r="KQZ47" s="87"/>
      <c r="KRA47" s="87"/>
      <c r="KRB47" s="87"/>
      <c r="KRC47" s="87"/>
      <c r="KRD47" s="87"/>
      <c r="KRE47" s="87"/>
      <c r="KRF47" s="87"/>
      <c r="KRG47" s="87"/>
      <c r="KRH47" s="87"/>
      <c r="KRI47" s="87"/>
      <c r="KRJ47" s="87"/>
      <c r="KRK47" s="87"/>
      <c r="KRL47" s="87"/>
      <c r="KRM47" s="87"/>
      <c r="KRN47" s="87"/>
      <c r="KRO47" s="87"/>
      <c r="KRP47" s="87"/>
      <c r="KRQ47" s="87"/>
      <c r="KRR47" s="87"/>
      <c r="KRS47" s="87"/>
      <c r="KRT47" s="87"/>
      <c r="KRU47" s="87"/>
      <c r="KRV47" s="87"/>
      <c r="KRW47" s="87"/>
      <c r="KRX47" s="87"/>
      <c r="KRY47" s="87"/>
      <c r="KRZ47" s="87"/>
      <c r="KSA47" s="87"/>
      <c r="KSB47" s="87"/>
      <c r="KSC47" s="87"/>
      <c r="KSD47" s="87"/>
      <c r="KSE47" s="87"/>
      <c r="KSF47" s="87"/>
      <c r="KSG47" s="87"/>
      <c r="KSH47" s="87"/>
      <c r="KSI47" s="87"/>
      <c r="KSJ47" s="87"/>
      <c r="KSK47" s="87"/>
      <c r="KSL47" s="87"/>
      <c r="KSM47" s="87"/>
      <c r="KSN47" s="87"/>
      <c r="KSO47" s="87"/>
      <c r="KSP47" s="87"/>
      <c r="KSQ47" s="87"/>
      <c r="KSR47" s="87"/>
      <c r="KSS47" s="87"/>
      <c r="KST47" s="87"/>
      <c r="KSU47" s="87"/>
      <c r="KSV47" s="87"/>
      <c r="KSW47" s="87"/>
      <c r="KSX47" s="87"/>
      <c r="KSY47" s="87"/>
      <c r="KSZ47" s="87"/>
      <c r="KTA47" s="87"/>
      <c r="KTB47" s="87"/>
      <c r="KTC47" s="87"/>
      <c r="KTD47" s="87"/>
      <c r="KTE47" s="87"/>
      <c r="KTF47" s="87"/>
      <c r="KTG47" s="87"/>
      <c r="KTH47" s="87"/>
      <c r="KTI47" s="87"/>
      <c r="KTJ47" s="87"/>
      <c r="KTK47" s="87"/>
      <c r="KTL47" s="87"/>
      <c r="KTM47" s="87"/>
      <c r="KTN47" s="87"/>
      <c r="KTO47" s="87"/>
      <c r="KTP47" s="87"/>
      <c r="KTQ47" s="87"/>
      <c r="KTR47" s="87"/>
      <c r="KTS47" s="87"/>
      <c r="KTT47" s="87"/>
      <c r="KTU47" s="87"/>
      <c r="KTV47" s="87"/>
      <c r="KTW47" s="87"/>
      <c r="KTX47" s="87"/>
      <c r="KTY47" s="87"/>
      <c r="KTZ47" s="87"/>
      <c r="KUA47" s="87"/>
      <c r="KUB47" s="87"/>
      <c r="KUC47" s="87"/>
      <c r="KUD47" s="87"/>
      <c r="KUE47" s="87"/>
      <c r="KUF47" s="87"/>
      <c r="KUG47" s="87"/>
      <c r="KUH47" s="87"/>
      <c r="KUI47" s="87"/>
      <c r="KUJ47" s="87"/>
      <c r="KUK47" s="87"/>
      <c r="KUL47" s="87"/>
      <c r="KUM47" s="87"/>
      <c r="KUN47" s="87"/>
      <c r="KUO47" s="87"/>
      <c r="KUP47" s="87"/>
      <c r="KUQ47" s="87"/>
      <c r="KUR47" s="87"/>
      <c r="KUS47" s="87"/>
      <c r="KUT47" s="87"/>
      <c r="KUU47" s="87"/>
      <c r="KUV47" s="87"/>
      <c r="KUW47" s="87"/>
      <c r="KUX47" s="87"/>
      <c r="KUY47" s="87"/>
      <c r="KUZ47" s="87"/>
      <c r="KVA47" s="87"/>
      <c r="KVB47" s="87"/>
      <c r="KVC47" s="87"/>
      <c r="KVD47" s="87"/>
      <c r="KVE47" s="87"/>
      <c r="KVF47" s="87"/>
      <c r="KVG47" s="87"/>
      <c r="KVH47" s="87"/>
      <c r="KVI47" s="87"/>
      <c r="KVJ47" s="87"/>
      <c r="KVK47" s="87"/>
      <c r="KVL47" s="87"/>
      <c r="KVM47" s="87"/>
      <c r="KVN47" s="87"/>
      <c r="KVO47" s="87"/>
      <c r="KVP47" s="87"/>
      <c r="KVQ47" s="87"/>
      <c r="KVR47" s="87"/>
      <c r="KVS47" s="87"/>
      <c r="KVT47" s="87"/>
      <c r="KVU47" s="87"/>
      <c r="KVV47" s="87"/>
      <c r="KVW47" s="87"/>
      <c r="KVX47" s="87"/>
      <c r="KVY47" s="87"/>
      <c r="KVZ47" s="87"/>
      <c r="KWA47" s="87"/>
      <c r="KWB47" s="87"/>
      <c r="KWC47" s="87"/>
      <c r="KWD47" s="87"/>
      <c r="KWE47" s="87"/>
      <c r="KWF47" s="87"/>
      <c r="KWG47" s="87"/>
      <c r="KWH47" s="87"/>
      <c r="KWI47" s="87"/>
      <c r="KWJ47" s="87"/>
      <c r="KWK47" s="87"/>
      <c r="KWL47" s="87"/>
      <c r="KWM47" s="87"/>
      <c r="KWN47" s="87"/>
      <c r="KWO47" s="87"/>
      <c r="KWP47" s="87"/>
      <c r="KWQ47" s="87"/>
      <c r="KWR47" s="87"/>
      <c r="KWS47" s="87"/>
      <c r="KWT47" s="87"/>
      <c r="KWU47" s="87"/>
      <c r="KWV47" s="87"/>
      <c r="KWW47" s="87"/>
      <c r="KWX47" s="87"/>
      <c r="KWY47" s="87"/>
      <c r="KWZ47" s="87"/>
      <c r="KXA47" s="87"/>
      <c r="KXB47" s="87"/>
      <c r="KXC47" s="87"/>
      <c r="KXD47" s="87"/>
      <c r="KXE47" s="87"/>
      <c r="KXF47" s="87"/>
      <c r="KXG47" s="87"/>
      <c r="KXH47" s="87"/>
      <c r="KXI47" s="87"/>
      <c r="KXJ47" s="87"/>
      <c r="KXK47" s="87"/>
      <c r="KXL47" s="87"/>
      <c r="KXM47" s="87"/>
      <c r="KXN47" s="87"/>
      <c r="KXO47" s="87"/>
      <c r="KXP47" s="87"/>
      <c r="KXQ47" s="87"/>
      <c r="KXR47" s="87"/>
      <c r="KXS47" s="87"/>
      <c r="KXT47" s="87"/>
      <c r="KXU47" s="87"/>
      <c r="KXV47" s="87"/>
      <c r="KXW47" s="87"/>
      <c r="KXX47" s="87"/>
      <c r="KXY47" s="87"/>
      <c r="KXZ47" s="87"/>
      <c r="KYA47" s="87"/>
      <c r="KYB47" s="87"/>
      <c r="KYC47" s="87"/>
      <c r="KYD47" s="87"/>
      <c r="KYE47" s="87"/>
      <c r="KYF47" s="87"/>
      <c r="KYG47" s="87"/>
      <c r="KYH47" s="87"/>
      <c r="KYI47" s="87"/>
      <c r="KYJ47" s="87"/>
      <c r="KYK47" s="87"/>
      <c r="KYL47" s="87"/>
      <c r="KYM47" s="87"/>
      <c r="KYN47" s="87"/>
      <c r="KYO47" s="87"/>
      <c r="KYP47" s="87"/>
      <c r="KYQ47" s="87"/>
      <c r="KYR47" s="87"/>
      <c r="KYS47" s="87"/>
      <c r="KYT47" s="87"/>
      <c r="KYU47" s="87"/>
      <c r="KYV47" s="87"/>
      <c r="KYW47" s="87"/>
      <c r="KYX47" s="87"/>
      <c r="KYY47" s="87"/>
      <c r="KYZ47" s="87"/>
      <c r="KZA47" s="87"/>
      <c r="KZB47" s="87"/>
      <c r="KZC47" s="87"/>
      <c r="KZD47" s="87"/>
      <c r="KZE47" s="87"/>
      <c r="KZF47" s="87"/>
      <c r="KZG47" s="87"/>
      <c r="KZH47" s="87"/>
      <c r="KZI47" s="87"/>
      <c r="KZJ47" s="87"/>
      <c r="KZK47" s="87"/>
      <c r="KZL47" s="87"/>
      <c r="KZM47" s="87"/>
      <c r="KZN47" s="87"/>
      <c r="KZO47" s="87"/>
      <c r="KZP47" s="87"/>
      <c r="KZQ47" s="87"/>
      <c r="KZR47" s="87"/>
      <c r="KZS47" s="87"/>
      <c r="KZT47" s="87"/>
      <c r="KZU47" s="87"/>
      <c r="KZV47" s="87"/>
      <c r="KZW47" s="87"/>
      <c r="KZX47" s="87"/>
      <c r="KZY47" s="87"/>
      <c r="KZZ47" s="87"/>
      <c r="LAA47" s="87"/>
      <c r="LAB47" s="87"/>
      <c r="LAC47" s="87"/>
      <c r="LAD47" s="87"/>
      <c r="LAE47" s="87"/>
      <c r="LAF47" s="87"/>
      <c r="LAG47" s="87"/>
      <c r="LAH47" s="87"/>
      <c r="LAI47" s="87"/>
      <c r="LAJ47" s="87"/>
      <c r="LAK47" s="87"/>
      <c r="LAL47" s="87"/>
      <c r="LAM47" s="87"/>
      <c r="LAN47" s="87"/>
      <c r="LAO47" s="87"/>
      <c r="LAP47" s="87"/>
      <c r="LAQ47" s="87"/>
      <c r="LAR47" s="87"/>
      <c r="LAS47" s="87"/>
      <c r="LAT47" s="87"/>
      <c r="LAU47" s="87"/>
      <c r="LAV47" s="87"/>
      <c r="LAW47" s="87"/>
      <c r="LAX47" s="87"/>
      <c r="LAY47" s="87"/>
      <c r="LAZ47" s="87"/>
      <c r="LBA47" s="87"/>
      <c r="LBB47" s="87"/>
      <c r="LBC47" s="87"/>
      <c r="LBD47" s="87"/>
      <c r="LBE47" s="87"/>
      <c r="LBF47" s="87"/>
      <c r="LBG47" s="87"/>
      <c r="LBH47" s="87"/>
      <c r="LBI47" s="87"/>
      <c r="LBJ47" s="87"/>
      <c r="LBK47" s="87"/>
      <c r="LBL47" s="87"/>
      <c r="LBM47" s="87"/>
      <c r="LBN47" s="87"/>
      <c r="LBO47" s="87"/>
      <c r="LBP47" s="87"/>
      <c r="LBQ47" s="87"/>
      <c r="LBR47" s="87"/>
      <c r="LBS47" s="87"/>
      <c r="LBT47" s="87"/>
      <c r="LBU47" s="87"/>
      <c r="LBV47" s="87"/>
      <c r="LBW47" s="87"/>
      <c r="LBX47" s="87"/>
      <c r="LBY47" s="87"/>
      <c r="LBZ47" s="87"/>
      <c r="LCA47" s="87"/>
      <c r="LCB47" s="87"/>
      <c r="LCC47" s="87"/>
      <c r="LCD47" s="87"/>
      <c r="LCE47" s="87"/>
      <c r="LCF47" s="87"/>
      <c r="LCG47" s="87"/>
      <c r="LCH47" s="87"/>
      <c r="LCI47" s="87"/>
      <c r="LCJ47" s="87"/>
      <c r="LCK47" s="87"/>
      <c r="LCL47" s="87"/>
      <c r="LCM47" s="87"/>
      <c r="LCN47" s="87"/>
      <c r="LCO47" s="87"/>
      <c r="LCP47" s="87"/>
      <c r="LCQ47" s="87"/>
      <c r="LCR47" s="87"/>
      <c r="LCS47" s="87"/>
      <c r="LCT47" s="87"/>
      <c r="LCU47" s="87"/>
      <c r="LCV47" s="87"/>
      <c r="LCW47" s="87"/>
      <c r="LCX47" s="87"/>
      <c r="LCY47" s="87"/>
      <c r="LCZ47" s="87"/>
      <c r="LDA47" s="87"/>
      <c r="LDB47" s="87"/>
      <c r="LDC47" s="87"/>
      <c r="LDD47" s="87"/>
      <c r="LDE47" s="87"/>
      <c r="LDF47" s="87"/>
      <c r="LDG47" s="87"/>
      <c r="LDH47" s="87"/>
      <c r="LDI47" s="87"/>
      <c r="LDJ47" s="87"/>
      <c r="LDK47" s="87"/>
      <c r="LDL47" s="87"/>
      <c r="LDM47" s="87"/>
      <c r="LDN47" s="87"/>
      <c r="LDO47" s="87"/>
      <c r="LDP47" s="87"/>
      <c r="LDQ47" s="87"/>
      <c r="LDR47" s="87"/>
      <c r="LDS47" s="87"/>
      <c r="LDT47" s="87"/>
      <c r="LDU47" s="87"/>
      <c r="LDV47" s="87"/>
      <c r="LDW47" s="87"/>
      <c r="LDX47" s="87"/>
      <c r="LDY47" s="87"/>
      <c r="LDZ47" s="87"/>
      <c r="LEA47" s="87"/>
      <c r="LEB47" s="87"/>
      <c r="LEC47" s="87"/>
      <c r="LED47" s="87"/>
      <c r="LEE47" s="87"/>
      <c r="LEF47" s="87"/>
      <c r="LEG47" s="87"/>
      <c r="LEH47" s="87"/>
      <c r="LEI47" s="87"/>
      <c r="LEJ47" s="87"/>
      <c r="LEK47" s="87"/>
      <c r="LEL47" s="87"/>
      <c r="LEM47" s="87"/>
      <c r="LEN47" s="87"/>
      <c r="LEO47" s="87"/>
      <c r="LEP47" s="87"/>
      <c r="LEQ47" s="87"/>
      <c r="LER47" s="87"/>
      <c r="LES47" s="87"/>
      <c r="LET47" s="87"/>
      <c r="LEU47" s="87"/>
      <c r="LEV47" s="87"/>
      <c r="LEW47" s="87"/>
      <c r="LEX47" s="87"/>
      <c r="LEY47" s="87"/>
      <c r="LEZ47" s="87"/>
      <c r="LFA47" s="87"/>
      <c r="LFB47" s="87"/>
      <c r="LFC47" s="87"/>
      <c r="LFD47" s="87"/>
      <c r="LFE47" s="87"/>
      <c r="LFF47" s="87"/>
      <c r="LFG47" s="87"/>
      <c r="LFH47" s="87"/>
      <c r="LFI47" s="87"/>
      <c r="LFJ47" s="87"/>
      <c r="LFK47" s="87"/>
      <c r="LFL47" s="87"/>
      <c r="LFM47" s="87"/>
      <c r="LFN47" s="87"/>
      <c r="LFO47" s="87"/>
      <c r="LFP47" s="87"/>
      <c r="LFQ47" s="87"/>
      <c r="LFR47" s="87"/>
      <c r="LFS47" s="87"/>
      <c r="LFT47" s="87"/>
      <c r="LFU47" s="87"/>
      <c r="LFV47" s="87"/>
      <c r="LFW47" s="87"/>
      <c r="LFX47" s="87"/>
      <c r="LFY47" s="87"/>
      <c r="LFZ47" s="87"/>
      <c r="LGA47" s="87"/>
      <c r="LGB47" s="87"/>
      <c r="LGC47" s="87"/>
      <c r="LGD47" s="87"/>
      <c r="LGE47" s="87"/>
      <c r="LGF47" s="87"/>
      <c r="LGG47" s="87"/>
      <c r="LGH47" s="87"/>
      <c r="LGI47" s="87"/>
      <c r="LGJ47" s="87"/>
      <c r="LGK47" s="87"/>
      <c r="LGL47" s="87"/>
      <c r="LGM47" s="87"/>
      <c r="LGN47" s="87"/>
      <c r="LGO47" s="87"/>
      <c r="LGP47" s="87"/>
      <c r="LGQ47" s="87"/>
      <c r="LGR47" s="87"/>
      <c r="LGS47" s="87"/>
      <c r="LGT47" s="87"/>
      <c r="LGU47" s="87"/>
      <c r="LGV47" s="87"/>
      <c r="LGW47" s="87"/>
      <c r="LGX47" s="87"/>
      <c r="LGY47" s="87"/>
      <c r="LGZ47" s="87"/>
      <c r="LHA47" s="87"/>
      <c r="LHB47" s="87"/>
      <c r="LHC47" s="87"/>
      <c r="LHD47" s="87"/>
      <c r="LHE47" s="87"/>
      <c r="LHF47" s="87"/>
      <c r="LHG47" s="87"/>
      <c r="LHH47" s="87"/>
      <c r="LHI47" s="87"/>
      <c r="LHJ47" s="87"/>
      <c r="LHK47" s="87"/>
      <c r="LHL47" s="87"/>
      <c r="LHM47" s="87"/>
      <c r="LHN47" s="87"/>
      <c r="LHO47" s="87"/>
      <c r="LHP47" s="87"/>
      <c r="LHQ47" s="87"/>
      <c r="LHR47" s="87"/>
      <c r="LHS47" s="87"/>
      <c r="LHT47" s="87"/>
      <c r="LHU47" s="87"/>
      <c r="LHV47" s="87"/>
      <c r="LHW47" s="87"/>
      <c r="LHX47" s="87"/>
      <c r="LHY47" s="87"/>
      <c r="LHZ47" s="87"/>
      <c r="LIA47" s="87"/>
      <c r="LIB47" s="87"/>
      <c r="LIC47" s="87"/>
      <c r="LID47" s="87"/>
      <c r="LIE47" s="87"/>
      <c r="LIF47" s="87"/>
      <c r="LIG47" s="87"/>
      <c r="LIH47" s="87"/>
      <c r="LII47" s="87"/>
      <c r="LIJ47" s="87"/>
      <c r="LIK47" s="87"/>
      <c r="LIL47" s="87"/>
      <c r="LIM47" s="87"/>
      <c r="LIN47" s="87"/>
      <c r="LIO47" s="87"/>
      <c r="LIP47" s="87"/>
      <c r="LIQ47" s="87"/>
      <c r="LIR47" s="87"/>
      <c r="LIS47" s="87"/>
      <c r="LIT47" s="87"/>
      <c r="LIU47" s="87"/>
      <c r="LIV47" s="87"/>
      <c r="LIW47" s="87"/>
      <c r="LIX47" s="87"/>
      <c r="LIY47" s="87"/>
      <c r="LIZ47" s="87"/>
      <c r="LJA47" s="87"/>
      <c r="LJB47" s="87"/>
      <c r="LJC47" s="87"/>
      <c r="LJD47" s="87"/>
      <c r="LJE47" s="87"/>
      <c r="LJF47" s="87"/>
      <c r="LJG47" s="87"/>
      <c r="LJH47" s="87"/>
      <c r="LJI47" s="87"/>
      <c r="LJJ47" s="87"/>
      <c r="LJK47" s="87"/>
      <c r="LJL47" s="87"/>
      <c r="LJM47" s="87"/>
      <c r="LJN47" s="87"/>
      <c r="LJO47" s="87"/>
      <c r="LJP47" s="87"/>
      <c r="LJQ47" s="87"/>
      <c r="LJR47" s="87"/>
      <c r="LJS47" s="87"/>
      <c r="LJT47" s="87"/>
      <c r="LJU47" s="87"/>
      <c r="LJV47" s="87"/>
      <c r="LJW47" s="87"/>
      <c r="LJX47" s="87"/>
      <c r="LJY47" s="87"/>
      <c r="LJZ47" s="87"/>
      <c r="LKA47" s="87"/>
      <c r="LKB47" s="87"/>
      <c r="LKC47" s="87"/>
      <c r="LKD47" s="87"/>
      <c r="LKE47" s="87"/>
      <c r="LKF47" s="87"/>
      <c r="LKG47" s="87"/>
      <c r="LKH47" s="87"/>
      <c r="LKI47" s="87"/>
      <c r="LKJ47" s="87"/>
      <c r="LKK47" s="87"/>
      <c r="LKL47" s="87"/>
      <c r="LKM47" s="87"/>
      <c r="LKN47" s="87"/>
      <c r="LKO47" s="87"/>
      <c r="LKP47" s="87"/>
      <c r="LKQ47" s="87"/>
      <c r="LKR47" s="87"/>
      <c r="LKS47" s="87"/>
      <c r="LKT47" s="87"/>
      <c r="LKU47" s="87"/>
      <c r="LKV47" s="87"/>
      <c r="LKW47" s="87"/>
      <c r="LKX47" s="87"/>
      <c r="LKY47" s="87"/>
      <c r="LKZ47" s="87"/>
      <c r="LLA47" s="87"/>
      <c r="LLB47" s="87"/>
      <c r="LLC47" s="87"/>
      <c r="LLD47" s="87"/>
      <c r="LLE47" s="87"/>
      <c r="LLF47" s="87"/>
      <c r="LLG47" s="87"/>
      <c r="LLH47" s="87"/>
      <c r="LLI47" s="87"/>
      <c r="LLJ47" s="87"/>
      <c r="LLK47" s="87"/>
      <c r="LLL47" s="87"/>
      <c r="LLM47" s="87"/>
      <c r="LLN47" s="87"/>
      <c r="LLO47" s="87"/>
      <c r="LLP47" s="87"/>
      <c r="LLQ47" s="87"/>
      <c r="LLR47" s="87"/>
      <c r="LLS47" s="87"/>
      <c r="LLT47" s="87"/>
      <c r="LLU47" s="87"/>
      <c r="LLV47" s="87"/>
      <c r="LLW47" s="87"/>
      <c r="LLX47" s="87"/>
      <c r="LLY47" s="87"/>
      <c r="LLZ47" s="87"/>
      <c r="LMA47" s="87"/>
      <c r="LMB47" s="87"/>
      <c r="LMC47" s="87"/>
      <c r="LMD47" s="87"/>
      <c r="LME47" s="87"/>
      <c r="LMF47" s="87"/>
      <c r="LMG47" s="87"/>
      <c r="LMH47" s="87"/>
      <c r="LMI47" s="87"/>
      <c r="LMJ47" s="87"/>
      <c r="LMK47" s="87"/>
      <c r="LML47" s="87"/>
      <c r="LMM47" s="87"/>
      <c r="LMN47" s="87"/>
      <c r="LMO47" s="87"/>
      <c r="LMP47" s="87"/>
      <c r="LMQ47" s="87"/>
      <c r="LMR47" s="87"/>
      <c r="LMS47" s="87"/>
      <c r="LMT47" s="87"/>
      <c r="LMU47" s="87"/>
      <c r="LMV47" s="87"/>
      <c r="LMW47" s="87"/>
      <c r="LMX47" s="87"/>
      <c r="LMY47" s="87"/>
      <c r="LMZ47" s="87"/>
      <c r="LNA47" s="87"/>
      <c r="LNB47" s="87"/>
      <c r="LNC47" s="87"/>
      <c r="LND47" s="87"/>
      <c r="LNE47" s="87"/>
      <c r="LNF47" s="87"/>
      <c r="LNG47" s="87"/>
      <c r="LNH47" s="87"/>
      <c r="LNI47" s="87"/>
      <c r="LNJ47" s="87"/>
      <c r="LNK47" s="87"/>
      <c r="LNL47" s="87"/>
      <c r="LNM47" s="87"/>
      <c r="LNN47" s="87"/>
      <c r="LNO47" s="87"/>
      <c r="LNP47" s="87"/>
      <c r="LNQ47" s="87"/>
      <c r="LNR47" s="87"/>
      <c r="LNS47" s="87"/>
      <c r="LNT47" s="87"/>
      <c r="LNU47" s="87"/>
      <c r="LNV47" s="87"/>
      <c r="LNW47" s="87"/>
      <c r="LNX47" s="87"/>
      <c r="LNY47" s="87"/>
      <c r="LNZ47" s="87"/>
      <c r="LOA47" s="87"/>
      <c r="LOB47" s="87"/>
      <c r="LOC47" s="87"/>
      <c r="LOD47" s="87"/>
      <c r="LOE47" s="87"/>
      <c r="LOF47" s="87"/>
      <c r="LOG47" s="87"/>
      <c r="LOH47" s="87"/>
      <c r="LOI47" s="87"/>
      <c r="LOJ47" s="87"/>
      <c r="LOK47" s="87"/>
      <c r="LOL47" s="87"/>
      <c r="LOM47" s="87"/>
      <c r="LON47" s="87"/>
      <c r="LOO47" s="87"/>
      <c r="LOP47" s="87"/>
      <c r="LOQ47" s="87"/>
      <c r="LOR47" s="87"/>
      <c r="LOS47" s="87"/>
      <c r="LOT47" s="87"/>
      <c r="LOU47" s="87"/>
      <c r="LOV47" s="87"/>
      <c r="LOW47" s="87"/>
      <c r="LOX47" s="87"/>
      <c r="LOY47" s="87"/>
      <c r="LOZ47" s="87"/>
      <c r="LPA47" s="87"/>
      <c r="LPB47" s="87"/>
      <c r="LPC47" s="87"/>
      <c r="LPD47" s="87"/>
      <c r="LPE47" s="87"/>
      <c r="LPF47" s="87"/>
      <c r="LPG47" s="87"/>
      <c r="LPH47" s="87"/>
      <c r="LPI47" s="87"/>
      <c r="LPJ47" s="87"/>
      <c r="LPK47" s="87"/>
      <c r="LPL47" s="87"/>
      <c r="LPM47" s="87"/>
      <c r="LPN47" s="87"/>
      <c r="LPO47" s="87"/>
      <c r="LPP47" s="87"/>
      <c r="LPQ47" s="87"/>
      <c r="LPR47" s="87"/>
      <c r="LPS47" s="87"/>
      <c r="LPT47" s="87"/>
      <c r="LPU47" s="87"/>
      <c r="LPV47" s="87"/>
      <c r="LPW47" s="87"/>
      <c r="LPX47" s="87"/>
      <c r="LPY47" s="87"/>
      <c r="LPZ47" s="87"/>
      <c r="LQA47" s="87"/>
      <c r="LQB47" s="87"/>
      <c r="LQC47" s="87"/>
      <c r="LQD47" s="87"/>
      <c r="LQE47" s="87"/>
      <c r="LQF47" s="87"/>
      <c r="LQG47" s="87"/>
      <c r="LQH47" s="87"/>
      <c r="LQI47" s="87"/>
      <c r="LQJ47" s="87"/>
      <c r="LQK47" s="87"/>
      <c r="LQL47" s="87"/>
      <c r="LQM47" s="87"/>
      <c r="LQN47" s="87"/>
      <c r="LQO47" s="87"/>
      <c r="LQP47" s="87"/>
      <c r="LQQ47" s="87"/>
      <c r="LQR47" s="87"/>
      <c r="LQS47" s="87"/>
      <c r="LQT47" s="87"/>
      <c r="LQU47" s="87"/>
      <c r="LQV47" s="87"/>
      <c r="LQW47" s="87"/>
      <c r="LQX47" s="87"/>
      <c r="LQY47" s="87"/>
      <c r="LQZ47" s="87"/>
      <c r="LRA47" s="87"/>
      <c r="LRB47" s="87"/>
      <c r="LRC47" s="87"/>
      <c r="LRD47" s="87"/>
      <c r="LRE47" s="87"/>
      <c r="LRF47" s="87"/>
      <c r="LRG47" s="87"/>
      <c r="LRH47" s="87"/>
      <c r="LRI47" s="87"/>
      <c r="LRJ47" s="87"/>
      <c r="LRK47" s="87"/>
      <c r="LRL47" s="87"/>
      <c r="LRM47" s="87"/>
      <c r="LRN47" s="87"/>
      <c r="LRO47" s="87"/>
      <c r="LRP47" s="87"/>
      <c r="LRQ47" s="87"/>
      <c r="LRR47" s="87"/>
      <c r="LRS47" s="87"/>
      <c r="LRT47" s="87"/>
      <c r="LRU47" s="87"/>
      <c r="LRV47" s="87"/>
      <c r="LRW47" s="87"/>
      <c r="LRX47" s="87"/>
      <c r="LRY47" s="87"/>
      <c r="LRZ47" s="87"/>
      <c r="LSA47" s="87"/>
      <c r="LSB47" s="87"/>
      <c r="LSC47" s="87"/>
      <c r="LSD47" s="87"/>
      <c r="LSE47" s="87"/>
      <c r="LSF47" s="87"/>
      <c r="LSG47" s="87"/>
      <c r="LSH47" s="87"/>
      <c r="LSI47" s="87"/>
      <c r="LSJ47" s="87"/>
      <c r="LSK47" s="87"/>
      <c r="LSL47" s="87"/>
      <c r="LSM47" s="87"/>
      <c r="LSN47" s="87"/>
      <c r="LSO47" s="87"/>
      <c r="LSP47" s="87"/>
      <c r="LSQ47" s="87"/>
      <c r="LSR47" s="87"/>
      <c r="LSS47" s="87"/>
      <c r="LST47" s="87"/>
      <c r="LSU47" s="87"/>
      <c r="LSV47" s="87"/>
      <c r="LSW47" s="87"/>
      <c r="LSX47" s="87"/>
      <c r="LSY47" s="87"/>
      <c r="LSZ47" s="87"/>
      <c r="LTA47" s="87"/>
      <c r="LTB47" s="87"/>
      <c r="LTC47" s="87"/>
      <c r="LTD47" s="87"/>
      <c r="LTE47" s="87"/>
      <c r="LTF47" s="87"/>
      <c r="LTG47" s="87"/>
      <c r="LTH47" s="87"/>
      <c r="LTI47" s="87"/>
      <c r="LTJ47" s="87"/>
      <c r="LTK47" s="87"/>
      <c r="LTL47" s="87"/>
      <c r="LTM47" s="87"/>
      <c r="LTN47" s="87"/>
      <c r="LTO47" s="87"/>
      <c r="LTP47" s="87"/>
      <c r="LTQ47" s="87"/>
      <c r="LTR47" s="87"/>
      <c r="LTS47" s="87"/>
      <c r="LTT47" s="87"/>
      <c r="LTU47" s="87"/>
      <c r="LTV47" s="87"/>
      <c r="LTW47" s="87"/>
      <c r="LTX47" s="87"/>
      <c r="LTY47" s="87"/>
      <c r="LTZ47" s="87"/>
      <c r="LUA47" s="87"/>
      <c r="LUB47" s="87"/>
      <c r="LUC47" s="87"/>
      <c r="LUD47" s="87"/>
      <c r="LUE47" s="87"/>
      <c r="LUF47" s="87"/>
      <c r="LUG47" s="87"/>
      <c r="LUH47" s="87"/>
      <c r="LUI47" s="87"/>
      <c r="LUJ47" s="87"/>
      <c r="LUK47" s="87"/>
      <c r="LUL47" s="87"/>
      <c r="LUM47" s="87"/>
      <c r="LUN47" s="87"/>
      <c r="LUO47" s="87"/>
      <c r="LUP47" s="87"/>
      <c r="LUQ47" s="87"/>
      <c r="LUR47" s="87"/>
      <c r="LUS47" s="87"/>
      <c r="LUT47" s="87"/>
      <c r="LUU47" s="87"/>
      <c r="LUV47" s="87"/>
      <c r="LUW47" s="87"/>
      <c r="LUX47" s="87"/>
      <c r="LUY47" s="87"/>
      <c r="LUZ47" s="87"/>
      <c r="LVA47" s="87"/>
      <c r="LVB47" s="87"/>
      <c r="LVC47" s="87"/>
      <c r="LVD47" s="87"/>
      <c r="LVE47" s="87"/>
      <c r="LVF47" s="87"/>
      <c r="LVG47" s="87"/>
      <c r="LVH47" s="87"/>
      <c r="LVI47" s="87"/>
      <c r="LVJ47" s="87"/>
      <c r="LVK47" s="87"/>
      <c r="LVL47" s="87"/>
      <c r="LVM47" s="87"/>
      <c r="LVN47" s="87"/>
      <c r="LVO47" s="87"/>
      <c r="LVP47" s="87"/>
      <c r="LVQ47" s="87"/>
      <c r="LVR47" s="87"/>
      <c r="LVS47" s="87"/>
      <c r="LVT47" s="87"/>
      <c r="LVU47" s="87"/>
      <c r="LVV47" s="87"/>
      <c r="LVW47" s="87"/>
      <c r="LVX47" s="87"/>
      <c r="LVY47" s="87"/>
      <c r="LVZ47" s="87"/>
      <c r="LWA47" s="87"/>
      <c r="LWB47" s="87"/>
      <c r="LWC47" s="87"/>
      <c r="LWD47" s="87"/>
      <c r="LWE47" s="87"/>
      <c r="LWF47" s="87"/>
      <c r="LWG47" s="87"/>
      <c r="LWH47" s="87"/>
      <c r="LWI47" s="87"/>
      <c r="LWJ47" s="87"/>
      <c r="LWK47" s="87"/>
      <c r="LWL47" s="87"/>
      <c r="LWM47" s="87"/>
      <c r="LWN47" s="87"/>
      <c r="LWO47" s="87"/>
      <c r="LWP47" s="87"/>
      <c r="LWQ47" s="87"/>
      <c r="LWR47" s="87"/>
      <c r="LWS47" s="87"/>
      <c r="LWT47" s="87"/>
      <c r="LWU47" s="87"/>
      <c r="LWV47" s="87"/>
      <c r="LWW47" s="87"/>
      <c r="LWX47" s="87"/>
      <c r="LWY47" s="87"/>
      <c r="LWZ47" s="87"/>
      <c r="LXA47" s="87"/>
      <c r="LXB47" s="87"/>
      <c r="LXC47" s="87"/>
      <c r="LXD47" s="87"/>
      <c r="LXE47" s="87"/>
      <c r="LXF47" s="87"/>
      <c r="LXG47" s="87"/>
      <c r="LXH47" s="87"/>
      <c r="LXI47" s="87"/>
      <c r="LXJ47" s="87"/>
      <c r="LXK47" s="87"/>
      <c r="LXL47" s="87"/>
      <c r="LXM47" s="87"/>
      <c r="LXN47" s="87"/>
      <c r="LXO47" s="87"/>
      <c r="LXP47" s="87"/>
      <c r="LXQ47" s="87"/>
      <c r="LXR47" s="87"/>
      <c r="LXS47" s="87"/>
      <c r="LXT47" s="87"/>
      <c r="LXU47" s="87"/>
      <c r="LXV47" s="87"/>
      <c r="LXW47" s="87"/>
      <c r="LXX47" s="87"/>
      <c r="LXY47" s="87"/>
      <c r="LXZ47" s="87"/>
      <c r="LYA47" s="87"/>
      <c r="LYB47" s="87"/>
      <c r="LYC47" s="87"/>
      <c r="LYD47" s="87"/>
      <c r="LYE47" s="87"/>
      <c r="LYF47" s="87"/>
      <c r="LYG47" s="87"/>
      <c r="LYH47" s="87"/>
      <c r="LYI47" s="87"/>
      <c r="LYJ47" s="87"/>
      <c r="LYK47" s="87"/>
      <c r="LYL47" s="87"/>
      <c r="LYM47" s="87"/>
      <c r="LYN47" s="87"/>
      <c r="LYO47" s="87"/>
      <c r="LYP47" s="87"/>
      <c r="LYQ47" s="87"/>
      <c r="LYR47" s="87"/>
      <c r="LYS47" s="87"/>
      <c r="LYT47" s="87"/>
      <c r="LYU47" s="87"/>
      <c r="LYV47" s="87"/>
      <c r="LYW47" s="87"/>
      <c r="LYX47" s="87"/>
      <c r="LYY47" s="87"/>
      <c r="LYZ47" s="87"/>
      <c r="LZA47" s="87"/>
      <c r="LZB47" s="87"/>
      <c r="LZC47" s="87"/>
      <c r="LZD47" s="87"/>
      <c r="LZE47" s="87"/>
      <c r="LZF47" s="87"/>
      <c r="LZG47" s="87"/>
      <c r="LZH47" s="87"/>
      <c r="LZI47" s="87"/>
      <c r="LZJ47" s="87"/>
      <c r="LZK47" s="87"/>
      <c r="LZL47" s="87"/>
      <c r="LZM47" s="87"/>
      <c r="LZN47" s="87"/>
      <c r="LZO47" s="87"/>
      <c r="LZP47" s="87"/>
      <c r="LZQ47" s="87"/>
      <c r="LZR47" s="87"/>
      <c r="LZS47" s="87"/>
      <c r="LZT47" s="87"/>
      <c r="LZU47" s="87"/>
      <c r="LZV47" s="87"/>
      <c r="LZW47" s="87"/>
      <c r="LZX47" s="87"/>
      <c r="LZY47" s="87"/>
      <c r="LZZ47" s="87"/>
      <c r="MAA47" s="87"/>
      <c r="MAB47" s="87"/>
      <c r="MAC47" s="87"/>
      <c r="MAD47" s="87"/>
      <c r="MAE47" s="87"/>
      <c r="MAF47" s="87"/>
      <c r="MAG47" s="87"/>
      <c r="MAH47" s="87"/>
      <c r="MAI47" s="87"/>
      <c r="MAJ47" s="87"/>
      <c r="MAK47" s="87"/>
      <c r="MAL47" s="87"/>
      <c r="MAM47" s="87"/>
      <c r="MAN47" s="87"/>
      <c r="MAO47" s="87"/>
      <c r="MAP47" s="87"/>
      <c r="MAQ47" s="87"/>
      <c r="MAR47" s="87"/>
      <c r="MAS47" s="87"/>
      <c r="MAT47" s="87"/>
      <c r="MAU47" s="87"/>
      <c r="MAV47" s="87"/>
      <c r="MAW47" s="87"/>
      <c r="MAX47" s="87"/>
      <c r="MAY47" s="87"/>
      <c r="MAZ47" s="87"/>
      <c r="MBA47" s="87"/>
      <c r="MBB47" s="87"/>
      <c r="MBC47" s="87"/>
      <c r="MBD47" s="87"/>
      <c r="MBE47" s="87"/>
      <c r="MBF47" s="87"/>
      <c r="MBG47" s="87"/>
      <c r="MBH47" s="87"/>
      <c r="MBI47" s="87"/>
      <c r="MBJ47" s="87"/>
      <c r="MBK47" s="87"/>
      <c r="MBL47" s="87"/>
      <c r="MBM47" s="87"/>
      <c r="MBN47" s="87"/>
      <c r="MBO47" s="87"/>
      <c r="MBP47" s="87"/>
      <c r="MBQ47" s="87"/>
      <c r="MBR47" s="87"/>
      <c r="MBS47" s="87"/>
      <c r="MBT47" s="87"/>
      <c r="MBU47" s="87"/>
      <c r="MBV47" s="87"/>
      <c r="MBW47" s="87"/>
      <c r="MBX47" s="87"/>
      <c r="MBY47" s="87"/>
      <c r="MBZ47" s="87"/>
      <c r="MCA47" s="87"/>
      <c r="MCB47" s="87"/>
      <c r="MCC47" s="87"/>
      <c r="MCD47" s="87"/>
      <c r="MCE47" s="87"/>
      <c r="MCF47" s="87"/>
      <c r="MCG47" s="87"/>
      <c r="MCH47" s="87"/>
      <c r="MCI47" s="87"/>
      <c r="MCJ47" s="87"/>
      <c r="MCK47" s="87"/>
      <c r="MCL47" s="87"/>
      <c r="MCM47" s="87"/>
      <c r="MCN47" s="87"/>
      <c r="MCO47" s="87"/>
      <c r="MCP47" s="87"/>
      <c r="MCQ47" s="87"/>
      <c r="MCR47" s="87"/>
      <c r="MCS47" s="87"/>
      <c r="MCT47" s="87"/>
      <c r="MCU47" s="87"/>
      <c r="MCV47" s="87"/>
      <c r="MCW47" s="87"/>
      <c r="MCX47" s="87"/>
      <c r="MCY47" s="87"/>
      <c r="MCZ47" s="87"/>
      <c r="MDA47" s="87"/>
      <c r="MDB47" s="87"/>
      <c r="MDC47" s="87"/>
      <c r="MDD47" s="87"/>
      <c r="MDE47" s="87"/>
      <c r="MDF47" s="87"/>
      <c r="MDG47" s="87"/>
      <c r="MDH47" s="87"/>
      <c r="MDI47" s="87"/>
      <c r="MDJ47" s="87"/>
      <c r="MDK47" s="87"/>
      <c r="MDL47" s="87"/>
      <c r="MDM47" s="87"/>
      <c r="MDN47" s="87"/>
      <c r="MDO47" s="87"/>
      <c r="MDP47" s="87"/>
      <c r="MDQ47" s="87"/>
      <c r="MDR47" s="87"/>
      <c r="MDS47" s="87"/>
      <c r="MDT47" s="87"/>
      <c r="MDU47" s="87"/>
      <c r="MDV47" s="87"/>
      <c r="MDW47" s="87"/>
      <c r="MDX47" s="87"/>
      <c r="MDY47" s="87"/>
      <c r="MDZ47" s="87"/>
      <c r="MEA47" s="87"/>
      <c r="MEB47" s="87"/>
      <c r="MEC47" s="87"/>
      <c r="MED47" s="87"/>
      <c r="MEE47" s="87"/>
      <c r="MEF47" s="87"/>
      <c r="MEG47" s="87"/>
      <c r="MEH47" s="87"/>
      <c r="MEI47" s="87"/>
      <c r="MEJ47" s="87"/>
      <c r="MEK47" s="87"/>
      <c r="MEL47" s="87"/>
      <c r="MEM47" s="87"/>
      <c r="MEN47" s="87"/>
      <c r="MEO47" s="87"/>
      <c r="MEP47" s="87"/>
      <c r="MEQ47" s="87"/>
      <c r="MER47" s="87"/>
      <c r="MES47" s="87"/>
      <c r="MET47" s="87"/>
      <c r="MEU47" s="87"/>
      <c r="MEV47" s="87"/>
      <c r="MEW47" s="87"/>
      <c r="MEX47" s="87"/>
      <c r="MEY47" s="87"/>
      <c r="MEZ47" s="87"/>
      <c r="MFA47" s="87"/>
      <c r="MFB47" s="87"/>
      <c r="MFC47" s="87"/>
      <c r="MFD47" s="87"/>
      <c r="MFE47" s="87"/>
      <c r="MFF47" s="87"/>
      <c r="MFG47" s="87"/>
      <c r="MFH47" s="87"/>
      <c r="MFI47" s="87"/>
      <c r="MFJ47" s="87"/>
      <c r="MFK47" s="87"/>
      <c r="MFL47" s="87"/>
      <c r="MFM47" s="87"/>
      <c r="MFN47" s="87"/>
      <c r="MFO47" s="87"/>
      <c r="MFP47" s="87"/>
      <c r="MFQ47" s="87"/>
      <c r="MFR47" s="87"/>
      <c r="MFS47" s="87"/>
      <c r="MFT47" s="87"/>
      <c r="MFU47" s="87"/>
      <c r="MFV47" s="87"/>
      <c r="MFW47" s="87"/>
      <c r="MFX47" s="87"/>
      <c r="MFY47" s="87"/>
      <c r="MFZ47" s="87"/>
      <c r="MGA47" s="87"/>
      <c r="MGB47" s="87"/>
      <c r="MGC47" s="87"/>
      <c r="MGD47" s="87"/>
      <c r="MGE47" s="87"/>
      <c r="MGF47" s="87"/>
      <c r="MGG47" s="87"/>
      <c r="MGH47" s="87"/>
      <c r="MGI47" s="87"/>
      <c r="MGJ47" s="87"/>
      <c r="MGK47" s="87"/>
      <c r="MGL47" s="87"/>
      <c r="MGM47" s="87"/>
      <c r="MGN47" s="87"/>
      <c r="MGO47" s="87"/>
      <c r="MGP47" s="87"/>
      <c r="MGQ47" s="87"/>
      <c r="MGR47" s="87"/>
      <c r="MGS47" s="87"/>
      <c r="MGT47" s="87"/>
      <c r="MGU47" s="87"/>
      <c r="MGV47" s="87"/>
      <c r="MGW47" s="87"/>
      <c r="MGX47" s="87"/>
      <c r="MGY47" s="87"/>
      <c r="MGZ47" s="87"/>
      <c r="MHA47" s="87"/>
      <c r="MHB47" s="87"/>
      <c r="MHC47" s="87"/>
      <c r="MHD47" s="87"/>
      <c r="MHE47" s="87"/>
      <c r="MHF47" s="87"/>
      <c r="MHG47" s="87"/>
      <c r="MHH47" s="87"/>
      <c r="MHI47" s="87"/>
      <c r="MHJ47" s="87"/>
      <c r="MHK47" s="87"/>
      <c r="MHL47" s="87"/>
      <c r="MHM47" s="87"/>
      <c r="MHN47" s="87"/>
      <c r="MHO47" s="87"/>
      <c r="MHP47" s="87"/>
      <c r="MHQ47" s="87"/>
      <c r="MHR47" s="87"/>
      <c r="MHS47" s="87"/>
      <c r="MHT47" s="87"/>
      <c r="MHU47" s="87"/>
      <c r="MHV47" s="87"/>
      <c r="MHW47" s="87"/>
      <c r="MHX47" s="87"/>
      <c r="MHY47" s="87"/>
      <c r="MHZ47" s="87"/>
      <c r="MIA47" s="87"/>
      <c r="MIB47" s="87"/>
      <c r="MIC47" s="87"/>
      <c r="MID47" s="87"/>
      <c r="MIE47" s="87"/>
      <c r="MIF47" s="87"/>
      <c r="MIG47" s="87"/>
      <c r="MIH47" s="87"/>
      <c r="MII47" s="87"/>
      <c r="MIJ47" s="87"/>
      <c r="MIK47" s="87"/>
      <c r="MIL47" s="87"/>
      <c r="MIM47" s="87"/>
      <c r="MIN47" s="87"/>
      <c r="MIO47" s="87"/>
      <c r="MIP47" s="87"/>
      <c r="MIQ47" s="87"/>
      <c r="MIR47" s="87"/>
      <c r="MIS47" s="87"/>
      <c r="MIT47" s="87"/>
      <c r="MIU47" s="87"/>
      <c r="MIV47" s="87"/>
      <c r="MIW47" s="87"/>
      <c r="MIX47" s="87"/>
      <c r="MIY47" s="87"/>
      <c r="MIZ47" s="87"/>
      <c r="MJA47" s="87"/>
      <c r="MJB47" s="87"/>
      <c r="MJC47" s="87"/>
      <c r="MJD47" s="87"/>
      <c r="MJE47" s="87"/>
      <c r="MJF47" s="87"/>
      <c r="MJG47" s="87"/>
      <c r="MJH47" s="87"/>
      <c r="MJI47" s="87"/>
      <c r="MJJ47" s="87"/>
      <c r="MJK47" s="87"/>
      <c r="MJL47" s="87"/>
      <c r="MJM47" s="87"/>
      <c r="MJN47" s="87"/>
      <c r="MJO47" s="87"/>
      <c r="MJP47" s="87"/>
      <c r="MJQ47" s="87"/>
      <c r="MJR47" s="87"/>
      <c r="MJS47" s="87"/>
      <c r="MJT47" s="87"/>
      <c r="MJU47" s="87"/>
      <c r="MJV47" s="87"/>
      <c r="MJW47" s="87"/>
      <c r="MJX47" s="87"/>
      <c r="MJY47" s="87"/>
      <c r="MJZ47" s="87"/>
      <c r="MKA47" s="87"/>
      <c r="MKB47" s="87"/>
      <c r="MKC47" s="87"/>
      <c r="MKD47" s="87"/>
      <c r="MKE47" s="87"/>
      <c r="MKF47" s="87"/>
      <c r="MKG47" s="87"/>
      <c r="MKH47" s="87"/>
      <c r="MKI47" s="87"/>
      <c r="MKJ47" s="87"/>
      <c r="MKK47" s="87"/>
      <c r="MKL47" s="87"/>
      <c r="MKM47" s="87"/>
      <c r="MKN47" s="87"/>
      <c r="MKO47" s="87"/>
      <c r="MKP47" s="87"/>
      <c r="MKQ47" s="87"/>
      <c r="MKR47" s="87"/>
      <c r="MKS47" s="87"/>
      <c r="MKT47" s="87"/>
      <c r="MKU47" s="87"/>
      <c r="MKV47" s="87"/>
      <c r="MKW47" s="87"/>
      <c r="MKX47" s="87"/>
      <c r="MKY47" s="87"/>
      <c r="MKZ47" s="87"/>
      <c r="MLA47" s="87"/>
      <c r="MLB47" s="87"/>
      <c r="MLC47" s="87"/>
      <c r="MLD47" s="87"/>
      <c r="MLE47" s="87"/>
      <c r="MLF47" s="87"/>
      <c r="MLG47" s="87"/>
      <c r="MLH47" s="87"/>
      <c r="MLI47" s="87"/>
      <c r="MLJ47" s="87"/>
      <c r="MLK47" s="87"/>
      <c r="MLL47" s="87"/>
      <c r="MLM47" s="87"/>
      <c r="MLN47" s="87"/>
      <c r="MLO47" s="87"/>
      <c r="MLP47" s="87"/>
      <c r="MLQ47" s="87"/>
      <c r="MLR47" s="87"/>
      <c r="MLS47" s="87"/>
      <c r="MLT47" s="87"/>
      <c r="MLU47" s="87"/>
      <c r="MLV47" s="87"/>
      <c r="MLW47" s="87"/>
      <c r="MLX47" s="87"/>
      <c r="MLY47" s="87"/>
      <c r="MLZ47" s="87"/>
      <c r="MMA47" s="87"/>
      <c r="MMB47" s="87"/>
      <c r="MMC47" s="87"/>
      <c r="MMD47" s="87"/>
      <c r="MME47" s="87"/>
      <c r="MMF47" s="87"/>
      <c r="MMG47" s="87"/>
      <c r="MMH47" s="87"/>
      <c r="MMI47" s="87"/>
      <c r="MMJ47" s="87"/>
      <c r="MMK47" s="87"/>
      <c r="MML47" s="87"/>
      <c r="MMM47" s="87"/>
      <c r="MMN47" s="87"/>
      <c r="MMO47" s="87"/>
      <c r="MMP47" s="87"/>
      <c r="MMQ47" s="87"/>
      <c r="MMR47" s="87"/>
      <c r="MMS47" s="87"/>
      <c r="MMT47" s="87"/>
      <c r="MMU47" s="87"/>
      <c r="MMV47" s="87"/>
      <c r="MMW47" s="87"/>
      <c r="MMX47" s="87"/>
      <c r="MMY47" s="87"/>
      <c r="MMZ47" s="87"/>
      <c r="MNA47" s="87"/>
      <c r="MNB47" s="87"/>
      <c r="MNC47" s="87"/>
      <c r="MND47" s="87"/>
      <c r="MNE47" s="87"/>
      <c r="MNF47" s="87"/>
      <c r="MNG47" s="87"/>
      <c r="MNH47" s="87"/>
      <c r="MNI47" s="87"/>
      <c r="MNJ47" s="87"/>
      <c r="MNK47" s="87"/>
      <c r="MNL47" s="87"/>
      <c r="MNM47" s="87"/>
      <c r="MNN47" s="87"/>
      <c r="MNO47" s="87"/>
      <c r="MNP47" s="87"/>
      <c r="MNQ47" s="87"/>
      <c r="MNR47" s="87"/>
      <c r="MNS47" s="87"/>
      <c r="MNT47" s="87"/>
      <c r="MNU47" s="87"/>
      <c r="MNV47" s="87"/>
      <c r="MNW47" s="87"/>
      <c r="MNX47" s="87"/>
      <c r="MNY47" s="87"/>
      <c r="MNZ47" s="87"/>
      <c r="MOA47" s="87"/>
      <c r="MOB47" s="87"/>
      <c r="MOC47" s="87"/>
      <c r="MOD47" s="87"/>
      <c r="MOE47" s="87"/>
      <c r="MOF47" s="87"/>
      <c r="MOG47" s="87"/>
      <c r="MOH47" s="87"/>
      <c r="MOI47" s="87"/>
      <c r="MOJ47" s="87"/>
      <c r="MOK47" s="87"/>
      <c r="MOL47" s="87"/>
      <c r="MOM47" s="87"/>
      <c r="MON47" s="87"/>
      <c r="MOO47" s="87"/>
      <c r="MOP47" s="87"/>
      <c r="MOQ47" s="87"/>
      <c r="MOR47" s="87"/>
      <c r="MOS47" s="87"/>
      <c r="MOT47" s="87"/>
      <c r="MOU47" s="87"/>
      <c r="MOV47" s="87"/>
      <c r="MOW47" s="87"/>
      <c r="MOX47" s="87"/>
      <c r="MOY47" s="87"/>
      <c r="MOZ47" s="87"/>
      <c r="MPA47" s="87"/>
      <c r="MPB47" s="87"/>
      <c r="MPC47" s="87"/>
      <c r="MPD47" s="87"/>
      <c r="MPE47" s="87"/>
      <c r="MPF47" s="87"/>
      <c r="MPG47" s="87"/>
      <c r="MPH47" s="87"/>
      <c r="MPI47" s="87"/>
      <c r="MPJ47" s="87"/>
      <c r="MPK47" s="87"/>
      <c r="MPL47" s="87"/>
      <c r="MPM47" s="87"/>
      <c r="MPN47" s="87"/>
      <c r="MPO47" s="87"/>
      <c r="MPP47" s="87"/>
      <c r="MPQ47" s="87"/>
      <c r="MPR47" s="87"/>
      <c r="MPS47" s="87"/>
      <c r="MPT47" s="87"/>
      <c r="MPU47" s="87"/>
      <c r="MPV47" s="87"/>
      <c r="MPW47" s="87"/>
      <c r="MPX47" s="87"/>
      <c r="MPY47" s="87"/>
      <c r="MPZ47" s="87"/>
      <c r="MQA47" s="87"/>
      <c r="MQB47" s="87"/>
      <c r="MQC47" s="87"/>
      <c r="MQD47" s="87"/>
      <c r="MQE47" s="87"/>
      <c r="MQF47" s="87"/>
      <c r="MQG47" s="87"/>
      <c r="MQH47" s="87"/>
      <c r="MQI47" s="87"/>
      <c r="MQJ47" s="87"/>
      <c r="MQK47" s="87"/>
      <c r="MQL47" s="87"/>
      <c r="MQM47" s="87"/>
      <c r="MQN47" s="87"/>
      <c r="MQO47" s="87"/>
      <c r="MQP47" s="87"/>
      <c r="MQQ47" s="87"/>
      <c r="MQR47" s="87"/>
      <c r="MQS47" s="87"/>
      <c r="MQT47" s="87"/>
      <c r="MQU47" s="87"/>
      <c r="MQV47" s="87"/>
      <c r="MQW47" s="87"/>
      <c r="MQX47" s="87"/>
      <c r="MQY47" s="87"/>
      <c r="MQZ47" s="87"/>
      <c r="MRA47" s="87"/>
      <c r="MRB47" s="87"/>
      <c r="MRC47" s="87"/>
      <c r="MRD47" s="87"/>
      <c r="MRE47" s="87"/>
      <c r="MRF47" s="87"/>
      <c r="MRG47" s="87"/>
      <c r="MRH47" s="87"/>
      <c r="MRI47" s="87"/>
      <c r="MRJ47" s="87"/>
      <c r="MRK47" s="87"/>
      <c r="MRL47" s="87"/>
      <c r="MRM47" s="87"/>
      <c r="MRN47" s="87"/>
      <c r="MRO47" s="87"/>
      <c r="MRP47" s="87"/>
      <c r="MRQ47" s="87"/>
      <c r="MRR47" s="87"/>
      <c r="MRS47" s="87"/>
      <c r="MRT47" s="87"/>
      <c r="MRU47" s="87"/>
      <c r="MRV47" s="87"/>
      <c r="MRW47" s="87"/>
      <c r="MRX47" s="87"/>
      <c r="MRY47" s="87"/>
      <c r="MRZ47" s="87"/>
      <c r="MSA47" s="87"/>
      <c r="MSB47" s="87"/>
      <c r="MSC47" s="87"/>
      <c r="MSD47" s="87"/>
      <c r="MSE47" s="87"/>
      <c r="MSF47" s="87"/>
      <c r="MSG47" s="87"/>
      <c r="MSH47" s="87"/>
      <c r="MSI47" s="87"/>
      <c r="MSJ47" s="87"/>
      <c r="MSK47" s="87"/>
      <c r="MSL47" s="87"/>
      <c r="MSM47" s="87"/>
      <c r="MSN47" s="87"/>
      <c r="MSO47" s="87"/>
      <c r="MSP47" s="87"/>
      <c r="MSQ47" s="87"/>
      <c r="MSR47" s="87"/>
      <c r="MSS47" s="87"/>
      <c r="MST47" s="87"/>
      <c r="MSU47" s="87"/>
      <c r="MSV47" s="87"/>
      <c r="MSW47" s="87"/>
      <c r="MSX47" s="87"/>
      <c r="MSY47" s="87"/>
      <c r="MSZ47" s="87"/>
      <c r="MTA47" s="87"/>
      <c r="MTB47" s="87"/>
      <c r="MTC47" s="87"/>
      <c r="MTD47" s="87"/>
      <c r="MTE47" s="87"/>
      <c r="MTF47" s="87"/>
      <c r="MTG47" s="87"/>
      <c r="MTH47" s="87"/>
      <c r="MTI47" s="87"/>
      <c r="MTJ47" s="87"/>
      <c r="MTK47" s="87"/>
      <c r="MTL47" s="87"/>
      <c r="MTM47" s="87"/>
      <c r="MTN47" s="87"/>
      <c r="MTO47" s="87"/>
      <c r="MTP47" s="87"/>
      <c r="MTQ47" s="87"/>
      <c r="MTR47" s="87"/>
      <c r="MTS47" s="87"/>
      <c r="MTT47" s="87"/>
      <c r="MTU47" s="87"/>
      <c r="MTV47" s="87"/>
      <c r="MTW47" s="87"/>
      <c r="MTX47" s="87"/>
      <c r="MTY47" s="87"/>
      <c r="MTZ47" s="87"/>
      <c r="MUA47" s="87"/>
      <c r="MUB47" s="87"/>
      <c r="MUC47" s="87"/>
      <c r="MUD47" s="87"/>
      <c r="MUE47" s="87"/>
      <c r="MUF47" s="87"/>
      <c r="MUG47" s="87"/>
      <c r="MUH47" s="87"/>
      <c r="MUI47" s="87"/>
      <c r="MUJ47" s="87"/>
      <c r="MUK47" s="87"/>
      <c r="MUL47" s="87"/>
      <c r="MUM47" s="87"/>
      <c r="MUN47" s="87"/>
      <c r="MUO47" s="87"/>
      <c r="MUP47" s="87"/>
      <c r="MUQ47" s="87"/>
      <c r="MUR47" s="87"/>
      <c r="MUS47" s="87"/>
      <c r="MUT47" s="87"/>
      <c r="MUU47" s="87"/>
      <c r="MUV47" s="87"/>
      <c r="MUW47" s="87"/>
      <c r="MUX47" s="87"/>
      <c r="MUY47" s="87"/>
      <c r="MUZ47" s="87"/>
      <c r="MVA47" s="87"/>
      <c r="MVB47" s="87"/>
      <c r="MVC47" s="87"/>
      <c r="MVD47" s="87"/>
      <c r="MVE47" s="87"/>
      <c r="MVF47" s="87"/>
      <c r="MVG47" s="87"/>
      <c r="MVH47" s="87"/>
      <c r="MVI47" s="87"/>
      <c r="MVJ47" s="87"/>
      <c r="MVK47" s="87"/>
      <c r="MVL47" s="87"/>
      <c r="MVM47" s="87"/>
      <c r="MVN47" s="87"/>
      <c r="MVO47" s="87"/>
      <c r="MVP47" s="87"/>
      <c r="MVQ47" s="87"/>
      <c r="MVR47" s="87"/>
      <c r="MVS47" s="87"/>
      <c r="MVT47" s="87"/>
      <c r="MVU47" s="87"/>
      <c r="MVV47" s="87"/>
      <c r="MVW47" s="87"/>
      <c r="MVX47" s="87"/>
      <c r="MVY47" s="87"/>
      <c r="MVZ47" s="87"/>
      <c r="MWA47" s="87"/>
      <c r="MWB47" s="87"/>
      <c r="MWC47" s="87"/>
      <c r="MWD47" s="87"/>
      <c r="MWE47" s="87"/>
      <c r="MWF47" s="87"/>
      <c r="MWG47" s="87"/>
      <c r="MWH47" s="87"/>
      <c r="MWI47" s="87"/>
      <c r="MWJ47" s="87"/>
      <c r="MWK47" s="87"/>
      <c r="MWL47" s="87"/>
      <c r="MWM47" s="87"/>
      <c r="MWN47" s="87"/>
      <c r="MWO47" s="87"/>
      <c r="MWP47" s="87"/>
      <c r="MWQ47" s="87"/>
      <c r="MWR47" s="87"/>
      <c r="MWS47" s="87"/>
      <c r="MWT47" s="87"/>
      <c r="MWU47" s="87"/>
      <c r="MWV47" s="87"/>
      <c r="MWW47" s="87"/>
      <c r="MWX47" s="87"/>
      <c r="MWY47" s="87"/>
      <c r="MWZ47" s="87"/>
      <c r="MXA47" s="87"/>
      <c r="MXB47" s="87"/>
      <c r="MXC47" s="87"/>
      <c r="MXD47" s="87"/>
      <c r="MXE47" s="87"/>
      <c r="MXF47" s="87"/>
      <c r="MXG47" s="87"/>
      <c r="MXH47" s="87"/>
      <c r="MXI47" s="87"/>
      <c r="MXJ47" s="87"/>
      <c r="MXK47" s="87"/>
      <c r="MXL47" s="87"/>
      <c r="MXM47" s="87"/>
      <c r="MXN47" s="87"/>
      <c r="MXO47" s="87"/>
      <c r="MXP47" s="87"/>
      <c r="MXQ47" s="87"/>
      <c r="MXR47" s="87"/>
      <c r="MXS47" s="87"/>
      <c r="MXT47" s="87"/>
      <c r="MXU47" s="87"/>
      <c r="MXV47" s="87"/>
      <c r="MXW47" s="87"/>
      <c r="MXX47" s="87"/>
      <c r="MXY47" s="87"/>
      <c r="MXZ47" s="87"/>
      <c r="MYA47" s="87"/>
      <c r="MYB47" s="87"/>
      <c r="MYC47" s="87"/>
      <c r="MYD47" s="87"/>
      <c r="MYE47" s="87"/>
      <c r="MYF47" s="87"/>
      <c r="MYG47" s="87"/>
      <c r="MYH47" s="87"/>
      <c r="MYI47" s="87"/>
      <c r="MYJ47" s="87"/>
      <c r="MYK47" s="87"/>
      <c r="MYL47" s="87"/>
      <c r="MYM47" s="87"/>
      <c r="MYN47" s="87"/>
      <c r="MYO47" s="87"/>
      <c r="MYP47" s="87"/>
      <c r="MYQ47" s="87"/>
      <c r="MYR47" s="87"/>
      <c r="MYS47" s="87"/>
      <c r="MYT47" s="87"/>
      <c r="MYU47" s="87"/>
      <c r="MYV47" s="87"/>
      <c r="MYW47" s="87"/>
      <c r="MYX47" s="87"/>
      <c r="MYY47" s="87"/>
      <c r="MYZ47" s="87"/>
      <c r="MZA47" s="87"/>
      <c r="MZB47" s="87"/>
      <c r="MZC47" s="87"/>
      <c r="MZD47" s="87"/>
      <c r="MZE47" s="87"/>
      <c r="MZF47" s="87"/>
      <c r="MZG47" s="87"/>
      <c r="MZH47" s="87"/>
      <c r="MZI47" s="87"/>
      <c r="MZJ47" s="87"/>
      <c r="MZK47" s="87"/>
      <c r="MZL47" s="87"/>
      <c r="MZM47" s="87"/>
      <c r="MZN47" s="87"/>
      <c r="MZO47" s="87"/>
      <c r="MZP47" s="87"/>
      <c r="MZQ47" s="87"/>
      <c r="MZR47" s="87"/>
      <c r="MZS47" s="87"/>
      <c r="MZT47" s="87"/>
      <c r="MZU47" s="87"/>
      <c r="MZV47" s="87"/>
      <c r="MZW47" s="87"/>
      <c r="MZX47" s="87"/>
      <c r="MZY47" s="87"/>
      <c r="MZZ47" s="87"/>
      <c r="NAA47" s="87"/>
      <c r="NAB47" s="87"/>
      <c r="NAC47" s="87"/>
      <c r="NAD47" s="87"/>
      <c r="NAE47" s="87"/>
      <c r="NAF47" s="87"/>
      <c r="NAG47" s="87"/>
      <c r="NAH47" s="87"/>
      <c r="NAI47" s="87"/>
      <c r="NAJ47" s="87"/>
      <c r="NAK47" s="87"/>
      <c r="NAL47" s="87"/>
      <c r="NAM47" s="87"/>
      <c r="NAN47" s="87"/>
      <c r="NAO47" s="87"/>
      <c r="NAP47" s="87"/>
      <c r="NAQ47" s="87"/>
      <c r="NAR47" s="87"/>
      <c r="NAS47" s="87"/>
      <c r="NAT47" s="87"/>
      <c r="NAU47" s="87"/>
      <c r="NAV47" s="87"/>
      <c r="NAW47" s="87"/>
      <c r="NAX47" s="87"/>
      <c r="NAY47" s="87"/>
      <c r="NAZ47" s="87"/>
      <c r="NBA47" s="87"/>
      <c r="NBB47" s="87"/>
      <c r="NBC47" s="87"/>
      <c r="NBD47" s="87"/>
      <c r="NBE47" s="87"/>
      <c r="NBF47" s="87"/>
      <c r="NBG47" s="87"/>
      <c r="NBH47" s="87"/>
      <c r="NBI47" s="87"/>
      <c r="NBJ47" s="87"/>
      <c r="NBK47" s="87"/>
      <c r="NBL47" s="87"/>
      <c r="NBM47" s="87"/>
      <c r="NBN47" s="87"/>
      <c r="NBO47" s="87"/>
      <c r="NBP47" s="87"/>
      <c r="NBQ47" s="87"/>
      <c r="NBR47" s="87"/>
      <c r="NBS47" s="87"/>
      <c r="NBT47" s="87"/>
      <c r="NBU47" s="87"/>
      <c r="NBV47" s="87"/>
      <c r="NBW47" s="87"/>
      <c r="NBX47" s="87"/>
      <c r="NBY47" s="87"/>
      <c r="NBZ47" s="87"/>
      <c r="NCA47" s="87"/>
      <c r="NCB47" s="87"/>
      <c r="NCC47" s="87"/>
      <c r="NCD47" s="87"/>
      <c r="NCE47" s="87"/>
      <c r="NCF47" s="87"/>
      <c r="NCG47" s="87"/>
      <c r="NCH47" s="87"/>
      <c r="NCI47" s="87"/>
      <c r="NCJ47" s="87"/>
      <c r="NCK47" s="87"/>
      <c r="NCL47" s="87"/>
      <c r="NCM47" s="87"/>
      <c r="NCN47" s="87"/>
      <c r="NCO47" s="87"/>
      <c r="NCP47" s="87"/>
      <c r="NCQ47" s="87"/>
      <c r="NCR47" s="87"/>
      <c r="NCS47" s="87"/>
      <c r="NCT47" s="87"/>
      <c r="NCU47" s="87"/>
      <c r="NCV47" s="87"/>
      <c r="NCW47" s="87"/>
      <c r="NCX47" s="87"/>
      <c r="NCY47" s="87"/>
      <c r="NCZ47" s="87"/>
      <c r="NDA47" s="87"/>
      <c r="NDB47" s="87"/>
      <c r="NDC47" s="87"/>
      <c r="NDD47" s="87"/>
      <c r="NDE47" s="87"/>
      <c r="NDF47" s="87"/>
      <c r="NDG47" s="87"/>
      <c r="NDH47" s="87"/>
      <c r="NDI47" s="87"/>
      <c r="NDJ47" s="87"/>
      <c r="NDK47" s="87"/>
      <c r="NDL47" s="87"/>
      <c r="NDM47" s="87"/>
      <c r="NDN47" s="87"/>
      <c r="NDO47" s="87"/>
      <c r="NDP47" s="87"/>
      <c r="NDQ47" s="87"/>
      <c r="NDR47" s="87"/>
      <c r="NDS47" s="87"/>
      <c r="NDT47" s="87"/>
      <c r="NDU47" s="87"/>
      <c r="NDV47" s="87"/>
      <c r="NDW47" s="87"/>
      <c r="NDX47" s="87"/>
      <c r="NDY47" s="87"/>
      <c r="NDZ47" s="87"/>
      <c r="NEA47" s="87"/>
      <c r="NEB47" s="87"/>
      <c r="NEC47" s="87"/>
      <c r="NED47" s="87"/>
      <c r="NEE47" s="87"/>
      <c r="NEF47" s="87"/>
      <c r="NEG47" s="87"/>
      <c r="NEH47" s="87"/>
      <c r="NEI47" s="87"/>
      <c r="NEJ47" s="87"/>
      <c r="NEK47" s="87"/>
      <c r="NEL47" s="87"/>
      <c r="NEM47" s="87"/>
      <c r="NEN47" s="87"/>
      <c r="NEO47" s="87"/>
      <c r="NEP47" s="87"/>
      <c r="NEQ47" s="87"/>
      <c r="NER47" s="87"/>
      <c r="NES47" s="87"/>
      <c r="NET47" s="87"/>
      <c r="NEU47" s="87"/>
      <c r="NEV47" s="87"/>
      <c r="NEW47" s="87"/>
      <c r="NEX47" s="87"/>
      <c r="NEY47" s="87"/>
      <c r="NEZ47" s="87"/>
      <c r="NFA47" s="87"/>
      <c r="NFB47" s="87"/>
      <c r="NFC47" s="87"/>
      <c r="NFD47" s="87"/>
      <c r="NFE47" s="87"/>
      <c r="NFF47" s="87"/>
      <c r="NFG47" s="87"/>
      <c r="NFH47" s="87"/>
      <c r="NFI47" s="87"/>
      <c r="NFJ47" s="87"/>
      <c r="NFK47" s="87"/>
      <c r="NFL47" s="87"/>
      <c r="NFM47" s="87"/>
      <c r="NFN47" s="87"/>
      <c r="NFO47" s="87"/>
      <c r="NFP47" s="87"/>
      <c r="NFQ47" s="87"/>
      <c r="NFR47" s="87"/>
      <c r="NFS47" s="87"/>
      <c r="NFT47" s="87"/>
      <c r="NFU47" s="87"/>
      <c r="NFV47" s="87"/>
      <c r="NFW47" s="87"/>
      <c r="NFX47" s="87"/>
      <c r="NFY47" s="87"/>
      <c r="NFZ47" s="87"/>
      <c r="NGA47" s="87"/>
      <c r="NGB47" s="87"/>
      <c r="NGC47" s="87"/>
      <c r="NGD47" s="87"/>
      <c r="NGE47" s="87"/>
      <c r="NGF47" s="87"/>
      <c r="NGG47" s="87"/>
      <c r="NGH47" s="87"/>
      <c r="NGI47" s="87"/>
      <c r="NGJ47" s="87"/>
      <c r="NGK47" s="87"/>
      <c r="NGL47" s="87"/>
      <c r="NGM47" s="87"/>
      <c r="NGN47" s="87"/>
      <c r="NGO47" s="87"/>
      <c r="NGP47" s="87"/>
      <c r="NGQ47" s="87"/>
      <c r="NGR47" s="87"/>
      <c r="NGS47" s="87"/>
      <c r="NGT47" s="87"/>
      <c r="NGU47" s="87"/>
      <c r="NGV47" s="87"/>
      <c r="NGW47" s="87"/>
      <c r="NGX47" s="87"/>
      <c r="NGY47" s="87"/>
      <c r="NGZ47" s="87"/>
      <c r="NHA47" s="87"/>
      <c r="NHB47" s="87"/>
      <c r="NHC47" s="87"/>
      <c r="NHD47" s="87"/>
      <c r="NHE47" s="87"/>
      <c r="NHF47" s="87"/>
      <c r="NHG47" s="87"/>
      <c r="NHH47" s="87"/>
      <c r="NHI47" s="87"/>
      <c r="NHJ47" s="87"/>
      <c r="NHK47" s="87"/>
      <c r="NHL47" s="87"/>
      <c r="NHM47" s="87"/>
      <c r="NHN47" s="87"/>
      <c r="NHO47" s="87"/>
      <c r="NHP47" s="87"/>
      <c r="NHQ47" s="87"/>
      <c r="NHR47" s="87"/>
      <c r="NHS47" s="87"/>
      <c r="NHT47" s="87"/>
      <c r="NHU47" s="87"/>
      <c r="NHV47" s="87"/>
      <c r="NHW47" s="87"/>
      <c r="NHX47" s="87"/>
      <c r="NHY47" s="87"/>
      <c r="NHZ47" s="87"/>
      <c r="NIA47" s="87"/>
      <c r="NIB47" s="87"/>
      <c r="NIC47" s="87"/>
      <c r="NID47" s="87"/>
      <c r="NIE47" s="87"/>
      <c r="NIF47" s="87"/>
      <c r="NIG47" s="87"/>
      <c r="NIH47" s="87"/>
      <c r="NII47" s="87"/>
      <c r="NIJ47" s="87"/>
      <c r="NIK47" s="87"/>
      <c r="NIL47" s="87"/>
      <c r="NIM47" s="87"/>
      <c r="NIN47" s="87"/>
      <c r="NIO47" s="87"/>
      <c r="NIP47" s="87"/>
      <c r="NIQ47" s="87"/>
      <c r="NIR47" s="87"/>
      <c r="NIS47" s="87"/>
      <c r="NIT47" s="87"/>
      <c r="NIU47" s="87"/>
      <c r="NIV47" s="87"/>
      <c r="NIW47" s="87"/>
      <c r="NIX47" s="87"/>
      <c r="NIY47" s="87"/>
      <c r="NIZ47" s="87"/>
      <c r="NJA47" s="87"/>
      <c r="NJB47" s="87"/>
      <c r="NJC47" s="87"/>
      <c r="NJD47" s="87"/>
      <c r="NJE47" s="87"/>
      <c r="NJF47" s="87"/>
      <c r="NJG47" s="87"/>
      <c r="NJH47" s="87"/>
      <c r="NJI47" s="87"/>
      <c r="NJJ47" s="87"/>
      <c r="NJK47" s="87"/>
      <c r="NJL47" s="87"/>
      <c r="NJM47" s="87"/>
      <c r="NJN47" s="87"/>
      <c r="NJO47" s="87"/>
      <c r="NJP47" s="87"/>
      <c r="NJQ47" s="87"/>
      <c r="NJR47" s="87"/>
      <c r="NJS47" s="87"/>
      <c r="NJT47" s="87"/>
      <c r="NJU47" s="87"/>
      <c r="NJV47" s="87"/>
      <c r="NJW47" s="87"/>
      <c r="NJX47" s="87"/>
      <c r="NJY47" s="87"/>
      <c r="NJZ47" s="87"/>
      <c r="NKA47" s="87"/>
      <c r="NKB47" s="87"/>
      <c r="NKC47" s="87"/>
      <c r="NKD47" s="87"/>
      <c r="NKE47" s="87"/>
      <c r="NKF47" s="87"/>
      <c r="NKG47" s="87"/>
      <c r="NKH47" s="87"/>
      <c r="NKI47" s="87"/>
      <c r="NKJ47" s="87"/>
      <c r="NKK47" s="87"/>
      <c r="NKL47" s="87"/>
      <c r="NKM47" s="87"/>
      <c r="NKN47" s="87"/>
      <c r="NKO47" s="87"/>
      <c r="NKP47" s="87"/>
      <c r="NKQ47" s="87"/>
      <c r="NKR47" s="87"/>
      <c r="NKS47" s="87"/>
      <c r="NKT47" s="87"/>
      <c r="NKU47" s="87"/>
      <c r="NKV47" s="87"/>
      <c r="NKW47" s="87"/>
      <c r="NKX47" s="87"/>
      <c r="NKY47" s="87"/>
      <c r="NKZ47" s="87"/>
      <c r="NLA47" s="87"/>
      <c r="NLB47" s="87"/>
      <c r="NLC47" s="87"/>
      <c r="NLD47" s="87"/>
      <c r="NLE47" s="87"/>
      <c r="NLF47" s="87"/>
      <c r="NLG47" s="87"/>
      <c r="NLH47" s="87"/>
      <c r="NLI47" s="87"/>
      <c r="NLJ47" s="87"/>
      <c r="NLK47" s="87"/>
      <c r="NLL47" s="87"/>
      <c r="NLM47" s="87"/>
      <c r="NLN47" s="87"/>
      <c r="NLO47" s="87"/>
      <c r="NLP47" s="87"/>
      <c r="NLQ47" s="87"/>
      <c r="NLR47" s="87"/>
      <c r="NLS47" s="87"/>
      <c r="NLT47" s="87"/>
      <c r="NLU47" s="87"/>
      <c r="NLV47" s="87"/>
      <c r="NLW47" s="87"/>
      <c r="NLX47" s="87"/>
      <c r="NLY47" s="87"/>
      <c r="NLZ47" s="87"/>
      <c r="NMA47" s="87"/>
      <c r="NMB47" s="87"/>
      <c r="NMC47" s="87"/>
      <c r="NMD47" s="87"/>
      <c r="NME47" s="87"/>
      <c r="NMF47" s="87"/>
      <c r="NMG47" s="87"/>
      <c r="NMH47" s="87"/>
      <c r="NMI47" s="87"/>
      <c r="NMJ47" s="87"/>
      <c r="NMK47" s="87"/>
      <c r="NML47" s="87"/>
      <c r="NMM47" s="87"/>
      <c r="NMN47" s="87"/>
      <c r="NMO47" s="87"/>
      <c r="NMP47" s="87"/>
      <c r="NMQ47" s="87"/>
      <c r="NMR47" s="87"/>
      <c r="NMS47" s="87"/>
      <c r="NMT47" s="87"/>
      <c r="NMU47" s="87"/>
      <c r="NMV47" s="87"/>
      <c r="NMW47" s="87"/>
      <c r="NMX47" s="87"/>
      <c r="NMY47" s="87"/>
      <c r="NMZ47" s="87"/>
      <c r="NNA47" s="87"/>
      <c r="NNB47" s="87"/>
      <c r="NNC47" s="87"/>
      <c r="NND47" s="87"/>
      <c r="NNE47" s="87"/>
      <c r="NNF47" s="87"/>
      <c r="NNG47" s="87"/>
      <c r="NNH47" s="87"/>
      <c r="NNI47" s="87"/>
      <c r="NNJ47" s="87"/>
      <c r="NNK47" s="87"/>
      <c r="NNL47" s="87"/>
      <c r="NNM47" s="87"/>
      <c r="NNN47" s="87"/>
      <c r="NNO47" s="87"/>
      <c r="NNP47" s="87"/>
      <c r="NNQ47" s="87"/>
      <c r="NNR47" s="87"/>
      <c r="NNS47" s="87"/>
      <c r="NNT47" s="87"/>
      <c r="NNU47" s="87"/>
      <c r="NNV47" s="87"/>
      <c r="NNW47" s="87"/>
      <c r="NNX47" s="87"/>
      <c r="NNY47" s="87"/>
      <c r="NNZ47" s="87"/>
      <c r="NOA47" s="87"/>
      <c r="NOB47" s="87"/>
      <c r="NOC47" s="87"/>
      <c r="NOD47" s="87"/>
      <c r="NOE47" s="87"/>
      <c r="NOF47" s="87"/>
      <c r="NOG47" s="87"/>
      <c r="NOH47" s="87"/>
      <c r="NOI47" s="87"/>
      <c r="NOJ47" s="87"/>
      <c r="NOK47" s="87"/>
      <c r="NOL47" s="87"/>
      <c r="NOM47" s="87"/>
      <c r="NON47" s="87"/>
      <c r="NOO47" s="87"/>
      <c r="NOP47" s="87"/>
      <c r="NOQ47" s="87"/>
      <c r="NOR47" s="87"/>
      <c r="NOS47" s="87"/>
      <c r="NOT47" s="87"/>
      <c r="NOU47" s="87"/>
      <c r="NOV47" s="87"/>
      <c r="NOW47" s="87"/>
      <c r="NOX47" s="87"/>
      <c r="NOY47" s="87"/>
      <c r="NOZ47" s="87"/>
      <c r="NPA47" s="87"/>
      <c r="NPB47" s="87"/>
      <c r="NPC47" s="87"/>
      <c r="NPD47" s="87"/>
      <c r="NPE47" s="87"/>
      <c r="NPF47" s="87"/>
      <c r="NPG47" s="87"/>
      <c r="NPH47" s="87"/>
      <c r="NPI47" s="87"/>
      <c r="NPJ47" s="87"/>
      <c r="NPK47" s="87"/>
      <c r="NPL47" s="87"/>
      <c r="NPM47" s="87"/>
      <c r="NPN47" s="87"/>
      <c r="NPO47" s="87"/>
      <c r="NPP47" s="87"/>
      <c r="NPQ47" s="87"/>
      <c r="NPR47" s="87"/>
      <c r="NPS47" s="87"/>
      <c r="NPT47" s="87"/>
      <c r="NPU47" s="87"/>
      <c r="NPV47" s="87"/>
      <c r="NPW47" s="87"/>
      <c r="NPX47" s="87"/>
      <c r="NPY47" s="87"/>
      <c r="NPZ47" s="87"/>
      <c r="NQA47" s="87"/>
      <c r="NQB47" s="87"/>
      <c r="NQC47" s="87"/>
      <c r="NQD47" s="87"/>
      <c r="NQE47" s="87"/>
      <c r="NQF47" s="87"/>
      <c r="NQG47" s="87"/>
      <c r="NQH47" s="87"/>
      <c r="NQI47" s="87"/>
      <c r="NQJ47" s="87"/>
      <c r="NQK47" s="87"/>
      <c r="NQL47" s="87"/>
      <c r="NQM47" s="87"/>
      <c r="NQN47" s="87"/>
      <c r="NQO47" s="87"/>
      <c r="NQP47" s="87"/>
      <c r="NQQ47" s="87"/>
      <c r="NQR47" s="87"/>
      <c r="NQS47" s="87"/>
      <c r="NQT47" s="87"/>
      <c r="NQU47" s="87"/>
      <c r="NQV47" s="87"/>
      <c r="NQW47" s="87"/>
      <c r="NQX47" s="87"/>
      <c r="NQY47" s="87"/>
      <c r="NQZ47" s="87"/>
      <c r="NRA47" s="87"/>
      <c r="NRB47" s="87"/>
      <c r="NRC47" s="87"/>
      <c r="NRD47" s="87"/>
      <c r="NRE47" s="87"/>
      <c r="NRF47" s="87"/>
      <c r="NRG47" s="87"/>
      <c r="NRH47" s="87"/>
      <c r="NRI47" s="87"/>
      <c r="NRJ47" s="87"/>
      <c r="NRK47" s="87"/>
      <c r="NRL47" s="87"/>
      <c r="NRM47" s="87"/>
      <c r="NRN47" s="87"/>
      <c r="NRO47" s="87"/>
      <c r="NRP47" s="87"/>
      <c r="NRQ47" s="87"/>
      <c r="NRR47" s="87"/>
      <c r="NRS47" s="87"/>
      <c r="NRT47" s="87"/>
      <c r="NRU47" s="87"/>
      <c r="NRV47" s="87"/>
      <c r="NRW47" s="87"/>
      <c r="NRX47" s="87"/>
      <c r="NRY47" s="87"/>
      <c r="NRZ47" s="87"/>
      <c r="NSA47" s="87"/>
      <c r="NSB47" s="87"/>
      <c r="NSC47" s="87"/>
      <c r="NSD47" s="87"/>
      <c r="NSE47" s="87"/>
      <c r="NSF47" s="87"/>
      <c r="NSG47" s="87"/>
      <c r="NSH47" s="87"/>
      <c r="NSI47" s="87"/>
      <c r="NSJ47" s="87"/>
      <c r="NSK47" s="87"/>
      <c r="NSL47" s="87"/>
      <c r="NSM47" s="87"/>
      <c r="NSN47" s="87"/>
      <c r="NSO47" s="87"/>
      <c r="NSP47" s="87"/>
      <c r="NSQ47" s="87"/>
      <c r="NSR47" s="87"/>
      <c r="NSS47" s="87"/>
      <c r="NST47" s="87"/>
      <c r="NSU47" s="87"/>
      <c r="NSV47" s="87"/>
      <c r="NSW47" s="87"/>
      <c r="NSX47" s="87"/>
      <c r="NSY47" s="87"/>
      <c r="NSZ47" s="87"/>
      <c r="NTA47" s="87"/>
      <c r="NTB47" s="87"/>
      <c r="NTC47" s="87"/>
      <c r="NTD47" s="87"/>
      <c r="NTE47" s="87"/>
      <c r="NTF47" s="87"/>
      <c r="NTG47" s="87"/>
      <c r="NTH47" s="87"/>
      <c r="NTI47" s="87"/>
      <c r="NTJ47" s="87"/>
      <c r="NTK47" s="87"/>
      <c r="NTL47" s="87"/>
      <c r="NTM47" s="87"/>
      <c r="NTN47" s="87"/>
      <c r="NTO47" s="87"/>
      <c r="NTP47" s="87"/>
      <c r="NTQ47" s="87"/>
      <c r="NTR47" s="87"/>
      <c r="NTS47" s="87"/>
      <c r="NTT47" s="87"/>
      <c r="NTU47" s="87"/>
      <c r="NTV47" s="87"/>
      <c r="NTW47" s="87"/>
      <c r="NTX47" s="87"/>
      <c r="NTY47" s="87"/>
      <c r="NTZ47" s="87"/>
      <c r="NUA47" s="87"/>
      <c r="NUB47" s="87"/>
      <c r="NUC47" s="87"/>
      <c r="NUD47" s="87"/>
      <c r="NUE47" s="87"/>
      <c r="NUF47" s="87"/>
      <c r="NUG47" s="87"/>
      <c r="NUH47" s="87"/>
      <c r="NUI47" s="87"/>
      <c r="NUJ47" s="87"/>
      <c r="NUK47" s="87"/>
      <c r="NUL47" s="87"/>
      <c r="NUM47" s="87"/>
      <c r="NUN47" s="87"/>
      <c r="NUO47" s="87"/>
      <c r="NUP47" s="87"/>
      <c r="NUQ47" s="87"/>
      <c r="NUR47" s="87"/>
      <c r="NUS47" s="87"/>
      <c r="NUT47" s="87"/>
      <c r="NUU47" s="87"/>
      <c r="NUV47" s="87"/>
      <c r="NUW47" s="87"/>
      <c r="NUX47" s="87"/>
      <c r="NUY47" s="87"/>
      <c r="NUZ47" s="87"/>
      <c r="NVA47" s="87"/>
      <c r="NVB47" s="87"/>
      <c r="NVC47" s="87"/>
      <c r="NVD47" s="87"/>
      <c r="NVE47" s="87"/>
      <c r="NVF47" s="87"/>
      <c r="NVG47" s="87"/>
      <c r="NVH47" s="87"/>
      <c r="NVI47" s="87"/>
      <c r="NVJ47" s="87"/>
      <c r="NVK47" s="87"/>
      <c r="NVL47" s="87"/>
      <c r="NVM47" s="87"/>
      <c r="NVN47" s="87"/>
      <c r="NVO47" s="87"/>
      <c r="NVP47" s="87"/>
      <c r="NVQ47" s="87"/>
      <c r="NVR47" s="87"/>
      <c r="NVS47" s="87"/>
      <c r="NVT47" s="87"/>
      <c r="NVU47" s="87"/>
      <c r="NVV47" s="87"/>
      <c r="NVW47" s="87"/>
      <c r="NVX47" s="87"/>
      <c r="NVY47" s="87"/>
      <c r="NVZ47" s="87"/>
      <c r="NWA47" s="87"/>
      <c r="NWB47" s="87"/>
      <c r="NWC47" s="87"/>
      <c r="NWD47" s="87"/>
      <c r="NWE47" s="87"/>
      <c r="NWF47" s="87"/>
      <c r="NWG47" s="87"/>
      <c r="NWH47" s="87"/>
      <c r="NWI47" s="87"/>
      <c r="NWJ47" s="87"/>
      <c r="NWK47" s="87"/>
      <c r="NWL47" s="87"/>
      <c r="NWM47" s="87"/>
      <c r="NWN47" s="87"/>
      <c r="NWO47" s="87"/>
      <c r="NWP47" s="87"/>
      <c r="NWQ47" s="87"/>
      <c r="NWR47" s="87"/>
      <c r="NWS47" s="87"/>
      <c r="NWT47" s="87"/>
      <c r="NWU47" s="87"/>
      <c r="NWV47" s="87"/>
      <c r="NWW47" s="87"/>
      <c r="NWX47" s="87"/>
      <c r="NWY47" s="87"/>
      <c r="NWZ47" s="87"/>
      <c r="NXA47" s="87"/>
      <c r="NXB47" s="87"/>
      <c r="NXC47" s="87"/>
      <c r="NXD47" s="87"/>
      <c r="NXE47" s="87"/>
      <c r="NXF47" s="87"/>
      <c r="NXG47" s="87"/>
      <c r="NXH47" s="87"/>
      <c r="NXI47" s="87"/>
      <c r="NXJ47" s="87"/>
      <c r="NXK47" s="87"/>
      <c r="NXL47" s="87"/>
      <c r="NXM47" s="87"/>
      <c r="NXN47" s="87"/>
      <c r="NXO47" s="87"/>
      <c r="NXP47" s="87"/>
      <c r="NXQ47" s="87"/>
      <c r="NXR47" s="87"/>
      <c r="NXS47" s="87"/>
      <c r="NXT47" s="87"/>
      <c r="NXU47" s="87"/>
      <c r="NXV47" s="87"/>
      <c r="NXW47" s="87"/>
      <c r="NXX47" s="87"/>
      <c r="NXY47" s="87"/>
      <c r="NXZ47" s="87"/>
      <c r="NYA47" s="87"/>
      <c r="NYB47" s="87"/>
      <c r="NYC47" s="87"/>
      <c r="NYD47" s="87"/>
      <c r="NYE47" s="87"/>
      <c r="NYF47" s="87"/>
      <c r="NYG47" s="87"/>
      <c r="NYH47" s="87"/>
      <c r="NYI47" s="87"/>
      <c r="NYJ47" s="87"/>
      <c r="NYK47" s="87"/>
      <c r="NYL47" s="87"/>
      <c r="NYM47" s="87"/>
      <c r="NYN47" s="87"/>
      <c r="NYO47" s="87"/>
      <c r="NYP47" s="87"/>
      <c r="NYQ47" s="87"/>
      <c r="NYR47" s="87"/>
      <c r="NYS47" s="87"/>
      <c r="NYT47" s="87"/>
      <c r="NYU47" s="87"/>
      <c r="NYV47" s="87"/>
      <c r="NYW47" s="87"/>
      <c r="NYX47" s="87"/>
      <c r="NYY47" s="87"/>
      <c r="NYZ47" s="87"/>
      <c r="NZA47" s="87"/>
      <c r="NZB47" s="87"/>
      <c r="NZC47" s="87"/>
      <c r="NZD47" s="87"/>
      <c r="NZE47" s="87"/>
      <c r="NZF47" s="87"/>
      <c r="NZG47" s="87"/>
      <c r="NZH47" s="87"/>
      <c r="NZI47" s="87"/>
      <c r="NZJ47" s="87"/>
      <c r="NZK47" s="87"/>
      <c r="NZL47" s="87"/>
      <c r="NZM47" s="87"/>
      <c r="NZN47" s="87"/>
      <c r="NZO47" s="87"/>
      <c r="NZP47" s="87"/>
      <c r="NZQ47" s="87"/>
      <c r="NZR47" s="87"/>
      <c r="NZS47" s="87"/>
      <c r="NZT47" s="87"/>
      <c r="NZU47" s="87"/>
      <c r="NZV47" s="87"/>
      <c r="NZW47" s="87"/>
      <c r="NZX47" s="87"/>
      <c r="NZY47" s="87"/>
      <c r="NZZ47" s="87"/>
      <c r="OAA47" s="87"/>
      <c r="OAB47" s="87"/>
      <c r="OAC47" s="87"/>
      <c r="OAD47" s="87"/>
      <c r="OAE47" s="87"/>
      <c r="OAF47" s="87"/>
      <c r="OAG47" s="87"/>
      <c r="OAH47" s="87"/>
      <c r="OAI47" s="87"/>
      <c r="OAJ47" s="87"/>
      <c r="OAK47" s="87"/>
      <c r="OAL47" s="87"/>
      <c r="OAM47" s="87"/>
      <c r="OAN47" s="87"/>
      <c r="OAO47" s="87"/>
      <c r="OAP47" s="87"/>
      <c r="OAQ47" s="87"/>
      <c r="OAR47" s="87"/>
      <c r="OAS47" s="87"/>
      <c r="OAT47" s="87"/>
      <c r="OAU47" s="87"/>
      <c r="OAV47" s="87"/>
      <c r="OAW47" s="87"/>
      <c r="OAX47" s="87"/>
      <c r="OAY47" s="87"/>
      <c r="OAZ47" s="87"/>
      <c r="OBA47" s="87"/>
      <c r="OBB47" s="87"/>
      <c r="OBC47" s="87"/>
      <c r="OBD47" s="87"/>
      <c r="OBE47" s="87"/>
      <c r="OBF47" s="87"/>
      <c r="OBG47" s="87"/>
      <c r="OBH47" s="87"/>
      <c r="OBI47" s="87"/>
      <c r="OBJ47" s="87"/>
      <c r="OBK47" s="87"/>
      <c r="OBL47" s="87"/>
      <c r="OBM47" s="87"/>
      <c r="OBN47" s="87"/>
      <c r="OBO47" s="87"/>
      <c r="OBP47" s="87"/>
      <c r="OBQ47" s="87"/>
      <c r="OBR47" s="87"/>
      <c r="OBS47" s="87"/>
      <c r="OBT47" s="87"/>
      <c r="OBU47" s="87"/>
      <c r="OBV47" s="87"/>
      <c r="OBW47" s="87"/>
      <c r="OBX47" s="87"/>
      <c r="OBY47" s="87"/>
      <c r="OBZ47" s="87"/>
      <c r="OCA47" s="87"/>
      <c r="OCB47" s="87"/>
      <c r="OCC47" s="87"/>
      <c r="OCD47" s="87"/>
      <c r="OCE47" s="87"/>
      <c r="OCF47" s="87"/>
      <c r="OCG47" s="87"/>
      <c r="OCH47" s="87"/>
      <c r="OCI47" s="87"/>
      <c r="OCJ47" s="87"/>
      <c r="OCK47" s="87"/>
      <c r="OCL47" s="87"/>
      <c r="OCM47" s="87"/>
      <c r="OCN47" s="87"/>
      <c r="OCO47" s="87"/>
      <c r="OCP47" s="87"/>
      <c r="OCQ47" s="87"/>
      <c r="OCR47" s="87"/>
      <c r="OCS47" s="87"/>
      <c r="OCT47" s="87"/>
      <c r="OCU47" s="87"/>
      <c r="OCV47" s="87"/>
      <c r="OCW47" s="87"/>
      <c r="OCX47" s="87"/>
      <c r="OCY47" s="87"/>
      <c r="OCZ47" s="87"/>
      <c r="ODA47" s="87"/>
      <c r="ODB47" s="87"/>
      <c r="ODC47" s="87"/>
      <c r="ODD47" s="87"/>
      <c r="ODE47" s="87"/>
      <c r="ODF47" s="87"/>
      <c r="ODG47" s="87"/>
      <c r="ODH47" s="87"/>
      <c r="ODI47" s="87"/>
      <c r="ODJ47" s="87"/>
      <c r="ODK47" s="87"/>
      <c r="ODL47" s="87"/>
      <c r="ODM47" s="87"/>
      <c r="ODN47" s="87"/>
      <c r="ODO47" s="87"/>
      <c r="ODP47" s="87"/>
      <c r="ODQ47" s="87"/>
      <c r="ODR47" s="87"/>
      <c r="ODS47" s="87"/>
      <c r="ODT47" s="87"/>
      <c r="ODU47" s="87"/>
      <c r="ODV47" s="87"/>
      <c r="ODW47" s="87"/>
      <c r="ODX47" s="87"/>
      <c r="ODY47" s="87"/>
      <c r="ODZ47" s="87"/>
      <c r="OEA47" s="87"/>
      <c r="OEB47" s="87"/>
      <c r="OEC47" s="87"/>
      <c r="OED47" s="87"/>
      <c r="OEE47" s="87"/>
      <c r="OEF47" s="87"/>
      <c r="OEG47" s="87"/>
      <c r="OEH47" s="87"/>
      <c r="OEI47" s="87"/>
      <c r="OEJ47" s="87"/>
      <c r="OEK47" s="87"/>
      <c r="OEL47" s="87"/>
      <c r="OEM47" s="87"/>
      <c r="OEN47" s="87"/>
      <c r="OEO47" s="87"/>
      <c r="OEP47" s="87"/>
      <c r="OEQ47" s="87"/>
      <c r="OER47" s="87"/>
      <c r="OES47" s="87"/>
      <c r="OET47" s="87"/>
      <c r="OEU47" s="87"/>
      <c r="OEV47" s="87"/>
      <c r="OEW47" s="87"/>
      <c r="OEX47" s="87"/>
      <c r="OEY47" s="87"/>
      <c r="OEZ47" s="87"/>
      <c r="OFA47" s="87"/>
      <c r="OFB47" s="87"/>
      <c r="OFC47" s="87"/>
      <c r="OFD47" s="87"/>
      <c r="OFE47" s="87"/>
      <c r="OFF47" s="87"/>
      <c r="OFG47" s="87"/>
      <c r="OFH47" s="87"/>
      <c r="OFI47" s="87"/>
      <c r="OFJ47" s="87"/>
      <c r="OFK47" s="87"/>
      <c r="OFL47" s="87"/>
      <c r="OFM47" s="87"/>
      <c r="OFN47" s="87"/>
      <c r="OFO47" s="87"/>
      <c r="OFP47" s="87"/>
      <c r="OFQ47" s="87"/>
      <c r="OFR47" s="87"/>
      <c r="OFS47" s="87"/>
      <c r="OFT47" s="87"/>
      <c r="OFU47" s="87"/>
      <c r="OFV47" s="87"/>
      <c r="OFW47" s="87"/>
      <c r="OFX47" s="87"/>
      <c r="OFY47" s="87"/>
      <c r="OFZ47" s="87"/>
      <c r="OGA47" s="87"/>
      <c r="OGB47" s="87"/>
      <c r="OGC47" s="87"/>
      <c r="OGD47" s="87"/>
      <c r="OGE47" s="87"/>
      <c r="OGF47" s="87"/>
      <c r="OGG47" s="87"/>
      <c r="OGH47" s="87"/>
      <c r="OGI47" s="87"/>
      <c r="OGJ47" s="87"/>
      <c r="OGK47" s="87"/>
      <c r="OGL47" s="87"/>
      <c r="OGM47" s="87"/>
      <c r="OGN47" s="87"/>
      <c r="OGO47" s="87"/>
      <c r="OGP47" s="87"/>
      <c r="OGQ47" s="87"/>
      <c r="OGR47" s="87"/>
      <c r="OGS47" s="87"/>
      <c r="OGT47" s="87"/>
      <c r="OGU47" s="87"/>
      <c r="OGV47" s="87"/>
      <c r="OGW47" s="87"/>
      <c r="OGX47" s="87"/>
      <c r="OGY47" s="87"/>
      <c r="OGZ47" s="87"/>
      <c r="OHA47" s="87"/>
      <c r="OHB47" s="87"/>
      <c r="OHC47" s="87"/>
      <c r="OHD47" s="87"/>
      <c r="OHE47" s="87"/>
      <c r="OHF47" s="87"/>
      <c r="OHG47" s="87"/>
      <c r="OHH47" s="87"/>
      <c r="OHI47" s="87"/>
      <c r="OHJ47" s="87"/>
      <c r="OHK47" s="87"/>
      <c r="OHL47" s="87"/>
      <c r="OHM47" s="87"/>
      <c r="OHN47" s="87"/>
      <c r="OHO47" s="87"/>
      <c r="OHP47" s="87"/>
      <c r="OHQ47" s="87"/>
      <c r="OHR47" s="87"/>
      <c r="OHS47" s="87"/>
      <c r="OHT47" s="87"/>
      <c r="OHU47" s="87"/>
      <c r="OHV47" s="87"/>
      <c r="OHW47" s="87"/>
      <c r="OHX47" s="87"/>
      <c r="OHY47" s="87"/>
      <c r="OHZ47" s="87"/>
      <c r="OIA47" s="87"/>
      <c r="OIB47" s="87"/>
      <c r="OIC47" s="87"/>
      <c r="OID47" s="87"/>
      <c r="OIE47" s="87"/>
      <c r="OIF47" s="87"/>
      <c r="OIG47" s="87"/>
      <c r="OIH47" s="87"/>
      <c r="OII47" s="87"/>
      <c r="OIJ47" s="87"/>
      <c r="OIK47" s="87"/>
      <c r="OIL47" s="87"/>
      <c r="OIM47" s="87"/>
      <c r="OIN47" s="87"/>
      <c r="OIO47" s="87"/>
      <c r="OIP47" s="87"/>
      <c r="OIQ47" s="87"/>
      <c r="OIR47" s="87"/>
      <c r="OIS47" s="87"/>
      <c r="OIT47" s="87"/>
      <c r="OIU47" s="87"/>
      <c r="OIV47" s="87"/>
      <c r="OIW47" s="87"/>
      <c r="OIX47" s="87"/>
      <c r="OIY47" s="87"/>
      <c r="OIZ47" s="87"/>
      <c r="OJA47" s="87"/>
      <c r="OJB47" s="87"/>
      <c r="OJC47" s="87"/>
      <c r="OJD47" s="87"/>
      <c r="OJE47" s="87"/>
      <c r="OJF47" s="87"/>
      <c r="OJG47" s="87"/>
      <c r="OJH47" s="87"/>
      <c r="OJI47" s="87"/>
      <c r="OJJ47" s="87"/>
      <c r="OJK47" s="87"/>
      <c r="OJL47" s="87"/>
      <c r="OJM47" s="87"/>
      <c r="OJN47" s="87"/>
      <c r="OJO47" s="87"/>
      <c r="OJP47" s="87"/>
      <c r="OJQ47" s="87"/>
      <c r="OJR47" s="87"/>
      <c r="OJS47" s="87"/>
      <c r="OJT47" s="87"/>
      <c r="OJU47" s="87"/>
      <c r="OJV47" s="87"/>
      <c r="OJW47" s="87"/>
      <c r="OJX47" s="87"/>
      <c r="OJY47" s="87"/>
      <c r="OJZ47" s="87"/>
      <c r="OKA47" s="87"/>
      <c r="OKB47" s="87"/>
      <c r="OKC47" s="87"/>
      <c r="OKD47" s="87"/>
      <c r="OKE47" s="87"/>
      <c r="OKF47" s="87"/>
      <c r="OKG47" s="87"/>
      <c r="OKH47" s="87"/>
      <c r="OKI47" s="87"/>
      <c r="OKJ47" s="87"/>
      <c r="OKK47" s="87"/>
      <c r="OKL47" s="87"/>
      <c r="OKM47" s="87"/>
      <c r="OKN47" s="87"/>
      <c r="OKO47" s="87"/>
      <c r="OKP47" s="87"/>
      <c r="OKQ47" s="87"/>
      <c r="OKR47" s="87"/>
      <c r="OKS47" s="87"/>
      <c r="OKT47" s="87"/>
      <c r="OKU47" s="87"/>
      <c r="OKV47" s="87"/>
      <c r="OKW47" s="87"/>
      <c r="OKX47" s="87"/>
      <c r="OKY47" s="87"/>
      <c r="OKZ47" s="87"/>
      <c r="OLA47" s="87"/>
      <c r="OLB47" s="87"/>
      <c r="OLC47" s="87"/>
      <c r="OLD47" s="87"/>
      <c r="OLE47" s="87"/>
      <c r="OLF47" s="87"/>
      <c r="OLG47" s="87"/>
      <c r="OLH47" s="87"/>
      <c r="OLI47" s="87"/>
      <c r="OLJ47" s="87"/>
      <c r="OLK47" s="87"/>
      <c r="OLL47" s="87"/>
      <c r="OLM47" s="87"/>
      <c r="OLN47" s="87"/>
      <c r="OLO47" s="87"/>
      <c r="OLP47" s="87"/>
      <c r="OLQ47" s="87"/>
      <c r="OLR47" s="87"/>
      <c r="OLS47" s="87"/>
      <c r="OLT47" s="87"/>
      <c r="OLU47" s="87"/>
      <c r="OLV47" s="87"/>
      <c r="OLW47" s="87"/>
      <c r="OLX47" s="87"/>
      <c r="OLY47" s="87"/>
      <c r="OLZ47" s="87"/>
      <c r="OMA47" s="87"/>
      <c r="OMB47" s="87"/>
      <c r="OMC47" s="87"/>
      <c r="OMD47" s="87"/>
      <c r="OME47" s="87"/>
      <c r="OMF47" s="87"/>
      <c r="OMG47" s="87"/>
      <c r="OMH47" s="87"/>
      <c r="OMI47" s="87"/>
      <c r="OMJ47" s="87"/>
      <c r="OMK47" s="87"/>
      <c r="OML47" s="87"/>
      <c r="OMM47" s="87"/>
      <c r="OMN47" s="87"/>
      <c r="OMO47" s="87"/>
      <c r="OMP47" s="87"/>
      <c r="OMQ47" s="87"/>
      <c r="OMR47" s="87"/>
      <c r="OMS47" s="87"/>
      <c r="OMT47" s="87"/>
      <c r="OMU47" s="87"/>
      <c r="OMV47" s="87"/>
      <c r="OMW47" s="87"/>
      <c r="OMX47" s="87"/>
      <c r="OMY47" s="87"/>
      <c r="OMZ47" s="87"/>
      <c r="ONA47" s="87"/>
      <c r="ONB47" s="87"/>
      <c r="ONC47" s="87"/>
      <c r="OND47" s="87"/>
      <c r="ONE47" s="87"/>
      <c r="ONF47" s="87"/>
      <c r="ONG47" s="87"/>
      <c r="ONH47" s="87"/>
      <c r="ONI47" s="87"/>
      <c r="ONJ47" s="87"/>
      <c r="ONK47" s="87"/>
      <c r="ONL47" s="87"/>
      <c r="ONM47" s="87"/>
      <c r="ONN47" s="87"/>
      <c r="ONO47" s="87"/>
      <c r="ONP47" s="87"/>
      <c r="ONQ47" s="87"/>
      <c r="ONR47" s="87"/>
      <c r="ONS47" s="87"/>
      <c r="ONT47" s="87"/>
      <c r="ONU47" s="87"/>
      <c r="ONV47" s="87"/>
      <c r="ONW47" s="87"/>
      <c r="ONX47" s="87"/>
      <c r="ONY47" s="87"/>
      <c r="ONZ47" s="87"/>
      <c r="OOA47" s="87"/>
      <c r="OOB47" s="87"/>
      <c r="OOC47" s="87"/>
      <c r="OOD47" s="87"/>
      <c r="OOE47" s="87"/>
      <c r="OOF47" s="87"/>
      <c r="OOG47" s="87"/>
      <c r="OOH47" s="87"/>
      <c r="OOI47" s="87"/>
      <c r="OOJ47" s="87"/>
      <c r="OOK47" s="87"/>
      <c r="OOL47" s="87"/>
      <c r="OOM47" s="87"/>
      <c r="OON47" s="87"/>
      <c r="OOO47" s="87"/>
      <c r="OOP47" s="87"/>
      <c r="OOQ47" s="87"/>
      <c r="OOR47" s="87"/>
      <c r="OOS47" s="87"/>
      <c r="OOT47" s="87"/>
      <c r="OOU47" s="87"/>
      <c r="OOV47" s="87"/>
      <c r="OOW47" s="87"/>
      <c r="OOX47" s="87"/>
      <c r="OOY47" s="87"/>
      <c r="OOZ47" s="87"/>
      <c r="OPA47" s="87"/>
      <c r="OPB47" s="87"/>
      <c r="OPC47" s="87"/>
      <c r="OPD47" s="87"/>
      <c r="OPE47" s="87"/>
      <c r="OPF47" s="87"/>
      <c r="OPG47" s="87"/>
      <c r="OPH47" s="87"/>
      <c r="OPI47" s="87"/>
      <c r="OPJ47" s="87"/>
      <c r="OPK47" s="87"/>
      <c r="OPL47" s="87"/>
      <c r="OPM47" s="87"/>
      <c r="OPN47" s="87"/>
      <c r="OPO47" s="87"/>
      <c r="OPP47" s="87"/>
      <c r="OPQ47" s="87"/>
      <c r="OPR47" s="87"/>
      <c r="OPS47" s="87"/>
      <c r="OPT47" s="87"/>
      <c r="OPU47" s="87"/>
      <c r="OPV47" s="87"/>
      <c r="OPW47" s="87"/>
      <c r="OPX47" s="87"/>
      <c r="OPY47" s="87"/>
      <c r="OPZ47" s="87"/>
      <c r="OQA47" s="87"/>
      <c r="OQB47" s="87"/>
      <c r="OQC47" s="87"/>
      <c r="OQD47" s="87"/>
      <c r="OQE47" s="87"/>
      <c r="OQF47" s="87"/>
      <c r="OQG47" s="87"/>
      <c r="OQH47" s="87"/>
      <c r="OQI47" s="87"/>
      <c r="OQJ47" s="87"/>
      <c r="OQK47" s="87"/>
      <c r="OQL47" s="87"/>
      <c r="OQM47" s="87"/>
      <c r="OQN47" s="87"/>
      <c r="OQO47" s="87"/>
      <c r="OQP47" s="87"/>
      <c r="OQQ47" s="87"/>
      <c r="OQR47" s="87"/>
      <c r="OQS47" s="87"/>
      <c r="OQT47" s="87"/>
      <c r="OQU47" s="87"/>
      <c r="OQV47" s="87"/>
      <c r="OQW47" s="87"/>
      <c r="OQX47" s="87"/>
      <c r="OQY47" s="87"/>
      <c r="OQZ47" s="87"/>
      <c r="ORA47" s="87"/>
      <c r="ORB47" s="87"/>
      <c r="ORC47" s="87"/>
      <c r="ORD47" s="87"/>
      <c r="ORE47" s="87"/>
      <c r="ORF47" s="87"/>
      <c r="ORG47" s="87"/>
      <c r="ORH47" s="87"/>
      <c r="ORI47" s="87"/>
      <c r="ORJ47" s="87"/>
      <c r="ORK47" s="87"/>
      <c r="ORL47" s="87"/>
      <c r="ORM47" s="87"/>
      <c r="ORN47" s="87"/>
      <c r="ORO47" s="87"/>
      <c r="ORP47" s="87"/>
      <c r="ORQ47" s="87"/>
      <c r="ORR47" s="87"/>
      <c r="ORS47" s="87"/>
      <c r="ORT47" s="87"/>
      <c r="ORU47" s="87"/>
      <c r="ORV47" s="87"/>
      <c r="ORW47" s="87"/>
      <c r="ORX47" s="87"/>
      <c r="ORY47" s="87"/>
      <c r="ORZ47" s="87"/>
      <c r="OSA47" s="87"/>
      <c r="OSB47" s="87"/>
      <c r="OSC47" s="87"/>
      <c r="OSD47" s="87"/>
      <c r="OSE47" s="87"/>
      <c r="OSF47" s="87"/>
      <c r="OSG47" s="87"/>
      <c r="OSH47" s="87"/>
      <c r="OSI47" s="87"/>
      <c r="OSJ47" s="87"/>
      <c r="OSK47" s="87"/>
      <c r="OSL47" s="87"/>
      <c r="OSM47" s="87"/>
      <c r="OSN47" s="87"/>
      <c r="OSO47" s="87"/>
      <c r="OSP47" s="87"/>
      <c r="OSQ47" s="87"/>
      <c r="OSR47" s="87"/>
      <c r="OSS47" s="87"/>
      <c r="OST47" s="87"/>
      <c r="OSU47" s="87"/>
      <c r="OSV47" s="87"/>
      <c r="OSW47" s="87"/>
      <c r="OSX47" s="87"/>
      <c r="OSY47" s="87"/>
      <c r="OSZ47" s="87"/>
      <c r="OTA47" s="87"/>
      <c r="OTB47" s="87"/>
      <c r="OTC47" s="87"/>
      <c r="OTD47" s="87"/>
      <c r="OTE47" s="87"/>
      <c r="OTF47" s="87"/>
      <c r="OTG47" s="87"/>
      <c r="OTH47" s="87"/>
      <c r="OTI47" s="87"/>
      <c r="OTJ47" s="87"/>
      <c r="OTK47" s="87"/>
      <c r="OTL47" s="87"/>
      <c r="OTM47" s="87"/>
      <c r="OTN47" s="87"/>
      <c r="OTO47" s="87"/>
      <c r="OTP47" s="87"/>
      <c r="OTQ47" s="87"/>
      <c r="OTR47" s="87"/>
      <c r="OTS47" s="87"/>
      <c r="OTT47" s="87"/>
      <c r="OTU47" s="87"/>
      <c r="OTV47" s="87"/>
      <c r="OTW47" s="87"/>
      <c r="OTX47" s="87"/>
      <c r="OTY47" s="87"/>
      <c r="OTZ47" s="87"/>
      <c r="OUA47" s="87"/>
      <c r="OUB47" s="87"/>
      <c r="OUC47" s="87"/>
      <c r="OUD47" s="87"/>
      <c r="OUE47" s="87"/>
      <c r="OUF47" s="87"/>
      <c r="OUG47" s="87"/>
      <c r="OUH47" s="87"/>
      <c r="OUI47" s="87"/>
      <c r="OUJ47" s="87"/>
      <c r="OUK47" s="87"/>
      <c r="OUL47" s="87"/>
      <c r="OUM47" s="87"/>
      <c r="OUN47" s="87"/>
      <c r="OUO47" s="87"/>
      <c r="OUP47" s="87"/>
      <c r="OUQ47" s="87"/>
      <c r="OUR47" s="87"/>
      <c r="OUS47" s="87"/>
      <c r="OUT47" s="87"/>
      <c r="OUU47" s="87"/>
      <c r="OUV47" s="87"/>
      <c r="OUW47" s="87"/>
      <c r="OUX47" s="87"/>
      <c r="OUY47" s="87"/>
      <c r="OUZ47" s="87"/>
      <c r="OVA47" s="87"/>
      <c r="OVB47" s="87"/>
      <c r="OVC47" s="87"/>
      <c r="OVD47" s="87"/>
      <c r="OVE47" s="87"/>
      <c r="OVF47" s="87"/>
      <c r="OVG47" s="87"/>
      <c r="OVH47" s="87"/>
      <c r="OVI47" s="87"/>
      <c r="OVJ47" s="87"/>
      <c r="OVK47" s="87"/>
      <c r="OVL47" s="87"/>
      <c r="OVM47" s="87"/>
      <c r="OVN47" s="87"/>
      <c r="OVO47" s="87"/>
      <c r="OVP47" s="87"/>
      <c r="OVQ47" s="87"/>
      <c r="OVR47" s="87"/>
      <c r="OVS47" s="87"/>
      <c r="OVT47" s="87"/>
      <c r="OVU47" s="87"/>
      <c r="OVV47" s="87"/>
      <c r="OVW47" s="87"/>
      <c r="OVX47" s="87"/>
      <c r="OVY47" s="87"/>
      <c r="OVZ47" s="87"/>
      <c r="OWA47" s="87"/>
      <c r="OWB47" s="87"/>
      <c r="OWC47" s="87"/>
      <c r="OWD47" s="87"/>
      <c r="OWE47" s="87"/>
      <c r="OWF47" s="87"/>
      <c r="OWG47" s="87"/>
      <c r="OWH47" s="87"/>
      <c r="OWI47" s="87"/>
      <c r="OWJ47" s="87"/>
      <c r="OWK47" s="87"/>
      <c r="OWL47" s="87"/>
      <c r="OWM47" s="87"/>
      <c r="OWN47" s="87"/>
      <c r="OWO47" s="87"/>
      <c r="OWP47" s="87"/>
      <c r="OWQ47" s="87"/>
      <c r="OWR47" s="87"/>
      <c r="OWS47" s="87"/>
      <c r="OWT47" s="87"/>
      <c r="OWU47" s="87"/>
      <c r="OWV47" s="87"/>
      <c r="OWW47" s="87"/>
      <c r="OWX47" s="87"/>
      <c r="OWY47" s="87"/>
      <c r="OWZ47" s="87"/>
      <c r="OXA47" s="87"/>
      <c r="OXB47" s="87"/>
      <c r="OXC47" s="87"/>
      <c r="OXD47" s="87"/>
      <c r="OXE47" s="87"/>
      <c r="OXF47" s="87"/>
      <c r="OXG47" s="87"/>
      <c r="OXH47" s="87"/>
      <c r="OXI47" s="87"/>
      <c r="OXJ47" s="87"/>
      <c r="OXK47" s="87"/>
      <c r="OXL47" s="87"/>
      <c r="OXM47" s="87"/>
      <c r="OXN47" s="87"/>
      <c r="OXO47" s="87"/>
      <c r="OXP47" s="87"/>
      <c r="OXQ47" s="87"/>
      <c r="OXR47" s="87"/>
      <c r="OXS47" s="87"/>
      <c r="OXT47" s="87"/>
      <c r="OXU47" s="87"/>
      <c r="OXV47" s="87"/>
      <c r="OXW47" s="87"/>
      <c r="OXX47" s="87"/>
      <c r="OXY47" s="87"/>
      <c r="OXZ47" s="87"/>
      <c r="OYA47" s="87"/>
      <c r="OYB47" s="87"/>
      <c r="OYC47" s="87"/>
      <c r="OYD47" s="87"/>
      <c r="OYE47" s="87"/>
      <c r="OYF47" s="87"/>
      <c r="OYG47" s="87"/>
      <c r="OYH47" s="87"/>
      <c r="OYI47" s="87"/>
      <c r="OYJ47" s="87"/>
      <c r="OYK47" s="87"/>
      <c r="OYL47" s="87"/>
      <c r="OYM47" s="87"/>
      <c r="OYN47" s="87"/>
      <c r="OYO47" s="87"/>
      <c r="OYP47" s="87"/>
      <c r="OYQ47" s="87"/>
      <c r="OYR47" s="87"/>
      <c r="OYS47" s="87"/>
      <c r="OYT47" s="87"/>
      <c r="OYU47" s="87"/>
      <c r="OYV47" s="87"/>
      <c r="OYW47" s="87"/>
      <c r="OYX47" s="87"/>
      <c r="OYY47" s="87"/>
      <c r="OYZ47" s="87"/>
      <c r="OZA47" s="87"/>
      <c r="OZB47" s="87"/>
      <c r="OZC47" s="87"/>
      <c r="OZD47" s="87"/>
      <c r="OZE47" s="87"/>
      <c r="OZF47" s="87"/>
      <c r="OZG47" s="87"/>
      <c r="OZH47" s="87"/>
      <c r="OZI47" s="87"/>
      <c r="OZJ47" s="87"/>
      <c r="OZK47" s="87"/>
      <c r="OZL47" s="87"/>
      <c r="OZM47" s="87"/>
      <c r="OZN47" s="87"/>
      <c r="OZO47" s="87"/>
      <c r="OZP47" s="87"/>
      <c r="OZQ47" s="87"/>
      <c r="OZR47" s="87"/>
      <c r="OZS47" s="87"/>
      <c r="OZT47" s="87"/>
      <c r="OZU47" s="87"/>
      <c r="OZV47" s="87"/>
      <c r="OZW47" s="87"/>
      <c r="OZX47" s="87"/>
      <c r="OZY47" s="87"/>
      <c r="OZZ47" s="87"/>
      <c r="PAA47" s="87"/>
      <c r="PAB47" s="87"/>
      <c r="PAC47" s="87"/>
      <c r="PAD47" s="87"/>
      <c r="PAE47" s="87"/>
      <c r="PAF47" s="87"/>
      <c r="PAG47" s="87"/>
      <c r="PAH47" s="87"/>
      <c r="PAI47" s="87"/>
      <c r="PAJ47" s="87"/>
      <c r="PAK47" s="87"/>
      <c r="PAL47" s="87"/>
      <c r="PAM47" s="87"/>
      <c r="PAN47" s="87"/>
      <c r="PAO47" s="87"/>
      <c r="PAP47" s="87"/>
      <c r="PAQ47" s="87"/>
      <c r="PAR47" s="87"/>
      <c r="PAS47" s="87"/>
      <c r="PAT47" s="87"/>
      <c r="PAU47" s="87"/>
      <c r="PAV47" s="87"/>
      <c r="PAW47" s="87"/>
      <c r="PAX47" s="87"/>
      <c r="PAY47" s="87"/>
      <c r="PAZ47" s="87"/>
      <c r="PBA47" s="87"/>
      <c r="PBB47" s="87"/>
      <c r="PBC47" s="87"/>
      <c r="PBD47" s="87"/>
      <c r="PBE47" s="87"/>
      <c r="PBF47" s="87"/>
      <c r="PBG47" s="87"/>
      <c r="PBH47" s="87"/>
      <c r="PBI47" s="87"/>
      <c r="PBJ47" s="87"/>
      <c r="PBK47" s="87"/>
      <c r="PBL47" s="87"/>
      <c r="PBM47" s="87"/>
      <c r="PBN47" s="87"/>
      <c r="PBO47" s="87"/>
      <c r="PBP47" s="87"/>
      <c r="PBQ47" s="87"/>
      <c r="PBR47" s="87"/>
      <c r="PBS47" s="87"/>
      <c r="PBT47" s="87"/>
      <c r="PBU47" s="87"/>
      <c r="PBV47" s="87"/>
      <c r="PBW47" s="87"/>
      <c r="PBX47" s="87"/>
      <c r="PBY47" s="87"/>
      <c r="PBZ47" s="87"/>
      <c r="PCA47" s="87"/>
      <c r="PCB47" s="87"/>
      <c r="PCC47" s="87"/>
      <c r="PCD47" s="87"/>
      <c r="PCE47" s="87"/>
      <c r="PCF47" s="87"/>
      <c r="PCG47" s="87"/>
      <c r="PCH47" s="87"/>
      <c r="PCI47" s="87"/>
      <c r="PCJ47" s="87"/>
      <c r="PCK47" s="87"/>
      <c r="PCL47" s="87"/>
      <c r="PCM47" s="87"/>
      <c r="PCN47" s="87"/>
      <c r="PCO47" s="87"/>
      <c r="PCP47" s="87"/>
      <c r="PCQ47" s="87"/>
      <c r="PCR47" s="87"/>
      <c r="PCS47" s="87"/>
      <c r="PCT47" s="87"/>
      <c r="PCU47" s="87"/>
      <c r="PCV47" s="87"/>
      <c r="PCW47" s="87"/>
      <c r="PCX47" s="87"/>
      <c r="PCY47" s="87"/>
      <c r="PCZ47" s="87"/>
      <c r="PDA47" s="87"/>
      <c r="PDB47" s="87"/>
      <c r="PDC47" s="87"/>
      <c r="PDD47" s="87"/>
      <c r="PDE47" s="87"/>
      <c r="PDF47" s="87"/>
      <c r="PDG47" s="87"/>
      <c r="PDH47" s="87"/>
      <c r="PDI47" s="87"/>
      <c r="PDJ47" s="87"/>
      <c r="PDK47" s="87"/>
      <c r="PDL47" s="87"/>
      <c r="PDM47" s="87"/>
      <c r="PDN47" s="87"/>
      <c r="PDO47" s="87"/>
      <c r="PDP47" s="87"/>
      <c r="PDQ47" s="87"/>
      <c r="PDR47" s="87"/>
      <c r="PDS47" s="87"/>
      <c r="PDT47" s="87"/>
      <c r="PDU47" s="87"/>
      <c r="PDV47" s="87"/>
      <c r="PDW47" s="87"/>
      <c r="PDX47" s="87"/>
      <c r="PDY47" s="87"/>
      <c r="PDZ47" s="87"/>
      <c r="PEA47" s="87"/>
      <c r="PEB47" s="87"/>
      <c r="PEC47" s="87"/>
      <c r="PED47" s="87"/>
      <c r="PEE47" s="87"/>
      <c r="PEF47" s="87"/>
      <c r="PEG47" s="87"/>
      <c r="PEH47" s="87"/>
      <c r="PEI47" s="87"/>
      <c r="PEJ47" s="87"/>
      <c r="PEK47" s="87"/>
      <c r="PEL47" s="87"/>
      <c r="PEM47" s="87"/>
      <c r="PEN47" s="87"/>
      <c r="PEO47" s="87"/>
      <c r="PEP47" s="87"/>
      <c r="PEQ47" s="87"/>
      <c r="PER47" s="87"/>
      <c r="PES47" s="87"/>
      <c r="PET47" s="87"/>
      <c r="PEU47" s="87"/>
      <c r="PEV47" s="87"/>
      <c r="PEW47" s="87"/>
      <c r="PEX47" s="87"/>
      <c r="PEY47" s="87"/>
      <c r="PEZ47" s="87"/>
      <c r="PFA47" s="87"/>
      <c r="PFB47" s="87"/>
      <c r="PFC47" s="87"/>
      <c r="PFD47" s="87"/>
      <c r="PFE47" s="87"/>
      <c r="PFF47" s="87"/>
      <c r="PFG47" s="87"/>
      <c r="PFH47" s="87"/>
      <c r="PFI47" s="87"/>
      <c r="PFJ47" s="87"/>
      <c r="PFK47" s="87"/>
      <c r="PFL47" s="87"/>
      <c r="PFM47" s="87"/>
      <c r="PFN47" s="87"/>
      <c r="PFO47" s="87"/>
      <c r="PFP47" s="87"/>
      <c r="PFQ47" s="87"/>
      <c r="PFR47" s="87"/>
      <c r="PFS47" s="87"/>
      <c r="PFT47" s="87"/>
      <c r="PFU47" s="87"/>
      <c r="PFV47" s="87"/>
      <c r="PFW47" s="87"/>
      <c r="PFX47" s="87"/>
      <c r="PFY47" s="87"/>
      <c r="PFZ47" s="87"/>
      <c r="PGA47" s="87"/>
      <c r="PGB47" s="87"/>
      <c r="PGC47" s="87"/>
      <c r="PGD47" s="87"/>
      <c r="PGE47" s="87"/>
      <c r="PGF47" s="87"/>
      <c r="PGG47" s="87"/>
      <c r="PGH47" s="87"/>
      <c r="PGI47" s="87"/>
      <c r="PGJ47" s="87"/>
      <c r="PGK47" s="87"/>
      <c r="PGL47" s="87"/>
      <c r="PGM47" s="87"/>
      <c r="PGN47" s="87"/>
      <c r="PGO47" s="87"/>
      <c r="PGP47" s="87"/>
      <c r="PGQ47" s="87"/>
      <c r="PGR47" s="87"/>
      <c r="PGS47" s="87"/>
      <c r="PGT47" s="87"/>
      <c r="PGU47" s="87"/>
      <c r="PGV47" s="87"/>
      <c r="PGW47" s="87"/>
      <c r="PGX47" s="87"/>
      <c r="PGY47" s="87"/>
      <c r="PGZ47" s="87"/>
      <c r="PHA47" s="87"/>
      <c r="PHB47" s="87"/>
      <c r="PHC47" s="87"/>
      <c r="PHD47" s="87"/>
      <c r="PHE47" s="87"/>
      <c r="PHF47" s="87"/>
      <c r="PHG47" s="87"/>
      <c r="PHH47" s="87"/>
      <c r="PHI47" s="87"/>
      <c r="PHJ47" s="87"/>
      <c r="PHK47" s="87"/>
      <c r="PHL47" s="87"/>
      <c r="PHM47" s="87"/>
      <c r="PHN47" s="87"/>
      <c r="PHO47" s="87"/>
      <c r="PHP47" s="87"/>
      <c r="PHQ47" s="87"/>
      <c r="PHR47" s="87"/>
      <c r="PHS47" s="87"/>
      <c r="PHT47" s="87"/>
      <c r="PHU47" s="87"/>
      <c r="PHV47" s="87"/>
      <c r="PHW47" s="87"/>
      <c r="PHX47" s="87"/>
      <c r="PHY47" s="87"/>
      <c r="PHZ47" s="87"/>
      <c r="PIA47" s="87"/>
      <c r="PIB47" s="87"/>
      <c r="PIC47" s="87"/>
      <c r="PID47" s="87"/>
      <c r="PIE47" s="87"/>
      <c r="PIF47" s="87"/>
      <c r="PIG47" s="87"/>
      <c r="PIH47" s="87"/>
      <c r="PII47" s="87"/>
      <c r="PIJ47" s="87"/>
      <c r="PIK47" s="87"/>
      <c r="PIL47" s="87"/>
      <c r="PIM47" s="87"/>
      <c r="PIN47" s="87"/>
      <c r="PIO47" s="87"/>
      <c r="PIP47" s="87"/>
      <c r="PIQ47" s="87"/>
      <c r="PIR47" s="87"/>
      <c r="PIS47" s="87"/>
      <c r="PIT47" s="87"/>
      <c r="PIU47" s="87"/>
      <c r="PIV47" s="87"/>
      <c r="PIW47" s="87"/>
      <c r="PIX47" s="87"/>
      <c r="PIY47" s="87"/>
      <c r="PIZ47" s="87"/>
      <c r="PJA47" s="87"/>
      <c r="PJB47" s="87"/>
      <c r="PJC47" s="87"/>
      <c r="PJD47" s="87"/>
      <c r="PJE47" s="87"/>
      <c r="PJF47" s="87"/>
      <c r="PJG47" s="87"/>
      <c r="PJH47" s="87"/>
      <c r="PJI47" s="87"/>
      <c r="PJJ47" s="87"/>
      <c r="PJK47" s="87"/>
      <c r="PJL47" s="87"/>
      <c r="PJM47" s="87"/>
      <c r="PJN47" s="87"/>
      <c r="PJO47" s="87"/>
      <c r="PJP47" s="87"/>
      <c r="PJQ47" s="87"/>
      <c r="PJR47" s="87"/>
      <c r="PJS47" s="87"/>
      <c r="PJT47" s="87"/>
      <c r="PJU47" s="87"/>
      <c r="PJV47" s="87"/>
      <c r="PJW47" s="87"/>
      <c r="PJX47" s="87"/>
      <c r="PJY47" s="87"/>
      <c r="PJZ47" s="87"/>
      <c r="PKA47" s="87"/>
      <c r="PKB47" s="87"/>
      <c r="PKC47" s="87"/>
      <c r="PKD47" s="87"/>
      <c r="PKE47" s="87"/>
      <c r="PKF47" s="87"/>
      <c r="PKG47" s="87"/>
      <c r="PKH47" s="87"/>
      <c r="PKI47" s="87"/>
      <c r="PKJ47" s="87"/>
      <c r="PKK47" s="87"/>
      <c r="PKL47" s="87"/>
      <c r="PKM47" s="87"/>
      <c r="PKN47" s="87"/>
      <c r="PKO47" s="87"/>
      <c r="PKP47" s="87"/>
      <c r="PKQ47" s="87"/>
      <c r="PKR47" s="87"/>
      <c r="PKS47" s="87"/>
      <c r="PKT47" s="87"/>
      <c r="PKU47" s="87"/>
      <c r="PKV47" s="87"/>
      <c r="PKW47" s="87"/>
      <c r="PKX47" s="87"/>
      <c r="PKY47" s="87"/>
      <c r="PKZ47" s="87"/>
      <c r="PLA47" s="87"/>
      <c r="PLB47" s="87"/>
      <c r="PLC47" s="87"/>
      <c r="PLD47" s="87"/>
      <c r="PLE47" s="87"/>
      <c r="PLF47" s="87"/>
      <c r="PLG47" s="87"/>
      <c r="PLH47" s="87"/>
      <c r="PLI47" s="87"/>
      <c r="PLJ47" s="87"/>
      <c r="PLK47" s="87"/>
      <c r="PLL47" s="87"/>
      <c r="PLM47" s="87"/>
      <c r="PLN47" s="87"/>
      <c r="PLO47" s="87"/>
      <c r="PLP47" s="87"/>
      <c r="PLQ47" s="87"/>
      <c r="PLR47" s="87"/>
      <c r="PLS47" s="87"/>
      <c r="PLT47" s="87"/>
      <c r="PLU47" s="87"/>
      <c r="PLV47" s="87"/>
      <c r="PLW47" s="87"/>
      <c r="PLX47" s="87"/>
      <c r="PLY47" s="87"/>
      <c r="PLZ47" s="87"/>
      <c r="PMA47" s="87"/>
      <c r="PMB47" s="87"/>
      <c r="PMC47" s="87"/>
      <c r="PMD47" s="87"/>
      <c r="PME47" s="87"/>
      <c r="PMF47" s="87"/>
      <c r="PMG47" s="87"/>
      <c r="PMH47" s="87"/>
      <c r="PMI47" s="87"/>
      <c r="PMJ47" s="87"/>
      <c r="PMK47" s="87"/>
      <c r="PML47" s="87"/>
      <c r="PMM47" s="87"/>
      <c r="PMN47" s="87"/>
      <c r="PMO47" s="87"/>
      <c r="PMP47" s="87"/>
      <c r="PMQ47" s="87"/>
      <c r="PMR47" s="87"/>
      <c r="PMS47" s="87"/>
      <c r="PMT47" s="87"/>
      <c r="PMU47" s="87"/>
      <c r="PMV47" s="87"/>
      <c r="PMW47" s="87"/>
      <c r="PMX47" s="87"/>
      <c r="PMY47" s="87"/>
      <c r="PMZ47" s="87"/>
      <c r="PNA47" s="87"/>
      <c r="PNB47" s="87"/>
      <c r="PNC47" s="87"/>
      <c r="PND47" s="87"/>
      <c r="PNE47" s="87"/>
      <c r="PNF47" s="87"/>
      <c r="PNG47" s="87"/>
      <c r="PNH47" s="87"/>
      <c r="PNI47" s="87"/>
      <c r="PNJ47" s="87"/>
      <c r="PNK47" s="87"/>
      <c r="PNL47" s="87"/>
      <c r="PNM47" s="87"/>
      <c r="PNN47" s="87"/>
      <c r="PNO47" s="87"/>
      <c r="PNP47" s="87"/>
      <c r="PNQ47" s="87"/>
      <c r="PNR47" s="87"/>
      <c r="PNS47" s="87"/>
      <c r="PNT47" s="87"/>
      <c r="PNU47" s="87"/>
      <c r="PNV47" s="87"/>
      <c r="PNW47" s="87"/>
      <c r="PNX47" s="87"/>
      <c r="PNY47" s="87"/>
      <c r="PNZ47" s="87"/>
      <c r="POA47" s="87"/>
      <c r="POB47" s="87"/>
      <c r="POC47" s="87"/>
      <c r="POD47" s="87"/>
      <c r="POE47" s="87"/>
      <c r="POF47" s="87"/>
      <c r="POG47" s="87"/>
      <c r="POH47" s="87"/>
      <c r="POI47" s="87"/>
      <c r="POJ47" s="87"/>
      <c r="POK47" s="87"/>
      <c r="POL47" s="87"/>
      <c r="POM47" s="87"/>
      <c r="PON47" s="87"/>
      <c r="POO47" s="87"/>
      <c r="POP47" s="87"/>
      <c r="POQ47" s="87"/>
      <c r="POR47" s="87"/>
      <c r="POS47" s="87"/>
      <c r="POT47" s="87"/>
      <c r="POU47" s="87"/>
      <c r="POV47" s="87"/>
      <c r="POW47" s="87"/>
      <c r="POX47" s="87"/>
      <c r="POY47" s="87"/>
      <c r="POZ47" s="87"/>
      <c r="PPA47" s="87"/>
      <c r="PPB47" s="87"/>
      <c r="PPC47" s="87"/>
      <c r="PPD47" s="87"/>
      <c r="PPE47" s="87"/>
      <c r="PPF47" s="87"/>
      <c r="PPG47" s="87"/>
      <c r="PPH47" s="87"/>
      <c r="PPI47" s="87"/>
      <c r="PPJ47" s="87"/>
      <c r="PPK47" s="87"/>
      <c r="PPL47" s="87"/>
      <c r="PPM47" s="87"/>
      <c r="PPN47" s="87"/>
      <c r="PPO47" s="87"/>
      <c r="PPP47" s="87"/>
      <c r="PPQ47" s="87"/>
      <c r="PPR47" s="87"/>
      <c r="PPS47" s="87"/>
      <c r="PPT47" s="87"/>
      <c r="PPU47" s="87"/>
      <c r="PPV47" s="87"/>
      <c r="PPW47" s="87"/>
      <c r="PPX47" s="87"/>
      <c r="PPY47" s="87"/>
      <c r="PPZ47" s="87"/>
      <c r="PQA47" s="87"/>
      <c r="PQB47" s="87"/>
      <c r="PQC47" s="87"/>
      <c r="PQD47" s="87"/>
      <c r="PQE47" s="87"/>
      <c r="PQF47" s="87"/>
      <c r="PQG47" s="87"/>
      <c r="PQH47" s="87"/>
      <c r="PQI47" s="87"/>
      <c r="PQJ47" s="87"/>
      <c r="PQK47" s="87"/>
      <c r="PQL47" s="87"/>
      <c r="PQM47" s="87"/>
      <c r="PQN47" s="87"/>
      <c r="PQO47" s="87"/>
      <c r="PQP47" s="87"/>
      <c r="PQQ47" s="87"/>
      <c r="PQR47" s="87"/>
      <c r="PQS47" s="87"/>
      <c r="PQT47" s="87"/>
      <c r="PQU47" s="87"/>
      <c r="PQV47" s="87"/>
      <c r="PQW47" s="87"/>
      <c r="PQX47" s="87"/>
      <c r="PQY47" s="87"/>
      <c r="PQZ47" s="87"/>
      <c r="PRA47" s="87"/>
      <c r="PRB47" s="87"/>
      <c r="PRC47" s="87"/>
      <c r="PRD47" s="87"/>
      <c r="PRE47" s="87"/>
      <c r="PRF47" s="87"/>
      <c r="PRG47" s="87"/>
      <c r="PRH47" s="87"/>
      <c r="PRI47" s="87"/>
      <c r="PRJ47" s="87"/>
      <c r="PRK47" s="87"/>
      <c r="PRL47" s="87"/>
      <c r="PRM47" s="87"/>
      <c r="PRN47" s="87"/>
      <c r="PRO47" s="87"/>
      <c r="PRP47" s="87"/>
      <c r="PRQ47" s="87"/>
      <c r="PRR47" s="87"/>
      <c r="PRS47" s="87"/>
      <c r="PRT47" s="87"/>
      <c r="PRU47" s="87"/>
      <c r="PRV47" s="87"/>
      <c r="PRW47" s="87"/>
      <c r="PRX47" s="87"/>
      <c r="PRY47" s="87"/>
      <c r="PRZ47" s="87"/>
      <c r="PSA47" s="87"/>
      <c r="PSB47" s="87"/>
      <c r="PSC47" s="87"/>
      <c r="PSD47" s="87"/>
      <c r="PSE47" s="87"/>
      <c r="PSF47" s="87"/>
      <c r="PSG47" s="87"/>
      <c r="PSH47" s="87"/>
      <c r="PSI47" s="87"/>
      <c r="PSJ47" s="87"/>
      <c r="PSK47" s="87"/>
      <c r="PSL47" s="87"/>
      <c r="PSM47" s="87"/>
      <c r="PSN47" s="87"/>
      <c r="PSO47" s="87"/>
      <c r="PSP47" s="87"/>
      <c r="PSQ47" s="87"/>
      <c r="PSR47" s="87"/>
      <c r="PSS47" s="87"/>
      <c r="PST47" s="87"/>
      <c r="PSU47" s="87"/>
      <c r="PSV47" s="87"/>
      <c r="PSW47" s="87"/>
      <c r="PSX47" s="87"/>
      <c r="PSY47" s="87"/>
      <c r="PSZ47" s="87"/>
      <c r="PTA47" s="87"/>
      <c r="PTB47" s="87"/>
      <c r="PTC47" s="87"/>
      <c r="PTD47" s="87"/>
      <c r="PTE47" s="87"/>
      <c r="PTF47" s="87"/>
      <c r="PTG47" s="87"/>
      <c r="PTH47" s="87"/>
      <c r="PTI47" s="87"/>
      <c r="PTJ47" s="87"/>
      <c r="PTK47" s="87"/>
      <c r="PTL47" s="87"/>
      <c r="PTM47" s="87"/>
      <c r="PTN47" s="87"/>
      <c r="PTO47" s="87"/>
      <c r="PTP47" s="87"/>
      <c r="PTQ47" s="87"/>
      <c r="PTR47" s="87"/>
      <c r="PTS47" s="87"/>
      <c r="PTT47" s="87"/>
      <c r="PTU47" s="87"/>
      <c r="PTV47" s="87"/>
      <c r="PTW47" s="87"/>
      <c r="PTX47" s="87"/>
      <c r="PTY47" s="87"/>
      <c r="PTZ47" s="87"/>
      <c r="PUA47" s="87"/>
      <c r="PUB47" s="87"/>
      <c r="PUC47" s="87"/>
      <c r="PUD47" s="87"/>
      <c r="PUE47" s="87"/>
      <c r="PUF47" s="87"/>
      <c r="PUG47" s="87"/>
      <c r="PUH47" s="87"/>
      <c r="PUI47" s="87"/>
      <c r="PUJ47" s="87"/>
      <c r="PUK47" s="87"/>
      <c r="PUL47" s="87"/>
      <c r="PUM47" s="87"/>
      <c r="PUN47" s="87"/>
      <c r="PUO47" s="87"/>
      <c r="PUP47" s="87"/>
      <c r="PUQ47" s="87"/>
      <c r="PUR47" s="87"/>
      <c r="PUS47" s="87"/>
      <c r="PUT47" s="87"/>
      <c r="PUU47" s="87"/>
      <c r="PUV47" s="87"/>
      <c r="PUW47" s="87"/>
      <c r="PUX47" s="87"/>
      <c r="PUY47" s="87"/>
      <c r="PUZ47" s="87"/>
      <c r="PVA47" s="87"/>
      <c r="PVB47" s="87"/>
      <c r="PVC47" s="87"/>
      <c r="PVD47" s="87"/>
      <c r="PVE47" s="87"/>
      <c r="PVF47" s="87"/>
      <c r="PVG47" s="87"/>
      <c r="PVH47" s="87"/>
      <c r="PVI47" s="87"/>
      <c r="PVJ47" s="87"/>
      <c r="PVK47" s="87"/>
      <c r="PVL47" s="87"/>
      <c r="PVM47" s="87"/>
      <c r="PVN47" s="87"/>
      <c r="PVO47" s="87"/>
      <c r="PVP47" s="87"/>
      <c r="PVQ47" s="87"/>
      <c r="PVR47" s="87"/>
      <c r="PVS47" s="87"/>
      <c r="PVT47" s="87"/>
      <c r="PVU47" s="87"/>
      <c r="PVV47" s="87"/>
      <c r="PVW47" s="87"/>
      <c r="PVX47" s="87"/>
      <c r="PVY47" s="87"/>
      <c r="PVZ47" s="87"/>
      <c r="PWA47" s="87"/>
      <c r="PWB47" s="87"/>
      <c r="PWC47" s="87"/>
      <c r="PWD47" s="87"/>
      <c r="PWE47" s="87"/>
      <c r="PWF47" s="87"/>
      <c r="PWG47" s="87"/>
      <c r="PWH47" s="87"/>
      <c r="PWI47" s="87"/>
      <c r="PWJ47" s="87"/>
      <c r="PWK47" s="87"/>
      <c r="PWL47" s="87"/>
      <c r="PWM47" s="87"/>
      <c r="PWN47" s="87"/>
      <c r="PWO47" s="87"/>
      <c r="PWP47" s="87"/>
      <c r="PWQ47" s="87"/>
      <c r="PWR47" s="87"/>
      <c r="PWS47" s="87"/>
      <c r="PWT47" s="87"/>
      <c r="PWU47" s="87"/>
      <c r="PWV47" s="87"/>
      <c r="PWW47" s="87"/>
      <c r="PWX47" s="87"/>
      <c r="PWY47" s="87"/>
      <c r="PWZ47" s="87"/>
      <c r="PXA47" s="87"/>
      <c r="PXB47" s="87"/>
      <c r="PXC47" s="87"/>
      <c r="PXD47" s="87"/>
      <c r="PXE47" s="87"/>
      <c r="PXF47" s="87"/>
      <c r="PXG47" s="87"/>
      <c r="PXH47" s="87"/>
      <c r="PXI47" s="87"/>
      <c r="PXJ47" s="87"/>
      <c r="PXK47" s="87"/>
      <c r="PXL47" s="87"/>
      <c r="PXM47" s="87"/>
      <c r="PXN47" s="87"/>
      <c r="PXO47" s="87"/>
      <c r="PXP47" s="87"/>
      <c r="PXQ47" s="87"/>
      <c r="PXR47" s="87"/>
      <c r="PXS47" s="87"/>
      <c r="PXT47" s="87"/>
      <c r="PXU47" s="87"/>
      <c r="PXV47" s="87"/>
      <c r="PXW47" s="87"/>
      <c r="PXX47" s="87"/>
      <c r="PXY47" s="87"/>
      <c r="PXZ47" s="87"/>
      <c r="PYA47" s="87"/>
      <c r="PYB47" s="87"/>
      <c r="PYC47" s="87"/>
      <c r="PYD47" s="87"/>
      <c r="PYE47" s="87"/>
      <c r="PYF47" s="87"/>
      <c r="PYG47" s="87"/>
      <c r="PYH47" s="87"/>
      <c r="PYI47" s="87"/>
      <c r="PYJ47" s="87"/>
      <c r="PYK47" s="87"/>
      <c r="PYL47" s="87"/>
      <c r="PYM47" s="87"/>
      <c r="PYN47" s="87"/>
      <c r="PYO47" s="87"/>
      <c r="PYP47" s="87"/>
      <c r="PYQ47" s="87"/>
      <c r="PYR47" s="87"/>
      <c r="PYS47" s="87"/>
      <c r="PYT47" s="87"/>
      <c r="PYU47" s="87"/>
      <c r="PYV47" s="87"/>
      <c r="PYW47" s="87"/>
      <c r="PYX47" s="87"/>
      <c r="PYY47" s="87"/>
      <c r="PYZ47" s="87"/>
      <c r="PZA47" s="87"/>
      <c r="PZB47" s="87"/>
      <c r="PZC47" s="87"/>
      <c r="PZD47" s="87"/>
      <c r="PZE47" s="87"/>
      <c r="PZF47" s="87"/>
      <c r="PZG47" s="87"/>
      <c r="PZH47" s="87"/>
      <c r="PZI47" s="87"/>
      <c r="PZJ47" s="87"/>
      <c r="PZK47" s="87"/>
      <c r="PZL47" s="87"/>
      <c r="PZM47" s="87"/>
      <c r="PZN47" s="87"/>
      <c r="PZO47" s="87"/>
      <c r="PZP47" s="87"/>
      <c r="PZQ47" s="87"/>
      <c r="PZR47" s="87"/>
      <c r="PZS47" s="87"/>
      <c r="PZT47" s="87"/>
      <c r="PZU47" s="87"/>
      <c r="PZV47" s="87"/>
      <c r="PZW47" s="87"/>
      <c r="PZX47" s="87"/>
      <c r="PZY47" s="87"/>
      <c r="PZZ47" s="87"/>
      <c r="QAA47" s="87"/>
      <c r="QAB47" s="87"/>
      <c r="QAC47" s="87"/>
      <c r="QAD47" s="87"/>
      <c r="QAE47" s="87"/>
      <c r="QAF47" s="87"/>
      <c r="QAG47" s="87"/>
      <c r="QAH47" s="87"/>
      <c r="QAI47" s="87"/>
      <c r="QAJ47" s="87"/>
      <c r="QAK47" s="87"/>
      <c r="QAL47" s="87"/>
      <c r="QAM47" s="87"/>
      <c r="QAN47" s="87"/>
      <c r="QAO47" s="87"/>
      <c r="QAP47" s="87"/>
      <c r="QAQ47" s="87"/>
      <c r="QAR47" s="87"/>
      <c r="QAS47" s="87"/>
      <c r="QAT47" s="87"/>
      <c r="QAU47" s="87"/>
      <c r="QAV47" s="87"/>
      <c r="QAW47" s="87"/>
      <c r="QAX47" s="87"/>
      <c r="QAY47" s="87"/>
      <c r="QAZ47" s="87"/>
      <c r="QBA47" s="87"/>
      <c r="QBB47" s="87"/>
      <c r="QBC47" s="87"/>
      <c r="QBD47" s="87"/>
      <c r="QBE47" s="87"/>
      <c r="QBF47" s="87"/>
      <c r="QBG47" s="87"/>
      <c r="QBH47" s="87"/>
      <c r="QBI47" s="87"/>
      <c r="QBJ47" s="87"/>
      <c r="QBK47" s="87"/>
      <c r="QBL47" s="87"/>
      <c r="QBM47" s="87"/>
      <c r="QBN47" s="87"/>
      <c r="QBO47" s="87"/>
      <c r="QBP47" s="87"/>
      <c r="QBQ47" s="87"/>
      <c r="QBR47" s="87"/>
      <c r="QBS47" s="87"/>
      <c r="QBT47" s="87"/>
      <c r="QBU47" s="87"/>
      <c r="QBV47" s="87"/>
      <c r="QBW47" s="87"/>
      <c r="QBX47" s="87"/>
      <c r="QBY47" s="87"/>
      <c r="QBZ47" s="87"/>
      <c r="QCA47" s="87"/>
      <c r="QCB47" s="87"/>
      <c r="QCC47" s="87"/>
      <c r="QCD47" s="87"/>
      <c r="QCE47" s="87"/>
      <c r="QCF47" s="87"/>
      <c r="QCG47" s="87"/>
      <c r="QCH47" s="87"/>
      <c r="QCI47" s="87"/>
      <c r="QCJ47" s="87"/>
      <c r="QCK47" s="87"/>
      <c r="QCL47" s="87"/>
      <c r="QCM47" s="87"/>
      <c r="QCN47" s="87"/>
      <c r="QCO47" s="87"/>
      <c r="QCP47" s="87"/>
      <c r="QCQ47" s="87"/>
      <c r="QCR47" s="87"/>
      <c r="QCS47" s="87"/>
      <c r="QCT47" s="87"/>
      <c r="QCU47" s="87"/>
      <c r="QCV47" s="87"/>
      <c r="QCW47" s="87"/>
      <c r="QCX47" s="87"/>
      <c r="QCY47" s="87"/>
      <c r="QCZ47" s="87"/>
      <c r="QDA47" s="87"/>
      <c r="QDB47" s="87"/>
      <c r="QDC47" s="87"/>
      <c r="QDD47" s="87"/>
      <c r="QDE47" s="87"/>
      <c r="QDF47" s="87"/>
      <c r="QDG47" s="87"/>
      <c r="QDH47" s="87"/>
      <c r="QDI47" s="87"/>
      <c r="QDJ47" s="87"/>
      <c r="QDK47" s="87"/>
      <c r="QDL47" s="87"/>
      <c r="QDM47" s="87"/>
      <c r="QDN47" s="87"/>
      <c r="QDO47" s="87"/>
      <c r="QDP47" s="87"/>
      <c r="QDQ47" s="87"/>
      <c r="QDR47" s="87"/>
      <c r="QDS47" s="87"/>
      <c r="QDT47" s="87"/>
      <c r="QDU47" s="87"/>
      <c r="QDV47" s="87"/>
      <c r="QDW47" s="87"/>
      <c r="QDX47" s="87"/>
      <c r="QDY47" s="87"/>
      <c r="QDZ47" s="87"/>
      <c r="QEA47" s="87"/>
      <c r="QEB47" s="87"/>
      <c r="QEC47" s="87"/>
      <c r="QED47" s="87"/>
      <c r="QEE47" s="87"/>
      <c r="QEF47" s="87"/>
      <c r="QEG47" s="87"/>
      <c r="QEH47" s="87"/>
      <c r="QEI47" s="87"/>
      <c r="QEJ47" s="87"/>
      <c r="QEK47" s="87"/>
      <c r="QEL47" s="87"/>
      <c r="QEM47" s="87"/>
      <c r="QEN47" s="87"/>
      <c r="QEO47" s="87"/>
      <c r="QEP47" s="87"/>
      <c r="QEQ47" s="87"/>
      <c r="QER47" s="87"/>
      <c r="QES47" s="87"/>
      <c r="QET47" s="87"/>
      <c r="QEU47" s="87"/>
      <c r="QEV47" s="87"/>
      <c r="QEW47" s="87"/>
      <c r="QEX47" s="87"/>
      <c r="QEY47" s="87"/>
      <c r="QEZ47" s="87"/>
      <c r="QFA47" s="87"/>
      <c r="QFB47" s="87"/>
      <c r="QFC47" s="87"/>
      <c r="QFD47" s="87"/>
      <c r="QFE47" s="87"/>
      <c r="QFF47" s="87"/>
      <c r="QFG47" s="87"/>
      <c r="QFH47" s="87"/>
      <c r="QFI47" s="87"/>
      <c r="QFJ47" s="87"/>
      <c r="QFK47" s="87"/>
      <c r="QFL47" s="87"/>
      <c r="QFM47" s="87"/>
      <c r="QFN47" s="87"/>
      <c r="QFO47" s="87"/>
      <c r="QFP47" s="87"/>
      <c r="QFQ47" s="87"/>
      <c r="QFR47" s="87"/>
      <c r="QFS47" s="87"/>
      <c r="QFT47" s="87"/>
      <c r="QFU47" s="87"/>
      <c r="QFV47" s="87"/>
      <c r="QFW47" s="87"/>
      <c r="QFX47" s="87"/>
      <c r="QFY47" s="87"/>
      <c r="QFZ47" s="87"/>
      <c r="QGA47" s="87"/>
      <c r="QGB47" s="87"/>
      <c r="QGC47" s="87"/>
      <c r="QGD47" s="87"/>
      <c r="QGE47" s="87"/>
      <c r="QGF47" s="87"/>
      <c r="QGG47" s="87"/>
      <c r="QGH47" s="87"/>
      <c r="QGI47" s="87"/>
      <c r="QGJ47" s="87"/>
      <c r="QGK47" s="87"/>
      <c r="QGL47" s="87"/>
      <c r="QGM47" s="87"/>
      <c r="QGN47" s="87"/>
      <c r="QGO47" s="87"/>
      <c r="QGP47" s="87"/>
      <c r="QGQ47" s="87"/>
      <c r="QGR47" s="87"/>
      <c r="QGS47" s="87"/>
      <c r="QGT47" s="87"/>
      <c r="QGU47" s="87"/>
      <c r="QGV47" s="87"/>
      <c r="QGW47" s="87"/>
      <c r="QGX47" s="87"/>
      <c r="QGY47" s="87"/>
      <c r="QGZ47" s="87"/>
      <c r="QHA47" s="87"/>
      <c r="QHB47" s="87"/>
      <c r="QHC47" s="87"/>
      <c r="QHD47" s="87"/>
      <c r="QHE47" s="87"/>
      <c r="QHF47" s="87"/>
      <c r="QHG47" s="87"/>
      <c r="QHH47" s="87"/>
      <c r="QHI47" s="87"/>
      <c r="QHJ47" s="87"/>
      <c r="QHK47" s="87"/>
      <c r="QHL47" s="87"/>
      <c r="QHM47" s="87"/>
      <c r="QHN47" s="87"/>
      <c r="QHO47" s="87"/>
      <c r="QHP47" s="87"/>
      <c r="QHQ47" s="87"/>
      <c r="QHR47" s="87"/>
      <c r="QHS47" s="87"/>
      <c r="QHT47" s="87"/>
      <c r="QHU47" s="87"/>
      <c r="QHV47" s="87"/>
      <c r="QHW47" s="87"/>
      <c r="QHX47" s="87"/>
      <c r="QHY47" s="87"/>
      <c r="QHZ47" s="87"/>
      <c r="QIA47" s="87"/>
      <c r="QIB47" s="87"/>
      <c r="QIC47" s="87"/>
      <c r="QID47" s="87"/>
      <c r="QIE47" s="87"/>
      <c r="QIF47" s="87"/>
      <c r="QIG47" s="87"/>
      <c r="QIH47" s="87"/>
      <c r="QII47" s="87"/>
      <c r="QIJ47" s="87"/>
      <c r="QIK47" s="87"/>
      <c r="QIL47" s="87"/>
      <c r="QIM47" s="87"/>
      <c r="QIN47" s="87"/>
      <c r="QIO47" s="87"/>
      <c r="QIP47" s="87"/>
      <c r="QIQ47" s="87"/>
      <c r="QIR47" s="87"/>
      <c r="QIS47" s="87"/>
      <c r="QIT47" s="87"/>
      <c r="QIU47" s="87"/>
      <c r="QIV47" s="87"/>
      <c r="QIW47" s="87"/>
      <c r="QIX47" s="87"/>
      <c r="QIY47" s="87"/>
      <c r="QIZ47" s="87"/>
      <c r="QJA47" s="87"/>
      <c r="QJB47" s="87"/>
      <c r="QJC47" s="87"/>
      <c r="QJD47" s="87"/>
      <c r="QJE47" s="87"/>
      <c r="QJF47" s="87"/>
      <c r="QJG47" s="87"/>
      <c r="QJH47" s="87"/>
      <c r="QJI47" s="87"/>
      <c r="QJJ47" s="87"/>
      <c r="QJK47" s="87"/>
      <c r="QJL47" s="87"/>
      <c r="QJM47" s="87"/>
      <c r="QJN47" s="87"/>
      <c r="QJO47" s="87"/>
      <c r="QJP47" s="87"/>
      <c r="QJQ47" s="87"/>
      <c r="QJR47" s="87"/>
      <c r="QJS47" s="87"/>
      <c r="QJT47" s="87"/>
      <c r="QJU47" s="87"/>
      <c r="QJV47" s="87"/>
      <c r="QJW47" s="87"/>
      <c r="QJX47" s="87"/>
      <c r="QJY47" s="87"/>
      <c r="QJZ47" s="87"/>
      <c r="QKA47" s="87"/>
      <c r="QKB47" s="87"/>
      <c r="QKC47" s="87"/>
      <c r="QKD47" s="87"/>
      <c r="QKE47" s="87"/>
      <c r="QKF47" s="87"/>
      <c r="QKG47" s="87"/>
      <c r="QKH47" s="87"/>
      <c r="QKI47" s="87"/>
      <c r="QKJ47" s="87"/>
      <c r="QKK47" s="87"/>
      <c r="QKL47" s="87"/>
      <c r="QKM47" s="87"/>
      <c r="QKN47" s="87"/>
      <c r="QKO47" s="87"/>
      <c r="QKP47" s="87"/>
      <c r="QKQ47" s="87"/>
      <c r="QKR47" s="87"/>
      <c r="QKS47" s="87"/>
      <c r="QKT47" s="87"/>
      <c r="QKU47" s="87"/>
      <c r="QKV47" s="87"/>
      <c r="QKW47" s="87"/>
      <c r="QKX47" s="87"/>
      <c r="QKY47" s="87"/>
      <c r="QKZ47" s="87"/>
      <c r="QLA47" s="87"/>
      <c r="QLB47" s="87"/>
      <c r="QLC47" s="87"/>
      <c r="QLD47" s="87"/>
      <c r="QLE47" s="87"/>
      <c r="QLF47" s="87"/>
      <c r="QLG47" s="87"/>
      <c r="QLH47" s="87"/>
      <c r="QLI47" s="87"/>
      <c r="QLJ47" s="87"/>
      <c r="QLK47" s="87"/>
      <c r="QLL47" s="87"/>
      <c r="QLM47" s="87"/>
      <c r="QLN47" s="87"/>
      <c r="QLO47" s="87"/>
      <c r="QLP47" s="87"/>
      <c r="QLQ47" s="87"/>
      <c r="QLR47" s="87"/>
      <c r="QLS47" s="87"/>
      <c r="QLT47" s="87"/>
      <c r="QLU47" s="87"/>
      <c r="QLV47" s="87"/>
      <c r="QLW47" s="87"/>
      <c r="QLX47" s="87"/>
      <c r="QLY47" s="87"/>
      <c r="QLZ47" s="87"/>
      <c r="QMA47" s="87"/>
      <c r="QMB47" s="87"/>
      <c r="QMC47" s="87"/>
      <c r="QMD47" s="87"/>
      <c r="QME47" s="87"/>
      <c r="QMF47" s="87"/>
      <c r="QMG47" s="87"/>
      <c r="QMH47" s="87"/>
      <c r="QMI47" s="87"/>
      <c r="QMJ47" s="87"/>
      <c r="QMK47" s="87"/>
      <c r="QML47" s="87"/>
      <c r="QMM47" s="87"/>
      <c r="QMN47" s="87"/>
      <c r="QMO47" s="87"/>
      <c r="QMP47" s="87"/>
      <c r="QMQ47" s="87"/>
      <c r="QMR47" s="87"/>
      <c r="QMS47" s="87"/>
      <c r="QMT47" s="87"/>
      <c r="QMU47" s="87"/>
      <c r="QMV47" s="87"/>
      <c r="QMW47" s="87"/>
      <c r="QMX47" s="87"/>
      <c r="QMY47" s="87"/>
      <c r="QMZ47" s="87"/>
      <c r="QNA47" s="87"/>
      <c r="QNB47" s="87"/>
      <c r="QNC47" s="87"/>
      <c r="QND47" s="87"/>
      <c r="QNE47" s="87"/>
      <c r="QNF47" s="87"/>
      <c r="QNG47" s="87"/>
      <c r="QNH47" s="87"/>
      <c r="QNI47" s="87"/>
      <c r="QNJ47" s="87"/>
      <c r="QNK47" s="87"/>
      <c r="QNL47" s="87"/>
      <c r="QNM47" s="87"/>
      <c r="QNN47" s="87"/>
      <c r="QNO47" s="87"/>
      <c r="QNP47" s="87"/>
      <c r="QNQ47" s="87"/>
      <c r="QNR47" s="87"/>
      <c r="QNS47" s="87"/>
      <c r="QNT47" s="87"/>
      <c r="QNU47" s="87"/>
      <c r="QNV47" s="87"/>
      <c r="QNW47" s="87"/>
      <c r="QNX47" s="87"/>
      <c r="QNY47" s="87"/>
      <c r="QNZ47" s="87"/>
      <c r="QOA47" s="87"/>
      <c r="QOB47" s="87"/>
      <c r="QOC47" s="87"/>
      <c r="QOD47" s="87"/>
      <c r="QOE47" s="87"/>
      <c r="QOF47" s="87"/>
      <c r="QOG47" s="87"/>
      <c r="QOH47" s="87"/>
      <c r="QOI47" s="87"/>
      <c r="QOJ47" s="87"/>
      <c r="QOK47" s="87"/>
      <c r="QOL47" s="87"/>
      <c r="QOM47" s="87"/>
      <c r="QON47" s="87"/>
      <c r="QOO47" s="87"/>
      <c r="QOP47" s="87"/>
      <c r="QOQ47" s="87"/>
      <c r="QOR47" s="87"/>
      <c r="QOS47" s="87"/>
      <c r="QOT47" s="87"/>
      <c r="QOU47" s="87"/>
      <c r="QOV47" s="87"/>
      <c r="QOW47" s="87"/>
      <c r="QOX47" s="87"/>
      <c r="QOY47" s="87"/>
      <c r="QOZ47" s="87"/>
      <c r="QPA47" s="87"/>
      <c r="QPB47" s="87"/>
      <c r="QPC47" s="87"/>
      <c r="QPD47" s="87"/>
      <c r="QPE47" s="87"/>
      <c r="QPF47" s="87"/>
      <c r="QPG47" s="87"/>
      <c r="QPH47" s="87"/>
      <c r="QPI47" s="87"/>
      <c r="QPJ47" s="87"/>
      <c r="QPK47" s="87"/>
      <c r="QPL47" s="87"/>
      <c r="QPM47" s="87"/>
      <c r="QPN47" s="87"/>
      <c r="QPO47" s="87"/>
      <c r="QPP47" s="87"/>
      <c r="QPQ47" s="87"/>
      <c r="QPR47" s="87"/>
      <c r="QPS47" s="87"/>
      <c r="QPT47" s="87"/>
      <c r="QPU47" s="87"/>
      <c r="QPV47" s="87"/>
      <c r="QPW47" s="87"/>
      <c r="QPX47" s="87"/>
      <c r="QPY47" s="87"/>
      <c r="QPZ47" s="87"/>
      <c r="QQA47" s="87"/>
      <c r="QQB47" s="87"/>
      <c r="QQC47" s="87"/>
      <c r="QQD47" s="87"/>
      <c r="QQE47" s="87"/>
      <c r="QQF47" s="87"/>
      <c r="QQG47" s="87"/>
      <c r="QQH47" s="87"/>
      <c r="QQI47" s="87"/>
      <c r="QQJ47" s="87"/>
      <c r="QQK47" s="87"/>
      <c r="QQL47" s="87"/>
      <c r="QQM47" s="87"/>
      <c r="QQN47" s="87"/>
      <c r="QQO47" s="87"/>
      <c r="QQP47" s="87"/>
      <c r="QQQ47" s="87"/>
      <c r="QQR47" s="87"/>
      <c r="QQS47" s="87"/>
      <c r="QQT47" s="87"/>
      <c r="QQU47" s="87"/>
      <c r="QQV47" s="87"/>
      <c r="QQW47" s="87"/>
      <c r="QQX47" s="87"/>
      <c r="QQY47" s="87"/>
      <c r="QQZ47" s="87"/>
      <c r="QRA47" s="87"/>
      <c r="QRB47" s="87"/>
      <c r="QRC47" s="87"/>
      <c r="QRD47" s="87"/>
      <c r="QRE47" s="87"/>
      <c r="QRF47" s="87"/>
      <c r="QRG47" s="87"/>
      <c r="QRH47" s="87"/>
      <c r="QRI47" s="87"/>
      <c r="QRJ47" s="87"/>
      <c r="QRK47" s="87"/>
      <c r="QRL47" s="87"/>
      <c r="QRM47" s="87"/>
      <c r="QRN47" s="87"/>
      <c r="QRO47" s="87"/>
      <c r="QRP47" s="87"/>
      <c r="QRQ47" s="87"/>
      <c r="QRR47" s="87"/>
      <c r="QRS47" s="87"/>
      <c r="QRT47" s="87"/>
      <c r="QRU47" s="87"/>
      <c r="QRV47" s="87"/>
      <c r="QRW47" s="87"/>
      <c r="QRX47" s="87"/>
      <c r="QRY47" s="87"/>
      <c r="QRZ47" s="87"/>
      <c r="QSA47" s="87"/>
      <c r="QSB47" s="87"/>
      <c r="QSC47" s="87"/>
      <c r="QSD47" s="87"/>
      <c r="QSE47" s="87"/>
      <c r="QSF47" s="87"/>
      <c r="QSG47" s="87"/>
      <c r="QSH47" s="87"/>
      <c r="QSI47" s="87"/>
      <c r="QSJ47" s="87"/>
      <c r="QSK47" s="87"/>
      <c r="QSL47" s="87"/>
      <c r="QSM47" s="87"/>
      <c r="QSN47" s="87"/>
      <c r="QSO47" s="87"/>
      <c r="QSP47" s="87"/>
      <c r="QSQ47" s="87"/>
      <c r="QSR47" s="87"/>
      <c r="QSS47" s="87"/>
      <c r="QST47" s="87"/>
      <c r="QSU47" s="87"/>
      <c r="QSV47" s="87"/>
      <c r="QSW47" s="87"/>
      <c r="QSX47" s="87"/>
      <c r="QSY47" s="87"/>
      <c r="QSZ47" s="87"/>
      <c r="QTA47" s="87"/>
      <c r="QTB47" s="87"/>
      <c r="QTC47" s="87"/>
      <c r="QTD47" s="87"/>
      <c r="QTE47" s="87"/>
      <c r="QTF47" s="87"/>
      <c r="QTG47" s="87"/>
      <c r="QTH47" s="87"/>
      <c r="QTI47" s="87"/>
      <c r="QTJ47" s="87"/>
      <c r="QTK47" s="87"/>
      <c r="QTL47" s="87"/>
      <c r="QTM47" s="87"/>
      <c r="QTN47" s="87"/>
      <c r="QTO47" s="87"/>
      <c r="QTP47" s="87"/>
      <c r="QTQ47" s="87"/>
      <c r="QTR47" s="87"/>
      <c r="QTS47" s="87"/>
      <c r="QTT47" s="87"/>
      <c r="QTU47" s="87"/>
      <c r="QTV47" s="87"/>
      <c r="QTW47" s="87"/>
      <c r="QTX47" s="87"/>
      <c r="QTY47" s="87"/>
      <c r="QTZ47" s="87"/>
      <c r="QUA47" s="87"/>
      <c r="QUB47" s="87"/>
      <c r="QUC47" s="87"/>
      <c r="QUD47" s="87"/>
      <c r="QUE47" s="87"/>
      <c r="QUF47" s="87"/>
      <c r="QUG47" s="87"/>
      <c r="QUH47" s="87"/>
      <c r="QUI47" s="87"/>
      <c r="QUJ47" s="87"/>
      <c r="QUK47" s="87"/>
      <c r="QUL47" s="87"/>
      <c r="QUM47" s="87"/>
      <c r="QUN47" s="87"/>
      <c r="QUO47" s="87"/>
      <c r="QUP47" s="87"/>
      <c r="QUQ47" s="87"/>
      <c r="QUR47" s="87"/>
      <c r="QUS47" s="87"/>
      <c r="QUT47" s="87"/>
      <c r="QUU47" s="87"/>
      <c r="QUV47" s="87"/>
      <c r="QUW47" s="87"/>
      <c r="QUX47" s="87"/>
      <c r="QUY47" s="87"/>
      <c r="QUZ47" s="87"/>
      <c r="QVA47" s="87"/>
      <c r="QVB47" s="87"/>
      <c r="QVC47" s="87"/>
      <c r="QVD47" s="87"/>
      <c r="QVE47" s="87"/>
      <c r="QVF47" s="87"/>
      <c r="QVG47" s="87"/>
      <c r="QVH47" s="87"/>
      <c r="QVI47" s="87"/>
      <c r="QVJ47" s="87"/>
      <c r="QVK47" s="87"/>
      <c r="QVL47" s="87"/>
      <c r="QVM47" s="87"/>
      <c r="QVN47" s="87"/>
      <c r="QVO47" s="87"/>
      <c r="QVP47" s="87"/>
      <c r="QVQ47" s="87"/>
      <c r="QVR47" s="87"/>
      <c r="QVS47" s="87"/>
      <c r="QVT47" s="87"/>
      <c r="QVU47" s="87"/>
      <c r="QVV47" s="87"/>
      <c r="QVW47" s="87"/>
      <c r="QVX47" s="87"/>
      <c r="QVY47" s="87"/>
      <c r="QVZ47" s="87"/>
      <c r="QWA47" s="87"/>
      <c r="QWB47" s="87"/>
      <c r="QWC47" s="87"/>
      <c r="QWD47" s="87"/>
      <c r="QWE47" s="87"/>
      <c r="QWF47" s="87"/>
      <c r="QWG47" s="87"/>
      <c r="QWH47" s="87"/>
      <c r="QWI47" s="87"/>
      <c r="QWJ47" s="87"/>
      <c r="QWK47" s="87"/>
      <c r="QWL47" s="87"/>
      <c r="QWM47" s="87"/>
      <c r="QWN47" s="87"/>
      <c r="QWO47" s="87"/>
      <c r="QWP47" s="87"/>
      <c r="QWQ47" s="87"/>
      <c r="QWR47" s="87"/>
      <c r="QWS47" s="87"/>
      <c r="QWT47" s="87"/>
      <c r="QWU47" s="87"/>
      <c r="QWV47" s="87"/>
      <c r="QWW47" s="87"/>
      <c r="QWX47" s="87"/>
      <c r="QWY47" s="87"/>
      <c r="QWZ47" s="87"/>
      <c r="QXA47" s="87"/>
      <c r="QXB47" s="87"/>
      <c r="QXC47" s="87"/>
      <c r="QXD47" s="87"/>
      <c r="QXE47" s="87"/>
      <c r="QXF47" s="87"/>
      <c r="QXG47" s="87"/>
      <c r="QXH47" s="87"/>
      <c r="QXI47" s="87"/>
      <c r="QXJ47" s="87"/>
      <c r="QXK47" s="87"/>
      <c r="QXL47" s="87"/>
      <c r="QXM47" s="87"/>
      <c r="QXN47" s="87"/>
      <c r="QXO47" s="87"/>
      <c r="QXP47" s="87"/>
      <c r="QXQ47" s="87"/>
      <c r="QXR47" s="87"/>
      <c r="QXS47" s="87"/>
      <c r="QXT47" s="87"/>
      <c r="QXU47" s="87"/>
      <c r="QXV47" s="87"/>
      <c r="QXW47" s="87"/>
      <c r="QXX47" s="87"/>
      <c r="QXY47" s="87"/>
      <c r="QXZ47" s="87"/>
      <c r="QYA47" s="87"/>
      <c r="QYB47" s="87"/>
      <c r="QYC47" s="87"/>
      <c r="QYD47" s="87"/>
      <c r="QYE47" s="87"/>
      <c r="QYF47" s="87"/>
      <c r="QYG47" s="87"/>
      <c r="QYH47" s="87"/>
      <c r="QYI47" s="87"/>
      <c r="QYJ47" s="87"/>
      <c r="QYK47" s="87"/>
      <c r="QYL47" s="87"/>
      <c r="QYM47" s="87"/>
      <c r="QYN47" s="87"/>
      <c r="QYO47" s="87"/>
      <c r="QYP47" s="87"/>
      <c r="QYQ47" s="87"/>
      <c r="QYR47" s="87"/>
      <c r="QYS47" s="87"/>
      <c r="QYT47" s="87"/>
      <c r="QYU47" s="87"/>
      <c r="QYV47" s="87"/>
      <c r="QYW47" s="87"/>
      <c r="QYX47" s="87"/>
      <c r="QYY47" s="87"/>
      <c r="QYZ47" s="87"/>
      <c r="QZA47" s="87"/>
      <c r="QZB47" s="87"/>
      <c r="QZC47" s="87"/>
      <c r="QZD47" s="87"/>
      <c r="QZE47" s="87"/>
      <c r="QZF47" s="87"/>
      <c r="QZG47" s="87"/>
      <c r="QZH47" s="87"/>
      <c r="QZI47" s="87"/>
      <c r="QZJ47" s="87"/>
      <c r="QZK47" s="87"/>
      <c r="QZL47" s="87"/>
      <c r="QZM47" s="87"/>
      <c r="QZN47" s="87"/>
      <c r="QZO47" s="87"/>
      <c r="QZP47" s="87"/>
      <c r="QZQ47" s="87"/>
      <c r="QZR47" s="87"/>
      <c r="QZS47" s="87"/>
      <c r="QZT47" s="87"/>
      <c r="QZU47" s="87"/>
      <c r="QZV47" s="87"/>
      <c r="QZW47" s="87"/>
      <c r="QZX47" s="87"/>
      <c r="QZY47" s="87"/>
      <c r="QZZ47" s="87"/>
      <c r="RAA47" s="87"/>
      <c r="RAB47" s="87"/>
      <c r="RAC47" s="87"/>
      <c r="RAD47" s="87"/>
      <c r="RAE47" s="87"/>
      <c r="RAF47" s="87"/>
      <c r="RAG47" s="87"/>
      <c r="RAH47" s="87"/>
      <c r="RAI47" s="87"/>
      <c r="RAJ47" s="87"/>
      <c r="RAK47" s="87"/>
      <c r="RAL47" s="87"/>
      <c r="RAM47" s="87"/>
      <c r="RAN47" s="87"/>
      <c r="RAO47" s="87"/>
      <c r="RAP47" s="87"/>
      <c r="RAQ47" s="87"/>
      <c r="RAR47" s="87"/>
      <c r="RAS47" s="87"/>
      <c r="RAT47" s="87"/>
      <c r="RAU47" s="87"/>
      <c r="RAV47" s="87"/>
      <c r="RAW47" s="87"/>
      <c r="RAX47" s="87"/>
      <c r="RAY47" s="87"/>
      <c r="RAZ47" s="87"/>
      <c r="RBA47" s="87"/>
      <c r="RBB47" s="87"/>
      <c r="RBC47" s="87"/>
      <c r="RBD47" s="87"/>
      <c r="RBE47" s="87"/>
      <c r="RBF47" s="87"/>
      <c r="RBG47" s="87"/>
      <c r="RBH47" s="87"/>
      <c r="RBI47" s="87"/>
      <c r="RBJ47" s="87"/>
      <c r="RBK47" s="87"/>
      <c r="RBL47" s="87"/>
      <c r="RBM47" s="87"/>
      <c r="RBN47" s="87"/>
      <c r="RBO47" s="87"/>
      <c r="RBP47" s="87"/>
      <c r="RBQ47" s="87"/>
      <c r="RBR47" s="87"/>
      <c r="RBS47" s="87"/>
      <c r="RBT47" s="87"/>
      <c r="RBU47" s="87"/>
      <c r="RBV47" s="87"/>
      <c r="RBW47" s="87"/>
      <c r="RBX47" s="87"/>
      <c r="RBY47" s="87"/>
      <c r="RBZ47" s="87"/>
      <c r="RCA47" s="87"/>
      <c r="RCB47" s="87"/>
      <c r="RCC47" s="87"/>
      <c r="RCD47" s="87"/>
      <c r="RCE47" s="87"/>
      <c r="RCF47" s="87"/>
      <c r="RCG47" s="87"/>
      <c r="RCH47" s="87"/>
      <c r="RCI47" s="87"/>
      <c r="RCJ47" s="87"/>
      <c r="RCK47" s="87"/>
      <c r="RCL47" s="87"/>
      <c r="RCM47" s="87"/>
      <c r="RCN47" s="87"/>
      <c r="RCO47" s="87"/>
      <c r="RCP47" s="87"/>
      <c r="RCQ47" s="87"/>
      <c r="RCR47" s="87"/>
      <c r="RCS47" s="87"/>
      <c r="RCT47" s="87"/>
      <c r="RCU47" s="87"/>
      <c r="RCV47" s="87"/>
      <c r="RCW47" s="87"/>
      <c r="RCX47" s="87"/>
      <c r="RCY47" s="87"/>
      <c r="RCZ47" s="87"/>
      <c r="RDA47" s="87"/>
      <c r="RDB47" s="87"/>
      <c r="RDC47" s="87"/>
      <c r="RDD47" s="87"/>
      <c r="RDE47" s="87"/>
      <c r="RDF47" s="87"/>
      <c r="RDG47" s="87"/>
      <c r="RDH47" s="87"/>
      <c r="RDI47" s="87"/>
      <c r="RDJ47" s="87"/>
      <c r="RDK47" s="87"/>
      <c r="RDL47" s="87"/>
      <c r="RDM47" s="87"/>
      <c r="RDN47" s="87"/>
      <c r="RDO47" s="87"/>
      <c r="RDP47" s="87"/>
      <c r="RDQ47" s="87"/>
      <c r="RDR47" s="87"/>
      <c r="RDS47" s="87"/>
      <c r="RDT47" s="87"/>
      <c r="RDU47" s="87"/>
      <c r="RDV47" s="87"/>
      <c r="RDW47" s="87"/>
      <c r="RDX47" s="87"/>
      <c r="RDY47" s="87"/>
      <c r="RDZ47" s="87"/>
      <c r="REA47" s="87"/>
      <c r="REB47" s="87"/>
      <c r="REC47" s="87"/>
      <c r="RED47" s="87"/>
      <c r="REE47" s="87"/>
      <c r="REF47" s="87"/>
      <c r="REG47" s="87"/>
      <c r="REH47" s="87"/>
      <c r="REI47" s="87"/>
      <c r="REJ47" s="87"/>
      <c r="REK47" s="87"/>
      <c r="REL47" s="87"/>
      <c r="REM47" s="87"/>
      <c r="REN47" s="87"/>
      <c r="REO47" s="87"/>
      <c r="REP47" s="87"/>
      <c r="REQ47" s="87"/>
      <c r="RER47" s="87"/>
      <c r="RES47" s="87"/>
      <c r="RET47" s="87"/>
      <c r="REU47" s="87"/>
      <c r="REV47" s="87"/>
      <c r="REW47" s="87"/>
      <c r="REX47" s="87"/>
      <c r="REY47" s="87"/>
      <c r="REZ47" s="87"/>
      <c r="RFA47" s="87"/>
      <c r="RFB47" s="87"/>
      <c r="RFC47" s="87"/>
      <c r="RFD47" s="87"/>
      <c r="RFE47" s="87"/>
      <c r="RFF47" s="87"/>
      <c r="RFG47" s="87"/>
      <c r="RFH47" s="87"/>
      <c r="RFI47" s="87"/>
      <c r="RFJ47" s="87"/>
      <c r="RFK47" s="87"/>
      <c r="RFL47" s="87"/>
      <c r="RFM47" s="87"/>
      <c r="RFN47" s="87"/>
      <c r="RFO47" s="87"/>
      <c r="RFP47" s="87"/>
      <c r="RFQ47" s="87"/>
      <c r="RFR47" s="87"/>
      <c r="RFS47" s="87"/>
      <c r="RFT47" s="87"/>
      <c r="RFU47" s="87"/>
      <c r="RFV47" s="87"/>
      <c r="RFW47" s="87"/>
      <c r="RFX47" s="87"/>
      <c r="RFY47" s="87"/>
      <c r="RFZ47" s="87"/>
      <c r="RGA47" s="87"/>
      <c r="RGB47" s="87"/>
      <c r="RGC47" s="87"/>
      <c r="RGD47" s="87"/>
      <c r="RGE47" s="87"/>
      <c r="RGF47" s="87"/>
      <c r="RGG47" s="87"/>
      <c r="RGH47" s="87"/>
      <c r="RGI47" s="87"/>
      <c r="RGJ47" s="87"/>
      <c r="RGK47" s="87"/>
      <c r="RGL47" s="87"/>
      <c r="RGM47" s="87"/>
      <c r="RGN47" s="87"/>
      <c r="RGO47" s="87"/>
      <c r="RGP47" s="87"/>
      <c r="RGQ47" s="87"/>
      <c r="RGR47" s="87"/>
      <c r="RGS47" s="87"/>
      <c r="RGT47" s="87"/>
      <c r="RGU47" s="87"/>
      <c r="RGV47" s="87"/>
      <c r="RGW47" s="87"/>
      <c r="RGX47" s="87"/>
      <c r="RGY47" s="87"/>
      <c r="RGZ47" s="87"/>
      <c r="RHA47" s="87"/>
      <c r="RHB47" s="87"/>
      <c r="RHC47" s="87"/>
      <c r="RHD47" s="87"/>
      <c r="RHE47" s="87"/>
      <c r="RHF47" s="87"/>
      <c r="RHG47" s="87"/>
      <c r="RHH47" s="87"/>
      <c r="RHI47" s="87"/>
      <c r="RHJ47" s="87"/>
      <c r="RHK47" s="87"/>
      <c r="RHL47" s="87"/>
      <c r="RHM47" s="87"/>
      <c r="RHN47" s="87"/>
      <c r="RHO47" s="87"/>
      <c r="RHP47" s="87"/>
      <c r="RHQ47" s="87"/>
      <c r="RHR47" s="87"/>
      <c r="RHS47" s="87"/>
      <c r="RHT47" s="87"/>
      <c r="RHU47" s="87"/>
      <c r="RHV47" s="87"/>
      <c r="RHW47" s="87"/>
      <c r="RHX47" s="87"/>
      <c r="RHY47" s="87"/>
      <c r="RHZ47" s="87"/>
      <c r="RIA47" s="87"/>
      <c r="RIB47" s="87"/>
      <c r="RIC47" s="87"/>
      <c r="RID47" s="87"/>
      <c r="RIE47" s="87"/>
      <c r="RIF47" s="87"/>
      <c r="RIG47" s="87"/>
      <c r="RIH47" s="87"/>
      <c r="RII47" s="87"/>
      <c r="RIJ47" s="87"/>
      <c r="RIK47" s="87"/>
      <c r="RIL47" s="87"/>
      <c r="RIM47" s="87"/>
      <c r="RIN47" s="87"/>
      <c r="RIO47" s="87"/>
      <c r="RIP47" s="87"/>
      <c r="RIQ47" s="87"/>
      <c r="RIR47" s="87"/>
      <c r="RIS47" s="87"/>
      <c r="RIT47" s="87"/>
      <c r="RIU47" s="87"/>
      <c r="RIV47" s="87"/>
      <c r="RIW47" s="87"/>
      <c r="RIX47" s="87"/>
      <c r="RIY47" s="87"/>
      <c r="RIZ47" s="87"/>
      <c r="RJA47" s="87"/>
      <c r="RJB47" s="87"/>
      <c r="RJC47" s="87"/>
      <c r="RJD47" s="87"/>
      <c r="RJE47" s="87"/>
      <c r="RJF47" s="87"/>
      <c r="RJG47" s="87"/>
      <c r="RJH47" s="87"/>
      <c r="RJI47" s="87"/>
      <c r="RJJ47" s="87"/>
      <c r="RJK47" s="87"/>
      <c r="RJL47" s="87"/>
      <c r="RJM47" s="87"/>
      <c r="RJN47" s="87"/>
      <c r="RJO47" s="87"/>
      <c r="RJP47" s="87"/>
      <c r="RJQ47" s="87"/>
      <c r="RJR47" s="87"/>
      <c r="RJS47" s="87"/>
      <c r="RJT47" s="87"/>
      <c r="RJU47" s="87"/>
      <c r="RJV47" s="87"/>
      <c r="RJW47" s="87"/>
      <c r="RJX47" s="87"/>
      <c r="RJY47" s="87"/>
      <c r="RJZ47" s="87"/>
      <c r="RKA47" s="87"/>
      <c r="RKB47" s="87"/>
      <c r="RKC47" s="87"/>
      <c r="RKD47" s="87"/>
      <c r="RKE47" s="87"/>
      <c r="RKF47" s="87"/>
      <c r="RKG47" s="87"/>
      <c r="RKH47" s="87"/>
      <c r="RKI47" s="87"/>
      <c r="RKJ47" s="87"/>
      <c r="RKK47" s="87"/>
      <c r="RKL47" s="87"/>
      <c r="RKM47" s="87"/>
      <c r="RKN47" s="87"/>
      <c r="RKO47" s="87"/>
      <c r="RKP47" s="87"/>
      <c r="RKQ47" s="87"/>
      <c r="RKR47" s="87"/>
      <c r="RKS47" s="87"/>
      <c r="RKT47" s="87"/>
      <c r="RKU47" s="87"/>
      <c r="RKV47" s="87"/>
      <c r="RKW47" s="87"/>
      <c r="RKX47" s="87"/>
      <c r="RKY47" s="87"/>
      <c r="RKZ47" s="87"/>
      <c r="RLA47" s="87"/>
      <c r="RLB47" s="87"/>
      <c r="RLC47" s="87"/>
      <c r="RLD47" s="87"/>
      <c r="RLE47" s="87"/>
      <c r="RLF47" s="87"/>
      <c r="RLG47" s="87"/>
      <c r="RLH47" s="87"/>
      <c r="RLI47" s="87"/>
      <c r="RLJ47" s="87"/>
      <c r="RLK47" s="87"/>
      <c r="RLL47" s="87"/>
      <c r="RLM47" s="87"/>
      <c r="RLN47" s="87"/>
      <c r="RLO47" s="87"/>
      <c r="RLP47" s="87"/>
      <c r="RLQ47" s="87"/>
      <c r="RLR47" s="87"/>
      <c r="RLS47" s="87"/>
      <c r="RLT47" s="87"/>
      <c r="RLU47" s="87"/>
      <c r="RLV47" s="87"/>
      <c r="RLW47" s="87"/>
      <c r="RLX47" s="87"/>
      <c r="RLY47" s="87"/>
      <c r="RLZ47" s="87"/>
      <c r="RMA47" s="87"/>
      <c r="RMB47" s="87"/>
      <c r="RMC47" s="87"/>
      <c r="RMD47" s="87"/>
      <c r="RME47" s="87"/>
      <c r="RMF47" s="87"/>
      <c r="RMG47" s="87"/>
      <c r="RMH47" s="87"/>
      <c r="RMI47" s="87"/>
      <c r="RMJ47" s="87"/>
      <c r="RMK47" s="87"/>
      <c r="RML47" s="87"/>
      <c r="RMM47" s="87"/>
      <c r="RMN47" s="87"/>
      <c r="RMO47" s="87"/>
      <c r="RMP47" s="87"/>
      <c r="RMQ47" s="87"/>
      <c r="RMR47" s="87"/>
      <c r="RMS47" s="87"/>
      <c r="RMT47" s="87"/>
      <c r="RMU47" s="87"/>
      <c r="RMV47" s="87"/>
      <c r="RMW47" s="87"/>
      <c r="RMX47" s="87"/>
      <c r="RMY47" s="87"/>
      <c r="RMZ47" s="87"/>
      <c r="RNA47" s="87"/>
      <c r="RNB47" s="87"/>
      <c r="RNC47" s="87"/>
      <c r="RND47" s="87"/>
      <c r="RNE47" s="87"/>
      <c r="RNF47" s="87"/>
      <c r="RNG47" s="87"/>
      <c r="RNH47" s="87"/>
      <c r="RNI47" s="87"/>
      <c r="RNJ47" s="87"/>
      <c r="RNK47" s="87"/>
      <c r="RNL47" s="87"/>
      <c r="RNM47" s="87"/>
      <c r="RNN47" s="87"/>
      <c r="RNO47" s="87"/>
      <c r="RNP47" s="87"/>
      <c r="RNQ47" s="87"/>
      <c r="RNR47" s="87"/>
      <c r="RNS47" s="87"/>
      <c r="RNT47" s="87"/>
      <c r="RNU47" s="87"/>
      <c r="RNV47" s="87"/>
      <c r="RNW47" s="87"/>
      <c r="RNX47" s="87"/>
      <c r="RNY47" s="87"/>
      <c r="RNZ47" s="87"/>
      <c r="ROA47" s="87"/>
      <c r="ROB47" s="87"/>
      <c r="ROC47" s="87"/>
      <c r="ROD47" s="87"/>
      <c r="ROE47" s="87"/>
      <c r="ROF47" s="87"/>
      <c r="ROG47" s="87"/>
      <c r="ROH47" s="87"/>
      <c r="ROI47" s="87"/>
      <c r="ROJ47" s="87"/>
      <c r="ROK47" s="87"/>
      <c r="ROL47" s="87"/>
      <c r="ROM47" s="87"/>
      <c r="RON47" s="87"/>
      <c r="ROO47" s="87"/>
      <c r="ROP47" s="87"/>
      <c r="ROQ47" s="87"/>
      <c r="ROR47" s="87"/>
      <c r="ROS47" s="87"/>
      <c r="ROT47" s="87"/>
      <c r="ROU47" s="87"/>
      <c r="ROV47" s="87"/>
      <c r="ROW47" s="87"/>
      <c r="ROX47" s="87"/>
      <c r="ROY47" s="87"/>
      <c r="ROZ47" s="87"/>
      <c r="RPA47" s="87"/>
      <c r="RPB47" s="87"/>
      <c r="RPC47" s="87"/>
      <c r="RPD47" s="87"/>
      <c r="RPE47" s="87"/>
      <c r="RPF47" s="87"/>
      <c r="RPG47" s="87"/>
      <c r="RPH47" s="87"/>
      <c r="RPI47" s="87"/>
      <c r="RPJ47" s="87"/>
      <c r="RPK47" s="87"/>
      <c r="RPL47" s="87"/>
      <c r="RPM47" s="87"/>
      <c r="RPN47" s="87"/>
      <c r="RPO47" s="87"/>
      <c r="RPP47" s="87"/>
      <c r="RPQ47" s="87"/>
      <c r="RPR47" s="87"/>
      <c r="RPS47" s="87"/>
      <c r="RPT47" s="87"/>
      <c r="RPU47" s="87"/>
      <c r="RPV47" s="87"/>
      <c r="RPW47" s="87"/>
      <c r="RPX47" s="87"/>
      <c r="RPY47" s="87"/>
      <c r="RPZ47" s="87"/>
      <c r="RQA47" s="87"/>
      <c r="RQB47" s="87"/>
      <c r="RQC47" s="87"/>
      <c r="RQD47" s="87"/>
      <c r="RQE47" s="87"/>
      <c r="RQF47" s="87"/>
      <c r="RQG47" s="87"/>
      <c r="RQH47" s="87"/>
      <c r="RQI47" s="87"/>
      <c r="RQJ47" s="87"/>
      <c r="RQK47" s="87"/>
      <c r="RQL47" s="87"/>
      <c r="RQM47" s="87"/>
      <c r="RQN47" s="87"/>
      <c r="RQO47" s="87"/>
      <c r="RQP47" s="87"/>
      <c r="RQQ47" s="87"/>
      <c r="RQR47" s="87"/>
      <c r="RQS47" s="87"/>
      <c r="RQT47" s="87"/>
      <c r="RQU47" s="87"/>
      <c r="RQV47" s="87"/>
      <c r="RQW47" s="87"/>
      <c r="RQX47" s="87"/>
      <c r="RQY47" s="87"/>
      <c r="RQZ47" s="87"/>
      <c r="RRA47" s="87"/>
      <c r="RRB47" s="87"/>
      <c r="RRC47" s="87"/>
      <c r="RRD47" s="87"/>
      <c r="RRE47" s="87"/>
      <c r="RRF47" s="87"/>
      <c r="RRG47" s="87"/>
      <c r="RRH47" s="87"/>
      <c r="RRI47" s="87"/>
      <c r="RRJ47" s="87"/>
      <c r="RRK47" s="87"/>
      <c r="RRL47" s="87"/>
      <c r="RRM47" s="87"/>
      <c r="RRN47" s="87"/>
      <c r="RRO47" s="87"/>
      <c r="RRP47" s="87"/>
      <c r="RRQ47" s="87"/>
      <c r="RRR47" s="87"/>
      <c r="RRS47" s="87"/>
      <c r="RRT47" s="87"/>
      <c r="RRU47" s="87"/>
      <c r="RRV47" s="87"/>
      <c r="RRW47" s="87"/>
      <c r="RRX47" s="87"/>
      <c r="RRY47" s="87"/>
      <c r="RRZ47" s="87"/>
      <c r="RSA47" s="87"/>
      <c r="RSB47" s="87"/>
      <c r="RSC47" s="87"/>
      <c r="RSD47" s="87"/>
      <c r="RSE47" s="87"/>
      <c r="RSF47" s="87"/>
      <c r="RSG47" s="87"/>
      <c r="RSH47" s="87"/>
      <c r="RSI47" s="87"/>
      <c r="RSJ47" s="87"/>
      <c r="RSK47" s="87"/>
      <c r="RSL47" s="87"/>
      <c r="RSM47" s="87"/>
      <c r="RSN47" s="87"/>
      <c r="RSO47" s="87"/>
      <c r="RSP47" s="87"/>
      <c r="RSQ47" s="87"/>
      <c r="RSR47" s="87"/>
      <c r="RSS47" s="87"/>
      <c r="RST47" s="87"/>
      <c r="RSU47" s="87"/>
      <c r="RSV47" s="87"/>
      <c r="RSW47" s="87"/>
      <c r="RSX47" s="87"/>
      <c r="RSY47" s="87"/>
      <c r="RSZ47" s="87"/>
      <c r="RTA47" s="87"/>
      <c r="RTB47" s="87"/>
      <c r="RTC47" s="87"/>
      <c r="RTD47" s="87"/>
      <c r="RTE47" s="87"/>
      <c r="RTF47" s="87"/>
      <c r="RTG47" s="87"/>
      <c r="RTH47" s="87"/>
      <c r="RTI47" s="87"/>
      <c r="RTJ47" s="87"/>
      <c r="RTK47" s="87"/>
      <c r="RTL47" s="87"/>
      <c r="RTM47" s="87"/>
      <c r="RTN47" s="87"/>
      <c r="RTO47" s="87"/>
      <c r="RTP47" s="87"/>
      <c r="RTQ47" s="87"/>
      <c r="RTR47" s="87"/>
      <c r="RTS47" s="87"/>
      <c r="RTT47" s="87"/>
      <c r="RTU47" s="87"/>
      <c r="RTV47" s="87"/>
      <c r="RTW47" s="87"/>
      <c r="RTX47" s="87"/>
      <c r="RTY47" s="87"/>
      <c r="RTZ47" s="87"/>
      <c r="RUA47" s="87"/>
      <c r="RUB47" s="87"/>
      <c r="RUC47" s="87"/>
      <c r="RUD47" s="87"/>
      <c r="RUE47" s="87"/>
      <c r="RUF47" s="87"/>
      <c r="RUG47" s="87"/>
      <c r="RUH47" s="87"/>
      <c r="RUI47" s="87"/>
      <c r="RUJ47" s="87"/>
      <c r="RUK47" s="87"/>
      <c r="RUL47" s="87"/>
      <c r="RUM47" s="87"/>
      <c r="RUN47" s="87"/>
      <c r="RUO47" s="87"/>
      <c r="RUP47" s="87"/>
      <c r="RUQ47" s="87"/>
      <c r="RUR47" s="87"/>
      <c r="RUS47" s="87"/>
      <c r="RUT47" s="87"/>
      <c r="RUU47" s="87"/>
      <c r="RUV47" s="87"/>
      <c r="RUW47" s="87"/>
      <c r="RUX47" s="87"/>
      <c r="RUY47" s="87"/>
      <c r="RUZ47" s="87"/>
      <c r="RVA47" s="87"/>
      <c r="RVB47" s="87"/>
      <c r="RVC47" s="87"/>
      <c r="RVD47" s="87"/>
      <c r="RVE47" s="87"/>
      <c r="RVF47" s="87"/>
      <c r="RVG47" s="87"/>
      <c r="RVH47" s="87"/>
      <c r="RVI47" s="87"/>
      <c r="RVJ47" s="87"/>
      <c r="RVK47" s="87"/>
      <c r="RVL47" s="87"/>
      <c r="RVM47" s="87"/>
      <c r="RVN47" s="87"/>
      <c r="RVO47" s="87"/>
      <c r="RVP47" s="87"/>
      <c r="RVQ47" s="87"/>
      <c r="RVR47" s="87"/>
      <c r="RVS47" s="87"/>
      <c r="RVT47" s="87"/>
      <c r="RVU47" s="87"/>
      <c r="RVV47" s="87"/>
      <c r="RVW47" s="87"/>
      <c r="RVX47" s="87"/>
      <c r="RVY47" s="87"/>
      <c r="RVZ47" s="87"/>
      <c r="RWA47" s="87"/>
      <c r="RWB47" s="87"/>
      <c r="RWC47" s="87"/>
      <c r="RWD47" s="87"/>
      <c r="RWE47" s="87"/>
      <c r="RWF47" s="87"/>
      <c r="RWG47" s="87"/>
      <c r="RWH47" s="87"/>
      <c r="RWI47" s="87"/>
      <c r="RWJ47" s="87"/>
      <c r="RWK47" s="87"/>
      <c r="RWL47" s="87"/>
      <c r="RWM47" s="87"/>
      <c r="RWN47" s="87"/>
      <c r="RWO47" s="87"/>
      <c r="RWP47" s="87"/>
      <c r="RWQ47" s="87"/>
      <c r="RWR47" s="87"/>
      <c r="RWS47" s="87"/>
      <c r="RWT47" s="87"/>
      <c r="RWU47" s="87"/>
      <c r="RWV47" s="87"/>
      <c r="RWW47" s="87"/>
      <c r="RWX47" s="87"/>
      <c r="RWY47" s="87"/>
      <c r="RWZ47" s="87"/>
      <c r="RXA47" s="87"/>
      <c r="RXB47" s="87"/>
      <c r="RXC47" s="87"/>
      <c r="RXD47" s="87"/>
      <c r="RXE47" s="87"/>
      <c r="RXF47" s="87"/>
      <c r="RXG47" s="87"/>
      <c r="RXH47" s="87"/>
      <c r="RXI47" s="87"/>
      <c r="RXJ47" s="87"/>
      <c r="RXK47" s="87"/>
      <c r="RXL47" s="87"/>
      <c r="RXM47" s="87"/>
      <c r="RXN47" s="87"/>
      <c r="RXO47" s="87"/>
      <c r="RXP47" s="87"/>
      <c r="RXQ47" s="87"/>
      <c r="RXR47" s="87"/>
      <c r="RXS47" s="87"/>
      <c r="RXT47" s="87"/>
      <c r="RXU47" s="87"/>
      <c r="RXV47" s="87"/>
      <c r="RXW47" s="87"/>
      <c r="RXX47" s="87"/>
      <c r="RXY47" s="87"/>
      <c r="RXZ47" s="87"/>
      <c r="RYA47" s="87"/>
      <c r="RYB47" s="87"/>
      <c r="RYC47" s="87"/>
      <c r="RYD47" s="87"/>
      <c r="RYE47" s="87"/>
      <c r="RYF47" s="87"/>
      <c r="RYG47" s="87"/>
      <c r="RYH47" s="87"/>
      <c r="RYI47" s="87"/>
      <c r="RYJ47" s="87"/>
      <c r="RYK47" s="87"/>
      <c r="RYL47" s="87"/>
      <c r="RYM47" s="87"/>
      <c r="RYN47" s="87"/>
      <c r="RYO47" s="87"/>
      <c r="RYP47" s="87"/>
      <c r="RYQ47" s="87"/>
      <c r="RYR47" s="87"/>
      <c r="RYS47" s="87"/>
      <c r="RYT47" s="87"/>
      <c r="RYU47" s="87"/>
      <c r="RYV47" s="87"/>
      <c r="RYW47" s="87"/>
      <c r="RYX47" s="87"/>
      <c r="RYY47" s="87"/>
      <c r="RYZ47" s="87"/>
      <c r="RZA47" s="87"/>
      <c r="RZB47" s="87"/>
      <c r="RZC47" s="87"/>
      <c r="RZD47" s="87"/>
      <c r="RZE47" s="87"/>
      <c r="RZF47" s="87"/>
      <c r="RZG47" s="87"/>
      <c r="RZH47" s="87"/>
      <c r="RZI47" s="87"/>
      <c r="RZJ47" s="87"/>
      <c r="RZK47" s="87"/>
      <c r="RZL47" s="87"/>
      <c r="RZM47" s="87"/>
      <c r="RZN47" s="87"/>
      <c r="RZO47" s="87"/>
      <c r="RZP47" s="87"/>
      <c r="RZQ47" s="87"/>
      <c r="RZR47" s="87"/>
      <c r="RZS47" s="87"/>
      <c r="RZT47" s="87"/>
      <c r="RZU47" s="87"/>
      <c r="RZV47" s="87"/>
      <c r="RZW47" s="87"/>
      <c r="RZX47" s="87"/>
      <c r="RZY47" s="87"/>
      <c r="RZZ47" s="87"/>
      <c r="SAA47" s="87"/>
      <c r="SAB47" s="87"/>
      <c r="SAC47" s="87"/>
      <c r="SAD47" s="87"/>
      <c r="SAE47" s="87"/>
      <c r="SAF47" s="87"/>
      <c r="SAG47" s="87"/>
      <c r="SAH47" s="87"/>
      <c r="SAI47" s="87"/>
      <c r="SAJ47" s="87"/>
      <c r="SAK47" s="87"/>
      <c r="SAL47" s="87"/>
      <c r="SAM47" s="87"/>
      <c r="SAN47" s="87"/>
      <c r="SAO47" s="87"/>
      <c r="SAP47" s="87"/>
      <c r="SAQ47" s="87"/>
      <c r="SAR47" s="87"/>
      <c r="SAS47" s="87"/>
      <c r="SAT47" s="87"/>
      <c r="SAU47" s="87"/>
      <c r="SAV47" s="87"/>
      <c r="SAW47" s="87"/>
      <c r="SAX47" s="87"/>
      <c r="SAY47" s="87"/>
      <c r="SAZ47" s="87"/>
      <c r="SBA47" s="87"/>
      <c r="SBB47" s="87"/>
      <c r="SBC47" s="87"/>
      <c r="SBD47" s="87"/>
      <c r="SBE47" s="87"/>
      <c r="SBF47" s="87"/>
      <c r="SBG47" s="87"/>
      <c r="SBH47" s="87"/>
      <c r="SBI47" s="87"/>
      <c r="SBJ47" s="87"/>
      <c r="SBK47" s="87"/>
      <c r="SBL47" s="87"/>
      <c r="SBM47" s="87"/>
      <c r="SBN47" s="87"/>
      <c r="SBO47" s="87"/>
      <c r="SBP47" s="87"/>
      <c r="SBQ47" s="87"/>
      <c r="SBR47" s="87"/>
      <c r="SBS47" s="87"/>
      <c r="SBT47" s="87"/>
      <c r="SBU47" s="87"/>
      <c r="SBV47" s="87"/>
      <c r="SBW47" s="87"/>
      <c r="SBX47" s="87"/>
      <c r="SBY47" s="87"/>
      <c r="SBZ47" s="87"/>
      <c r="SCA47" s="87"/>
      <c r="SCB47" s="87"/>
      <c r="SCC47" s="87"/>
      <c r="SCD47" s="87"/>
      <c r="SCE47" s="87"/>
      <c r="SCF47" s="87"/>
      <c r="SCG47" s="87"/>
      <c r="SCH47" s="87"/>
      <c r="SCI47" s="87"/>
      <c r="SCJ47" s="87"/>
      <c r="SCK47" s="87"/>
      <c r="SCL47" s="87"/>
      <c r="SCM47" s="87"/>
      <c r="SCN47" s="87"/>
      <c r="SCO47" s="87"/>
      <c r="SCP47" s="87"/>
      <c r="SCQ47" s="87"/>
      <c r="SCR47" s="87"/>
      <c r="SCS47" s="87"/>
      <c r="SCT47" s="87"/>
      <c r="SCU47" s="87"/>
      <c r="SCV47" s="87"/>
      <c r="SCW47" s="87"/>
      <c r="SCX47" s="87"/>
      <c r="SCY47" s="87"/>
      <c r="SCZ47" s="87"/>
      <c r="SDA47" s="87"/>
      <c r="SDB47" s="87"/>
      <c r="SDC47" s="87"/>
      <c r="SDD47" s="87"/>
      <c r="SDE47" s="87"/>
      <c r="SDF47" s="87"/>
      <c r="SDG47" s="87"/>
      <c r="SDH47" s="87"/>
      <c r="SDI47" s="87"/>
      <c r="SDJ47" s="87"/>
      <c r="SDK47" s="87"/>
      <c r="SDL47" s="87"/>
      <c r="SDM47" s="87"/>
      <c r="SDN47" s="87"/>
      <c r="SDO47" s="87"/>
      <c r="SDP47" s="87"/>
      <c r="SDQ47" s="87"/>
      <c r="SDR47" s="87"/>
      <c r="SDS47" s="87"/>
      <c r="SDT47" s="87"/>
      <c r="SDU47" s="87"/>
      <c r="SDV47" s="87"/>
      <c r="SDW47" s="87"/>
      <c r="SDX47" s="87"/>
      <c r="SDY47" s="87"/>
      <c r="SDZ47" s="87"/>
      <c r="SEA47" s="87"/>
      <c r="SEB47" s="87"/>
      <c r="SEC47" s="87"/>
      <c r="SED47" s="87"/>
      <c r="SEE47" s="87"/>
      <c r="SEF47" s="87"/>
      <c r="SEG47" s="87"/>
      <c r="SEH47" s="87"/>
      <c r="SEI47" s="87"/>
      <c r="SEJ47" s="87"/>
      <c r="SEK47" s="87"/>
      <c r="SEL47" s="87"/>
      <c r="SEM47" s="87"/>
      <c r="SEN47" s="87"/>
      <c r="SEO47" s="87"/>
      <c r="SEP47" s="87"/>
      <c r="SEQ47" s="87"/>
      <c r="SER47" s="87"/>
      <c r="SES47" s="87"/>
      <c r="SET47" s="87"/>
      <c r="SEU47" s="87"/>
      <c r="SEV47" s="87"/>
      <c r="SEW47" s="87"/>
      <c r="SEX47" s="87"/>
      <c r="SEY47" s="87"/>
      <c r="SEZ47" s="87"/>
      <c r="SFA47" s="87"/>
      <c r="SFB47" s="87"/>
      <c r="SFC47" s="87"/>
      <c r="SFD47" s="87"/>
      <c r="SFE47" s="87"/>
      <c r="SFF47" s="87"/>
      <c r="SFG47" s="87"/>
      <c r="SFH47" s="87"/>
      <c r="SFI47" s="87"/>
      <c r="SFJ47" s="87"/>
      <c r="SFK47" s="87"/>
      <c r="SFL47" s="87"/>
      <c r="SFM47" s="87"/>
      <c r="SFN47" s="87"/>
      <c r="SFO47" s="87"/>
      <c r="SFP47" s="87"/>
      <c r="SFQ47" s="87"/>
      <c r="SFR47" s="87"/>
      <c r="SFS47" s="87"/>
      <c r="SFT47" s="87"/>
      <c r="SFU47" s="87"/>
      <c r="SFV47" s="87"/>
      <c r="SFW47" s="87"/>
      <c r="SFX47" s="87"/>
      <c r="SFY47" s="87"/>
      <c r="SFZ47" s="87"/>
      <c r="SGA47" s="87"/>
      <c r="SGB47" s="87"/>
      <c r="SGC47" s="87"/>
      <c r="SGD47" s="87"/>
      <c r="SGE47" s="87"/>
      <c r="SGF47" s="87"/>
      <c r="SGG47" s="87"/>
      <c r="SGH47" s="87"/>
      <c r="SGI47" s="87"/>
      <c r="SGJ47" s="87"/>
      <c r="SGK47" s="87"/>
      <c r="SGL47" s="87"/>
      <c r="SGM47" s="87"/>
      <c r="SGN47" s="87"/>
      <c r="SGO47" s="87"/>
      <c r="SGP47" s="87"/>
      <c r="SGQ47" s="87"/>
      <c r="SGR47" s="87"/>
      <c r="SGS47" s="87"/>
      <c r="SGT47" s="87"/>
      <c r="SGU47" s="87"/>
      <c r="SGV47" s="87"/>
      <c r="SGW47" s="87"/>
      <c r="SGX47" s="87"/>
      <c r="SGY47" s="87"/>
      <c r="SGZ47" s="87"/>
      <c r="SHA47" s="87"/>
      <c r="SHB47" s="87"/>
      <c r="SHC47" s="87"/>
      <c r="SHD47" s="87"/>
      <c r="SHE47" s="87"/>
      <c r="SHF47" s="87"/>
      <c r="SHG47" s="87"/>
      <c r="SHH47" s="87"/>
      <c r="SHI47" s="87"/>
      <c r="SHJ47" s="87"/>
      <c r="SHK47" s="87"/>
      <c r="SHL47" s="87"/>
      <c r="SHM47" s="87"/>
      <c r="SHN47" s="87"/>
      <c r="SHO47" s="87"/>
      <c r="SHP47" s="87"/>
      <c r="SHQ47" s="87"/>
      <c r="SHR47" s="87"/>
      <c r="SHS47" s="87"/>
      <c r="SHT47" s="87"/>
      <c r="SHU47" s="87"/>
      <c r="SHV47" s="87"/>
      <c r="SHW47" s="87"/>
      <c r="SHX47" s="87"/>
      <c r="SHY47" s="87"/>
      <c r="SHZ47" s="87"/>
      <c r="SIA47" s="87"/>
      <c r="SIB47" s="87"/>
      <c r="SIC47" s="87"/>
      <c r="SID47" s="87"/>
      <c r="SIE47" s="87"/>
      <c r="SIF47" s="87"/>
      <c r="SIG47" s="87"/>
      <c r="SIH47" s="87"/>
      <c r="SII47" s="87"/>
      <c r="SIJ47" s="87"/>
      <c r="SIK47" s="87"/>
      <c r="SIL47" s="87"/>
      <c r="SIM47" s="87"/>
      <c r="SIN47" s="87"/>
      <c r="SIO47" s="87"/>
      <c r="SIP47" s="87"/>
      <c r="SIQ47" s="87"/>
      <c r="SIR47" s="87"/>
      <c r="SIS47" s="87"/>
      <c r="SIT47" s="87"/>
      <c r="SIU47" s="87"/>
      <c r="SIV47" s="87"/>
      <c r="SIW47" s="87"/>
      <c r="SIX47" s="87"/>
      <c r="SIY47" s="87"/>
      <c r="SIZ47" s="87"/>
      <c r="SJA47" s="87"/>
      <c r="SJB47" s="87"/>
      <c r="SJC47" s="87"/>
      <c r="SJD47" s="87"/>
      <c r="SJE47" s="87"/>
      <c r="SJF47" s="87"/>
      <c r="SJG47" s="87"/>
      <c r="SJH47" s="87"/>
      <c r="SJI47" s="87"/>
      <c r="SJJ47" s="87"/>
      <c r="SJK47" s="87"/>
      <c r="SJL47" s="87"/>
      <c r="SJM47" s="87"/>
      <c r="SJN47" s="87"/>
      <c r="SJO47" s="87"/>
      <c r="SJP47" s="87"/>
      <c r="SJQ47" s="87"/>
      <c r="SJR47" s="87"/>
      <c r="SJS47" s="87"/>
      <c r="SJT47" s="87"/>
      <c r="SJU47" s="87"/>
      <c r="SJV47" s="87"/>
      <c r="SJW47" s="87"/>
      <c r="SJX47" s="87"/>
      <c r="SJY47" s="87"/>
      <c r="SJZ47" s="87"/>
      <c r="SKA47" s="87"/>
      <c r="SKB47" s="87"/>
      <c r="SKC47" s="87"/>
      <c r="SKD47" s="87"/>
      <c r="SKE47" s="87"/>
      <c r="SKF47" s="87"/>
      <c r="SKG47" s="87"/>
      <c r="SKH47" s="87"/>
      <c r="SKI47" s="87"/>
      <c r="SKJ47" s="87"/>
      <c r="SKK47" s="87"/>
      <c r="SKL47" s="87"/>
      <c r="SKM47" s="87"/>
      <c r="SKN47" s="87"/>
      <c r="SKO47" s="87"/>
      <c r="SKP47" s="87"/>
      <c r="SKQ47" s="87"/>
      <c r="SKR47" s="87"/>
      <c r="SKS47" s="87"/>
      <c r="SKT47" s="87"/>
      <c r="SKU47" s="87"/>
      <c r="SKV47" s="87"/>
      <c r="SKW47" s="87"/>
      <c r="SKX47" s="87"/>
      <c r="SKY47" s="87"/>
      <c r="SKZ47" s="87"/>
      <c r="SLA47" s="87"/>
      <c r="SLB47" s="87"/>
      <c r="SLC47" s="87"/>
      <c r="SLD47" s="87"/>
      <c r="SLE47" s="87"/>
      <c r="SLF47" s="87"/>
      <c r="SLG47" s="87"/>
      <c r="SLH47" s="87"/>
      <c r="SLI47" s="87"/>
      <c r="SLJ47" s="87"/>
      <c r="SLK47" s="87"/>
      <c r="SLL47" s="87"/>
      <c r="SLM47" s="87"/>
      <c r="SLN47" s="87"/>
      <c r="SLO47" s="87"/>
      <c r="SLP47" s="87"/>
      <c r="SLQ47" s="87"/>
      <c r="SLR47" s="87"/>
      <c r="SLS47" s="87"/>
      <c r="SLT47" s="87"/>
      <c r="SLU47" s="87"/>
      <c r="SLV47" s="87"/>
      <c r="SLW47" s="87"/>
      <c r="SLX47" s="87"/>
      <c r="SLY47" s="87"/>
      <c r="SLZ47" s="87"/>
      <c r="SMA47" s="87"/>
      <c r="SMB47" s="87"/>
      <c r="SMC47" s="87"/>
      <c r="SMD47" s="87"/>
      <c r="SME47" s="87"/>
      <c r="SMF47" s="87"/>
      <c r="SMG47" s="87"/>
      <c r="SMH47" s="87"/>
      <c r="SMI47" s="87"/>
      <c r="SMJ47" s="87"/>
      <c r="SMK47" s="87"/>
      <c r="SML47" s="87"/>
      <c r="SMM47" s="87"/>
      <c r="SMN47" s="87"/>
      <c r="SMO47" s="87"/>
      <c r="SMP47" s="87"/>
      <c r="SMQ47" s="87"/>
      <c r="SMR47" s="87"/>
      <c r="SMS47" s="87"/>
      <c r="SMT47" s="87"/>
      <c r="SMU47" s="87"/>
      <c r="SMV47" s="87"/>
      <c r="SMW47" s="87"/>
      <c r="SMX47" s="87"/>
      <c r="SMY47" s="87"/>
      <c r="SMZ47" s="87"/>
      <c r="SNA47" s="87"/>
      <c r="SNB47" s="87"/>
      <c r="SNC47" s="87"/>
      <c r="SND47" s="87"/>
      <c r="SNE47" s="87"/>
      <c r="SNF47" s="87"/>
      <c r="SNG47" s="87"/>
      <c r="SNH47" s="87"/>
      <c r="SNI47" s="87"/>
      <c r="SNJ47" s="87"/>
      <c r="SNK47" s="87"/>
      <c r="SNL47" s="87"/>
      <c r="SNM47" s="87"/>
      <c r="SNN47" s="87"/>
      <c r="SNO47" s="87"/>
      <c r="SNP47" s="87"/>
      <c r="SNQ47" s="87"/>
      <c r="SNR47" s="87"/>
      <c r="SNS47" s="87"/>
      <c r="SNT47" s="87"/>
      <c r="SNU47" s="87"/>
      <c r="SNV47" s="87"/>
      <c r="SNW47" s="87"/>
      <c r="SNX47" s="87"/>
      <c r="SNY47" s="87"/>
      <c r="SNZ47" s="87"/>
      <c r="SOA47" s="87"/>
      <c r="SOB47" s="87"/>
      <c r="SOC47" s="87"/>
      <c r="SOD47" s="87"/>
      <c r="SOE47" s="87"/>
      <c r="SOF47" s="87"/>
      <c r="SOG47" s="87"/>
      <c r="SOH47" s="87"/>
      <c r="SOI47" s="87"/>
      <c r="SOJ47" s="87"/>
      <c r="SOK47" s="87"/>
      <c r="SOL47" s="87"/>
      <c r="SOM47" s="87"/>
      <c r="SON47" s="87"/>
      <c r="SOO47" s="87"/>
      <c r="SOP47" s="87"/>
      <c r="SOQ47" s="87"/>
      <c r="SOR47" s="87"/>
      <c r="SOS47" s="87"/>
      <c r="SOT47" s="87"/>
      <c r="SOU47" s="87"/>
      <c r="SOV47" s="87"/>
      <c r="SOW47" s="87"/>
      <c r="SOX47" s="87"/>
      <c r="SOY47" s="87"/>
      <c r="SOZ47" s="87"/>
      <c r="SPA47" s="87"/>
      <c r="SPB47" s="87"/>
      <c r="SPC47" s="87"/>
      <c r="SPD47" s="87"/>
      <c r="SPE47" s="87"/>
      <c r="SPF47" s="87"/>
      <c r="SPG47" s="87"/>
      <c r="SPH47" s="87"/>
      <c r="SPI47" s="87"/>
      <c r="SPJ47" s="87"/>
      <c r="SPK47" s="87"/>
      <c r="SPL47" s="87"/>
      <c r="SPM47" s="87"/>
      <c r="SPN47" s="87"/>
      <c r="SPO47" s="87"/>
      <c r="SPP47" s="87"/>
      <c r="SPQ47" s="87"/>
      <c r="SPR47" s="87"/>
      <c r="SPS47" s="87"/>
      <c r="SPT47" s="87"/>
      <c r="SPU47" s="87"/>
      <c r="SPV47" s="87"/>
      <c r="SPW47" s="87"/>
      <c r="SPX47" s="87"/>
      <c r="SPY47" s="87"/>
      <c r="SPZ47" s="87"/>
      <c r="SQA47" s="87"/>
      <c r="SQB47" s="87"/>
      <c r="SQC47" s="87"/>
      <c r="SQD47" s="87"/>
      <c r="SQE47" s="87"/>
      <c r="SQF47" s="87"/>
      <c r="SQG47" s="87"/>
      <c r="SQH47" s="87"/>
      <c r="SQI47" s="87"/>
      <c r="SQJ47" s="87"/>
      <c r="SQK47" s="87"/>
      <c r="SQL47" s="87"/>
      <c r="SQM47" s="87"/>
      <c r="SQN47" s="87"/>
      <c r="SQO47" s="87"/>
      <c r="SQP47" s="87"/>
      <c r="SQQ47" s="87"/>
      <c r="SQR47" s="87"/>
      <c r="SQS47" s="87"/>
      <c r="SQT47" s="87"/>
      <c r="SQU47" s="87"/>
      <c r="SQV47" s="87"/>
      <c r="SQW47" s="87"/>
      <c r="SQX47" s="87"/>
      <c r="SQY47" s="87"/>
      <c r="SQZ47" s="87"/>
      <c r="SRA47" s="87"/>
      <c r="SRB47" s="87"/>
      <c r="SRC47" s="87"/>
      <c r="SRD47" s="87"/>
      <c r="SRE47" s="87"/>
      <c r="SRF47" s="87"/>
      <c r="SRG47" s="87"/>
      <c r="SRH47" s="87"/>
      <c r="SRI47" s="87"/>
      <c r="SRJ47" s="87"/>
      <c r="SRK47" s="87"/>
      <c r="SRL47" s="87"/>
      <c r="SRM47" s="87"/>
      <c r="SRN47" s="87"/>
      <c r="SRO47" s="87"/>
      <c r="SRP47" s="87"/>
      <c r="SRQ47" s="87"/>
      <c r="SRR47" s="87"/>
      <c r="SRS47" s="87"/>
      <c r="SRT47" s="87"/>
      <c r="SRU47" s="87"/>
      <c r="SRV47" s="87"/>
      <c r="SRW47" s="87"/>
      <c r="SRX47" s="87"/>
      <c r="SRY47" s="87"/>
      <c r="SRZ47" s="87"/>
      <c r="SSA47" s="87"/>
      <c r="SSB47" s="87"/>
      <c r="SSC47" s="87"/>
      <c r="SSD47" s="87"/>
      <c r="SSE47" s="87"/>
      <c r="SSF47" s="87"/>
      <c r="SSG47" s="87"/>
      <c r="SSH47" s="87"/>
      <c r="SSI47" s="87"/>
      <c r="SSJ47" s="87"/>
      <c r="SSK47" s="87"/>
      <c r="SSL47" s="87"/>
      <c r="SSM47" s="87"/>
      <c r="SSN47" s="87"/>
      <c r="SSO47" s="87"/>
      <c r="SSP47" s="87"/>
      <c r="SSQ47" s="87"/>
      <c r="SSR47" s="87"/>
      <c r="SSS47" s="87"/>
      <c r="SST47" s="87"/>
      <c r="SSU47" s="87"/>
      <c r="SSV47" s="87"/>
      <c r="SSW47" s="87"/>
      <c r="SSX47" s="87"/>
      <c r="SSY47" s="87"/>
      <c r="SSZ47" s="87"/>
      <c r="STA47" s="87"/>
      <c r="STB47" s="87"/>
      <c r="STC47" s="87"/>
      <c r="STD47" s="87"/>
      <c r="STE47" s="87"/>
      <c r="STF47" s="87"/>
      <c r="STG47" s="87"/>
      <c r="STH47" s="87"/>
      <c r="STI47" s="87"/>
      <c r="STJ47" s="87"/>
      <c r="STK47" s="87"/>
      <c r="STL47" s="87"/>
      <c r="STM47" s="87"/>
      <c r="STN47" s="87"/>
      <c r="STO47" s="87"/>
      <c r="STP47" s="87"/>
      <c r="STQ47" s="87"/>
      <c r="STR47" s="87"/>
      <c r="STS47" s="87"/>
      <c r="STT47" s="87"/>
      <c r="STU47" s="87"/>
      <c r="STV47" s="87"/>
      <c r="STW47" s="87"/>
      <c r="STX47" s="87"/>
      <c r="STY47" s="87"/>
      <c r="STZ47" s="87"/>
      <c r="SUA47" s="87"/>
      <c r="SUB47" s="87"/>
      <c r="SUC47" s="87"/>
      <c r="SUD47" s="87"/>
      <c r="SUE47" s="87"/>
      <c r="SUF47" s="87"/>
      <c r="SUG47" s="87"/>
      <c r="SUH47" s="87"/>
      <c r="SUI47" s="87"/>
      <c r="SUJ47" s="87"/>
      <c r="SUK47" s="87"/>
      <c r="SUL47" s="87"/>
      <c r="SUM47" s="87"/>
      <c r="SUN47" s="87"/>
      <c r="SUO47" s="87"/>
      <c r="SUP47" s="87"/>
      <c r="SUQ47" s="87"/>
      <c r="SUR47" s="87"/>
      <c r="SUS47" s="87"/>
      <c r="SUT47" s="87"/>
      <c r="SUU47" s="87"/>
      <c r="SUV47" s="87"/>
      <c r="SUW47" s="87"/>
      <c r="SUX47" s="87"/>
      <c r="SUY47" s="87"/>
      <c r="SUZ47" s="87"/>
      <c r="SVA47" s="87"/>
      <c r="SVB47" s="87"/>
      <c r="SVC47" s="87"/>
      <c r="SVD47" s="87"/>
      <c r="SVE47" s="87"/>
      <c r="SVF47" s="87"/>
      <c r="SVG47" s="87"/>
      <c r="SVH47" s="87"/>
      <c r="SVI47" s="87"/>
      <c r="SVJ47" s="87"/>
      <c r="SVK47" s="87"/>
      <c r="SVL47" s="87"/>
      <c r="SVM47" s="87"/>
      <c r="SVN47" s="87"/>
      <c r="SVO47" s="87"/>
      <c r="SVP47" s="87"/>
      <c r="SVQ47" s="87"/>
      <c r="SVR47" s="87"/>
      <c r="SVS47" s="87"/>
      <c r="SVT47" s="87"/>
      <c r="SVU47" s="87"/>
      <c r="SVV47" s="87"/>
      <c r="SVW47" s="87"/>
      <c r="SVX47" s="87"/>
      <c r="SVY47" s="87"/>
      <c r="SVZ47" s="87"/>
      <c r="SWA47" s="87"/>
      <c r="SWB47" s="87"/>
      <c r="SWC47" s="87"/>
      <c r="SWD47" s="87"/>
      <c r="SWE47" s="87"/>
      <c r="SWF47" s="87"/>
      <c r="SWG47" s="87"/>
      <c r="SWH47" s="87"/>
      <c r="SWI47" s="87"/>
      <c r="SWJ47" s="87"/>
      <c r="SWK47" s="87"/>
      <c r="SWL47" s="87"/>
      <c r="SWM47" s="87"/>
      <c r="SWN47" s="87"/>
      <c r="SWO47" s="87"/>
      <c r="SWP47" s="87"/>
      <c r="SWQ47" s="87"/>
      <c r="SWR47" s="87"/>
      <c r="SWS47" s="87"/>
      <c r="SWT47" s="87"/>
      <c r="SWU47" s="87"/>
      <c r="SWV47" s="87"/>
      <c r="SWW47" s="87"/>
      <c r="SWX47" s="87"/>
      <c r="SWY47" s="87"/>
      <c r="SWZ47" s="87"/>
      <c r="SXA47" s="87"/>
      <c r="SXB47" s="87"/>
      <c r="SXC47" s="87"/>
      <c r="SXD47" s="87"/>
      <c r="SXE47" s="87"/>
      <c r="SXF47" s="87"/>
      <c r="SXG47" s="87"/>
      <c r="SXH47" s="87"/>
      <c r="SXI47" s="87"/>
      <c r="SXJ47" s="87"/>
      <c r="SXK47" s="87"/>
      <c r="SXL47" s="87"/>
      <c r="SXM47" s="87"/>
      <c r="SXN47" s="87"/>
      <c r="SXO47" s="87"/>
      <c r="SXP47" s="87"/>
      <c r="SXQ47" s="87"/>
      <c r="SXR47" s="87"/>
      <c r="SXS47" s="87"/>
      <c r="SXT47" s="87"/>
      <c r="SXU47" s="87"/>
      <c r="SXV47" s="87"/>
      <c r="SXW47" s="87"/>
      <c r="SXX47" s="87"/>
      <c r="SXY47" s="87"/>
      <c r="SXZ47" s="87"/>
      <c r="SYA47" s="87"/>
      <c r="SYB47" s="87"/>
      <c r="SYC47" s="87"/>
      <c r="SYD47" s="87"/>
      <c r="SYE47" s="87"/>
      <c r="SYF47" s="87"/>
      <c r="SYG47" s="87"/>
      <c r="SYH47" s="87"/>
      <c r="SYI47" s="87"/>
      <c r="SYJ47" s="87"/>
      <c r="SYK47" s="87"/>
      <c r="SYL47" s="87"/>
      <c r="SYM47" s="87"/>
      <c r="SYN47" s="87"/>
      <c r="SYO47" s="87"/>
      <c r="SYP47" s="87"/>
      <c r="SYQ47" s="87"/>
      <c r="SYR47" s="87"/>
      <c r="SYS47" s="87"/>
      <c r="SYT47" s="87"/>
      <c r="SYU47" s="87"/>
      <c r="SYV47" s="87"/>
      <c r="SYW47" s="87"/>
      <c r="SYX47" s="87"/>
      <c r="SYY47" s="87"/>
      <c r="SYZ47" s="87"/>
      <c r="SZA47" s="87"/>
      <c r="SZB47" s="87"/>
      <c r="SZC47" s="87"/>
      <c r="SZD47" s="87"/>
      <c r="SZE47" s="87"/>
      <c r="SZF47" s="87"/>
      <c r="SZG47" s="87"/>
      <c r="SZH47" s="87"/>
      <c r="SZI47" s="87"/>
      <c r="SZJ47" s="87"/>
      <c r="SZK47" s="87"/>
      <c r="SZL47" s="87"/>
      <c r="SZM47" s="87"/>
      <c r="SZN47" s="87"/>
      <c r="SZO47" s="87"/>
      <c r="SZP47" s="87"/>
      <c r="SZQ47" s="87"/>
      <c r="SZR47" s="87"/>
      <c r="SZS47" s="87"/>
      <c r="SZT47" s="87"/>
      <c r="SZU47" s="87"/>
      <c r="SZV47" s="87"/>
      <c r="SZW47" s="87"/>
      <c r="SZX47" s="87"/>
      <c r="SZY47" s="87"/>
      <c r="SZZ47" s="87"/>
      <c r="TAA47" s="87"/>
      <c r="TAB47" s="87"/>
      <c r="TAC47" s="87"/>
      <c r="TAD47" s="87"/>
      <c r="TAE47" s="87"/>
      <c r="TAF47" s="87"/>
      <c r="TAG47" s="87"/>
      <c r="TAH47" s="87"/>
      <c r="TAI47" s="87"/>
      <c r="TAJ47" s="87"/>
      <c r="TAK47" s="87"/>
      <c r="TAL47" s="87"/>
      <c r="TAM47" s="87"/>
      <c r="TAN47" s="87"/>
      <c r="TAO47" s="87"/>
      <c r="TAP47" s="87"/>
      <c r="TAQ47" s="87"/>
      <c r="TAR47" s="87"/>
      <c r="TAS47" s="87"/>
      <c r="TAT47" s="87"/>
      <c r="TAU47" s="87"/>
      <c r="TAV47" s="87"/>
      <c r="TAW47" s="87"/>
      <c r="TAX47" s="87"/>
      <c r="TAY47" s="87"/>
      <c r="TAZ47" s="87"/>
      <c r="TBA47" s="87"/>
      <c r="TBB47" s="87"/>
      <c r="TBC47" s="87"/>
      <c r="TBD47" s="87"/>
      <c r="TBE47" s="87"/>
      <c r="TBF47" s="87"/>
      <c r="TBG47" s="87"/>
      <c r="TBH47" s="87"/>
      <c r="TBI47" s="87"/>
      <c r="TBJ47" s="87"/>
      <c r="TBK47" s="87"/>
      <c r="TBL47" s="87"/>
      <c r="TBM47" s="87"/>
      <c r="TBN47" s="87"/>
      <c r="TBO47" s="87"/>
      <c r="TBP47" s="87"/>
      <c r="TBQ47" s="87"/>
      <c r="TBR47" s="87"/>
      <c r="TBS47" s="87"/>
      <c r="TBT47" s="87"/>
      <c r="TBU47" s="87"/>
      <c r="TBV47" s="87"/>
      <c r="TBW47" s="87"/>
      <c r="TBX47" s="87"/>
      <c r="TBY47" s="87"/>
      <c r="TBZ47" s="87"/>
      <c r="TCA47" s="87"/>
      <c r="TCB47" s="87"/>
      <c r="TCC47" s="87"/>
      <c r="TCD47" s="87"/>
      <c r="TCE47" s="87"/>
      <c r="TCF47" s="87"/>
      <c r="TCG47" s="87"/>
      <c r="TCH47" s="87"/>
      <c r="TCI47" s="87"/>
      <c r="TCJ47" s="87"/>
      <c r="TCK47" s="87"/>
      <c r="TCL47" s="87"/>
      <c r="TCM47" s="87"/>
      <c r="TCN47" s="87"/>
      <c r="TCO47" s="87"/>
      <c r="TCP47" s="87"/>
      <c r="TCQ47" s="87"/>
      <c r="TCR47" s="87"/>
      <c r="TCS47" s="87"/>
      <c r="TCT47" s="87"/>
      <c r="TCU47" s="87"/>
      <c r="TCV47" s="87"/>
      <c r="TCW47" s="87"/>
      <c r="TCX47" s="87"/>
      <c r="TCY47" s="87"/>
      <c r="TCZ47" s="87"/>
      <c r="TDA47" s="87"/>
      <c r="TDB47" s="87"/>
      <c r="TDC47" s="87"/>
      <c r="TDD47" s="87"/>
      <c r="TDE47" s="87"/>
      <c r="TDF47" s="87"/>
      <c r="TDG47" s="87"/>
      <c r="TDH47" s="87"/>
      <c r="TDI47" s="87"/>
      <c r="TDJ47" s="87"/>
      <c r="TDK47" s="87"/>
      <c r="TDL47" s="87"/>
      <c r="TDM47" s="87"/>
      <c r="TDN47" s="87"/>
      <c r="TDO47" s="87"/>
      <c r="TDP47" s="87"/>
      <c r="TDQ47" s="87"/>
      <c r="TDR47" s="87"/>
      <c r="TDS47" s="87"/>
      <c r="TDT47" s="87"/>
      <c r="TDU47" s="87"/>
      <c r="TDV47" s="87"/>
      <c r="TDW47" s="87"/>
      <c r="TDX47" s="87"/>
      <c r="TDY47" s="87"/>
      <c r="TDZ47" s="87"/>
      <c r="TEA47" s="87"/>
      <c r="TEB47" s="87"/>
      <c r="TEC47" s="87"/>
      <c r="TED47" s="87"/>
      <c r="TEE47" s="87"/>
      <c r="TEF47" s="87"/>
      <c r="TEG47" s="87"/>
      <c r="TEH47" s="87"/>
      <c r="TEI47" s="87"/>
      <c r="TEJ47" s="87"/>
      <c r="TEK47" s="87"/>
      <c r="TEL47" s="87"/>
      <c r="TEM47" s="87"/>
      <c r="TEN47" s="87"/>
      <c r="TEO47" s="87"/>
      <c r="TEP47" s="87"/>
      <c r="TEQ47" s="87"/>
      <c r="TER47" s="87"/>
      <c r="TES47" s="87"/>
      <c r="TET47" s="87"/>
      <c r="TEU47" s="87"/>
      <c r="TEV47" s="87"/>
      <c r="TEW47" s="87"/>
      <c r="TEX47" s="87"/>
      <c r="TEY47" s="87"/>
      <c r="TEZ47" s="87"/>
      <c r="TFA47" s="87"/>
      <c r="TFB47" s="87"/>
      <c r="TFC47" s="87"/>
      <c r="TFD47" s="87"/>
      <c r="TFE47" s="87"/>
      <c r="TFF47" s="87"/>
      <c r="TFG47" s="87"/>
      <c r="TFH47" s="87"/>
      <c r="TFI47" s="87"/>
      <c r="TFJ47" s="87"/>
      <c r="TFK47" s="87"/>
      <c r="TFL47" s="87"/>
      <c r="TFM47" s="87"/>
      <c r="TFN47" s="87"/>
      <c r="TFO47" s="87"/>
      <c r="TFP47" s="87"/>
      <c r="TFQ47" s="87"/>
      <c r="TFR47" s="87"/>
      <c r="TFS47" s="87"/>
      <c r="TFT47" s="87"/>
      <c r="TFU47" s="87"/>
      <c r="TFV47" s="87"/>
      <c r="TFW47" s="87"/>
      <c r="TFX47" s="87"/>
      <c r="TFY47" s="87"/>
      <c r="TFZ47" s="87"/>
      <c r="TGA47" s="87"/>
      <c r="TGB47" s="87"/>
      <c r="TGC47" s="87"/>
      <c r="TGD47" s="87"/>
      <c r="TGE47" s="87"/>
      <c r="TGF47" s="87"/>
      <c r="TGG47" s="87"/>
      <c r="TGH47" s="87"/>
      <c r="TGI47" s="87"/>
      <c r="TGJ47" s="87"/>
      <c r="TGK47" s="87"/>
      <c r="TGL47" s="87"/>
      <c r="TGM47" s="87"/>
      <c r="TGN47" s="87"/>
      <c r="TGO47" s="87"/>
      <c r="TGP47" s="87"/>
      <c r="TGQ47" s="87"/>
      <c r="TGR47" s="87"/>
      <c r="TGS47" s="87"/>
      <c r="TGT47" s="87"/>
      <c r="TGU47" s="87"/>
      <c r="TGV47" s="87"/>
      <c r="TGW47" s="87"/>
      <c r="TGX47" s="87"/>
      <c r="TGY47" s="87"/>
      <c r="TGZ47" s="87"/>
      <c r="THA47" s="87"/>
      <c r="THB47" s="87"/>
      <c r="THC47" s="87"/>
      <c r="THD47" s="87"/>
      <c r="THE47" s="87"/>
      <c r="THF47" s="87"/>
      <c r="THG47" s="87"/>
      <c r="THH47" s="87"/>
      <c r="THI47" s="87"/>
      <c r="THJ47" s="87"/>
      <c r="THK47" s="87"/>
      <c r="THL47" s="87"/>
      <c r="THM47" s="87"/>
      <c r="THN47" s="87"/>
      <c r="THO47" s="87"/>
      <c r="THP47" s="87"/>
      <c r="THQ47" s="87"/>
      <c r="THR47" s="87"/>
      <c r="THS47" s="87"/>
      <c r="THT47" s="87"/>
      <c r="THU47" s="87"/>
      <c r="THV47" s="87"/>
      <c r="THW47" s="87"/>
      <c r="THX47" s="87"/>
      <c r="THY47" s="87"/>
      <c r="THZ47" s="87"/>
      <c r="TIA47" s="87"/>
      <c r="TIB47" s="87"/>
      <c r="TIC47" s="87"/>
      <c r="TID47" s="87"/>
      <c r="TIE47" s="87"/>
      <c r="TIF47" s="87"/>
      <c r="TIG47" s="87"/>
      <c r="TIH47" s="87"/>
      <c r="TII47" s="87"/>
      <c r="TIJ47" s="87"/>
      <c r="TIK47" s="87"/>
      <c r="TIL47" s="87"/>
      <c r="TIM47" s="87"/>
      <c r="TIN47" s="87"/>
      <c r="TIO47" s="87"/>
      <c r="TIP47" s="87"/>
      <c r="TIQ47" s="87"/>
      <c r="TIR47" s="87"/>
      <c r="TIS47" s="87"/>
      <c r="TIT47" s="87"/>
      <c r="TIU47" s="87"/>
      <c r="TIV47" s="87"/>
      <c r="TIW47" s="87"/>
      <c r="TIX47" s="87"/>
      <c r="TIY47" s="87"/>
      <c r="TIZ47" s="87"/>
      <c r="TJA47" s="87"/>
      <c r="TJB47" s="87"/>
      <c r="TJC47" s="87"/>
      <c r="TJD47" s="87"/>
      <c r="TJE47" s="87"/>
      <c r="TJF47" s="87"/>
      <c r="TJG47" s="87"/>
      <c r="TJH47" s="87"/>
      <c r="TJI47" s="87"/>
      <c r="TJJ47" s="87"/>
      <c r="TJK47" s="87"/>
      <c r="TJL47" s="87"/>
      <c r="TJM47" s="87"/>
      <c r="TJN47" s="87"/>
      <c r="TJO47" s="87"/>
      <c r="TJP47" s="87"/>
      <c r="TJQ47" s="87"/>
      <c r="TJR47" s="87"/>
      <c r="TJS47" s="87"/>
      <c r="TJT47" s="87"/>
      <c r="TJU47" s="87"/>
      <c r="TJV47" s="87"/>
      <c r="TJW47" s="87"/>
      <c r="TJX47" s="87"/>
      <c r="TJY47" s="87"/>
      <c r="TJZ47" s="87"/>
      <c r="TKA47" s="87"/>
      <c r="TKB47" s="87"/>
      <c r="TKC47" s="87"/>
      <c r="TKD47" s="87"/>
      <c r="TKE47" s="87"/>
      <c r="TKF47" s="87"/>
      <c r="TKG47" s="87"/>
      <c r="TKH47" s="87"/>
      <c r="TKI47" s="87"/>
      <c r="TKJ47" s="87"/>
      <c r="TKK47" s="87"/>
      <c r="TKL47" s="87"/>
      <c r="TKM47" s="87"/>
      <c r="TKN47" s="87"/>
      <c r="TKO47" s="87"/>
      <c r="TKP47" s="87"/>
      <c r="TKQ47" s="87"/>
      <c r="TKR47" s="87"/>
      <c r="TKS47" s="87"/>
      <c r="TKT47" s="87"/>
      <c r="TKU47" s="87"/>
      <c r="TKV47" s="87"/>
      <c r="TKW47" s="87"/>
      <c r="TKX47" s="87"/>
      <c r="TKY47" s="87"/>
      <c r="TKZ47" s="87"/>
      <c r="TLA47" s="87"/>
      <c r="TLB47" s="87"/>
      <c r="TLC47" s="87"/>
      <c r="TLD47" s="87"/>
      <c r="TLE47" s="87"/>
      <c r="TLF47" s="87"/>
      <c r="TLG47" s="87"/>
      <c r="TLH47" s="87"/>
      <c r="TLI47" s="87"/>
      <c r="TLJ47" s="87"/>
      <c r="TLK47" s="87"/>
      <c r="TLL47" s="87"/>
      <c r="TLM47" s="87"/>
      <c r="TLN47" s="87"/>
      <c r="TLO47" s="87"/>
      <c r="TLP47" s="87"/>
      <c r="TLQ47" s="87"/>
      <c r="TLR47" s="87"/>
      <c r="TLS47" s="87"/>
      <c r="TLT47" s="87"/>
      <c r="TLU47" s="87"/>
      <c r="TLV47" s="87"/>
      <c r="TLW47" s="87"/>
      <c r="TLX47" s="87"/>
      <c r="TLY47" s="87"/>
      <c r="TLZ47" s="87"/>
      <c r="TMA47" s="87"/>
      <c r="TMB47" s="87"/>
      <c r="TMC47" s="87"/>
      <c r="TMD47" s="87"/>
      <c r="TME47" s="87"/>
      <c r="TMF47" s="87"/>
      <c r="TMG47" s="87"/>
      <c r="TMH47" s="87"/>
      <c r="TMI47" s="87"/>
      <c r="TMJ47" s="87"/>
      <c r="TMK47" s="87"/>
      <c r="TML47" s="87"/>
      <c r="TMM47" s="87"/>
      <c r="TMN47" s="87"/>
      <c r="TMO47" s="87"/>
      <c r="TMP47" s="87"/>
      <c r="TMQ47" s="87"/>
      <c r="TMR47" s="87"/>
      <c r="TMS47" s="87"/>
      <c r="TMT47" s="87"/>
      <c r="TMU47" s="87"/>
      <c r="TMV47" s="87"/>
      <c r="TMW47" s="87"/>
      <c r="TMX47" s="87"/>
      <c r="TMY47" s="87"/>
      <c r="TMZ47" s="87"/>
      <c r="TNA47" s="87"/>
      <c r="TNB47" s="87"/>
      <c r="TNC47" s="87"/>
      <c r="TND47" s="87"/>
      <c r="TNE47" s="87"/>
      <c r="TNF47" s="87"/>
      <c r="TNG47" s="87"/>
      <c r="TNH47" s="87"/>
      <c r="TNI47" s="87"/>
      <c r="TNJ47" s="87"/>
      <c r="TNK47" s="87"/>
      <c r="TNL47" s="87"/>
      <c r="TNM47" s="87"/>
      <c r="TNN47" s="87"/>
      <c r="TNO47" s="87"/>
      <c r="TNP47" s="87"/>
      <c r="TNQ47" s="87"/>
      <c r="TNR47" s="87"/>
      <c r="TNS47" s="87"/>
      <c r="TNT47" s="87"/>
      <c r="TNU47" s="87"/>
      <c r="TNV47" s="87"/>
      <c r="TNW47" s="87"/>
      <c r="TNX47" s="87"/>
      <c r="TNY47" s="87"/>
      <c r="TNZ47" s="87"/>
      <c r="TOA47" s="87"/>
      <c r="TOB47" s="87"/>
      <c r="TOC47" s="87"/>
      <c r="TOD47" s="87"/>
      <c r="TOE47" s="87"/>
      <c r="TOF47" s="87"/>
      <c r="TOG47" s="87"/>
      <c r="TOH47" s="87"/>
      <c r="TOI47" s="87"/>
      <c r="TOJ47" s="87"/>
      <c r="TOK47" s="87"/>
      <c r="TOL47" s="87"/>
      <c r="TOM47" s="87"/>
      <c r="TON47" s="87"/>
      <c r="TOO47" s="87"/>
      <c r="TOP47" s="87"/>
      <c r="TOQ47" s="87"/>
      <c r="TOR47" s="87"/>
      <c r="TOS47" s="87"/>
      <c r="TOT47" s="87"/>
      <c r="TOU47" s="87"/>
      <c r="TOV47" s="87"/>
      <c r="TOW47" s="87"/>
      <c r="TOX47" s="87"/>
      <c r="TOY47" s="87"/>
      <c r="TOZ47" s="87"/>
      <c r="TPA47" s="87"/>
      <c r="TPB47" s="87"/>
      <c r="TPC47" s="87"/>
      <c r="TPD47" s="87"/>
      <c r="TPE47" s="87"/>
      <c r="TPF47" s="87"/>
      <c r="TPG47" s="87"/>
      <c r="TPH47" s="87"/>
      <c r="TPI47" s="87"/>
      <c r="TPJ47" s="87"/>
      <c r="TPK47" s="87"/>
      <c r="TPL47" s="87"/>
      <c r="TPM47" s="87"/>
      <c r="TPN47" s="87"/>
      <c r="TPO47" s="87"/>
      <c r="TPP47" s="87"/>
      <c r="TPQ47" s="87"/>
      <c r="TPR47" s="87"/>
      <c r="TPS47" s="87"/>
      <c r="TPT47" s="87"/>
      <c r="TPU47" s="87"/>
      <c r="TPV47" s="87"/>
      <c r="TPW47" s="87"/>
      <c r="TPX47" s="87"/>
      <c r="TPY47" s="87"/>
      <c r="TPZ47" s="87"/>
      <c r="TQA47" s="87"/>
      <c r="TQB47" s="87"/>
      <c r="TQC47" s="87"/>
      <c r="TQD47" s="87"/>
      <c r="TQE47" s="87"/>
      <c r="TQF47" s="87"/>
      <c r="TQG47" s="87"/>
      <c r="TQH47" s="87"/>
      <c r="TQI47" s="87"/>
      <c r="TQJ47" s="87"/>
      <c r="TQK47" s="87"/>
      <c r="TQL47" s="87"/>
      <c r="TQM47" s="87"/>
      <c r="TQN47" s="87"/>
      <c r="TQO47" s="87"/>
      <c r="TQP47" s="87"/>
      <c r="TQQ47" s="87"/>
      <c r="TQR47" s="87"/>
      <c r="TQS47" s="87"/>
      <c r="TQT47" s="87"/>
      <c r="TQU47" s="87"/>
      <c r="TQV47" s="87"/>
      <c r="TQW47" s="87"/>
      <c r="TQX47" s="87"/>
      <c r="TQY47" s="87"/>
      <c r="TQZ47" s="87"/>
      <c r="TRA47" s="87"/>
      <c r="TRB47" s="87"/>
      <c r="TRC47" s="87"/>
      <c r="TRD47" s="87"/>
      <c r="TRE47" s="87"/>
      <c r="TRF47" s="87"/>
      <c r="TRG47" s="87"/>
      <c r="TRH47" s="87"/>
      <c r="TRI47" s="87"/>
      <c r="TRJ47" s="87"/>
      <c r="TRK47" s="87"/>
      <c r="TRL47" s="87"/>
      <c r="TRM47" s="87"/>
      <c r="TRN47" s="87"/>
      <c r="TRO47" s="87"/>
      <c r="TRP47" s="87"/>
      <c r="TRQ47" s="87"/>
      <c r="TRR47" s="87"/>
      <c r="TRS47" s="87"/>
      <c r="TRT47" s="87"/>
      <c r="TRU47" s="87"/>
      <c r="TRV47" s="87"/>
      <c r="TRW47" s="87"/>
      <c r="TRX47" s="87"/>
      <c r="TRY47" s="87"/>
      <c r="TRZ47" s="87"/>
      <c r="TSA47" s="87"/>
      <c r="TSB47" s="87"/>
      <c r="TSC47" s="87"/>
      <c r="TSD47" s="87"/>
      <c r="TSE47" s="87"/>
      <c r="TSF47" s="87"/>
      <c r="TSG47" s="87"/>
      <c r="TSH47" s="87"/>
      <c r="TSI47" s="87"/>
      <c r="TSJ47" s="87"/>
      <c r="TSK47" s="87"/>
      <c r="TSL47" s="87"/>
      <c r="TSM47" s="87"/>
      <c r="TSN47" s="87"/>
      <c r="TSO47" s="87"/>
      <c r="TSP47" s="87"/>
      <c r="TSQ47" s="87"/>
      <c r="TSR47" s="87"/>
      <c r="TSS47" s="87"/>
      <c r="TST47" s="87"/>
      <c r="TSU47" s="87"/>
      <c r="TSV47" s="87"/>
      <c r="TSW47" s="87"/>
      <c r="TSX47" s="87"/>
      <c r="TSY47" s="87"/>
      <c r="TSZ47" s="87"/>
      <c r="TTA47" s="87"/>
      <c r="TTB47" s="87"/>
      <c r="TTC47" s="87"/>
      <c r="TTD47" s="87"/>
      <c r="TTE47" s="87"/>
      <c r="TTF47" s="87"/>
      <c r="TTG47" s="87"/>
      <c r="TTH47" s="87"/>
      <c r="TTI47" s="87"/>
      <c r="TTJ47" s="87"/>
      <c r="TTK47" s="87"/>
      <c r="TTL47" s="87"/>
      <c r="TTM47" s="87"/>
      <c r="TTN47" s="87"/>
      <c r="TTO47" s="87"/>
      <c r="TTP47" s="87"/>
      <c r="TTQ47" s="87"/>
      <c r="TTR47" s="87"/>
      <c r="TTS47" s="87"/>
      <c r="TTT47" s="87"/>
      <c r="TTU47" s="87"/>
      <c r="TTV47" s="87"/>
      <c r="TTW47" s="87"/>
      <c r="TTX47" s="87"/>
      <c r="TTY47" s="87"/>
      <c r="TTZ47" s="87"/>
      <c r="TUA47" s="87"/>
      <c r="TUB47" s="87"/>
      <c r="TUC47" s="87"/>
      <c r="TUD47" s="87"/>
      <c r="TUE47" s="87"/>
      <c r="TUF47" s="87"/>
      <c r="TUG47" s="87"/>
      <c r="TUH47" s="87"/>
      <c r="TUI47" s="87"/>
      <c r="TUJ47" s="87"/>
      <c r="TUK47" s="87"/>
      <c r="TUL47" s="87"/>
      <c r="TUM47" s="87"/>
      <c r="TUN47" s="87"/>
      <c r="TUO47" s="87"/>
      <c r="TUP47" s="87"/>
      <c r="TUQ47" s="87"/>
      <c r="TUR47" s="87"/>
      <c r="TUS47" s="87"/>
      <c r="TUT47" s="87"/>
      <c r="TUU47" s="87"/>
      <c r="TUV47" s="87"/>
      <c r="TUW47" s="87"/>
      <c r="TUX47" s="87"/>
      <c r="TUY47" s="87"/>
      <c r="TUZ47" s="87"/>
      <c r="TVA47" s="87"/>
      <c r="TVB47" s="87"/>
      <c r="TVC47" s="87"/>
      <c r="TVD47" s="87"/>
      <c r="TVE47" s="87"/>
      <c r="TVF47" s="87"/>
      <c r="TVG47" s="87"/>
      <c r="TVH47" s="87"/>
      <c r="TVI47" s="87"/>
      <c r="TVJ47" s="87"/>
      <c r="TVK47" s="87"/>
      <c r="TVL47" s="87"/>
      <c r="TVM47" s="87"/>
      <c r="TVN47" s="87"/>
      <c r="TVO47" s="87"/>
      <c r="TVP47" s="87"/>
      <c r="TVQ47" s="87"/>
      <c r="TVR47" s="87"/>
      <c r="TVS47" s="87"/>
      <c r="TVT47" s="87"/>
      <c r="TVU47" s="87"/>
      <c r="TVV47" s="87"/>
      <c r="TVW47" s="87"/>
      <c r="TVX47" s="87"/>
      <c r="TVY47" s="87"/>
      <c r="TVZ47" s="87"/>
      <c r="TWA47" s="87"/>
      <c r="TWB47" s="87"/>
      <c r="TWC47" s="87"/>
      <c r="TWD47" s="87"/>
      <c r="TWE47" s="87"/>
      <c r="TWF47" s="87"/>
      <c r="TWG47" s="87"/>
      <c r="TWH47" s="87"/>
      <c r="TWI47" s="87"/>
      <c r="TWJ47" s="87"/>
      <c r="TWK47" s="87"/>
      <c r="TWL47" s="87"/>
      <c r="TWM47" s="87"/>
      <c r="TWN47" s="87"/>
      <c r="TWO47" s="87"/>
      <c r="TWP47" s="87"/>
      <c r="TWQ47" s="87"/>
      <c r="TWR47" s="87"/>
      <c r="TWS47" s="87"/>
      <c r="TWT47" s="87"/>
      <c r="TWU47" s="87"/>
      <c r="TWV47" s="87"/>
      <c r="TWW47" s="87"/>
      <c r="TWX47" s="87"/>
      <c r="TWY47" s="87"/>
      <c r="TWZ47" s="87"/>
      <c r="TXA47" s="87"/>
      <c r="TXB47" s="87"/>
      <c r="TXC47" s="87"/>
      <c r="TXD47" s="87"/>
      <c r="TXE47" s="87"/>
      <c r="TXF47" s="87"/>
      <c r="TXG47" s="87"/>
      <c r="TXH47" s="87"/>
      <c r="TXI47" s="87"/>
      <c r="TXJ47" s="87"/>
      <c r="TXK47" s="87"/>
      <c r="TXL47" s="87"/>
      <c r="TXM47" s="87"/>
      <c r="TXN47" s="87"/>
      <c r="TXO47" s="87"/>
      <c r="TXP47" s="87"/>
      <c r="TXQ47" s="87"/>
      <c r="TXR47" s="87"/>
      <c r="TXS47" s="87"/>
      <c r="TXT47" s="87"/>
      <c r="TXU47" s="87"/>
      <c r="TXV47" s="87"/>
      <c r="TXW47" s="87"/>
      <c r="TXX47" s="87"/>
      <c r="TXY47" s="87"/>
      <c r="TXZ47" s="87"/>
      <c r="TYA47" s="87"/>
      <c r="TYB47" s="87"/>
      <c r="TYC47" s="87"/>
      <c r="TYD47" s="87"/>
      <c r="TYE47" s="87"/>
      <c r="TYF47" s="87"/>
      <c r="TYG47" s="87"/>
      <c r="TYH47" s="87"/>
      <c r="TYI47" s="87"/>
      <c r="TYJ47" s="87"/>
      <c r="TYK47" s="87"/>
      <c r="TYL47" s="87"/>
      <c r="TYM47" s="87"/>
      <c r="TYN47" s="87"/>
      <c r="TYO47" s="87"/>
      <c r="TYP47" s="87"/>
      <c r="TYQ47" s="87"/>
      <c r="TYR47" s="87"/>
      <c r="TYS47" s="87"/>
      <c r="TYT47" s="87"/>
      <c r="TYU47" s="87"/>
      <c r="TYV47" s="87"/>
      <c r="TYW47" s="87"/>
      <c r="TYX47" s="87"/>
      <c r="TYY47" s="87"/>
      <c r="TYZ47" s="87"/>
      <c r="TZA47" s="87"/>
      <c r="TZB47" s="87"/>
      <c r="TZC47" s="87"/>
      <c r="TZD47" s="87"/>
      <c r="TZE47" s="87"/>
      <c r="TZF47" s="87"/>
      <c r="TZG47" s="87"/>
      <c r="TZH47" s="87"/>
      <c r="TZI47" s="87"/>
      <c r="TZJ47" s="87"/>
      <c r="TZK47" s="87"/>
      <c r="TZL47" s="87"/>
      <c r="TZM47" s="87"/>
      <c r="TZN47" s="87"/>
      <c r="TZO47" s="87"/>
      <c r="TZP47" s="87"/>
      <c r="TZQ47" s="87"/>
      <c r="TZR47" s="87"/>
      <c r="TZS47" s="87"/>
      <c r="TZT47" s="87"/>
      <c r="TZU47" s="87"/>
      <c r="TZV47" s="87"/>
      <c r="TZW47" s="87"/>
      <c r="TZX47" s="87"/>
      <c r="TZY47" s="87"/>
      <c r="TZZ47" s="87"/>
      <c r="UAA47" s="87"/>
      <c r="UAB47" s="87"/>
      <c r="UAC47" s="87"/>
      <c r="UAD47" s="87"/>
      <c r="UAE47" s="87"/>
      <c r="UAF47" s="87"/>
      <c r="UAG47" s="87"/>
      <c r="UAH47" s="87"/>
      <c r="UAI47" s="87"/>
      <c r="UAJ47" s="87"/>
      <c r="UAK47" s="87"/>
      <c r="UAL47" s="87"/>
      <c r="UAM47" s="87"/>
      <c r="UAN47" s="87"/>
      <c r="UAO47" s="87"/>
      <c r="UAP47" s="87"/>
      <c r="UAQ47" s="87"/>
      <c r="UAR47" s="87"/>
      <c r="UAS47" s="87"/>
      <c r="UAT47" s="87"/>
      <c r="UAU47" s="87"/>
      <c r="UAV47" s="87"/>
      <c r="UAW47" s="87"/>
      <c r="UAX47" s="87"/>
      <c r="UAY47" s="87"/>
      <c r="UAZ47" s="87"/>
      <c r="UBA47" s="87"/>
      <c r="UBB47" s="87"/>
      <c r="UBC47" s="87"/>
      <c r="UBD47" s="87"/>
      <c r="UBE47" s="87"/>
      <c r="UBF47" s="87"/>
      <c r="UBG47" s="87"/>
      <c r="UBH47" s="87"/>
      <c r="UBI47" s="87"/>
      <c r="UBJ47" s="87"/>
      <c r="UBK47" s="87"/>
      <c r="UBL47" s="87"/>
      <c r="UBM47" s="87"/>
      <c r="UBN47" s="87"/>
      <c r="UBO47" s="87"/>
      <c r="UBP47" s="87"/>
      <c r="UBQ47" s="87"/>
      <c r="UBR47" s="87"/>
      <c r="UBS47" s="87"/>
      <c r="UBT47" s="87"/>
      <c r="UBU47" s="87"/>
      <c r="UBV47" s="87"/>
      <c r="UBW47" s="87"/>
      <c r="UBX47" s="87"/>
      <c r="UBY47" s="87"/>
      <c r="UBZ47" s="87"/>
      <c r="UCA47" s="87"/>
      <c r="UCB47" s="87"/>
      <c r="UCC47" s="87"/>
      <c r="UCD47" s="87"/>
      <c r="UCE47" s="87"/>
      <c r="UCF47" s="87"/>
      <c r="UCG47" s="87"/>
      <c r="UCH47" s="87"/>
      <c r="UCI47" s="87"/>
      <c r="UCJ47" s="87"/>
      <c r="UCK47" s="87"/>
      <c r="UCL47" s="87"/>
      <c r="UCM47" s="87"/>
      <c r="UCN47" s="87"/>
      <c r="UCO47" s="87"/>
      <c r="UCP47" s="87"/>
      <c r="UCQ47" s="87"/>
      <c r="UCR47" s="87"/>
      <c r="UCS47" s="87"/>
      <c r="UCT47" s="87"/>
      <c r="UCU47" s="87"/>
      <c r="UCV47" s="87"/>
      <c r="UCW47" s="87"/>
      <c r="UCX47" s="87"/>
      <c r="UCY47" s="87"/>
      <c r="UCZ47" s="87"/>
      <c r="UDA47" s="87"/>
      <c r="UDB47" s="87"/>
      <c r="UDC47" s="87"/>
      <c r="UDD47" s="87"/>
      <c r="UDE47" s="87"/>
      <c r="UDF47" s="87"/>
      <c r="UDG47" s="87"/>
      <c r="UDH47" s="87"/>
      <c r="UDI47" s="87"/>
      <c r="UDJ47" s="87"/>
      <c r="UDK47" s="87"/>
      <c r="UDL47" s="87"/>
      <c r="UDM47" s="87"/>
      <c r="UDN47" s="87"/>
      <c r="UDO47" s="87"/>
      <c r="UDP47" s="87"/>
      <c r="UDQ47" s="87"/>
      <c r="UDR47" s="87"/>
      <c r="UDS47" s="87"/>
      <c r="UDT47" s="87"/>
      <c r="UDU47" s="87"/>
      <c r="UDV47" s="87"/>
      <c r="UDW47" s="87"/>
      <c r="UDX47" s="87"/>
      <c r="UDY47" s="87"/>
      <c r="UDZ47" s="87"/>
      <c r="UEA47" s="87"/>
      <c r="UEB47" s="87"/>
      <c r="UEC47" s="87"/>
      <c r="UED47" s="87"/>
      <c r="UEE47" s="87"/>
      <c r="UEF47" s="87"/>
      <c r="UEG47" s="87"/>
      <c r="UEH47" s="87"/>
      <c r="UEI47" s="87"/>
      <c r="UEJ47" s="87"/>
      <c r="UEK47" s="87"/>
      <c r="UEL47" s="87"/>
      <c r="UEM47" s="87"/>
      <c r="UEN47" s="87"/>
      <c r="UEO47" s="87"/>
      <c r="UEP47" s="87"/>
      <c r="UEQ47" s="87"/>
      <c r="UER47" s="87"/>
      <c r="UES47" s="87"/>
      <c r="UET47" s="87"/>
      <c r="UEU47" s="87"/>
      <c r="UEV47" s="87"/>
      <c r="UEW47" s="87"/>
      <c r="UEX47" s="87"/>
      <c r="UEY47" s="87"/>
      <c r="UEZ47" s="87"/>
      <c r="UFA47" s="87"/>
      <c r="UFB47" s="87"/>
      <c r="UFC47" s="87"/>
      <c r="UFD47" s="87"/>
      <c r="UFE47" s="87"/>
      <c r="UFF47" s="87"/>
      <c r="UFG47" s="87"/>
      <c r="UFH47" s="87"/>
      <c r="UFI47" s="87"/>
      <c r="UFJ47" s="87"/>
      <c r="UFK47" s="87"/>
      <c r="UFL47" s="87"/>
      <c r="UFM47" s="87"/>
      <c r="UFN47" s="87"/>
      <c r="UFO47" s="87"/>
      <c r="UFP47" s="87"/>
      <c r="UFQ47" s="87"/>
      <c r="UFR47" s="87"/>
      <c r="UFS47" s="87"/>
      <c r="UFT47" s="87"/>
      <c r="UFU47" s="87"/>
      <c r="UFV47" s="87"/>
      <c r="UFW47" s="87"/>
      <c r="UFX47" s="87"/>
      <c r="UFY47" s="87"/>
      <c r="UFZ47" s="87"/>
      <c r="UGA47" s="87"/>
      <c r="UGB47" s="87"/>
      <c r="UGC47" s="87"/>
      <c r="UGD47" s="87"/>
      <c r="UGE47" s="87"/>
      <c r="UGF47" s="87"/>
      <c r="UGG47" s="87"/>
      <c r="UGH47" s="87"/>
      <c r="UGI47" s="87"/>
      <c r="UGJ47" s="87"/>
      <c r="UGK47" s="87"/>
      <c r="UGL47" s="87"/>
      <c r="UGM47" s="87"/>
      <c r="UGN47" s="87"/>
      <c r="UGO47" s="87"/>
      <c r="UGP47" s="87"/>
      <c r="UGQ47" s="87"/>
      <c r="UGR47" s="87"/>
      <c r="UGS47" s="87"/>
      <c r="UGT47" s="87"/>
      <c r="UGU47" s="87"/>
      <c r="UGV47" s="87"/>
      <c r="UGW47" s="87"/>
      <c r="UGX47" s="87"/>
      <c r="UGY47" s="87"/>
      <c r="UGZ47" s="87"/>
      <c r="UHA47" s="87"/>
      <c r="UHB47" s="87"/>
      <c r="UHC47" s="87"/>
      <c r="UHD47" s="87"/>
      <c r="UHE47" s="87"/>
      <c r="UHF47" s="87"/>
      <c r="UHG47" s="87"/>
      <c r="UHH47" s="87"/>
      <c r="UHI47" s="87"/>
      <c r="UHJ47" s="87"/>
      <c r="UHK47" s="87"/>
      <c r="UHL47" s="87"/>
      <c r="UHM47" s="87"/>
      <c r="UHN47" s="87"/>
      <c r="UHO47" s="87"/>
      <c r="UHP47" s="87"/>
      <c r="UHQ47" s="87"/>
      <c r="UHR47" s="87"/>
      <c r="UHS47" s="87"/>
      <c r="UHT47" s="87"/>
      <c r="UHU47" s="87"/>
      <c r="UHV47" s="87"/>
      <c r="UHW47" s="87"/>
      <c r="UHX47" s="87"/>
      <c r="UHY47" s="87"/>
      <c r="UHZ47" s="87"/>
      <c r="UIA47" s="87"/>
      <c r="UIB47" s="87"/>
      <c r="UIC47" s="87"/>
      <c r="UID47" s="87"/>
      <c r="UIE47" s="87"/>
      <c r="UIF47" s="87"/>
      <c r="UIG47" s="87"/>
      <c r="UIH47" s="87"/>
      <c r="UII47" s="87"/>
      <c r="UIJ47" s="87"/>
      <c r="UIK47" s="87"/>
      <c r="UIL47" s="87"/>
      <c r="UIM47" s="87"/>
      <c r="UIN47" s="87"/>
      <c r="UIO47" s="87"/>
      <c r="UIP47" s="87"/>
      <c r="UIQ47" s="87"/>
      <c r="UIR47" s="87"/>
      <c r="UIS47" s="87"/>
      <c r="UIT47" s="87"/>
      <c r="UIU47" s="87"/>
      <c r="UIV47" s="87"/>
      <c r="UIW47" s="87"/>
      <c r="UIX47" s="87"/>
      <c r="UIY47" s="87"/>
      <c r="UIZ47" s="87"/>
      <c r="UJA47" s="87"/>
      <c r="UJB47" s="87"/>
      <c r="UJC47" s="87"/>
      <c r="UJD47" s="87"/>
      <c r="UJE47" s="87"/>
      <c r="UJF47" s="87"/>
      <c r="UJG47" s="87"/>
      <c r="UJH47" s="87"/>
      <c r="UJI47" s="87"/>
      <c r="UJJ47" s="87"/>
      <c r="UJK47" s="87"/>
      <c r="UJL47" s="87"/>
      <c r="UJM47" s="87"/>
      <c r="UJN47" s="87"/>
      <c r="UJO47" s="87"/>
      <c r="UJP47" s="87"/>
      <c r="UJQ47" s="87"/>
      <c r="UJR47" s="87"/>
      <c r="UJS47" s="87"/>
      <c r="UJT47" s="87"/>
      <c r="UJU47" s="87"/>
      <c r="UJV47" s="87"/>
      <c r="UJW47" s="87"/>
      <c r="UJX47" s="87"/>
      <c r="UJY47" s="87"/>
      <c r="UJZ47" s="87"/>
      <c r="UKA47" s="87"/>
      <c r="UKB47" s="87"/>
      <c r="UKC47" s="87"/>
      <c r="UKD47" s="87"/>
      <c r="UKE47" s="87"/>
      <c r="UKF47" s="87"/>
      <c r="UKG47" s="87"/>
      <c r="UKH47" s="87"/>
      <c r="UKI47" s="87"/>
      <c r="UKJ47" s="87"/>
      <c r="UKK47" s="87"/>
      <c r="UKL47" s="87"/>
      <c r="UKM47" s="87"/>
      <c r="UKN47" s="87"/>
      <c r="UKO47" s="87"/>
      <c r="UKP47" s="87"/>
      <c r="UKQ47" s="87"/>
      <c r="UKR47" s="87"/>
      <c r="UKS47" s="87"/>
      <c r="UKT47" s="87"/>
      <c r="UKU47" s="87"/>
      <c r="UKV47" s="87"/>
      <c r="UKW47" s="87"/>
      <c r="UKX47" s="87"/>
      <c r="UKY47" s="87"/>
      <c r="UKZ47" s="87"/>
      <c r="ULA47" s="87"/>
      <c r="ULB47" s="87"/>
      <c r="ULC47" s="87"/>
      <c r="ULD47" s="87"/>
      <c r="ULE47" s="87"/>
      <c r="ULF47" s="87"/>
      <c r="ULG47" s="87"/>
      <c r="ULH47" s="87"/>
      <c r="ULI47" s="87"/>
      <c r="ULJ47" s="87"/>
      <c r="ULK47" s="87"/>
      <c r="ULL47" s="87"/>
      <c r="ULM47" s="87"/>
      <c r="ULN47" s="87"/>
      <c r="ULO47" s="87"/>
      <c r="ULP47" s="87"/>
      <c r="ULQ47" s="87"/>
      <c r="ULR47" s="87"/>
      <c r="ULS47" s="87"/>
      <c r="ULT47" s="87"/>
      <c r="ULU47" s="87"/>
      <c r="ULV47" s="87"/>
      <c r="ULW47" s="87"/>
      <c r="ULX47" s="87"/>
      <c r="ULY47" s="87"/>
      <c r="ULZ47" s="87"/>
      <c r="UMA47" s="87"/>
      <c r="UMB47" s="87"/>
      <c r="UMC47" s="87"/>
      <c r="UMD47" s="87"/>
      <c r="UME47" s="87"/>
      <c r="UMF47" s="87"/>
      <c r="UMG47" s="87"/>
      <c r="UMH47" s="87"/>
      <c r="UMI47" s="87"/>
      <c r="UMJ47" s="87"/>
      <c r="UMK47" s="87"/>
      <c r="UML47" s="87"/>
      <c r="UMM47" s="87"/>
      <c r="UMN47" s="87"/>
      <c r="UMO47" s="87"/>
      <c r="UMP47" s="87"/>
      <c r="UMQ47" s="87"/>
      <c r="UMR47" s="87"/>
      <c r="UMS47" s="87"/>
      <c r="UMT47" s="87"/>
      <c r="UMU47" s="87"/>
      <c r="UMV47" s="87"/>
      <c r="UMW47" s="87"/>
      <c r="UMX47" s="87"/>
      <c r="UMY47" s="87"/>
      <c r="UMZ47" s="87"/>
      <c r="UNA47" s="87"/>
      <c r="UNB47" s="87"/>
      <c r="UNC47" s="87"/>
      <c r="UND47" s="87"/>
      <c r="UNE47" s="87"/>
      <c r="UNF47" s="87"/>
      <c r="UNG47" s="87"/>
      <c r="UNH47" s="87"/>
      <c r="UNI47" s="87"/>
      <c r="UNJ47" s="87"/>
      <c r="UNK47" s="87"/>
      <c r="UNL47" s="87"/>
      <c r="UNM47" s="87"/>
      <c r="UNN47" s="87"/>
      <c r="UNO47" s="87"/>
      <c r="UNP47" s="87"/>
      <c r="UNQ47" s="87"/>
      <c r="UNR47" s="87"/>
      <c r="UNS47" s="87"/>
      <c r="UNT47" s="87"/>
      <c r="UNU47" s="87"/>
      <c r="UNV47" s="87"/>
      <c r="UNW47" s="87"/>
      <c r="UNX47" s="87"/>
      <c r="UNY47" s="87"/>
      <c r="UNZ47" s="87"/>
      <c r="UOA47" s="87"/>
      <c r="UOB47" s="87"/>
      <c r="UOC47" s="87"/>
      <c r="UOD47" s="87"/>
      <c r="UOE47" s="87"/>
      <c r="UOF47" s="87"/>
      <c r="UOG47" s="87"/>
      <c r="UOH47" s="87"/>
      <c r="UOI47" s="87"/>
      <c r="UOJ47" s="87"/>
      <c r="UOK47" s="87"/>
      <c r="UOL47" s="87"/>
      <c r="UOM47" s="87"/>
      <c r="UON47" s="87"/>
      <c r="UOO47" s="87"/>
      <c r="UOP47" s="87"/>
      <c r="UOQ47" s="87"/>
      <c r="UOR47" s="87"/>
      <c r="UOS47" s="87"/>
      <c r="UOT47" s="87"/>
      <c r="UOU47" s="87"/>
      <c r="UOV47" s="87"/>
      <c r="UOW47" s="87"/>
      <c r="UOX47" s="87"/>
      <c r="UOY47" s="87"/>
      <c r="UOZ47" s="87"/>
      <c r="UPA47" s="87"/>
      <c r="UPB47" s="87"/>
      <c r="UPC47" s="87"/>
      <c r="UPD47" s="87"/>
      <c r="UPE47" s="87"/>
      <c r="UPF47" s="87"/>
      <c r="UPG47" s="87"/>
      <c r="UPH47" s="87"/>
      <c r="UPI47" s="87"/>
      <c r="UPJ47" s="87"/>
      <c r="UPK47" s="87"/>
      <c r="UPL47" s="87"/>
      <c r="UPM47" s="87"/>
      <c r="UPN47" s="87"/>
      <c r="UPO47" s="87"/>
      <c r="UPP47" s="87"/>
      <c r="UPQ47" s="87"/>
      <c r="UPR47" s="87"/>
      <c r="UPS47" s="87"/>
      <c r="UPT47" s="87"/>
      <c r="UPU47" s="87"/>
      <c r="UPV47" s="87"/>
      <c r="UPW47" s="87"/>
      <c r="UPX47" s="87"/>
      <c r="UPY47" s="87"/>
      <c r="UPZ47" s="87"/>
      <c r="UQA47" s="87"/>
      <c r="UQB47" s="87"/>
      <c r="UQC47" s="87"/>
      <c r="UQD47" s="87"/>
      <c r="UQE47" s="87"/>
      <c r="UQF47" s="87"/>
      <c r="UQG47" s="87"/>
      <c r="UQH47" s="87"/>
      <c r="UQI47" s="87"/>
      <c r="UQJ47" s="87"/>
      <c r="UQK47" s="87"/>
      <c r="UQL47" s="87"/>
      <c r="UQM47" s="87"/>
      <c r="UQN47" s="87"/>
      <c r="UQO47" s="87"/>
      <c r="UQP47" s="87"/>
      <c r="UQQ47" s="87"/>
      <c r="UQR47" s="87"/>
      <c r="UQS47" s="87"/>
      <c r="UQT47" s="87"/>
      <c r="UQU47" s="87"/>
      <c r="UQV47" s="87"/>
      <c r="UQW47" s="87"/>
      <c r="UQX47" s="87"/>
      <c r="UQY47" s="87"/>
      <c r="UQZ47" s="87"/>
      <c r="URA47" s="87"/>
      <c r="URB47" s="87"/>
      <c r="URC47" s="87"/>
      <c r="URD47" s="87"/>
      <c r="URE47" s="87"/>
      <c r="URF47" s="87"/>
      <c r="URG47" s="87"/>
      <c r="URH47" s="87"/>
      <c r="URI47" s="87"/>
      <c r="URJ47" s="87"/>
      <c r="URK47" s="87"/>
      <c r="URL47" s="87"/>
      <c r="URM47" s="87"/>
      <c r="URN47" s="87"/>
      <c r="URO47" s="87"/>
      <c r="URP47" s="87"/>
      <c r="URQ47" s="87"/>
      <c r="URR47" s="87"/>
      <c r="URS47" s="87"/>
      <c r="URT47" s="87"/>
      <c r="URU47" s="87"/>
      <c r="URV47" s="87"/>
      <c r="URW47" s="87"/>
      <c r="URX47" s="87"/>
      <c r="URY47" s="87"/>
      <c r="URZ47" s="87"/>
      <c r="USA47" s="87"/>
      <c r="USB47" s="87"/>
      <c r="USC47" s="87"/>
      <c r="USD47" s="87"/>
      <c r="USE47" s="87"/>
      <c r="USF47" s="87"/>
      <c r="USG47" s="87"/>
      <c r="USH47" s="87"/>
      <c r="USI47" s="87"/>
      <c r="USJ47" s="87"/>
      <c r="USK47" s="87"/>
      <c r="USL47" s="87"/>
      <c r="USM47" s="87"/>
      <c r="USN47" s="87"/>
      <c r="USO47" s="87"/>
      <c r="USP47" s="87"/>
      <c r="USQ47" s="87"/>
      <c r="USR47" s="87"/>
      <c r="USS47" s="87"/>
      <c r="UST47" s="87"/>
      <c r="USU47" s="87"/>
      <c r="USV47" s="87"/>
      <c r="USW47" s="87"/>
      <c r="USX47" s="87"/>
      <c r="USY47" s="87"/>
      <c r="USZ47" s="87"/>
      <c r="UTA47" s="87"/>
      <c r="UTB47" s="87"/>
      <c r="UTC47" s="87"/>
      <c r="UTD47" s="87"/>
      <c r="UTE47" s="87"/>
      <c r="UTF47" s="87"/>
      <c r="UTG47" s="87"/>
      <c r="UTH47" s="87"/>
      <c r="UTI47" s="87"/>
      <c r="UTJ47" s="87"/>
      <c r="UTK47" s="87"/>
      <c r="UTL47" s="87"/>
      <c r="UTM47" s="87"/>
      <c r="UTN47" s="87"/>
      <c r="UTO47" s="87"/>
      <c r="UTP47" s="87"/>
      <c r="UTQ47" s="87"/>
      <c r="UTR47" s="87"/>
      <c r="UTS47" s="87"/>
      <c r="UTT47" s="87"/>
      <c r="UTU47" s="87"/>
      <c r="UTV47" s="87"/>
      <c r="UTW47" s="87"/>
      <c r="UTX47" s="87"/>
      <c r="UTY47" s="87"/>
      <c r="UTZ47" s="87"/>
      <c r="UUA47" s="87"/>
      <c r="UUB47" s="87"/>
      <c r="UUC47" s="87"/>
      <c r="UUD47" s="87"/>
      <c r="UUE47" s="87"/>
      <c r="UUF47" s="87"/>
      <c r="UUG47" s="87"/>
      <c r="UUH47" s="87"/>
      <c r="UUI47" s="87"/>
      <c r="UUJ47" s="87"/>
      <c r="UUK47" s="87"/>
      <c r="UUL47" s="87"/>
      <c r="UUM47" s="87"/>
      <c r="UUN47" s="87"/>
      <c r="UUO47" s="87"/>
      <c r="UUP47" s="87"/>
      <c r="UUQ47" s="87"/>
      <c r="UUR47" s="87"/>
      <c r="UUS47" s="87"/>
      <c r="UUT47" s="87"/>
      <c r="UUU47" s="87"/>
      <c r="UUV47" s="87"/>
      <c r="UUW47" s="87"/>
      <c r="UUX47" s="87"/>
      <c r="UUY47" s="87"/>
      <c r="UUZ47" s="87"/>
      <c r="UVA47" s="87"/>
      <c r="UVB47" s="87"/>
      <c r="UVC47" s="87"/>
      <c r="UVD47" s="87"/>
      <c r="UVE47" s="87"/>
      <c r="UVF47" s="87"/>
      <c r="UVG47" s="87"/>
      <c r="UVH47" s="87"/>
      <c r="UVI47" s="87"/>
      <c r="UVJ47" s="87"/>
      <c r="UVK47" s="87"/>
      <c r="UVL47" s="87"/>
      <c r="UVM47" s="87"/>
      <c r="UVN47" s="87"/>
      <c r="UVO47" s="87"/>
      <c r="UVP47" s="87"/>
      <c r="UVQ47" s="87"/>
      <c r="UVR47" s="87"/>
      <c r="UVS47" s="87"/>
      <c r="UVT47" s="87"/>
      <c r="UVU47" s="87"/>
      <c r="UVV47" s="87"/>
      <c r="UVW47" s="87"/>
      <c r="UVX47" s="87"/>
      <c r="UVY47" s="87"/>
      <c r="UVZ47" s="87"/>
      <c r="UWA47" s="87"/>
      <c r="UWB47" s="87"/>
      <c r="UWC47" s="87"/>
      <c r="UWD47" s="87"/>
      <c r="UWE47" s="87"/>
      <c r="UWF47" s="87"/>
      <c r="UWG47" s="87"/>
      <c r="UWH47" s="87"/>
      <c r="UWI47" s="87"/>
      <c r="UWJ47" s="87"/>
      <c r="UWK47" s="87"/>
      <c r="UWL47" s="87"/>
      <c r="UWM47" s="87"/>
      <c r="UWN47" s="87"/>
      <c r="UWO47" s="87"/>
      <c r="UWP47" s="87"/>
      <c r="UWQ47" s="87"/>
      <c r="UWR47" s="87"/>
      <c r="UWS47" s="87"/>
      <c r="UWT47" s="87"/>
      <c r="UWU47" s="87"/>
      <c r="UWV47" s="87"/>
      <c r="UWW47" s="87"/>
      <c r="UWX47" s="87"/>
      <c r="UWY47" s="87"/>
      <c r="UWZ47" s="87"/>
      <c r="UXA47" s="87"/>
      <c r="UXB47" s="87"/>
      <c r="UXC47" s="87"/>
      <c r="UXD47" s="87"/>
      <c r="UXE47" s="87"/>
      <c r="UXF47" s="87"/>
      <c r="UXG47" s="87"/>
      <c r="UXH47" s="87"/>
      <c r="UXI47" s="87"/>
      <c r="UXJ47" s="87"/>
      <c r="UXK47" s="87"/>
      <c r="UXL47" s="87"/>
      <c r="UXM47" s="87"/>
      <c r="UXN47" s="87"/>
      <c r="UXO47" s="87"/>
      <c r="UXP47" s="87"/>
      <c r="UXQ47" s="87"/>
      <c r="UXR47" s="87"/>
      <c r="UXS47" s="87"/>
      <c r="UXT47" s="87"/>
      <c r="UXU47" s="87"/>
      <c r="UXV47" s="87"/>
      <c r="UXW47" s="87"/>
      <c r="UXX47" s="87"/>
      <c r="UXY47" s="87"/>
      <c r="UXZ47" s="87"/>
      <c r="UYA47" s="87"/>
      <c r="UYB47" s="87"/>
      <c r="UYC47" s="87"/>
      <c r="UYD47" s="87"/>
      <c r="UYE47" s="87"/>
      <c r="UYF47" s="87"/>
      <c r="UYG47" s="87"/>
      <c r="UYH47" s="87"/>
      <c r="UYI47" s="87"/>
      <c r="UYJ47" s="87"/>
      <c r="UYK47" s="87"/>
      <c r="UYL47" s="87"/>
      <c r="UYM47" s="87"/>
      <c r="UYN47" s="87"/>
      <c r="UYO47" s="87"/>
      <c r="UYP47" s="87"/>
      <c r="UYQ47" s="87"/>
      <c r="UYR47" s="87"/>
      <c r="UYS47" s="87"/>
      <c r="UYT47" s="87"/>
      <c r="UYU47" s="87"/>
      <c r="UYV47" s="87"/>
      <c r="UYW47" s="87"/>
      <c r="UYX47" s="87"/>
      <c r="UYY47" s="87"/>
      <c r="UYZ47" s="87"/>
      <c r="UZA47" s="87"/>
      <c r="UZB47" s="87"/>
      <c r="UZC47" s="87"/>
      <c r="UZD47" s="87"/>
      <c r="UZE47" s="87"/>
      <c r="UZF47" s="87"/>
      <c r="UZG47" s="87"/>
      <c r="UZH47" s="87"/>
      <c r="UZI47" s="87"/>
      <c r="UZJ47" s="87"/>
      <c r="UZK47" s="87"/>
      <c r="UZL47" s="87"/>
      <c r="UZM47" s="87"/>
      <c r="UZN47" s="87"/>
      <c r="UZO47" s="87"/>
      <c r="UZP47" s="87"/>
      <c r="UZQ47" s="87"/>
      <c r="UZR47" s="87"/>
      <c r="UZS47" s="87"/>
      <c r="UZT47" s="87"/>
      <c r="UZU47" s="87"/>
      <c r="UZV47" s="87"/>
      <c r="UZW47" s="87"/>
      <c r="UZX47" s="87"/>
      <c r="UZY47" s="87"/>
      <c r="UZZ47" s="87"/>
      <c r="VAA47" s="87"/>
      <c r="VAB47" s="87"/>
      <c r="VAC47" s="87"/>
      <c r="VAD47" s="87"/>
      <c r="VAE47" s="87"/>
      <c r="VAF47" s="87"/>
      <c r="VAG47" s="87"/>
      <c r="VAH47" s="87"/>
      <c r="VAI47" s="87"/>
      <c r="VAJ47" s="87"/>
      <c r="VAK47" s="87"/>
      <c r="VAL47" s="87"/>
      <c r="VAM47" s="87"/>
      <c r="VAN47" s="87"/>
      <c r="VAO47" s="87"/>
      <c r="VAP47" s="87"/>
      <c r="VAQ47" s="87"/>
      <c r="VAR47" s="87"/>
      <c r="VAS47" s="87"/>
      <c r="VAT47" s="87"/>
      <c r="VAU47" s="87"/>
      <c r="VAV47" s="87"/>
      <c r="VAW47" s="87"/>
      <c r="VAX47" s="87"/>
      <c r="VAY47" s="87"/>
      <c r="VAZ47" s="87"/>
      <c r="VBA47" s="87"/>
      <c r="VBB47" s="87"/>
      <c r="VBC47" s="87"/>
      <c r="VBD47" s="87"/>
      <c r="VBE47" s="87"/>
      <c r="VBF47" s="87"/>
      <c r="VBG47" s="87"/>
      <c r="VBH47" s="87"/>
      <c r="VBI47" s="87"/>
      <c r="VBJ47" s="87"/>
      <c r="VBK47" s="87"/>
      <c r="VBL47" s="87"/>
      <c r="VBM47" s="87"/>
      <c r="VBN47" s="87"/>
      <c r="VBO47" s="87"/>
      <c r="VBP47" s="87"/>
      <c r="VBQ47" s="87"/>
      <c r="VBR47" s="87"/>
      <c r="VBS47" s="87"/>
      <c r="VBT47" s="87"/>
      <c r="VBU47" s="87"/>
      <c r="VBV47" s="87"/>
      <c r="VBW47" s="87"/>
      <c r="VBX47" s="87"/>
      <c r="VBY47" s="87"/>
      <c r="VBZ47" s="87"/>
      <c r="VCA47" s="87"/>
      <c r="VCB47" s="87"/>
      <c r="VCC47" s="87"/>
      <c r="VCD47" s="87"/>
      <c r="VCE47" s="87"/>
      <c r="VCF47" s="87"/>
      <c r="VCG47" s="87"/>
      <c r="VCH47" s="87"/>
      <c r="VCI47" s="87"/>
      <c r="VCJ47" s="87"/>
      <c r="VCK47" s="87"/>
      <c r="VCL47" s="87"/>
      <c r="VCM47" s="87"/>
      <c r="VCN47" s="87"/>
      <c r="VCO47" s="87"/>
      <c r="VCP47" s="87"/>
      <c r="VCQ47" s="87"/>
      <c r="VCR47" s="87"/>
      <c r="VCS47" s="87"/>
      <c r="VCT47" s="87"/>
      <c r="VCU47" s="87"/>
      <c r="VCV47" s="87"/>
      <c r="VCW47" s="87"/>
      <c r="VCX47" s="87"/>
      <c r="VCY47" s="87"/>
      <c r="VCZ47" s="87"/>
      <c r="VDA47" s="87"/>
      <c r="VDB47" s="87"/>
      <c r="VDC47" s="87"/>
      <c r="VDD47" s="87"/>
      <c r="VDE47" s="87"/>
      <c r="VDF47" s="87"/>
      <c r="VDG47" s="87"/>
      <c r="VDH47" s="87"/>
      <c r="VDI47" s="87"/>
      <c r="VDJ47" s="87"/>
      <c r="VDK47" s="87"/>
      <c r="VDL47" s="87"/>
      <c r="VDM47" s="87"/>
      <c r="VDN47" s="87"/>
      <c r="VDO47" s="87"/>
      <c r="VDP47" s="87"/>
      <c r="VDQ47" s="87"/>
      <c r="VDR47" s="87"/>
      <c r="VDS47" s="87"/>
      <c r="VDT47" s="87"/>
      <c r="VDU47" s="87"/>
      <c r="VDV47" s="87"/>
      <c r="VDW47" s="87"/>
      <c r="VDX47" s="87"/>
      <c r="VDY47" s="87"/>
      <c r="VDZ47" s="87"/>
      <c r="VEA47" s="87"/>
      <c r="VEB47" s="87"/>
      <c r="VEC47" s="87"/>
      <c r="VED47" s="87"/>
      <c r="VEE47" s="87"/>
      <c r="VEF47" s="87"/>
      <c r="VEG47" s="87"/>
      <c r="VEH47" s="87"/>
      <c r="VEI47" s="87"/>
      <c r="VEJ47" s="87"/>
      <c r="VEK47" s="87"/>
      <c r="VEL47" s="87"/>
      <c r="VEM47" s="87"/>
      <c r="VEN47" s="87"/>
      <c r="VEO47" s="87"/>
      <c r="VEP47" s="87"/>
      <c r="VEQ47" s="87"/>
      <c r="VER47" s="87"/>
      <c r="VES47" s="87"/>
      <c r="VET47" s="87"/>
      <c r="VEU47" s="87"/>
      <c r="VEV47" s="87"/>
      <c r="VEW47" s="87"/>
      <c r="VEX47" s="87"/>
      <c r="VEY47" s="87"/>
      <c r="VEZ47" s="87"/>
      <c r="VFA47" s="87"/>
      <c r="VFB47" s="87"/>
      <c r="VFC47" s="87"/>
      <c r="VFD47" s="87"/>
      <c r="VFE47" s="87"/>
      <c r="VFF47" s="87"/>
      <c r="VFG47" s="87"/>
      <c r="VFH47" s="87"/>
      <c r="VFI47" s="87"/>
      <c r="VFJ47" s="87"/>
      <c r="VFK47" s="87"/>
      <c r="VFL47" s="87"/>
      <c r="VFM47" s="87"/>
      <c r="VFN47" s="87"/>
      <c r="VFO47" s="87"/>
      <c r="VFP47" s="87"/>
      <c r="VFQ47" s="87"/>
      <c r="VFR47" s="87"/>
      <c r="VFS47" s="87"/>
      <c r="VFT47" s="87"/>
      <c r="VFU47" s="87"/>
      <c r="VFV47" s="87"/>
      <c r="VFW47" s="87"/>
      <c r="VFX47" s="87"/>
      <c r="VFY47" s="87"/>
      <c r="VFZ47" s="87"/>
      <c r="VGA47" s="87"/>
      <c r="VGB47" s="87"/>
      <c r="VGC47" s="87"/>
      <c r="VGD47" s="87"/>
      <c r="VGE47" s="87"/>
      <c r="VGF47" s="87"/>
      <c r="VGG47" s="87"/>
      <c r="VGH47" s="87"/>
      <c r="VGI47" s="87"/>
      <c r="VGJ47" s="87"/>
      <c r="VGK47" s="87"/>
      <c r="VGL47" s="87"/>
      <c r="VGM47" s="87"/>
      <c r="VGN47" s="87"/>
      <c r="VGO47" s="87"/>
      <c r="VGP47" s="87"/>
      <c r="VGQ47" s="87"/>
      <c r="VGR47" s="87"/>
      <c r="VGS47" s="87"/>
      <c r="VGT47" s="87"/>
      <c r="VGU47" s="87"/>
      <c r="VGV47" s="87"/>
      <c r="VGW47" s="87"/>
      <c r="VGX47" s="87"/>
      <c r="VGY47" s="87"/>
      <c r="VGZ47" s="87"/>
      <c r="VHA47" s="87"/>
      <c r="VHB47" s="87"/>
      <c r="VHC47" s="87"/>
      <c r="VHD47" s="87"/>
      <c r="VHE47" s="87"/>
      <c r="VHF47" s="87"/>
      <c r="VHG47" s="87"/>
      <c r="VHH47" s="87"/>
      <c r="VHI47" s="87"/>
      <c r="VHJ47" s="87"/>
      <c r="VHK47" s="87"/>
      <c r="VHL47" s="87"/>
      <c r="VHM47" s="87"/>
      <c r="VHN47" s="87"/>
      <c r="VHO47" s="87"/>
      <c r="VHP47" s="87"/>
      <c r="VHQ47" s="87"/>
      <c r="VHR47" s="87"/>
      <c r="VHS47" s="87"/>
      <c r="VHT47" s="87"/>
      <c r="VHU47" s="87"/>
      <c r="VHV47" s="87"/>
      <c r="VHW47" s="87"/>
      <c r="VHX47" s="87"/>
      <c r="VHY47" s="87"/>
      <c r="VHZ47" s="87"/>
      <c r="VIA47" s="87"/>
      <c r="VIB47" s="87"/>
      <c r="VIC47" s="87"/>
      <c r="VID47" s="87"/>
      <c r="VIE47" s="87"/>
      <c r="VIF47" s="87"/>
      <c r="VIG47" s="87"/>
      <c r="VIH47" s="87"/>
      <c r="VII47" s="87"/>
      <c r="VIJ47" s="87"/>
      <c r="VIK47" s="87"/>
      <c r="VIL47" s="87"/>
      <c r="VIM47" s="87"/>
      <c r="VIN47" s="87"/>
      <c r="VIO47" s="87"/>
      <c r="VIP47" s="87"/>
      <c r="VIQ47" s="87"/>
      <c r="VIR47" s="87"/>
      <c r="VIS47" s="87"/>
      <c r="VIT47" s="87"/>
      <c r="VIU47" s="87"/>
      <c r="VIV47" s="87"/>
      <c r="VIW47" s="87"/>
      <c r="VIX47" s="87"/>
      <c r="VIY47" s="87"/>
      <c r="VIZ47" s="87"/>
      <c r="VJA47" s="87"/>
      <c r="VJB47" s="87"/>
      <c r="VJC47" s="87"/>
      <c r="VJD47" s="87"/>
      <c r="VJE47" s="87"/>
      <c r="VJF47" s="87"/>
      <c r="VJG47" s="87"/>
      <c r="VJH47" s="87"/>
      <c r="VJI47" s="87"/>
      <c r="VJJ47" s="87"/>
      <c r="VJK47" s="87"/>
      <c r="VJL47" s="87"/>
      <c r="VJM47" s="87"/>
      <c r="VJN47" s="87"/>
      <c r="VJO47" s="87"/>
      <c r="VJP47" s="87"/>
      <c r="VJQ47" s="87"/>
      <c r="VJR47" s="87"/>
      <c r="VJS47" s="87"/>
      <c r="VJT47" s="87"/>
      <c r="VJU47" s="87"/>
      <c r="VJV47" s="87"/>
      <c r="VJW47" s="87"/>
      <c r="VJX47" s="87"/>
      <c r="VJY47" s="87"/>
      <c r="VJZ47" s="87"/>
      <c r="VKA47" s="87"/>
      <c r="VKB47" s="87"/>
      <c r="VKC47" s="87"/>
      <c r="VKD47" s="87"/>
      <c r="VKE47" s="87"/>
      <c r="VKF47" s="87"/>
      <c r="VKG47" s="87"/>
      <c r="VKH47" s="87"/>
      <c r="VKI47" s="87"/>
      <c r="VKJ47" s="87"/>
      <c r="VKK47" s="87"/>
      <c r="VKL47" s="87"/>
      <c r="VKM47" s="87"/>
      <c r="VKN47" s="87"/>
      <c r="VKO47" s="87"/>
      <c r="VKP47" s="87"/>
      <c r="VKQ47" s="87"/>
      <c r="VKR47" s="87"/>
      <c r="VKS47" s="87"/>
      <c r="VKT47" s="87"/>
      <c r="VKU47" s="87"/>
      <c r="VKV47" s="87"/>
      <c r="VKW47" s="87"/>
      <c r="VKX47" s="87"/>
      <c r="VKY47" s="87"/>
      <c r="VKZ47" s="87"/>
      <c r="VLA47" s="87"/>
      <c r="VLB47" s="87"/>
      <c r="VLC47" s="87"/>
      <c r="VLD47" s="87"/>
      <c r="VLE47" s="87"/>
      <c r="VLF47" s="87"/>
      <c r="VLG47" s="87"/>
      <c r="VLH47" s="87"/>
      <c r="VLI47" s="87"/>
      <c r="VLJ47" s="87"/>
      <c r="VLK47" s="87"/>
      <c r="VLL47" s="87"/>
      <c r="VLM47" s="87"/>
      <c r="VLN47" s="87"/>
      <c r="VLO47" s="87"/>
      <c r="VLP47" s="87"/>
      <c r="VLQ47" s="87"/>
      <c r="VLR47" s="87"/>
      <c r="VLS47" s="87"/>
      <c r="VLT47" s="87"/>
      <c r="VLU47" s="87"/>
      <c r="VLV47" s="87"/>
      <c r="VLW47" s="87"/>
      <c r="VLX47" s="87"/>
      <c r="VLY47" s="87"/>
      <c r="VLZ47" s="87"/>
      <c r="VMA47" s="87"/>
      <c r="VMB47" s="87"/>
      <c r="VMC47" s="87"/>
      <c r="VMD47" s="87"/>
      <c r="VME47" s="87"/>
      <c r="VMF47" s="87"/>
      <c r="VMG47" s="87"/>
      <c r="VMH47" s="87"/>
      <c r="VMI47" s="87"/>
      <c r="VMJ47" s="87"/>
      <c r="VMK47" s="87"/>
      <c r="VML47" s="87"/>
      <c r="VMM47" s="87"/>
      <c r="VMN47" s="87"/>
      <c r="VMO47" s="87"/>
      <c r="VMP47" s="87"/>
      <c r="VMQ47" s="87"/>
      <c r="VMR47" s="87"/>
      <c r="VMS47" s="87"/>
      <c r="VMT47" s="87"/>
      <c r="VMU47" s="87"/>
      <c r="VMV47" s="87"/>
      <c r="VMW47" s="87"/>
      <c r="VMX47" s="87"/>
      <c r="VMY47" s="87"/>
      <c r="VMZ47" s="87"/>
      <c r="VNA47" s="87"/>
      <c r="VNB47" s="87"/>
      <c r="VNC47" s="87"/>
      <c r="VND47" s="87"/>
      <c r="VNE47" s="87"/>
      <c r="VNF47" s="87"/>
      <c r="VNG47" s="87"/>
      <c r="VNH47" s="87"/>
      <c r="VNI47" s="87"/>
      <c r="VNJ47" s="87"/>
      <c r="VNK47" s="87"/>
      <c r="VNL47" s="87"/>
      <c r="VNM47" s="87"/>
      <c r="VNN47" s="87"/>
      <c r="VNO47" s="87"/>
      <c r="VNP47" s="87"/>
      <c r="VNQ47" s="87"/>
      <c r="VNR47" s="87"/>
      <c r="VNS47" s="87"/>
      <c r="VNT47" s="87"/>
      <c r="VNU47" s="87"/>
      <c r="VNV47" s="87"/>
      <c r="VNW47" s="87"/>
      <c r="VNX47" s="87"/>
      <c r="VNY47" s="87"/>
      <c r="VNZ47" s="87"/>
      <c r="VOA47" s="87"/>
      <c r="VOB47" s="87"/>
      <c r="VOC47" s="87"/>
      <c r="VOD47" s="87"/>
      <c r="VOE47" s="87"/>
      <c r="VOF47" s="87"/>
      <c r="VOG47" s="87"/>
      <c r="VOH47" s="87"/>
      <c r="VOI47" s="87"/>
      <c r="VOJ47" s="87"/>
      <c r="VOK47" s="87"/>
      <c r="VOL47" s="87"/>
      <c r="VOM47" s="87"/>
      <c r="VON47" s="87"/>
      <c r="VOO47" s="87"/>
      <c r="VOP47" s="87"/>
      <c r="VOQ47" s="87"/>
      <c r="VOR47" s="87"/>
      <c r="VOS47" s="87"/>
      <c r="VOT47" s="87"/>
      <c r="VOU47" s="87"/>
      <c r="VOV47" s="87"/>
      <c r="VOW47" s="87"/>
      <c r="VOX47" s="87"/>
      <c r="VOY47" s="87"/>
      <c r="VOZ47" s="87"/>
      <c r="VPA47" s="87"/>
      <c r="VPB47" s="87"/>
      <c r="VPC47" s="87"/>
      <c r="VPD47" s="87"/>
      <c r="VPE47" s="87"/>
      <c r="VPF47" s="87"/>
      <c r="VPG47" s="87"/>
      <c r="VPH47" s="87"/>
      <c r="VPI47" s="87"/>
      <c r="VPJ47" s="87"/>
      <c r="VPK47" s="87"/>
      <c r="VPL47" s="87"/>
      <c r="VPM47" s="87"/>
      <c r="VPN47" s="87"/>
      <c r="VPO47" s="87"/>
      <c r="VPP47" s="87"/>
      <c r="VPQ47" s="87"/>
      <c r="VPR47" s="87"/>
      <c r="VPS47" s="87"/>
      <c r="VPT47" s="87"/>
      <c r="VPU47" s="87"/>
      <c r="VPV47" s="87"/>
      <c r="VPW47" s="87"/>
      <c r="VPX47" s="87"/>
      <c r="VPY47" s="87"/>
      <c r="VPZ47" s="87"/>
      <c r="VQA47" s="87"/>
      <c r="VQB47" s="87"/>
      <c r="VQC47" s="87"/>
      <c r="VQD47" s="87"/>
      <c r="VQE47" s="87"/>
      <c r="VQF47" s="87"/>
      <c r="VQG47" s="87"/>
      <c r="VQH47" s="87"/>
      <c r="VQI47" s="87"/>
      <c r="VQJ47" s="87"/>
      <c r="VQK47" s="87"/>
      <c r="VQL47" s="87"/>
      <c r="VQM47" s="87"/>
      <c r="VQN47" s="87"/>
      <c r="VQO47" s="87"/>
      <c r="VQP47" s="87"/>
      <c r="VQQ47" s="87"/>
      <c r="VQR47" s="87"/>
      <c r="VQS47" s="87"/>
      <c r="VQT47" s="87"/>
      <c r="VQU47" s="87"/>
      <c r="VQV47" s="87"/>
      <c r="VQW47" s="87"/>
      <c r="VQX47" s="87"/>
      <c r="VQY47" s="87"/>
      <c r="VQZ47" s="87"/>
      <c r="VRA47" s="87"/>
      <c r="VRB47" s="87"/>
      <c r="VRC47" s="87"/>
      <c r="VRD47" s="87"/>
      <c r="VRE47" s="87"/>
      <c r="VRF47" s="87"/>
      <c r="VRG47" s="87"/>
      <c r="VRH47" s="87"/>
      <c r="VRI47" s="87"/>
      <c r="VRJ47" s="87"/>
      <c r="VRK47" s="87"/>
      <c r="VRL47" s="87"/>
      <c r="VRM47" s="87"/>
      <c r="VRN47" s="87"/>
      <c r="VRO47" s="87"/>
      <c r="VRP47" s="87"/>
      <c r="VRQ47" s="87"/>
      <c r="VRR47" s="87"/>
      <c r="VRS47" s="87"/>
      <c r="VRT47" s="87"/>
      <c r="VRU47" s="87"/>
      <c r="VRV47" s="87"/>
      <c r="VRW47" s="87"/>
      <c r="VRX47" s="87"/>
      <c r="VRY47" s="87"/>
      <c r="VRZ47" s="87"/>
      <c r="VSA47" s="87"/>
      <c r="VSB47" s="87"/>
      <c r="VSC47" s="87"/>
      <c r="VSD47" s="87"/>
      <c r="VSE47" s="87"/>
      <c r="VSF47" s="87"/>
      <c r="VSG47" s="87"/>
      <c r="VSH47" s="87"/>
      <c r="VSI47" s="87"/>
      <c r="VSJ47" s="87"/>
      <c r="VSK47" s="87"/>
      <c r="VSL47" s="87"/>
      <c r="VSM47" s="87"/>
      <c r="VSN47" s="87"/>
      <c r="VSO47" s="87"/>
      <c r="VSP47" s="87"/>
      <c r="VSQ47" s="87"/>
      <c r="VSR47" s="87"/>
      <c r="VSS47" s="87"/>
      <c r="VST47" s="87"/>
      <c r="VSU47" s="87"/>
      <c r="VSV47" s="87"/>
      <c r="VSW47" s="87"/>
      <c r="VSX47" s="87"/>
      <c r="VSY47" s="87"/>
      <c r="VSZ47" s="87"/>
      <c r="VTA47" s="87"/>
      <c r="VTB47" s="87"/>
      <c r="VTC47" s="87"/>
      <c r="VTD47" s="87"/>
      <c r="VTE47" s="87"/>
      <c r="VTF47" s="87"/>
      <c r="VTG47" s="87"/>
      <c r="VTH47" s="87"/>
      <c r="VTI47" s="87"/>
      <c r="VTJ47" s="87"/>
      <c r="VTK47" s="87"/>
      <c r="VTL47" s="87"/>
      <c r="VTM47" s="87"/>
      <c r="VTN47" s="87"/>
      <c r="VTO47" s="87"/>
      <c r="VTP47" s="87"/>
      <c r="VTQ47" s="87"/>
      <c r="VTR47" s="87"/>
      <c r="VTS47" s="87"/>
      <c r="VTT47" s="87"/>
      <c r="VTU47" s="87"/>
      <c r="VTV47" s="87"/>
      <c r="VTW47" s="87"/>
      <c r="VTX47" s="87"/>
      <c r="VTY47" s="87"/>
      <c r="VTZ47" s="87"/>
      <c r="VUA47" s="87"/>
      <c r="VUB47" s="87"/>
      <c r="VUC47" s="87"/>
      <c r="VUD47" s="87"/>
      <c r="VUE47" s="87"/>
      <c r="VUF47" s="87"/>
      <c r="VUG47" s="87"/>
      <c r="VUH47" s="87"/>
      <c r="VUI47" s="87"/>
      <c r="VUJ47" s="87"/>
      <c r="VUK47" s="87"/>
      <c r="VUL47" s="87"/>
      <c r="VUM47" s="87"/>
      <c r="VUN47" s="87"/>
      <c r="VUO47" s="87"/>
      <c r="VUP47" s="87"/>
      <c r="VUQ47" s="87"/>
      <c r="VUR47" s="87"/>
      <c r="VUS47" s="87"/>
      <c r="VUT47" s="87"/>
      <c r="VUU47" s="87"/>
      <c r="VUV47" s="87"/>
      <c r="VUW47" s="87"/>
      <c r="VUX47" s="87"/>
      <c r="VUY47" s="87"/>
      <c r="VUZ47" s="87"/>
      <c r="VVA47" s="87"/>
      <c r="VVB47" s="87"/>
      <c r="VVC47" s="87"/>
      <c r="VVD47" s="87"/>
      <c r="VVE47" s="87"/>
      <c r="VVF47" s="87"/>
      <c r="VVG47" s="87"/>
      <c r="VVH47" s="87"/>
      <c r="VVI47" s="87"/>
      <c r="VVJ47" s="87"/>
      <c r="VVK47" s="87"/>
      <c r="VVL47" s="87"/>
      <c r="VVM47" s="87"/>
      <c r="VVN47" s="87"/>
      <c r="VVO47" s="87"/>
      <c r="VVP47" s="87"/>
      <c r="VVQ47" s="87"/>
      <c r="VVR47" s="87"/>
      <c r="VVS47" s="87"/>
      <c r="VVT47" s="87"/>
      <c r="VVU47" s="87"/>
      <c r="VVV47" s="87"/>
      <c r="VVW47" s="87"/>
      <c r="VVX47" s="87"/>
      <c r="VVY47" s="87"/>
      <c r="VVZ47" s="87"/>
      <c r="VWA47" s="87"/>
      <c r="VWB47" s="87"/>
      <c r="VWC47" s="87"/>
      <c r="VWD47" s="87"/>
      <c r="VWE47" s="87"/>
      <c r="VWF47" s="87"/>
      <c r="VWG47" s="87"/>
      <c r="VWH47" s="87"/>
      <c r="VWI47" s="87"/>
      <c r="VWJ47" s="87"/>
      <c r="VWK47" s="87"/>
      <c r="VWL47" s="87"/>
      <c r="VWM47" s="87"/>
      <c r="VWN47" s="87"/>
      <c r="VWO47" s="87"/>
      <c r="VWP47" s="87"/>
      <c r="VWQ47" s="87"/>
      <c r="VWR47" s="87"/>
      <c r="VWS47" s="87"/>
      <c r="VWT47" s="87"/>
      <c r="VWU47" s="87"/>
      <c r="VWV47" s="87"/>
      <c r="VWW47" s="87"/>
      <c r="VWX47" s="87"/>
      <c r="VWY47" s="87"/>
      <c r="VWZ47" s="87"/>
      <c r="VXA47" s="87"/>
      <c r="VXB47" s="87"/>
      <c r="VXC47" s="87"/>
      <c r="VXD47" s="87"/>
      <c r="VXE47" s="87"/>
      <c r="VXF47" s="87"/>
      <c r="VXG47" s="87"/>
      <c r="VXH47" s="87"/>
      <c r="VXI47" s="87"/>
      <c r="VXJ47" s="87"/>
      <c r="VXK47" s="87"/>
      <c r="VXL47" s="87"/>
      <c r="VXM47" s="87"/>
      <c r="VXN47" s="87"/>
      <c r="VXO47" s="87"/>
      <c r="VXP47" s="87"/>
      <c r="VXQ47" s="87"/>
      <c r="VXR47" s="87"/>
      <c r="VXS47" s="87"/>
      <c r="VXT47" s="87"/>
      <c r="VXU47" s="87"/>
      <c r="VXV47" s="87"/>
      <c r="VXW47" s="87"/>
      <c r="VXX47" s="87"/>
      <c r="VXY47" s="87"/>
      <c r="VXZ47" s="87"/>
      <c r="VYA47" s="87"/>
      <c r="VYB47" s="87"/>
      <c r="VYC47" s="87"/>
      <c r="VYD47" s="87"/>
      <c r="VYE47" s="87"/>
      <c r="VYF47" s="87"/>
      <c r="VYG47" s="87"/>
      <c r="VYH47" s="87"/>
      <c r="VYI47" s="87"/>
      <c r="VYJ47" s="87"/>
      <c r="VYK47" s="87"/>
      <c r="VYL47" s="87"/>
      <c r="VYM47" s="87"/>
      <c r="VYN47" s="87"/>
      <c r="VYO47" s="87"/>
      <c r="VYP47" s="87"/>
      <c r="VYQ47" s="87"/>
      <c r="VYR47" s="87"/>
      <c r="VYS47" s="87"/>
      <c r="VYT47" s="87"/>
      <c r="VYU47" s="87"/>
      <c r="VYV47" s="87"/>
      <c r="VYW47" s="87"/>
      <c r="VYX47" s="87"/>
      <c r="VYY47" s="87"/>
      <c r="VYZ47" s="87"/>
      <c r="VZA47" s="87"/>
      <c r="VZB47" s="87"/>
      <c r="VZC47" s="87"/>
      <c r="VZD47" s="87"/>
      <c r="VZE47" s="87"/>
      <c r="VZF47" s="87"/>
      <c r="VZG47" s="87"/>
      <c r="VZH47" s="87"/>
      <c r="VZI47" s="87"/>
      <c r="VZJ47" s="87"/>
      <c r="VZK47" s="87"/>
      <c r="VZL47" s="87"/>
      <c r="VZM47" s="87"/>
      <c r="VZN47" s="87"/>
      <c r="VZO47" s="87"/>
      <c r="VZP47" s="87"/>
      <c r="VZQ47" s="87"/>
      <c r="VZR47" s="87"/>
      <c r="VZS47" s="87"/>
      <c r="VZT47" s="87"/>
      <c r="VZU47" s="87"/>
      <c r="VZV47" s="87"/>
      <c r="VZW47" s="87"/>
      <c r="VZX47" s="87"/>
      <c r="VZY47" s="87"/>
      <c r="VZZ47" s="87"/>
      <c r="WAA47" s="87"/>
      <c r="WAB47" s="87"/>
      <c r="WAC47" s="87"/>
      <c r="WAD47" s="87"/>
      <c r="WAE47" s="87"/>
      <c r="WAF47" s="87"/>
      <c r="WAG47" s="87"/>
      <c r="WAH47" s="87"/>
      <c r="WAI47" s="87"/>
      <c r="WAJ47" s="87"/>
      <c r="WAK47" s="87"/>
      <c r="WAL47" s="87"/>
      <c r="WAM47" s="87"/>
      <c r="WAN47" s="87"/>
      <c r="WAO47" s="87"/>
      <c r="WAP47" s="87"/>
      <c r="WAQ47" s="87"/>
      <c r="WAR47" s="87"/>
      <c r="WAS47" s="87"/>
      <c r="WAT47" s="87"/>
      <c r="WAU47" s="87"/>
      <c r="WAV47" s="87"/>
      <c r="WAW47" s="87"/>
      <c r="WAX47" s="87"/>
      <c r="WAY47" s="87"/>
      <c r="WAZ47" s="87"/>
      <c r="WBA47" s="87"/>
      <c r="WBB47" s="87"/>
      <c r="WBC47" s="87"/>
      <c r="WBD47" s="87"/>
      <c r="WBE47" s="87"/>
      <c r="WBF47" s="87"/>
      <c r="WBG47" s="87"/>
      <c r="WBH47" s="87"/>
      <c r="WBI47" s="87"/>
      <c r="WBJ47" s="87"/>
      <c r="WBK47" s="87"/>
      <c r="WBL47" s="87"/>
      <c r="WBM47" s="87"/>
      <c r="WBN47" s="87"/>
      <c r="WBO47" s="87"/>
      <c r="WBP47" s="87"/>
      <c r="WBQ47" s="87"/>
      <c r="WBR47" s="87"/>
      <c r="WBS47" s="87"/>
      <c r="WBT47" s="87"/>
      <c r="WBU47" s="87"/>
      <c r="WBV47" s="87"/>
      <c r="WBW47" s="87"/>
      <c r="WBX47" s="87"/>
      <c r="WBY47" s="87"/>
      <c r="WBZ47" s="87"/>
      <c r="WCA47" s="87"/>
      <c r="WCB47" s="87"/>
      <c r="WCC47" s="87"/>
      <c r="WCD47" s="87"/>
      <c r="WCE47" s="87"/>
      <c r="WCF47" s="87"/>
      <c r="WCG47" s="87"/>
      <c r="WCH47" s="87"/>
      <c r="WCI47" s="87"/>
      <c r="WCJ47" s="87"/>
      <c r="WCK47" s="87"/>
      <c r="WCL47" s="87"/>
      <c r="WCM47" s="87"/>
      <c r="WCN47" s="87"/>
      <c r="WCO47" s="87"/>
      <c r="WCP47" s="87"/>
      <c r="WCQ47" s="87"/>
      <c r="WCR47" s="87"/>
      <c r="WCS47" s="87"/>
      <c r="WCT47" s="87"/>
      <c r="WCU47" s="87"/>
      <c r="WCV47" s="87"/>
      <c r="WCW47" s="87"/>
      <c r="WCX47" s="87"/>
      <c r="WCY47" s="87"/>
      <c r="WCZ47" s="87"/>
      <c r="WDA47" s="87"/>
      <c r="WDB47" s="87"/>
      <c r="WDC47" s="87"/>
      <c r="WDD47" s="87"/>
      <c r="WDE47" s="87"/>
      <c r="WDF47" s="87"/>
      <c r="WDG47" s="87"/>
      <c r="WDH47" s="87"/>
      <c r="WDI47" s="87"/>
      <c r="WDJ47" s="87"/>
      <c r="WDK47" s="87"/>
      <c r="WDL47" s="87"/>
      <c r="WDM47" s="87"/>
      <c r="WDN47" s="87"/>
      <c r="WDO47" s="87"/>
      <c r="WDP47" s="87"/>
      <c r="WDQ47" s="87"/>
      <c r="WDR47" s="87"/>
      <c r="WDS47" s="87"/>
      <c r="WDT47" s="87"/>
      <c r="WDU47" s="87"/>
      <c r="WDV47" s="87"/>
      <c r="WDW47" s="87"/>
      <c r="WDX47" s="87"/>
      <c r="WDY47" s="87"/>
      <c r="WDZ47" s="87"/>
      <c r="WEA47" s="87"/>
      <c r="WEB47" s="87"/>
      <c r="WEC47" s="87"/>
      <c r="WED47" s="87"/>
      <c r="WEE47" s="87"/>
      <c r="WEF47" s="87"/>
      <c r="WEG47" s="87"/>
      <c r="WEH47" s="87"/>
      <c r="WEI47" s="87"/>
      <c r="WEJ47" s="87"/>
      <c r="WEK47" s="87"/>
      <c r="WEL47" s="87"/>
      <c r="WEM47" s="87"/>
      <c r="WEN47" s="87"/>
      <c r="WEO47" s="87"/>
      <c r="WEP47" s="87"/>
      <c r="WEQ47" s="87"/>
      <c r="WER47" s="87"/>
      <c r="WES47" s="87"/>
      <c r="WET47" s="87"/>
      <c r="WEU47" s="87"/>
      <c r="WEV47" s="87"/>
      <c r="WEW47" s="87"/>
      <c r="WEX47" s="87"/>
      <c r="WEY47" s="87"/>
      <c r="WEZ47" s="87"/>
      <c r="WFA47" s="87"/>
      <c r="WFB47" s="87"/>
      <c r="WFC47" s="87"/>
      <c r="WFD47" s="87"/>
      <c r="WFE47" s="87"/>
      <c r="WFF47" s="87"/>
      <c r="WFG47" s="87"/>
      <c r="WFH47" s="87"/>
      <c r="WFI47" s="87"/>
      <c r="WFJ47" s="87"/>
      <c r="WFK47" s="87"/>
      <c r="WFL47" s="87"/>
      <c r="WFM47" s="87"/>
      <c r="WFN47" s="87"/>
      <c r="WFO47" s="87"/>
      <c r="WFP47" s="87"/>
      <c r="WFQ47" s="87"/>
      <c r="WFR47" s="87"/>
      <c r="WFS47" s="87"/>
      <c r="WFT47" s="87"/>
      <c r="WFU47" s="87"/>
      <c r="WFV47" s="87"/>
      <c r="WFW47" s="87"/>
      <c r="WFX47" s="87"/>
      <c r="WFY47" s="87"/>
      <c r="WFZ47" s="87"/>
      <c r="WGA47" s="87"/>
      <c r="WGB47" s="87"/>
      <c r="WGC47" s="87"/>
      <c r="WGD47" s="87"/>
      <c r="WGE47" s="87"/>
      <c r="WGF47" s="87"/>
      <c r="WGG47" s="87"/>
      <c r="WGH47" s="87"/>
      <c r="WGI47" s="87"/>
      <c r="WGJ47" s="87"/>
      <c r="WGK47" s="87"/>
      <c r="WGL47" s="87"/>
      <c r="WGM47" s="87"/>
      <c r="WGN47" s="87"/>
      <c r="WGO47" s="87"/>
      <c r="WGP47" s="87"/>
      <c r="WGQ47" s="87"/>
      <c r="WGR47" s="87"/>
      <c r="WGS47" s="87"/>
      <c r="WGT47" s="87"/>
      <c r="WGU47" s="87"/>
      <c r="WGV47" s="87"/>
      <c r="WGW47" s="87"/>
      <c r="WGX47" s="87"/>
      <c r="WGY47" s="87"/>
      <c r="WGZ47" s="87"/>
      <c r="WHA47" s="87"/>
      <c r="WHB47" s="87"/>
      <c r="WHC47" s="87"/>
      <c r="WHD47" s="87"/>
      <c r="WHE47" s="87"/>
      <c r="WHF47" s="87"/>
      <c r="WHG47" s="87"/>
      <c r="WHH47" s="87"/>
      <c r="WHI47" s="87"/>
      <c r="WHJ47" s="87"/>
      <c r="WHK47" s="87"/>
      <c r="WHL47" s="87"/>
      <c r="WHM47" s="87"/>
      <c r="WHN47" s="87"/>
      <c r="WHO47" s="87"/>
      <c r="WHP47" s="87"/>
      <c r="WHQ47" s="87"/>
      <c r="WHR47" s="87"/>
      <c r="WHS47" s="87"/>
      <c r="WHT47" s="87"/>
      <c r="WHU47" s="87"/>
      <c r="WHV47" s="87"/>
      <c r="WHW47" s="87"/>
      <c r="WHX47" s="87"/>
      <c r="WHY47" s="87"/>
      <c r="WHZ47" s="87"/>
      <c r="WIA47" s="87"/>
      <c r="WIB47" s="87"/>
      <c r="WIC47" s="87"/>
      <c r="WID47" s="87"/>
      <c r="WIE47" s="87"/>
      <c r="WIF47" s="87"/>
      <c r="WIG47" s="87"/>
      <c r="WIH47" s="87"/>
      <c r="WII47" s="87"/>
      <c r="WIJ47" s="87"/>
      <c r="WIK47" s="87"/>
      <c r="WIL47" s="87"/>
      <c r="WIM47" s="87"/>
      <c r="WIN47" s="87"/>
      <c r="WIO47" s="87"/>
      <c r="WIP47" s="87"/>
      <c r="WIQ47" s="87"/>
      <c r="WIR47" s="87"/>
      <c r="WIS47" s="87"/>
      <c r="WIT47" s="87"/>
      <c r="WIU47" s="87"/>
      <c r="WIV47" s="87"/>
      <c r="WIW47" s="87"/>
      <c r="WIX47" s="87"/>
      <c r="WIY47" s="87"/>
      <c r="WIZ47" s="87"/>
      <c r="WJA47" s="87"/>
      <c r="WJB47" s="87"/>
      <c r="WJC47" s="87"/>
      <c r="WJD47" s="87"/>
      <c r="WJE47" s="87"/>
      <c r="WJF47" s="87"/>
      <c r="WJG47" s="87"/>
      <c r="WJH47" s="87"/>
      <c r="WJI47" s="87"/>
      <c r="WJJ47" s="87"/>
      <c r="WJK47" s="87"/>
      <c r="WJL47" s="87"/>
      <c r="WJM47" s="87"/>
      <c r="WJN47" s="87"/>
      <c r="WJO47" s="87"/>
      <c r="WJP47" s="87"/>
      <c r="WJQ47" s="87"/>
      <c r="WJR47" s="87"/>
      <c r="WJS47" s="87"/>
      <c r="WJT47" s="87"/>
      <c r="WJU47" s="87"/>
      <c r="WJV47" s="87"/>
      <c r="WJW47" s="87"/>
      <c r="WJX47" s="87"/>
      <c r="WJY47" s="87"/>
      <c r="WJZ47" s="87"/>
      <c r="WKA47" s="87"/>
      <c r="WKB47" s="87"/>
      <c r="WKC47" s="87"/>
      <c r="WKD47" s="87"/>
      <c r="WKE47" s="87"/>
      <c r="WKF47" s="87"/>
      <c r="WKG47" s="87"/>
      <c r="WKH47" s="87"/>
      <c r="WKI47" s="87"/>
      <c r="WKJ47" s="87"/>
      <c r="WKK47" s="87"/>
      <c r="WKL47" s="87"/>
      <c r="WKM47" s="87"/>
      <c r="WKN47" s="87"/>
      <c r="WKO47" s="87"/>
      <c r="WKP47" s="87"/>
      <c r="WKQ47" s="87"/>
      <c r="WKR47" s="87"/>
      <c r="WKS47" s="87"/>
      <c r="WKT47" s="87"/>
      <c r="WKU47" s="87"/>
      <c r="WKV47" s="87"/>
      <c r="WKW47" s="87"/>
      <c r="WKX47" s="87"/>
      <c r="WKY47" s="87"/>
      <c r="WKZ47" s="87"/>
      <c r="WLA47" s="87"/>
      <c r="WLB47" s="87"/>
      <c r="WLC47" s="87"/>
      <c r="WLD47" s="87"/>
      <c r="WLE47" s="87"/>
      <c r="WLF47" s="87"/>
      <c r="WLG47" s="87"/>
      <c r="WLH47" s="87"/>
      <c r="WLI47" s="87"/>
      <c r="WLJ47" s="87"/>
      <c r="WLK47" s="87"/>
      <c r="WLL47" s="87"/>
      <c r="WLM47" s="87"/>
      <c r="WLN47" s="87"/>
      <c r="WLO47" s="87"/>
      <c r="WLP47" s="87"/>
      <c r="WLQ47" s="87"/>
      <c r="WLR47" s="87"/>
      <c r="WLS47" s="87"/>
      <c r="WLT47" s="87"/>
      <c r="WLU47" s="87"/>
      <c r="WLV47" s="87"/>
      <c r="WLW47" s="87"/>
      <c r="WLX47" s="87"/>
      <c r="WLY47" s="87"/>
      <c r="WLZ47" s="87"/>
      <c r="WMA47" s="87"/>
      <c r="WMB47" s="87"/>
      <c r="WMC47" s="87"/>
      <c r="WMD47" s="87"/>
      <c r="WME47" s="87"/>
      <c r="WMF47" s="87"/>
      <c r="WMG47" s="87"/>
      <c r="WMH47" s="87"/>
      <c r="WMI47" s="87"/>
      <c r="WMJ47" s="87"/>
      <c r="WMK47" s="87"/>
      <c r="WML47" s="87"/>
      <c r="WMM47" s="87"/>
      <c r="WMN47" s="87"/>
      <c r="WMO47" s="87"/>
      <c r="WMP47" s="87"/>
      <c r="WMQ47" s="87"/>
      <c r="WMR47" s="87"/>
      <c r="WMS47" s="87"/>
      <c r="WMT47" s="87"/>
      <c r="WMU47" s="87"/>
      <c r="WMV47" s="87"/>
      <c r="WMW47" s="87"/>
      <c r="WMX47" s="87"/>
      <c r="WMY47" s="87"/>
      <c r="WMZ47" s="87"/>
      <c r="WNA47" s="87"/>
      <c r="WNB47" s="87"/>
      <c r="WNC47" s="87"/>
      <c r="WND47" s="87"/>
      <c r="WNE47" s="87"/>
      <c r="WNF47" s="87"/>
      <c r="WNG47" s="87"/>
      <c r="WNH47" s="87"/>
      <c r="WNI47" s="87"/>
      <c r="WNJ47" s="87"/>
      <c r="WNK47" s="87"/>
      <c r="WNL47" s="87"/>
      <c r="WNM47" s="87"/>
      <c r="WNN47" s="87"/>
      <c r="WNO47" s="87"/>
      <c r="WNP47" s="87"/>
      <c r="WNQ47" s="87"/>
      <c r="WNR47" s="87"/>
      <c r="WNS47" s="87"/>
      <c r="WNT47" s="87"/>
      <c r="WNU47" s="87"/>
      <c r="WNV47" s="87"/>
      <c r="WNW47" s="87"/>
      <c r="WNX47" s="87"/>
      <c r="WNY47" s="87"/>
      <c r="WNZ47" s="87"/>
      <c r="WOA47" s="87"/>
      <c r="WOB47" s="87"/>
      <c r="WOC47" s="87"/>
      <c r="WOD47" s="87"/>
      <c r="WOE47" s="87"/>
      <c r="WOF47" s="87"/>
      <c r="WOG47" s="87"/>
      <c r="WOH47" s="87"/>
      <c r="WOI47" s="87"/>
      <c r="WOJ47" s="87"/>
      <c r="WOK47" s="87"/>
      <c r="WOL47" s="87"/>
      <c r="WOM47" s="87"/>
      <c r="WON47" s="87"/>
      <c r="WOO47" s="87"/>
      <c r="WOP47" s="87"/>
      <c r="WOQ47" s="87"/>
      <c r="WOR47" s="87"/>
      <c r="WOS47" s="87"/>
      <c r="WOT47" s="87"/>
      <c r="WOU47" s="87"/>
      <c r="WOV47" s="87"/>
      <c r="WOW47" s="87"/>
      <c r="WOX47" s="87"/>
      <c r="WOY47" s="87"/>
      <c r="WOZ47" s="87"/>
      <c r="WPA47" s="87"/>
      <c r="WPB47" s="87"/>
      <c r="WPC47" s="87"/>
      <c r="WPD47" s="87"/>
      <c r="WPE47" s="87"/>
      <c r="WPF47" s="87"/>
      <c r="WPG47" s="87"/>
      <c r="WPH47" s="87"/>
      <c r="WPI47" s="87"/>
      <c r="WPJ47" s="87"/>
      <c r="WPK47" s="87"/>
      <c r="WPL47" s="87"/>
      <c r="WPM47" s="87"/>
      <c r="WPN47" s="87"/>
      <c r="WPO47" s="87"/>
      <c r="WPP47" s="87"/>
      <c r="WPQ47" s="87"/>
      <c r="WPR47" s="87"/>
      <c r="WPS47" s="87"/>
      <c r="WPT47" s="87"/>
      <c r="WPU47" s="87"/>
      <c r="WPV47" s="87"/>
      <c r="WPW47" s="87"/>
      <c r="WPX47" s="87"/>
      <c r="WPY47" s="87"/>
      <c r="WPZ47" s="87"/>
      <c r="WQA47" s="87"/>
      <c r="WQB47" s="87"/>
      <c r="WQC47" s="87"/>
      <c r="WQD47" s="87"/>
      <c r="WQE47" s="87"/>
      <c r="WQF47" s="87"/>
      <c r="WQG47" s="87"/>
      <c r="WQH47" s="87"/>
      <c r="WQI47" s="87"/>
      <c r="WQJ47" s="87"/>
      <c r="WQK47" s="87"/>
      <c r="WQL47" s="87"/>
      <c r="WQM47" s="87"/>
      <c r="WQN47" s="87"/>
      <c r="WQO47" s="87"/>
      <c r="WQP47" s="87"/>
      <c r="WQQ47" s="87"/>
      <c r="WQR47" s="87"/>
      <c r="WQS47" s="87"/>
      <c r="WQT47" s="87"/>
      <c r="WQU47" s="87"/>
      <c r="WQV47" s="87"/>
      <c r="WQW47" s="87"/>
      <c r="WQX47" s="87"/>
      <c r="WQY47" s="87"/>
      <c r="WQZ47" s="87"/>
      <c r="WRA47" s="87"/>
      <c r="WRB47" s="87"/>
      <c r="WRC47" s="87"/>
      <c r="WRD47" s="87"/>
      <c r="WRE47" s="87"/>
      <c r="WRF47" s="87"/>
      <c r="WRG47" s="87"/>
      <c r="WRH47" s="87"/>
      <c r="WRI47" s="87"/>
      <c r="WRJ47" s="87"/>
      <c r="WRK47" s="87"/>
      <c r="WRL47" s="87"/>
      <c r="WRM47" s="87"/>
      <c r="WRN47" s="87"/>
      <c r="WRO47" s="87"/>
      <c r="WRP47" s="87"/>
      <c r="WRQ47" s="87"/>
      <c r="WRR47" s="87"/>
      <c r="WRS47" s="87"/>
      <c r="WRT47" s="87"/>
      <c r="WRU47" s="87"/>
      <c r="WRV47" s="87"/>
      <c r="WRW47" s="87"/>
      <c r="WRX47" s="87"/>
      <c r="WRY47" s="87"/>
      <c r="WRZ47" s="87"/>
      <c r="WSA47" s="87"/>
      <c r="WSB47" s="87"/>
      <c r="WSC47" s="87"/>
      <c r="WSD47" s="87"/>
      <c r="WSE47" s="87"/>
      <c r="WSF47" s="87"/>
      <c r="WSG47" s="87"/>
      <c r="WSH47" s="87"/>
      <c r="WSI47" s="87"/>
      <c r="WSJ47" s="87"/>
      <c r="WSK47" s="87"/>
      <c r="WSL47" s="87"/>
      <c r="WSM47" s="87"/>
      <c r="WSN47" s="87"/>
      <c r="WSO47" s="87"/>
      <c r="WSP47" s="87"/>
      <c r="WSQ47" s="87"/>
      <c r="WSR47" s="87"/>
      <c r="WSS47" s="87"/>
      <c r="WST47" s="87"/>
      <c r="WSU47" s="87"/>
      <c r="WSV47" s="87"/>
      <c r="WSW47" s="87"/>
      <c r="WSX47" s="87"/>
      <c r="WSY47" s="87"/>
      <c r="WSZ47" s="87"/>
      <c r="WTA47" s="87"/>
      <c r="WTB47" s="87"/>
      <c r="WTC47" s="87"/>
      <c r="WTD47" s="87"/>
      <c r="WTE47" s="87"/>
      <c r="WTF47" s="87"/>
      <c r="WTG47" s="87"/>
      <c r="WTH47" s="87"/>
      <c r="WTI47" s="87"/>
      <c r="WTJ47" s="87"/>
      <c r="WTK47" s="87"/>
      <c r="WTL47" s="87"/>
      <c r="WTM47" s="87"/>
      <c r="WTN47" s="87"/>
      <c r="WTO47" s="87"/>
      <c r="WTP47" s="87"/>
      <c r="WTQ47" s="87"/>
      <c r="WTR47" s="87"/>
      <c r="WTS47" s="87"/>
      <c r="WTT47" s="87"/>
      <c r="WTU47" s="87"/>
      <c r="WTV47" s="87"/>
      <c r="WTW47" s="87"/>
      <c r="WTX47" s="87"/>
      <c r="WTY47" s="87"/>
      <c r="WTZ47" s="87"/>
      <c r="WUA47" s="87"/>
      <c r="WUB47" s="87"/>
      <c r="WUC47" s="87"/>
      <c r="WUD47" s="87"/>
      <c r="WUE47" s="87"/>
      <c r="WUF47" s="87"/>
      <c r="WUG47" s="87"/>
      <c r="WUH47" s="87"/>
      <c r="WUI47" s="87"/>
      <c r="WUJ47" s="87"/>
      <c r="WUK47" s="87"/>
      <c r="WUL47" s="87"/>
      <c r="WUM47" s="87"/>
      <c r="WUN47" s="87"/>
      <c r="WUO47" s="87"/>
      <c r="WUP47" s="87"/>
      <c r="WUQ47" s="87"/>
      <c r="WUR47" s="87"/>
      <c r="WUS47" s="87"/>
      <c r="WUT47" s="87"/>
      <c r="WUU47" s="87"/>
      <c r="WUV47" s="87"/>
      <c r="WUW47" s="87"/>
      <c r="WUX47" s="87"/>
      <c r="WUY47" s="87"/>
      <c r="WUZ47" s="87"/>
      <c r="WVA47" s="87"/>
      <c r="WVB47" s="87"/>
      <c r="WVC47" s="87"/>
      <c r="WVD47" s="87"/>
      <c r="WVE47" s="87"/>
      <c r="WVF47" s="87"/>
      <c r="WVG47" s="87"/>
      <c r="WVH47" s="87"/>
      <c r="WVI47" s="87"/>
      <c r="WVJ47" s="87"/>
      <c r="WVK47" s="87"/>
      <c r="WVL47" s="87"/>
      <c r="WVM47" s="87"/>
      <c r="WVN47" s="87"/>
      <c r="WVO47" s="87"/>
      <c r="WVP47" s="87"/>
      <c r="WVQ47" s="87"/>
      <c r="WVR47" s="87"/>
      <c r="WVS47" s="87"/>
      <c r="WVT47" s="87"/>
      <c r="WVU47" s="87"/>
      <c r="WVV47" s="87"/>
      <c r="WVW47" s="87"/>
      <c r="WVX47" s="87"/>
      <c r="WVY47" s="87"/>
      <c r="WVZ47" s="87"/>
      <c r="WWA47" s="87"/>
      <c r="WWB47" s="87"/>
      <c r="WWC47" s="87"/>
      <c r="WWD47" s="87"/>
      <c r="WWE47" s="87"/>
      <c r="WWF47" s="87"/>
      <c r="WWG47" s="87"/>
      <c r="WWH47" s="87"/>
      <c r="WWI47" s="87"/>
      <c r="WWJ47" s="87"/>
      <c r="WWK47" s="87"/>
      <c r="WWL47" s="87"/>
      <c r="WWM47" s="87"/>
      <c r="WWN47" s="87"/>
      <c r="WWO47" s="87"/>
      <c r="WWP47" s="87"/>
      <c r="WWQ47" s="87"/>
      <c r="WWR47" s="87"/>
      <c r="WWS47" s="87"/>
      <c r="WWT47" s="87"/>
      <c r="WWU47" s="87"/>
      <c r="WWV47" s="87"/>
      <c r="WWW47" s="87"/>
      <c r="WWX47" s="87"/>
      <c r="WWY47" s="87"/>
      <c r="WWZ47" s="87"/>
      <c r="WXA47" s="87"/>
      <c r="WXB47" s="87"/>
      <c r="WXC47" s="87"/>
      <c r="WXD47" s="87"/>
      <c r="WXE47" s="87"/>
      <c r="WXF47" s="87"/>
      <c r="WXG47" s="87"/>
      <c r="WXH47" s="87"/>
      <c r="WXI47" s="87"/>
      <c r="WXJ47" s="87"/>
      <c r="WXK47" s="87"/>
      <c r="WXL47" s="87"/>
      <c r="WXM47" s="87"/>
      <c r="WXN47" s="87"/>
      <c r="WXO47" s="87"/>
      <c r="WXP47" s="87"/>
      <c r="WXQ47" s="87"/>
      <c r="WXR47" s="87"/>
      <c r="WXS47" s="87"/>
      <c r="WXT47" s="87"/>
      <c r="WXU47" s="87"/>
      <c r="WXV47" s="87"/>
      <c r="WXW47" s="87"/>
      <c r="WXX47" s="87"/>
      <c r="WXY47" s="87"/>
      <c r="WXZ47" s="87"/>
      <c r="WYA47" s="87"/>
      <c r="WYB47" s="87"/>
      <c r="WYC47" s="87"/>
      <c r="WYD47" s="87"/>
      <c r="WYE47" s="87"/>
      <c r="WYF47" s="87"/>
      <c r="WYG47" s="87"/>
      <c r="WYH47" s="87"/>
      <c r="WYI47" s="87"/>
      <c r="WYJ47" s="87"/>
      <c r="WYK47" s="87"/>
      <c r="WYL47" s="87"/>
      <c r="WYM47" s="87"/>
      <c r="WYN47" s="87"/>
      <c r="WYO47" s="87"/>
      <c r="WYP47" s="87"/>
      <c r="WYQ47" s="87"/>
      <c r="WYR47" s="87"/>
      <c r="WYS47" s="87"/>
      <c r="WYT47" s="87"/>
      <c r="WYU47" s="87"/>
      <c r="WYV47" s="87"/>
      <c r="WYW47" s="87"/>
      <c r="WYX47" s="87"/>
      <c r="WYY47" s="87"/>
      <c r="WYZ47" s="87"/>
      <c r="WZA47" s="87"/>
      <c r="WZB47" s="87"/>
      <c r="WZC47" s="87"/>
      <c r="WZD47" s="87"/>
      <c r="WZE47" s="87"/>
      <c r="WZF47" s="87"/>
      <c r="WZG47" s="87"/>
      <c r="WZH47" s="87"/>
      <c r="WZI47" s="87"/>
      <c r="WZJ47" s="87"/>
      <c r="WZK47" s="87"/>
      <c r="WZL47" s="87"/>
      <c r="WZM47" s="87"/>
      <c r="WZN47" s="87"/>
      <c r="WZO47" s="87"/>
      <c r="WZP47" s="87"/>
      <c r="WZQ47" s="87"/>
      <c r="WZR47" s="87"/>
      <c r="WZS47" s="87"/>
      <c r="WZT47" s="87"/>
      <c r="WZU47" s="87"/>
      <c r="WZV47" s="87"/>
      <c r="WZW47" s="87"/>
      <c r="WZX47" s="87"/>
      <c r="WZY47" s="87"/>
      <c r="WZZ47" s="87"/>
      <c r="XAA47" s="87"/>
      <c r="XAB47" s="87"/>
      <c r="XAC47" s="87"/>
      <c r="XAD47" s="87"/>
      <c r="XAE47" s="87"/>
      <c r="XAF47" s="87"/>
      <c r="XAG47" s="87"/>
      <c r="XAH47" s="87"/>
      <c r="XAI47" s="87"/>
      <c r="XAJ47" s="87"/>
      <c r="XAK47" s="87"/>
      <c r="XAL47" s="87"/>
      <c r="XAM47" s="87"/>
      <c r="XAN47" s="87"/>
      <c r="XAO47" s="87"/>
      <c r="XAP47" s="87"/>
      <c r="XAQ47" s="87"/>
      <c r="XAR47" s="87"/>
      <c r="XAS47" s="87"/>
      <c r="XAT47" s="87"/>
      <c r="XAU47" s="87"/>
      <c r="XAV47" s="87"/>
      <c r="XAW47" s="87"/>
      <c r="XAX47" s="87"/>
      <c r="XAY47" s="87"/>
      <c r="XAZ47" s="87"/>
      <c r="XBA47" s="87"/>
      <c r="XBB47" s="87"/>
      <c r="XBC47" s="87"/>
      <c r="XBD47" s="87"/>
      <c r="XBE47" s="87"/>
      <c r="XBF47" s="87"/>
      <c r="XBG47" s="87"/>
      <c r="XBH47" s="87"/>
      <c r="XBI47" s="87"/>
      <c r="XBJ47" s="87"/>
      <c r="XBK47" s="87"/>
      <c r="XBL47" s="87"/>
      <c r="XBM47" s="87"/>
      <c r="XBN47" s="87"/>
      <c r="XBO47" s="87"/>
      <c r="XBP47" s="87"/>
      <c r="XBQ47" s="87"/>
      <c r="XBR47" s="87"/>
      <c r="XBS47" s="87"/>
      <c r="XBT47" s="87"/>
      <c r="XBU47" s="87"/>
      <c r="XBV47" s="87"/>
      <c r="XBW47" s="87"/>
      <c r="XBX47" s="87"/>
      <c r="XBY47" s="87"/>
      <c r="XBZ47" s="87"/>
      <c r="XCA47" s="87"/>
      <c r="XCB47" s="87"/>
      <c r="XCC47" s="87"/>
      <c r="XCD47" s="87"/>
      <c r="XCE47" s="87"/>
      <c r="XCF47" s="87"/>
      <c r="XCG47" s="87"/>
      <c r="XCH47" s="87"/>
      <c r="XCI47" s="87"/>
      <c r="XCJ47" s="87"/>
      <c r="XCK47" s="87"/>
      <c r="XCL47" s="87"/>
      <c r="XCM47" s="87"/>
      <c r="XCN47" s="87"/>
      <c r="XCO47" s="87"/>
      <c r="XCP47" s="87"/>
      <c r="XCQ47" s="87"/>
      <c r="XCR47" s="87"/>
      <c r="XCS47" s="87"/>
      <c r="XCT47" s="87"/>
      <c r="XCU47" s="87"/>
      <c r="XCV47" s="87"/>
    </row>
    <row r="48" spans="1:16324" s="87" customFormat="1" ht="25">
      <c r="A48" s="102">
        <v>12</v>
      </c>
      <c r="B48" s="94">
        <v>100</v>
      </c>
      <c r="C48" s="103" t="s">
        <v>145</v>
      </c>
      <c r="D48" s="100" t="s">
        <v>891</v>
      </c>
      <c r="E48" s="95">
        <v>380</v>
      </c>
      <c r="F48" s="19" t="s">
        <v>580</v>
      </c>
      <c r="G48" s="96">
        <v>20</v>
      </c>
      <c r="H48" s="96">
        <f>IF(E48&lt;=230,(G48)/((E48/1000)*J48*(B48/100)),(G48)/(1.732*(E48/1000)*J48*(B48/100)))</f>
        <v>37.984684575179287</v>
      </c>
      <c r="I48" s="95">
        <v>1</v>
      </c>
      <c r="J48" s="96">
        <v>0.8</v>
      </c>
      <c r="K48" s="96">
        <f t="shared" ref="K48:K58" si="356">ROUND(SQRT(1-(J48)^2)/J48,2)</f>
        <v>0.75</v>
      </c>
      <c r="L48" s="97">
        <f t="shared" si="28"/>
        <v>20</v>
      </c>
      <c r="M48" s="97">
        <f t="shared" si="29"/>
        <v>15</v>
      </c>
      <c r="N48" s="112">
        <f t="shared" si="30"/>
        <v>400</v>
      </c>
      <c r="O48" s="97"/>
      <c r="P48" s="97"/>
      <c r="Q48" s="97"/>
      <c r="R48" s="97"/>
      <c r="S48" s="97"/>
      <c r="T48" s="97"/>
      <c r="U48" s="86">
        <f>H48*1.2</f>
        <v>45.581621490215142</v>
      </c>
      <c r="V48" s="86">
        <f t="shared" ref="V48" si="357">H48</f>
        <v>37.984684575179287</v>
      </c>
      <c r="W48" s="116" t="s">
        <v>872</v>
      </c>
      <c r="X48" s="87" t="s">
        <v>302</v>
      </c>
      <c r="Y48" s="87">
        <f t="shared" ref="Y48" si="358">IF(U48&lt;=6,6,IF(U48&lt;=10,10,IF(U48&lt;=16,16,IF(U48&lt;=20,20,IF(U48&lt;=25,25,IF(U48&lt;=32,32,IF(U48&lt;=40,40,IF(U48&lt;=50,50,IF(U48&lt;=63,63,"др.выкл")))))))))</f>
        <v>50</v>
      </c>
      <c r="Z48" s="87" t="str">
        <f>INDEX(автоматы!$B$3:$D$11,MATCH(Y48,автоматы!$A$3:$A$11,0),MATCH(X48,кол_пол,0))</f>
        <v>EZ9F34350</v>
      </c>
      <c r="AA48" s="87" t="str">
        <f t="shared" ref="AA48" si="359">IF(U48&lt;=0.16,0.16,IF(U48&lt;=0.25,0.25,IF(U48&lt;=0.4,0.4,IF(U48&lt;=0.63,0.63,IF(U48&lt;=1,1,IF(U48&lt;=1.6,1.6,IF(U48&lt;=2.5,2.5,IF(U48&lt;=4,4,IF(U48&lt;=6.3,6.3,IF(U48&lt;=10,10,IF(U48&lt;=14,14,IF(U48&lt;=18,18,IF(U48&lt;=23,23,IF(U48&lt;=25,25,IF(U48&lt;=32,32,"др.авт")))))))))))))))</f>
        <v>др.авт</v>
      </c>
      <c r="AB48" s="87" t="e">
        <f>VLOOKUP(AA48,автоматы!$H$3:$I$17,2,0)</f>
        <v>#N/A</v>
      </c>
      <c r="AC48" s="87">
        <f t="shared" ref="AC48" si="360">IF(U48&lt;=20,20,IF(U48&lt;=25,25,IF(U48&lt;=32,32,IF(U48&lt;=40,40,IF(U48&lt;=50,50,IF(U48&lt;=63,63,IF(U48&lt;=80,80,IF(U48&lt;=100,100,IF(U48&lt;=125,125,IF(U48&lt;=160,160,IF(U48&lt;=200,200,IF(U48&lt;=250,250,IF(U48&lt;=300,300,IF(U48&lt;=320,320,IF(U48&lt;=400,400,IF(U48&lt;=500,500,IF(U48&lt;=630,630,"др.авт")))))))))))))))))</f>
        <v>50</v>
      </c>
      <c r="AD48" s="87" t="str">
        <f>VLOOKUP(AC48,автоматы!$N$3:$O$19,2,0)</f>
        <v>LZMB1-A50-I</v>
      </c>
      <c r="AE48" s="88">
        <f t="shared" ref="AE48" si="361">IF(U48&lt;=6,6,IF(U48&lt;=10,10,IF(U48&lt;=16,16,IF(U48&lt;=20,20,IF(U48&lt;=25,25,IF(U48&lt;=32,32,IF(U48&lt;=40,40,IF(U48&lt;=50,50,IF(U48&lt;=63,63,"др.выкл")))))))))</f>
        <v>50</v>
      </c>
      <c r="AF48" s="87" t="str">
        <f>INDEX(автоматы!$T$2:$V$15,MATCH(AE48,автоматы!$S$2:$S$15,0),MATCH(X48,автоматы!$T$1:$V$1,0))</f>
        <v>iC60N C50 3P</v>
      </c>
      <c r="AG48" s="87" t="str">
        <f t="shared" ref="AG48" si="362">IF(U48&lt;=6,6,IF(U48&lt;=10,10,IF(U48&lt;=16,16,IF(U48&lt;=20,20,IF(U48&lt;=25,25,IF(U48&lt;=32,32,IF(U48&lt;=40,40,"др.выкл")))))))</f>
        <v>др.выкл</v>
      </c>
      <c r="AH48" s="87" t="e">
        <f>VLOOKUP(AG48,автоматы!$Z$3:$AA$9,2,0)</f>
        <v>#N/A</v>
      </c>
      <c r="AI48" s="2">
        <f t="shared" ref="AI48" si="363">IF(U48&lt;=15,15,IF(U48&lt;=16,16,IF(U48&lt;=20,20,IF(U48&lt;=25,25,IF(U48&lt;=32,32,IF(U48&lt;=40,40,IF(U48&lt;=45,45,IF(U48&lt;=50,50,IF(U48&lt;=60,60,IF(U48&lt;=63,63,IF(U48&lt;=75,75,IF(U48&lt;=80,80,IF(U48&lt;=100,100,IF(U48&lt;=125,125,IF(U48&lt;=150,150,IF(U48&lt;=160,160,IF(U48&lt;=175,175,IF(U48&lt;=200,200,IF(U48&lt;=225,225,IF(U48&lt;=250,250,IF(U48&lt;=320,320,IF(U48&lt;=350,350,IF(U48&lt;=400,400,"др.выкл")))))))))))))))))))))))</f>
        <v>50</v>
      </c>
      <c r="AJ48" s="87" t="str">
        <f>VLOOKUP(AI48,автоматы!$AE$3:$AF$26,2,0)</f>
        <v>EZC100F3050</v>
      </c>
      <c r="AK48" s="113" t="str">
        <f t="shared" ref="AK48" si="364">IF(U48&lt;=0.16,0.16,IF(U48&lt;=0.25,0.25,IF(U48&lt;=0.4,0.4,IF(U48&lt;=0.63,0.63,IF(U48&lt;=1,1,IF(U48&lt;=1.6,1.6,IF(U48&lt;=2.5,2.5,IF(U48&lt;=4,4,IF(U48&lt;=6.3,6.3,IF(U48&lt;=10,10,IF(U48&lt;=14,14,IF(U48&lt;=18,18,IF(U48&lt;=23,23,IF(U48&lt;=25,25,IF(U48&lt;=32,32,"др.авт")))))))))))))))</f>
        <v>др.авт</v>
      </c>
      <c r="AL48" s="114" t="e">
        <f>VLOOKUP(AK48,DEKraft!$I$2:$J$16,2,0)</f>
        <v>#N/A</v>
      </c>
      <c r="AM48" s="114" t="str">
        <f t="shared" ref="AM48" si="365">IF(U48&lt;=0.16,0.16,IF(U48&lt;=0.25,0.25,IF(U48&lt;=0.4,0.4,IF(U48&lt;=0.63,0.63,IF(U48&lt;=1,1,IF(U48&lt;=1.6,1.6,IF(U48&lt;=2.5,2.5,IF(U48&lt;=4,4,IF(U48&lt;=6.3,6.3,IF(U48&lt;=10,10,IF(U48&lt;=14,14,IF(U48&lt;=18,18,IF(U48&lt;=23,23,IF(U48&lt;=25,25,IF(U48&lt;=32,32,"др.авт")))))))))))))))</f>
        <v>др.авт</v>
      </c>
      <c r="AN48" s="114" t="e">
        <f>VLOOKUP(AM48,systeme!$A$33:$B$47,2,0)</f>
        <v>#N/A</v>
      </c>
      <c r="AO48" s="114" t="str">
        <f t="shared" ref="AO48" si="366">IF(U48&lt;=0.16,0.16,IF(U48&lt;=0.25,0.25,IF(U48&lt;=0.4,0.4,IF(U48&lt;=0.63,0.63,IF(U48&lt;=1,1,IF(U48&lt;=1.6,1.6,IF(U48&lt;=2.5,2.5,IF(U48&lt;=4,4,IF(U48&lt;=6.3,6.3,IF(U48&lt;=10,10,IF(U48&lt;=14,14,IF(U48&lt;=18,18,IF(U48&lt;=23,23,IF(U48&lt;=25,25,IF(U48&lt;=32,32,"др.авт")))))))))))))))</f>
        <v>др.авт</v>
      </c>
      <c r="AP48" s="114" t="e">
        <f>VLOOKUP(AO48,chint!$A$34:$B$48,2,0)</f>
        <v>#N/A</v>
      </c>
      <c r="AQ48" s="113">
        <f t="shared" ref="AQ48" si="367">IF(U48&lt;=6,6,IF(U48&lt;=10,10,IF(U48&lt;=16,16,IF(U48&lt;=20,20,IF(U48&lt;=25,25,IF(U48&lt;=32,32,IF(U48&lt;=40,40,IF(U48&lt;=50,50,IF(U48&lt;=63,63,"др.выкл")))))))))</f>
        <v>50</v>
      </c>
      <c r="AR48" s="114" t="str">
        <f>INDEX(DEKraft!$B$2:$D$13,MATCH(AQ48,DEKraft!$A$2:$A$13,0),MATCH(X48,DEKraft!$B$1:$D$1,0))</f>
        <v>13182DEK</v>
      </c>
      <c r="AS48" s="114" t="str">
        <f>INDEX(DEKraft!$B$21:$D$32,MATCH(AQ48,DEKraft!$A$21:$A$32,0),MATCH(X48,DEKraft!$B$20:$D$20,0))</f>
        <v>12310DEK</v>
      </c>
      <c r="AT48" s="114" t="str">
        <f>INDEX(systeme!$B$2:$D$10,MATCH(AQ48,systeme!$A$2:$A$10,0),MATCH(X48,systeme!$B$1:$D$1,0))</f>
        <v>C9F36350</v>
      </c>
      <c r="AU48" s="114">
        <f>INDEX(chint!$B$2:$D$10,MATCH(AQ48,chint!$A$2:$A$10,0),MATCH(X48,chint!$B$1:$D$1,0))</f>
        <v>179708</v>
      </c>
      <c r="AV48" s="113" t="str">
        <f t="shared" ref="AV48" si="368">IF(U48&lt;=6,6,IF(U48&lt;=10,10,IF(U48&lt;=16,16,IF(U48&lt;=20,20,IF(U48&lt;=25,25,IF(U48&lt;=32,32,IF(U48&lt;=40,40,"др.выкл")))))))</f>
        <v>др.выкл</v>
      </c>
      <c r="AW48" s="114" t="e">
        <f>VLOOKUP(AV48,DEKraft!$A$41:$B$47,2,0)</f>
        <v>#N/A</v>
      </c>
      <c r="AX48" s="114" t="str">
        <f t="shared" ref="AX48" si="369">IF(U48&lt;=10,10,IF(U48&lt;=16,16,IF(U48&lt;=20,20,IF(U48&lt;=25,25,IF(U48&lt;=32,32,IF(U48&lt;=40,40,"др.выкл"))))))</f>
        <v>др.выкл</v>
      </c>
      <c r="AY48" s="114" t="e">
        <f>VLOOKUP(AX48,systeme!$G$2:$H$7,2,0)</f>
        <v>#N/A</v>
      </c>
      <c r="AZ48" s="114" t="str">
        <f t="shared" ref="AZ48" si="370">IF(U48&lt;=6,6,IF(U48&lt;=10,10,IF(U48&lt;=16,16,IF(U48&lt;=20,20,IF(U48&lt;=25,25,IF(U48&lt;=32,32,IF(U48&lt;=40,40,"др.выкл")))))))</f>
        <v>др.выкл</v>
      </c>
      <c r="BA48" s="114" t="e">
        <f>VLOOKUP(AV48,chint!$G$2:$H$8,2,0)</f>
        <v>#N/A</v>
      </c>
      <c r="BB48" s="113">
        <f t="shared" ref="BB48" si="371">IF(U48&lt;=25,25,IF(U48&lt;=32,32,IF(U48&lt;=40,40,IF(U48&lt;=50,50,IF(U48&lt;=63,63,IF(U48&lt;=80,80,IF(U48&lt;=100,100,IF(U48&lt;=125,125,IF(U48&lt;=140,140,IF(U48&lt;=160,160,IF(U48&lt;=200,200,IF(U48&lt;=250,250,IF(U48&lt;=320,320,IF(U48&lt;=400,400,IF(U48&lt;=500,500,IF(U48&lt;=630,630,"др.выкл"))))))))))))))))</f>
        <v>50</v>
      </c>
      <c r="BC48" s="114" t="str">
        <f>VLOOKUP(BB48,DEKraft!$I$21:$J$36,2,0)</f>
        <v>28103DEK</v>
      </c>
      <c r="BD48" s="114">
        <f t="shared" ref="BD48" si="372">IF(U48&lt;=16,16,IF(U48&lt;=25,25,IF(U48&lt;=32,32,IF(U48&lt;=40,40,IF(U48&lt;=50,50,IF(U48&lt;=63,63,IF(U48&lt;=80,80,IF(U48&lt;=100,100,IF(U48&lt;=125,125,IF(U48&lt;=160,160,IF(U48&lt;=200,200,IF(U48&lt;=250,250,IF(U48&lt;=400,400,IF(U48&lt;=500,500,IF(U48&lt;=600,600,"др.авт")))))))))))))))</f>
        <v>50</v>
      </c>
      <c r="BE48" s="114" t="str">
        <f>VLOOKUP(BD48,systeme!$A$16:$B$30,2,0)</f>
        <v>SPC100F050L3DF</v>
      </c>
      <c r="BF48" s="114">
        <f t="shared" ref="BF48" si="373">IF(U48&lt;=16,16,IF(U48&lt;=25,25,IF(U48&lt;=32,32,IF(U48&lt;=40,40,IF(U48&lt;=50,50,IF(U48&lt;=63,63,IF(U48&lt;=80,80,IF(U48&lt;=100,100,IF(U48&lt;=125,125,IF(U48&lt;=160,160,IF(U48&lt;=200,200,IF(U48&lt;=225,225,IF(U48&lt;=250,250,IF(U48&lt;=315,315,IF(U48&lt;=350,350,IF(U48&lt;=400,400,IF(U48&lt;=500,500,IF(U48&lt;=630,630,"др.выкл"))))))))))))))))))</f>
        <v>50</v>
      </c>
      <c r="BG48" s="115">
        <f>VLOOKUP(BF48,chint!$A$14:$B$31,2,0)</f>
        <v>271586</v>
      </c>
      <c r="BH48" s="114">
        <f t="shared" ref="BH48" si="374">IF(U48&lt;=6,6,IF(U48&lt;=10,10,IF(U48&lt;=16,16,IF(U48&lt;=20,20,IF(U48&lt;=25,25,IF(U48&lt;=32,32,IF(U48&lt;=40,40,IF(U48&lt;=50,50,IF(U48&lt;=63,63,"др.выкл")))))))))</f>
        <v>50</v>
      </c>
      <c r="BI48" t="e">
        <f>INDEX(КЭАЗ!$B$2:$E$14,MATCH(BH48,КЭАЗ!$A$2:$A$14,0),MATCH(X48,КЭАЗ!$B$1:$D$1,0))</f>
        <v>#N/A</v>
      </c>
      <c r="BJ48">
        <f t="shared" si="122"/>
        <v>50</v>
      </c>
      <c r="BK48" t="str">
        <f>INDEX(hy!$B$2:$D$18,MATCH(BJ48,hy!$A$2:$A$18,0),MATCH(X48,hy!$B$1:$D$1,0))</f>
        <v>HGD63M 3PMCS0000C 00050</v>
      </c>
      <c r="BL48" t="str">
        <f>VLOOKUP(BJ48,hy!$G$2:$H$15,2,0)</f>
        <v>HRO63M 1NG4С0000C00050G</v>
      </c>
      <c r="BM48" t="str">
        <f t="shared" si="123"/>
        <v>др.авт</v>
      </c>
      <c r="BN48" t="e">
        <f>VLOOKUP(BM48,hy!$A$41:$B$55,2,0)</f>
        <v>#N/A</v>
      </c>
      <c r="BO48">
        <f t="shared" si="124"/>
        <v>100</v>
      </c>
      <c r="BP48" t="str">
        <f>VLOOKUP(BO48,hy!$A$21:$B$35,2,0)</f>
        <v>HGP100S-G 3PT4S0000C 00100H</v>
      </c>
      <c r="BQ48" s="89">
        <f>IF($W48=автоматы!$D$45,Z48,IF($W48=автоматы!$D$46,AF48,IF($W48=автоматы!$D$47,AH48,IF($W48=автоматы!$D$48,AB48,IF($W48=автоматы!$D$49,AJ48,IF($W48=автоматы!$D$50,AD48,IF($W48=автоматы!$D$51,BI48,IF($W48=автоматы!$D$52,AR48,IF($W48=автоматы!$D$53,AS48,IF($W48=автоматы!$D$54,AW48,IF($W48=автоматы!$D$55,AL48,IF($W48=автоматы!$D$56,BC48,IF($W48=автоматы!$D$57,AT48,IF($W48=автоматы!$D$58,AY48,IF($W48=автоматы!$D$59,AN48,IF($W48=автоматы!$D$60,BE48,IF($W48=автоматы!$D$61,AU48,IF($W48=автоматы!$D$62,BA48,IF($W48=автоматы!$D$63,AP48,IF($W48=автоматы!$D$64,BG48,IF($W48=автоматы!$D$65,BK48,IF($W48=автоматы!$D$66,BL48,IF($W48=автоматы!$D$67,BN48,IF($W48=автоматы!$D$68,BP48,"др"))))))))))))))))))))))))</f>
        <v>179708</v>
      </c>
      <c r="BR48" s="89">
        <f>IF($W48=автоматы!$D$45,Y48,IF($W48=автоматы!$D$46,AE48,IF($W48=автоматы!$D$47,AG48,IF($W48=автоматы!$D$48,AA48,IF($W48=автоматы!$D$49,AI48,IF($W48=автоматы!$D$50,AC48,IF($W48=автоматы!$D$51,BH48,IF($W48=автоматы!$D$52,AQ48,IF($W48=автоматы!$D$53,AQ48,IF($W48=автоматы!$D$54,AV48,IF($W48=автоматы!$D$55,AK48,IF($W48=автоматы!$D$56,BB48,IF($W48=автоматы!$D$57,AQ48,IF($W48=автоматы!$D$58,AX48,IF($W48=автоматы!$D$59,AM48,IF($W48=автоматы!$D$60,BD48,IF($W48=автоматы!$D$61,AQ48,IF($W48=автоматы!$D$62,AZ48,IF($W48=автоматы!$D$63,AO48,IF($W48=автоматы!$D$64,BF48,IF($W48=автоматы!$D$65,BJ48,IF($W48=автоматы!$D$66,BJ48,IF($W48=автоматы!$D$67,BM48,IF($W48=автоматы!$D$68,BO48,"др"))))))))))))))))))))))))</f>
        <v>50</v>
      </c>
      <c r="BS48" s="89" t="str">
        <f>CONCATENATE(IF($W48=автоматы!$A$1,Y48,IF($W48=автоматы!$H$1,VLOOKUP(AA48,автоматы!$H$3:$K$17,3,0),IF($W48=автоматы!$N$1,VLOOKUP(AC48,автоматы!$N$3:$Q$19,3,0),IF($W48=автоматы!$S$17,AE48,IF($W48=автоматы!$Z$1,AG48,IF($W48=автоматы!$AE$1,AI48,"др"))))))," А")</f>
        <v>др А</v>
      </c>
      <c r="BT48" s="89" t="str">
        <f>IF($W48=автоматы!$A$1,Y48*10,IF($W48=автоматы!$H$1,VLOOKUP(AA48,автоматы!$H$3:$K$17,4,0),IF($W48=автоматы!$N$1,VLOOKUP(AC48,автоматы!$N$3:$Q$19,4,0),IF($W48=автоматы!$S$17,AE48*10,IF($W48=автоматы!$Z$1,AG48*10,IF($W48=автоматы!$AE$1,AI48*10,"др"))))))</f>
        <v>др</v>
      </c>
      <c r="BU48" s="131"/>
      <c r="BV48" s="90"/>
      <c r="BW48" s="90"/>
      <c r="BX48" s="91"/>
      <c r="BY48" s="92"/>
      <c r="BZ48" s="91"/>
      <c r="CA48" s="87" t="str">
        <f t="shared" ref="CA48" si="375">CONCATENATE("н",C48,"")</f>
        <v>н -</v>
      </c>
    </row>
    <row r="49" spans="1:80" s="87" customFormat="1" ht="25">
      <c r="A49" s="94">
        <v>11</v>
      </c>
      <c r="B49" s="134"/>
      <c r="C49" s="134"/>
      <c r="D49" s="135" t="s">
        <v>1025</v>
      </c>
      <c r="E49" s="139">
        <v>380</v>
      </c>
      <c r="F49" s="140" t="s">
        <v>580</v>
      </c>
      <c r="G49" s="144">
        <f>G5+G22+G30+G34+G36+G37+G40+3*(G6+G10+G20)+G47</f>
        <v>197.26</v>
      </c>
      <c r="H49" s="141"/>
      <c r="I49" s="142"/>
      <c r="J49" s="143">
        <f>Q49/S49</f>
        <v>0.87739297607444788</v>
      </c>
      <c r="K49" s="144">
        <f t="shared" si="356"/>
        <v>0.55000000000000004</v>
      </c>
      <c r="L49" s="144">
        <f>L5+L22+L30+L34+L36+L37+L40+3*(L6+L10+L20)+L47</f>
        <v>197.26</v>
      </c>
      <c r="M49" s="144">
        <f>M5+M22+M30+M34+M36+M37+M40+3*(M6+M10+M20)+M47</f>
        <v>98.058999999999997</v>
      </c>
      <c r="N49" s="144">
        <f>N5+N22+N30+N34+N36+N37+N40+3*(N6+N10+N20)+N47</f>
        <v>11783.869200000001</v>
      </c>
      <c r="O49" s="142">
        <f>G49^2/N49</f>
        <v>3.3020994156995558</v>
      </c>
      <c r="P49" s="142">
        <v>1</v>
      </c>
      <c r="Q49" s="169">
        <f>P49*L49</f>
        <v>197.26</v>
      </c>
      <c r="R49" s="169">
        <f>M49*1.1</f>
        <v>107.86490000000001</v>
      </c>
      <c r="S49" s="169">
        <f>SQRT(Q49^2+R49^2)</f>
        <v>224.82514150336922</v>
      </c>
      <c r="T49" s="169">
        <f>S49/(0.38*SQRT(3))</f>
        <v>341.58646307254196</v>
      </c>
      <c r="U49" s="86"/>
      <c r="V49" s="86"/>
      <c r="W49" s="116"/>
      <c r="AE49" s="88"/>
      <c r="AI49" s="2"/>
      <c r="AJ49"/>
      <c r="AK49" s="3"/>
      <c r="AL49"/>
      <c r="AM49"/>
      <c r="AN49"/>
      <c r="AO49"/>
      <c r="AP49"/>
      <c r="AQ49" s="3"/>
      <c r="AR49"/>
      <c r="AS49"/>
      <c r="AT49"/>
      <c r="AU49"/>
      <c r="AV49" s="3"/>
      <c r="AW49"/>
      <c r="AX49"/>
      <c r="AY49"/>
      <c r="AZ49"/>
      <c r="BA49"/>
      <c r="BB49" s="3"/>
      <c r="BC49"/>
      <c r="BD49"/>
      <c r="BE49"/>
      <c r="BF49"/>
      <c r="BG49" s="4"/>
      <c r="BH49"/>
      <c r="BI49"/>
      <c r="BJ49"/>
      <c r="BK49"/>
      <c r="BL49"/>
      <c r="BM49"/>
      <c r="BN49"/>
      <c r="BO49"/>
      <c r="BP49"/>
      <c r="BQ49" s="89"/>
      <c r="BR49" s="89"/>
      <c r="BS49" s="89"/>
      <c r="BT49" s="89"/>
      <c r="BU49" s="85"/>
      <c r="BV49" s="90"/>
      <c r="BW49" s="90"/>
      <c r="BX49" s="91"/>
      <c r="BY49" s="92"/>
      <c r="BZ49" s="91"/>
    </row>
    <row r="50" spans="1:80" s="87" customFormat="1" ht="14.5">
      <c r="A50" s="94">
        <v>11</v>
      </c>
      <c r="B50" s="134"/>
      <c r="C50" s="134"/>
      <c r="D50" s="135" t="s">
        <v>1026</v>
      </c>
      <c r="E50" s="139"/>
      <c r="F50" s="140"/>
      <c r="G50" s="144"/>
      <c r="H50" s="141"/>
      <c r="I50" s="142"/>
      <c r="J50" s="143"/>
      <c r="K50" s="144"/>
      <c r="L50" s="139"/>
      <c r="M50" s="139"/>
      <c r="N50" s="139"/>
      <c r="O50" s="142"/>
      <c r="P50" s="142"/>
      <c r="Q50" s="169"/>
      <c r="R50" s="169">
        <v>50</v>
      </c>
      <c r="S50" s="169"/>
      <c r="T50" s="169">
        <f>(R50*1000)/(1.73*380)</f>
        <v>76.057195010648016</v>
      </c>
      <c r="U50" s="86">
        <f>T50*1.3</f>
        <v>98.874353513842422</v>
      </c>
      <c r="V50" s="86"/>
      <c r="W50" s="116" t="s">
        <v>873</v>
      </c>
      <c r="X50" s="87" t="s">
        <v>302</v>
      </c>
      <c r="Y50" s="87" t="str">
        <f t="shared" ref="Y50" si="376">IF(U50&lt;=6,6,IF(U50&lt;=10,10,IF(U50&lt;=16,16,IF(U50&lt;=20,20,IF(U50&lt;=25,25,IF(U50&lt;=32,32,IF(U50&lt;=40,40,IF(U50&lt;=50,50,IF(U50&lt;=63,63,"др.выкл")))))))))</f>
        <v>др.выкл</v>
      </c>
      <c r="Z50" s="87" t="e">
        <f>INDEX(автоматы!$B$3:$D$11,MATCH(Y50,автоматы!$A$3:$A$11,0),MATCH(X50,кол_пол,0))</f>
        <v>#N/A</v>
      </c>
      <c r="AA50" s="87" t="str">
        <f t="shared" ref="AA50" si="377">IF(U50&lt;=0.16,0.16,IF(U50&lt;=0.25,0.25,IF(U50&lt;=0.4,0.4,IF(U50&lt;=0.63,0.63,IF(U50&lt;=1,1,IF(U50&lt;=1.6,1.6,IF(U50&lt;=2.5,2.5,IF(U50&lt;=4,4,IF(U50&lt;=6.3,6.3,IF(U50&lt;=10,10,IF(U50&lt;=14,14,IF(U50&lt;=18,18,IF(U50&lt;=23,23,IF(U50&lt;=25,25,IF(U50&lt;=32,32,"др.авт")))))))))))))))</f>
        <v>др.авт</v>
      </c>
      <c r="AB50" s="87" t="e">
        <f>VLOOKUP(AA50,автоматы!$H$3:$I$17,2,0)</f>
        <v>#N/A</v>
      </c>
      <c r="AC50" s="87">
        <f t="shared" ref="AC50" si="378">IF(U50&lt;=20,20,IF(U50&lt;=25,25,IF(U50&lt;=32,32,IF(U50&lt;=40,40,IF(U50&lt;=50,50,IF(U50&lt;=63,63,IF(U50&lt;=80,80,IF(U50&lt;=100,100,IF(U50&lt;=125,125,IF(U50&lt;=160,160,IF(U50&lt;=200,200,IF(U50&lt;=250,250,IF(U50&lt;=300,300,IF(U50&lt;=320,320,IF(U50&lt;=400,400,IF(U50&lt;=500,500,IF(U50&lt;=630,630,"др.авт")))))))))))))))))</f>
        <v>100</v>
      </c>
      <c r="AD50" s="87" t="str">
        <f>VLOOKUP(AC50,автоматы!$N$3:$O$19,2,0)</f>
        <v>LZMB1-A100-I</v>
      </c>
      <c r="AE50" s="88" t="str">
        <f t="shared" ref="AE50" si="379">IF(U50&lt;=6,6,IF(U50&lt;=10,10,IF(U50&lt;=16,16,IF(U50&lt;=20,20,IF(U50&lt;=25,25,IF(U50&lt;=32,32,IF(U50&lt;=40,40,IF(U50&lt;=50,50,IF(U50&lt;=63,63,"др.выкл")))))))))</f>
        <v>др.выкл</v>
      </c>
      <c r="AF50" s="87" t="e">
        <f>INDEX(автоматы!$T$2:$V$15,MATCH(AE50,автоматы!$S$2:$S$15,0),MATCH(X50,автоматы!$T$1:$V$1,0))</f>
        <v>#N/A</v>
      </c>
      <c r="AG50" s="87" t="str">
        <f t="shared" ref="AG50" si="380">IF(U50&lt;=6,6,IF(U50&lt;=10,10,IF(U50&lt;=16,16,IF(U50&lt;=20,20,IF(U50&lt;=25,25,IF(U50&lt;=32,32,IF(U50&lt;=40,40,"др.выкл")))))))</f>
        <v>др.выкл</v>
      </c>
      <c r="AH50" s="87" t="e">
        <f>VLOOKUP(AG50,автоматы!$Z$3:$AA$9,2,0)</f>
        <v>#N/A</v>
      </c>
      <c r="AI50" s="2">
        <f t="shared" ref="AI50" si="381">IF(U50&lt;=15,15,IF(U50&lt;=16,16,IF(U50&lt;=20,20,IF(U50&lt;=25,25,IF(U50&lt;=32,32,IF(U50&lt;=40,40,IF(U50&lt;=45,45,IF(U50&lt;=50,50,IF(U50&lt;=60,60,IF(U50&lt;=63,63,IF(U50&lt;=75,75,IF(U50&lt;=80,80,IF(U50&lt;=100,100,IF(U50&lt;=125,125,IF(U50&lt;=150,150,IF(U50&lt;=160,160,IF(U50&lt;=175,175,IF(U50&lt;=200,200,IF(U50&lt;=225,225,IF(U50&lt;=250,250,IF(U50&lt;=320,320,IF(U50&lt;=350,350,IF(U50&lt;=400,400,"др.выкл")))))))))))))))))))))))</f>
        <v>100</v>
      </c>
      <c r="AJ50" t="str">
        <f>VLOOKUP(AI50,автоматы!$AE$3:$AF$26,2,0)</f>
        <v>EZC100F3100</v>
      </c>
      <c r="AK50" s="3" t="str">
        <f t="shared" ref="AK50" si="382">IF(U50&lt;=0.16,0.16,IF(U50&lt;=0.25,0.25,IF(U50&lt;=0.4,0.4,IF(U50&lt;=0.63,0.63,IF(U50&lt;=1,1,IF(U50&lt;=1.6,1.6,IF(U50&lt;=2.5,2.5,IF(U50&lt;=4,4,IF(U50&lt;=6.3,6.3,IF(U50&lt;=10,10,IF(U50&lt;=14,14,IF(U50&lt;=18,18,IF(U50&lt;=23,23,IF(U50&lt;=25,25,IF(U50&lt;=32,32,"др.авт")))))))))))))))</f>
        <v>др.авт</v>
      </c>
      <c r="AL50" t="e">
        <f>VLOOKUP(AK50,DEKraft!$I$2:$J$16,2,0)</f>
        <v>#N/A</v>
      </c>
      <c r="AM50" t="str">
        <f t="shared" ref="AM50" si="383">IF(U50&lt;=0.16,0.16,IF(U50&lt;=0.25,0.25,IF(U50&lt;=0.4,0.4,IF(U50&lt;=0.63,0.63,IF(U50&lt;=1,1,IF(U50&lt;=1.6,1.6,IF(U50&lt;=2.5,2.5,IF(U50&lt;=4,4,IF(U50&lt;=6.3,6.3,IF(U50&lt;=10,10,IF(U50&lt;=14,14,IF(U50&lt;=18,18,IF(U50&lt;=23,23,IF(U50&lt;=25,25,IF(U50&lt;=32,32,"др.авт")))))))))))))))</f>
        <v>др.авт</v>
      </c>
      <c r="AN50" t="e">
        <f>VLOOKUP(AM50,systeme!$A$33:$B$47,2,0)</f>
        <v>#N/A</v>
      </c>
      <c r="AO50" t="str">
        <f t="shared" ref="AO50" si="384">IF(U50&lt;=0.16,0.16,IF(U50&lt;=0.25,0.25,IF(U50&lt;=0.4,0.4,IF(U50&lt;=0.63,0.63,IF(U50&lt;=1,1,IF(U50&lt;=1.6,1.6,IF(U50&lt;=2.5,2.5,IF(U50&lt;=4,4,IF(U50&lt;=6.3,6.3,IF(U50&lt;=10,10,IF(U50&lt;=14,14,IF(U50&lt;=18,18,IF(U50&lt;=23,23,IF(U50&lt;=25,25,IF(U50&lt;=32,32,"др.авт")))))))))))))))</f>
        <v>др.авт</v>
      </c>
      <c r="AP50" t="e">
        <f>VLOOKUP(AO50,chint!$A$34:$B$48,2,0)</f>
        <v>#N/A</v>
      </c>
      <c r="AQ50" s="3" t="str">
        <f t="shared" ref="AQ50" si="385">IF(U50&lt;=6,6,IF(U50&lt;=10,10,IF(U50&lt;=16,16,IF(U50&lt;=20,20,IF(U50&lt;=25,25,IF(U50&lt;=32,32,IF(U50&lt;=40,40,IF(U50&lt;=50,50,IF(U50&lt;=63,63,"др.выкл")))))))))</f>
        <v>др.выкл</v>
      </c>
      <c r="AR50" t="e">
        <f>INDEX(DEKraft!$B$2:$D$13,MATCH(AQ50,DEKraft!$A$2:$A$13,0),MATCH(X50,DEKraft!$B$1:$D$1,0))</f>
        <v>#N/A</v>
      </c>
      <c r="AS50" t="e">
        <f>INDEX(DEKraft!$B$21:$D$32,MATCH(AQ50,DEKraft!$A$21:$A$32,0),MATCH(X50,DEKraft!$B$20:$D$20,0))</f>
        <v>#N/A</v>
      </c>
      <c r="AT50" t="e">
        <f>INDEX(systeme!$B$2:$D$10,MATCH(AQ50,systeme!$A$2:$A$10,0),MATCH(X50,systeme!$B$1:$D$1,0))</f>
        <v>#N/A</v>
      </c>
      <c r="AU50" t="e">
        <f>INDEX(chint!$B$2:$D$10,MATCH(AQ50,chint!$A$2:$A$10,0),MATCH(X50,chint!$B$1:$D$1,0))</f>
        <v>#N/A</v>
      </c>
      <c r="AV50" s="3" t="str">
        <f t="shared" ref="AV50" si="386">IF(U50&lt;=6,6,IF(U50&lt;=10,10,IF(U50&lt;=16,16,IF(U50&lt;=20,20,IF(U50&lt;=25,25,IF(U50&lt;=32,32,IF(U50&lt;=40,40,"др.выкл")))))))</f>
        <v>др.выкл</v>
      </c>
      <c r="AW50" t="e">
        <f>VLOOKUP(AV50,DEKraft!$A$41:$B$47,2,0)</f>
        <v>#N/A</v>
      </c>
      <c r="AX50" t="str">
        <f t="shared" ref="AX50" si="387">IF(U50&lt;=10,10,IF(U50&lt;=16,16,IF(U50&lt;=20,20,IF(U50&lt;=25,25,IF(U50&lt;=32,32,IF(U50&lt;=40,40,"др.выкл"))))))</f>
        <v>др.выкл</v>
      </c>
      <c r="AY50" t="e">
        <f>VLOOKUP(AX50,systeme!$G$2:$H$7,2,0)</f>
        <v>#N/A</v>
      </c>
      <c r="AZ50" t="str">
        <f t="shared" ref="AZ50" si="388">IF(U50&lt;=6,6,IF(U50&lt;=10,10,IF(U50&lt;=16,16,IF(U50&lt;=20,20,IF(U50&lt;=25,25,IF(U50&lt;=32,32,IF(U50&lt;=40,40,"др.выкл")))))))</f>
        <v>др.выкл</v>
      </c>
      <c r="BA50" t="e">
        <f>VLOOKUP(AV50,chint!$G$2:$H$8,2,0)</f>
        <v>#N/A</v>
      </c>
      <c r="BB50" s="3">
        <f t="shared" ref="BB50" si="389">IF(U50&lt;=25,25,IF(U50&lt;=32,32,IF(U50&lt;=40,40,IF(U50&lt;=50,50,IF(U50&lt;=63,63,IF(U50&lt;=80,80,IF(U50&lt;=100,100,IF(U50&lt;=125,125,IF(U50&lt;=140,140,IF(U50&lt;=160,160,IF(U50&lt;=200,200,IF(U50&lt;=250,250,IF(U50&lt;=320,320,IF(U50&lt;=400,400,IF(U50&lt;=500,500,IF(U50&lt;=630,630,"др.выкл"))))))))))))))))</f>
        <v>100</v>
      </c>
      <c r="BC50" t="str">
        <f>VLOOKUP(BB50,DEKraft!$I$21:$J$36,2,0)</f>
        <v>28106DEK</v>
      </c>
      <c r="BD50">
        <f t="shared" ref="BD50" si="390">IF(U50&lt;=16,16,IF(U50&lt;=25,25,IF(U50&lt;=32,32,IF(U50&lt;=40,40,IF(U50&lt;=50,50,IF(U50&lt;=63,63,IF(U50&lt;=80,80,IF(U50&lt;=100,100,IF(U50&lt;=125,125,IF(U50&lt;=160,160,IF(U50&lt;=200,200,IF(U50&lt;=250,250,IF(U50&lt;=400,400,IF(U50&lt;=500,500,IF(U50&lt;=600,600,"др.авт")))))))))))))))</f>
        <v>100</v>
      </c>
      <c r="BE50" t="str">
        <f>VLOOKUP(BD50,systeme!$A$16:$B$30,2,0)</f>
        <v>SPC100F100L3DF</v>
      </c>
      <c r="BF50">
        <f t="shared" ref="BF50" si="391">IF(U50&lt;=16,16,IF(U50&lt;=25,25,IF(U50&lt;=32,32,IF(U50&lt;=40,40,IF(U50&lt;=50,50,IF(U50&lt;=63,63,IF(U50&lt;=80,80,IF(U50&lt;=100,100,IF(U50&lt;=125,125,IF(U50&lt;=160,160,IF(U50&lt;=200,200,IF(U50&lt;=225,225,IF(U50&lt;=250,250,IF(U50&lt;=315,315,IF(U50&lt;=350,350,IF(U50&lt;=400,400,IF(U50&lt;=500,500,IF(U50&lt;=630,630,"др.выкл"))))))))))))))))))</f>
        <v>100</v>
      </c>
      <c r="BG50" s="4">
        <f>VLOOKUP(BF50,chint!$A$14:$B$31,2,0)</f>
        <v>271589</v>
      </c>
      <c r="BH50" t="str">
        <f t="shared" ref="BH50" si="392">IF(U50&lt;=6,6,IF(U50&lt;=10,10,IF(U50&lt;=16,16,IF(U50&lt;=20,20,IF(U50&lt;=25,25,IF(U50&lt;=32,32,IF(U50&lt;=40,40,IF(U50&lt;=50,50,IF(U50&lt;=63,63,"др.выкл")))))))))</f>
        <v>др.выкл</v>
      </c>
      <c r="BI50" t="e">
        <f>INDEX(КЭАЗ!$B$2:$E$14,MATCH(BH50,КЭАЗ!$A$2:$A$14,0),MATCH(X50,КЭАЗ!$B$1:$D$1,0))</f>
        <v>#N/A</v>
      </c>
      <c r="BJ50">
        <f t="shared" ref="BJ50" si="393">IF(U50&lt;=6,6,IF(U50&lt;=10,10,IF(U50&lt;=16,16,IF(U50&lt;=20,20,IF(U50&lt;=25,25,IF(U50&lt;=32,32,IF(U50&lt;=40,40,IF(U50&lt;=50,50,IF(U50&lt;=63,63,IF(U50&lt;=80,80,IF(U50&lt;=100,100,IF(U50&lt;=125,125,"др.выкл"))))))))))))</f>
        <v>100</v>
      </c>
      <c r="BK50" t="str">
        <f>INDEX(hy!$B$2:$D$18,MATCH(BJ50,hy!$A$2:$A$18,0),MATCH(X50,hy!$B$1:$D$1,0))</f>
        <v>HGD63M 3PMCS0000C 00100</v>
      </c>
      <c r="BL50" t="e">
        <f>VLOOKUP(BJ50,hy!$G$2:$H$15,2,0)</f>
        <v>#N/A</v>
      </c>
      <c r="BM50" t="str">
        <f t="shared" ref="BM50" si="394">IF(U50&lt;=0.16,0.16,IF(U50&lt;=0.25,0.25,IF(U50&lt;=0.4,0.4,IF(U50&lt;=0.63,0.63,IF(U50&lt;=1,1,IF(U50&lt;=1.6,1.6,IF(U50&lt;=2.5,2.5,IF(U50&lt;=4,4,IF(U50&lt;=6.3,6.3,IF(U50&lt;=10,10,IF(U50&lt;=14,14,IF(U50&lt;=18,18,IF(U50&lt;=23,23,IF(U50&lt;=25,25,IF(U50&lt;=32,32,"др.авт")))))))))))))))</f>
        <v>др.авт</v>
      </c>
      <c r="BN50" t="e">
        <f>VLOOKUP(BM50,hy!$A$41:$B$55,2,0)</f>
        <v>#N/A</v>
      </c>
      <c r="BO50">
        <f t="shared" ref="BO50" si="395">IF(U50&lt;=100,100,IF(U50&lt;=125,125,IF(U50&lt;=150,150,IF(U50&lt;=160,160,IF(U50&lt;=175,175,IF(U50&lt;=200,200,IF(U50&lt;=225,225,IF(U50&lt;=250,250,IF(U50&lt;=300,300,IF(U50&lt;=350,350,IF(U50&lt;=400,400,IF(U50&lt;=500,500,IF(U50&lt;=630,630,IF(U50&lt;=700,700,IF(U50&lt;=800,800,"др.выкл")))))))))))))))</f>
        <v>100</v>
      </c>
      <c r="BP50" t="str">
        <f>VLOOKUP(BO50,hy!$A$21:$B$35,2,0)</f>
        <v>HGP100S-G 3PT4S0000C 00100H</v>
      </c>
      <c r="BQ50" s="89">
        <f>IF($W50=автоматы!$D$45,Z50,IF($W50=автоматы!$D$46,AF50,IF($W50=автоматы!$D$47,AH50,IF($W50=автоматы!$D$48,AB50,IF($W50=автоматы!$D$49,AJ50,IF($W50=автоматы!$D$50,AD50,IF($W50=автоматы!$D$51,BI50,IF($W50=автоматы!$D$52,AR50,IF($W50=автоматы!$D$53,AS50,IF($W50=автоматы!$D$54,AW50,IF($W50=автоматы!$D$55,AL50,IF($W50=автоматы!$D$56,BC50,IF($W50=автоматы!$D$57,AT50,IF($W50=автоматы!$D$58,AY50,IF($W50=автоматы!$D$59,AN50,IF($W50=автоматы!$D$60,BE50,IF($W50=автоматы!$D$61,AU50,IF($W50=автоматы!$D$62,BA50,IF($W50=автоматы!$D$63,AP50,IF($W50=автоматы!$D$64,BG50,IF($W50=автоматы!$D$65,BK50,IF($W50=автоматы!$D$66,BL50,IF($W50=автоматы!$D$67,BN50,IF($W50=автоматы!$D$68,BP50,"др"))))))))))))))))))))))))</f>
        <v>271589</v>
      </c>
      <c r="BR50" s="89">
        <f>IF($W50=автоматы!$D$45,Y50,IF($W50=автоматы!$D$46,AE50,IF($W50=автоматы!$D$47,AG50,IF($W50=автоматы!$D$48,AA50,IF($W50=автоматы!$D$49,AI50,IF($W50=автоматы!$D$50,AC50,IF($W50=автоматы!$D$51,BH50,IF($W50=автоматы!$D$52,AQ50,IF($W50=автоматы!$D$53,AQ50,IF($W50=автоматы!$D$54,AV50,IF($W50=автоматы!$D$55,AK50,IF($W50=автоматы!$D$56,BB50,IF($W50=автоматы!$D$57,AQ50,IF($W50=автоматы!$D$58,AX50,IF($W50=автоматы!$D$59,AM50,IF($W50=автоматы!$D$60,BD50,IF($W50=автоматы!$D$61,AQ50,IF($W50=автоматы!$D$62,AZ50,IF($W50=автоматы!$D$63,AO50,IF($W50=автоматы!$D$64,BF50,IF($W50=автоматы!$D$65,BJ50,IF($W50=автоматы!$D$66,BJ50,IF($W50=автоматы!$D$67,BM50,IF($W50=автоматы!$D$68,BO50,"др"))))))))))))))))))))))))</f>
        <v>100</v>
      </c>
      <c r="BS50" s="89" t="str">
        <f>CONCATENATE(IF($W50=автоматы!$A$1,Y50,IF($W50=автоматы!$H$1,VLOOKUP(AA50,автоматы!$H$3:$K$17,3,0),IF($W50=автоматы!$N$1,VLOOKUP(AC50,автоматы!$N$3:$Q$19,3,0),IF($W50=автоматы!$S$17,AE50,IF($W50=автоматы!$Z$1,AG50,IF($W50=автоматы!$AE$1,AI50,"др"))))))," А")</f>
        <v>др А</v>
      </c>
      <c r="BT50" s="89" t="str">
        <f>IF($W50=автоматы!$A$1,Y50*10,IF($W50=автоматы!$H$1,VLOOKUP(AA50,автоматы!$H$3:$K$17,4,0),IF($W50=автоматы!$N$1,VLOOKUP(AC50,автоматы!$N$3:$Q$19,4,0),IF($W50=автоматы!$S$17,AE50*10,IF($W50=автоматы!$Z$1,AG50*10,IF($W50=автоматы!$AE$1,AI50*10,"др"))))))</f>
        <v>др</v>
      </c>
      <c r="BU50" s="85"/>
      <c r="BV50" s="90" t="s">
        <v>147</v>
      </c>
      <c r="BW50" s="90">
        <v>1</v>
      </c>
      <c r="BX50" s="91">
        <v>4</v>
      </c>
      <c r="BY50" s="92">
        <v>10</v>
      </c>
      <c r="BZ50" s="91">
        <f>HLOOKUP(BV50,каталог!$CG$1:$CO$22,MATCH(BY50,каталог!$CF$1:$CF$22,0),0)*BW50</f>
        <v>55</v>
      </c>
      <c r="CA50" s="87" t="str">
        <f t="shared" ref="CA50" si="396">CONCATENATE("н",C50,"")</f>
        <v>н</v>
      </c>
      <c r="CB50" s="87" t="str">
        <f t="shared" ref="CB50" si="397">CONCATENATE(BV50," ",BX50,"x",BY50)</f>
        <v>ВВГнг(А)-LS 4x10</v>
      </c>
    </row>
    <row r="51" spans="1:80" s="87" customFormat="1" ht="27.75" customHeight="1">
      <c r="A51" s="94">
        <v>11</v>
      </c>
      <c r="B51" s="134"/>
      <c r="C51" s="134"/>
      <c r="D51" s="135" t="s">
        <v>1027</v>
      </c>
      <c r="E51" s="139"/>
      <c r="F51" s="140"/>
      <c r="G51" s="144"/>
      <c r="H51" s="141"/>
      <c r="I51" s="142"/>
      <c r="J51" s="156">
        <f>Q51/S51</f>
        <v>0.95956639768069862</v>
      </c>
      <c r="K51" s="157">
        <f t="shared" ref="K51" si="398">ROUND(SQRT(1-(J51)^2)/J51,2)</f>
        <v>0.28999999999999998</v>
      </c>
      <c r="L51" s="158"/>
      <c r="M51" s="158"/>
      <c r="N51" s="158"/>
      <c r="O51" s="159"/>
      <c r="P51" s="159"/>
      <c r="Q51" s="170">
        <f>Q49-Q50</f>
        <v>197.26</v>
      </c>
      <c r="R51" s="170">
        <f>R49-R50</f>
        <v>57.864900000000006</v>
      </c>
      <c r="S51" s="170">
        <f>SQRT(Q51^2+R51^2)</f>
        <v>205.57201719108073</v>
      </c>
      <c r="T51" s="170">
        <f>S51/(0.38*SQRT(3))</f>
        <v>312.3343670082233</v>
      </c>
      <c r="U51" s="86">
        <f>T51*1.1</f>
        <v>343.56780370904568</v>
      </c>
      <c r="V51" s="86"/>
      <c r="W51" s="116" t="s">
        <v>873</v>
      </c>
      <c r="X51" s="87" t="s">
        <v>302</v>
      </c>
      <c r="Y51" s="87" t="str">
        <f t="shared" ref="Y51" si="399">IF(U51&lt;=6,6,IF(U51&lt;=10,10,IF(U51&lt;=16,16,IF(U51&lt;=20,20,IF(U51&lt;=25,25,IF(U51&lt;=32,32,IF(U51&lt;=40,40,IF(U51&lt;=50,50,IF(U51&lt;=63,63,"др.выкл")))))))))</f>
        <v>др.выкл</v>
      </c>
      <c r="Z51" s="87" t="e">
        <f>INDEX(автоматы!$B$3:$D$11,MATCH(Y51,автоматы!$A$3:$A$11,0),MATCH(X51,кол_пол,0))</f>
        <v>#N/A</v>
      </c>
      <c r="AA51" s="87" t="str">
        <f t="shared" ref="AA51" si="400">IF(U51&lt;=0.16,0.16,IF(U51&lt;=0.25,0.25,IF(U51&lt;=0.4,0.4,IF(U51&lt;=0.63,0.63,IF(U51&lt;=1,1,IF(U51&lt;=1.6,1.6,IF(U51&lt;=2.5,2.5,IF(U51&lt;=4,4,IF(U51&lt;=6.3,6.3,IF(U51&lt;=10,10,IF(U51&lt;=14,14,IF(U51&lt;=18,18,IF(U51&lt;=23,23,IF(U51&lt;=25,25,IF(U51&lt;=32,32,"др.авт")))))))))))))))</f>
        <v>др.авт</v>
      </c>
      <c r="AB51" s="87" t="e">
        <f>VLOOKUP(AA51,автоматы!$H$3:$I$17,2,0)</f>
        <v>#N/A</v>
      </c>
      <c r="AC51" s="87">
        <f t="shared" ref="AC51" si="401">IF(U51&lt;=20,20,IF(U51&lt;=25,25,IF(U51&lt;=32,32,IF(U51&lt;=40,40,IF(U51&lt;=50,50,IF(U51&lt;=63,63,IF(U51&lt;=80,80,IF(U51&lt;=100,100,IF(U51&lt;=125,125,IF(U51&lt;=160,160,IF(U51&lt;=200,200,IF(U51&lt;=250,250,IF(U51&lt;=300,300,IF(U51&lt;=320,320,IF(U51&lt;=400,400,IF(U51&lt;=500,500,IF(U51&lt;=630,630,"др.авт")))))))))))))))))</f>
        <v>400</v>
      </c>
      <c r="AD51" s="87" t="str">
        <f>VLOOKUP(AC51,автоматы!$N$3:$O$19,2,0)</f>
        <v>LZMC3-A400-I</v>
      </c>
      <c r="AE51" s="88" t="str">
        <f t="shared" ref="AE51" si="402">IF(U51&lt;=6,6,IF(U51&lt;=10,10,IF(U51&lt;=16,16,IF(U51&lt;=20,20,IF(U51&lt;=25,25,IF(U51&lt;=32,32,IF(U51&lt;=40,40,IF(U51&lt;=50,50,IF(U51&lt;=63,63,"др.выкл")))))))))</f>
        <v>др.выкл</v>
      </c>
      <c r="AF51" s="87" t="e">
        <f>INDEX(автоматы!$T$2:$V$15,MATCH(AE51,автоматы!$S$2:$S$15,0),MATCH(X51,автоматы!$T$1:$V$1,0))</f>
        <v>#N/A</v>
      </c>
      <c r="AG51" s="87" t="str">
        <f t="shared" ref="AG51" si="403">IF(U51&lt;=6,6,IF(U51&lt;=10,10,IF(U51&lt;=16,16,IF(U51&lt;=20,20,IF(U51&lt;=25,25,IF(U51&lt;=32,32,IF(U51&lt;=40,40,"др.выкл")))))))</f>
        <v>др.выкл</v>
      </c>
      <c r="AH51" s="87" t="e">
        <f>VLOOKUP(AG51,автоматы!$Z$3:$AA$9,2,0)</f>
        <v>#N/A</v>
      </c>
      <c r="AI51" s="2">
        <f t="shared" ref="AI51" si="404">IF(U51&lt;=15,15,IF(U51&lt;=16,16,IF(U51&lt;=20,20,IF(U51&lt;=25,25,IF(U51&lt;=32,32,IF(U51&lt;=40,40,IF(U51&lt;=45,45,IF(U51&lt;=50,50,IF(U51&lt;=60,60,IF(U51&lt;=63,63,IF(U51&lt;=75,75,IF(U51&lt;=80,80,IF(U51&lt;=100,100,IF(U51&lt;=125,125,IF(U51&lt;=150,150,IF(U51&lt;=160,160,IF(U51&lt;=175,175,IF(U51&lt;=200,200,IF(U51&lt;=225,225,IF(U51&lt;=250,250,IF(U51&lt;=320,320,IF(U51&lt;=350,350,IF(U51&lt;=400,400,"др.выкл")))))))))))))))))))))))</f>
        <v>350</v>
      </c>
      <c r="AJ51" t="str">
        <f>VLOOKUP(AI51,автоматы!$AE$3:$AF$26,2,0)</f>
        <v>EZC400N3350N</v>
      </c>
      <c r="AK51" s="3" t="str">
        <f t="shared" ref="AK51" si="405">IF(U51&lt;=0.16,0.16,IF(U51&lt;=0.25,0.25,IF(U51&lt;=0.4,0.4,IF(U51&lt;=0.63,0.63,IF(U51&lt;=1,1,IF(U51&lt;=1.6,1.6,IF(U51&lt;=2.5,2.5,IF(U51&lt;=4,4,IF(U51&lt;=6.3,6.3,IF(U51&lt;=10,10,IF(U51&lt;=14,14,IF(U51&lt;=18,18,IF(U51&lt;=23,23,IF(U51&lt;=25,25,IF(U51&lt;=32,32,"др.авт")))))))))))))))</f>
        <v>др.авт</v>
      </c>
      <c r="AL51" t="e">
        <f>VLOOKUP(AK51,DEKraft!$I$2:$J$16,2,0)</f>
        <v>#N/A</v>
      </c>
      <c r="AM51" t="str">
        <f t="shared" ref="AM51" si="406">IF(U51&lt;=0.16,0.16,IF(U51&lt;=0.25,0.25,IF(U51&lt;=0.4,0.4,IF(U51&lt;=0.63,0.63,IF(U51&lt;=1,1,IF(U51&lt;=1.6,1.6,IF(U51&lt;=2.5,2.5,IF(U51&lt;=4,4,IF(U51&lt;=6.3,6.3,IF(U51&lt;=10,10,IF(U51&lt;=14,14,IF(U51&lt;=18,18,IF(U51&lt;=23,23,IF(U51&lt;=25,25,IF(U51&lt;=32,32,"др.авт")))))))))))))))</f>
        <v>др.авт</v>
      </c>
      <c r="AN51" t="e">
        <f>VLOOKUP(AM51,systeme!$A$33:$B$47,2,0)</f>
        <v>#N/A</v>
      </c>
      <c r="AO51" t="str">
        <f t="shared" ref="AO51" si="407">IF(U51&lt;=0.16,0.16,IF(U51&lt;=0.25,0.25,IF(U51&lt;=0.4,0.4,IF(U51&lt;=0.63,0.63,IF(U51&lt;=1,1,IF(U51&lt;=1.6,1.6,IF(U51&lt;=2.5,2.5,IF(U51&lt;=4,4,IF(U51&lt;=6.3,6.3,IF(U51&lt;=10,10,IF(U51&lt;=14,14,IF(U51&lt;=18,18,IF(U51&lt;=23,23,IF(U51&lt;=25,25,IF(U51&lt;=32,32,"др.авт")))))))))))))))</f>
        <v>др.авт</v>
      </c>
      <c r="AP51" t="e">
        <f>VLOOKUP(AO51,chint!$A$34:$B$48,2,0)</f>
        <v>#N/A</v>
      </c>
      <c r="AQ51" s="3" t="str">
        <f t="shared" ref="AQ51" si="408">IF(U51&lt;=6,6,IF(U51&lt;=10,10,IF(U51&lt;=16,16,IF(U51&lt;=20,20,IF(U51&lt;=25,25,IF(U51&lt;=32,32,IF(U51&lt;=40,40,IF(U51&lt;=50,50,IF(U51&lt;=63,63,"др.выкл")))))))))</f>
        <v>др.выкл</v>
      </c>
      <c r="AR51" t="e">
        <f>INDEX(DEKraft!$B$2:$D$13,MATCH(AQ51,DEKraft!$A$2:$A$13,0),MATCH(X51,DEKraft!$B$1:$D$1,0))</f>
        <v>#N/A</v>
      </c>
      <c r="AS51" t="e">
        <f>INDEX(DEKraft!$B$21:$D$32,MATCH(AQ51,DEKraft!$A$21:$A$32,0),MATCH(X51,DEKraft!$B$20:$D$20,0))</f>
        <v>#N/A</v>
      </c>
      <c r="AT51" t="e">
        <f>INDEX(systeme!$B$2:$D$10,MATCH(AQ51,systeme!$A$2:$A$10,0),MATCH(X51,systeme!$B$1:$D$1,0))</f>
        <v>#N/A</v>
      </c>
      <c r="AU51" t="e">
        <f>INDEX(chint!$B$2:$D$10,MATCH(AQ51,chint!$A$2:$A$10,0),MATCH(X51,chint!$B$1:$D$1,0))</f>
        <v>#N/A</v>
      </c>
      <c r="AV51" s="3" t="str">
        <f t="shared" ref="AV51" si="409">IF(U51&lt;=6,6,IF(U51&lt;=10,10,IF(U51&lt;=16,16,IF(U51&lt;=20,20,IF(U51&lt;=25,25,IF(U51&lt;=32,32,IF(U51&lt;=40,40,"др.выкл")))))))</f>
        <v>др.выкл</v>
      </c>
      <c r="AW51" t="e">
        <f>VLOOKUP(AV51,DEKraft!$A$41:$B$47,2,0)</f>
        <v>#N/A</v>
      </c>
      <c r="AX51" t="str">
        <f t="shared" ref="AX51" si="410">IF(U51&lt;=10,10,IF(U51&lt;=16,16,IF(U51&lt;=20,20,IF(U51&lt;=25,25,IF(U51&lt;=32,32,IF(U51&lt;=40,40,"др.выкл"))))))</f>
        <v>др.выкл</v>
      </c>
      <c r="AY51" t="e">
        <f>VLOOKUP(AX51,systeme!$G$2:$H$7,2,0)</f>
        <v>#N/A</v>
      </c>
      <c r="AZ51" t="str">
        <f t="shared" ref="AZ51" si="411">IF(U51&lt;=6,6,IF(U51&lt;=10,10,IF(U51&lt;=16,16,IF(U51&lt;=20,20,IF(U51&lt;=25,25,IF(U51&lt;=32,32,IF(U51&lt;=40,40,"др.выкл")))))))</f>
        <v>др.выкл</v>
      </c>
      <c r="BA51" t="e">
        <f>VLOOKUP(AV51,chint!$G$2:$H$8,2,0)</f>
        <v>#N/A</v>
      </c>
      <c r="BB51" s="3">
        <f t="shared" ref="BB51" si="412">IF(U51&lt;=25,25,IF(U51&lt;=32,32,IF(U51&lt;=40,40,IF(U51&lt;=50,50,IF(U51&lt;=63,63,IF(U51&lt;=80,80,IF(U51&lt;=100,100,IF(U51&lt;=125,125,IF(U51&lt;=140,140,IF(U51&lt;=160,160,IF(U51&lt;=200,200,IF(U51&lt;=250,250,IF(U51&lt;=320,320,IF(U51&lt;=400,400,IF(U51&lt;=500,500,IF(U51&lt;=630,630,"др.выкл"))))))))))))))))</f>
        <v>400</v>
      </c>
      <c r="BC51" t="str">
        <f>VLOOKUP(BB51,DEKraft!$I$21:$J$36,2,0)</f>
        <v>28130DEK</v>
      </c>
      <c r="BD51">
        <f t="shared" ref="BD51" si="413">IF(U51&lt;=16,16,IF(U51&lt;=25,25,IF(U51&lt;=32,32,IF(U51&lt;=40,40,IF(U51&lt;=50,50,IF(U51&lt;=63,63,IF(U51&lt;=80,80,IF(U51&lt;=100,100,IF(U51&lt;=125,125,IF(U51&lt;=160,160,IF(U51&lt;=200,200,IF(U51&lt;=250,250,IF(U51&lt;=400,400,IF(U51&lt;=500,500,IF(U51&lt;=600,600,"др.авт")))))))))))))))</f>
        <v>400</v>
      </c>
      <c r="BE51" t="str">
        <f>VLOOKUP(BD51,systeme!$A$16:$B$30,2,0)</f>
        <v>SPC400F400L3DF</v>
      </c>
      <c r="BF51">
        <f t="shared" ref="BF51" si="414">IF(U51&lt;=16,16,IF(U51&lt;=25,25,IF(U51&lt;=32,32,IF(U51&lt;=40,40,IF(U51&lt;=50,50,IF(U51&lt;=63,63,IF(U51&lt;=80,80,IF(U51&lt;=100,100,IF(U51&lt;=125,125,IF(U51&lt;=160,160,IF(U51&lt;=200,200,IF(U51&lt;=225,225,IF(U51&lt;=250,250,IF(U51&lt;=315,315,IF(U51&lt;=350,350,IF(U51&lt;=400,400,IF(U51&lt;=500,500,IF(U51&lt;=630,630,"др.выкл"))))))))))))))))))</f>
        <v>350</v>
      </c>
      <c r="BG51" s="4">
        <f>VLOOKUP(BF51,chint!$A$14:$B$31,2,0)</f>
        <v>268949</v>
      </c>
      <c r="BH51" t="str">
        <f t="shared" ref="BH51" si="415">IF(U51&lt;=6,6,IF(U51&lt;=10,10,IF(U51&lt;=16,16,IF(U51&lt;=20,20,IF(U51&lt;=25,25,IF(U51&lt;=32,32,IF(U51&lt;=40,40,IF(U51&lt;=50,50,IF(U51&lt;=63,63,"др.выкл")))))))))</f>
        <v>др.выкл</v>
      </c>
      <c r="BI51" t="e">
        <f>INDEX(КЭАЗ!$B$2:$E$14,MATCH(BH51,КЭАЗ!$A$2:$A$14,0),MATCH(X51,КЭАЗ!$B$1:$D$1,0))</f>
        <v>#N/A</v>
      </c>
      <c r="BJ51" t="str">
        <f t="shared" ref="BJ51" si="416">IF(U51&lt;=6,6,IF(U51&lt;=10,10,IF(U51&lt;=16,16,IF(U51&lt;=20,20,IF(U51&lt;=25,25,IF(U51&lt;=32,32,IF(U51&lt;=40,40,IF(U51&lt;=50,50,IF(U51&lt;=63,63,IF(U51&lt;=80,80,IF(U51&lt;=100,100,IF(U51&lt;=125,125,"др.выкл"))))))))))))</f>
        <v>др.выкл</v>
      </c>
      <c r="BK51" t="e">
        <f>INDEX(hy!$B$2:$D$18,MATCH(BJ51,hy!$A$2:$A$18,0),MATCH(X51,hy!$B$1:$D$1,0))</f>
        <v>#N/A</v>
      </c>
      <c r="BL51" t="e">
        <f>VLOOKUP(BJ51,hy!$G$2:$H$15,2,0)</f>
        <v>#N/A</v>
      </c>
      <c r="BM51" t="str">
        <f t="shared" ref="BM51" si="417">IF(U51&lt;=0.16,0.16,IF(U51&lt;=0.25,0.25,IF(U51&lt;=0.4,0.4,IF(U51&lt;=0.63,0.63,IF(U51&lt;=1,1,IF(U51&lt;=1.6,1.6,IF(U51&lt;=2.5,2.5,IF(U51&lt;=4,4,IF(U51&lt;=6.3,6.3,IF(U51&lt;=10,10,IF(U51&lt;=14,14,IF(U51&lt;=18,18,IF(U51&lt;=23,23,IF(U51&lt;=25,25,IF(U51&lt;=32,32,"др.авт")))))))))))))))</f>
        <v>др.авт</v>
      </c>
      <c r="BN51" t="e">
        <f>VLOOKUP(BM51,hy!$A$41:$B$55,2,0)</f>
        <v>#N/A</v>
      </c>
      <c r="BO51">
        <f t="shared" ref="BO51" si="418">IF(U51&lt;=100,100,IF(U51&lt;=125,125,IF(U51&lt;=150,150,IF(U51&lt;=160,160,IF(U51&lt;=175,175,IF(U51&lt;=200,200,IF(U51&lt;=225,225,IF(U51&lt;=250,250,IF(U51&lt;=300,300,IF(U51&lt;=350,350,IF(U51&lt;=400,400,IF(U51&lt;=500,500,IF(U51&lt;=630,630,IF(U51&lt;=700,700,IF(U51&lt;=800,800,"др.выкл")))))))))))))))</f>
        <v>350</v>
      </c>
      <c r="BP51" t="str">
        <f>VLOOKUP(BO51,hy!$A$21:$B$35,2,0)</f>
        <v>HGP400S-G 3PT4S0000C 00350H</v>
      </c>
      <c r="BQ51" s="89">
        <f>IF($W51=автоматы!$D$45,Z51,IF($W51=автоматы!$D$46,AF51,IF($W51=автоматы!$D$47,AH51,IF($W51=автоматы!$D$48,AB51,IF($W51=автоматы!$D$49,AJ51,IF($W51=автоматы!$D$50,AD51,IF($W51=автоматы!$D$51,BI51,IF($W51=автоматы!$D$52,AR51,IF($W51=автоматы!$D$53,AS51,IF($W51=автоматы!$D$54,AW51,IF($W51=автоматы!$D$55,AL51,IF($W51=автоматы!$D$56,BC51,IF($W51=автоматы!$D$57,AT51,IF($W51=автоматы!$D$58,AY51,IF($W51=автоматы!$D$59,AN51,IF($W51=автоматы!$D$60,BE51,IF($W51=автоматы!$D$61,AU51,IF($W51=автоматы!$D$62,BA51,IF($W51=автоматы!$D$63,AP51,IF($W51=автоматы!$D$64,BG51,IF($W51=автоматы!$D$65,BK51,IF($W51=автоматы!$D$66,BL51,IF($W51=автоматы!$D$67,BN51,IF($W51=автоматы!$D$68,BP51,"др"))))))))))))))))))))))))</f>
        <v>268949</v>
      </c>
      <c r="BR51" s="89">
        <f>IF($W51=автоматы!$D$45,Y51,IF($W51=автоматы!$D$46,AE51,IF($W51=автоматы!$D$47,AG51,IF($W51=автоматы!$D$48,AA51,IF($W51=автоматы!$D$49,AI51,IF($W51=автоматы!$D$50,AC51,IF($W51=автоматы!$D$51,BH51,IF($W51=автоматы!$D$52,AQ51,IF($W51=автоматы!$D$53,AQ51,IF($W51=автоматы!$D$54,AV51,IF($W51=автоматы!$D$55,AK51,IF($W51=автоматы!$D$56,BB51,IF($W51=автоматы!$D$57,AQ51,IF($W51=автоматы!$D$58,AX51,IF($W51=автоматы!$D$59,AM51,IF($W51=автоматы!$D$60,BD51,IF($W51=автоматы!$D$61,AQ51,IF($W51=автоматы!$D$62,AZ51,IF($W51=автоматы!$D$63,AO51,IF($W51=автоматы!$D$64,BF51,IF($W51=автоматы!$D$65,BJ51,IF($W51=автоматы!$D$66,BJ51,IF($W51=автоматы!$D$67,BM51,IF($W51=автоматы!$D$68,BO51,"др"))))))))))))))))))))))))</f>
        <v>350</v>
      </c>
      <c r="BS51" s="89" t="str">
        <f>CONCATENATE(IF($W51=автоматы!$A$1,Y51,IF($W51=автоматы!$H$1,VLOOKUP(AA51,автоматы!$H$3:$K$17,3,0),IF($W51=автоматы!$N$1,VLOOKUP(AC51,автоматы!$N$3:$Q$19,3,0),IF($W51=автоматы!$S$17,AE51,IF($W51=автоматы!$Z$1,AG51,IF($W51=автоматы!$AE$1,AI51,"др"))))))," А")</f>
        <v>др А</v>
      </c>
      <c r="BT51" s="89" t="str">
        <f>IF($W51=автоматы!$A$1,Y51*10,IF($W51=автоматы!$H$1,VLOOKUP(AA51,автоматы!$H$3:$K$17,4,0),IF($W51=автоматы!$N$1,VLOOKUP(AC51,автоматы!$N$3:$Q$19,4,0),IF($W51=автоматы!$S$17,AE51*10,IF($W51=автоматы!$Z$1,AG51*10,IF($W51=автоматы!$AE$1,AI51*10,"др"))))))</f>
        <v>др</v>
      </c>
      <c r="BU51" s="85"/>
      <c r="BV51" s="90"/>
      <c r="BW51" s="90"/>
      <c r="BX51" s="91"/>
      <c r="BY51" s="92"/>
      <c r="BZ51" s="91"/>
    </row>
    <row r="52" spans="1:80" s="87" customFormat="1" ht="25">
      <c r="A52" s="94">
        <v>12</v>
      </c>
      <c r="B52" s="136"/>
      <c r="C52" s="136"/>
      <c r="D52" s="137" t="s">
        <v>1028</v>
      </c>
      <c r="E52" s="145">
        <v>380</v>
      </c>
      <c r="F52" s="146" t="s">
        <v>580</v>
      </c>
      <c r="G52" s="150">
        <f>G5+G23+G24+G25+G31+G32+G33+G35+G38+G39+G41+G48+3*(G13+G17+G19+G27+G28+G44)+G42</f>
        <v>187.23999999999998</v>
      </c>
      <c r="H52" s="147"/>
      <c r="I52" s="148"/>
      <c r="J52" s="149">
        <f>Q52/S52</f>
        <v>0.86966248910224886</v>
      </c>
      <c r="K52" s="150">
        <f t="shared" si="356"/>
        <v>0.56999999999999995</v>
      </c>
      <c r="L52" s="150">
        <f>L5+L23+L24+L25+L31+L32+L33+L35+L38+L39+L41+L48+3*(L13+L17+L19+L27+L28+L44)+L42</f>
        <v>187.23999999999998</v>
      </c>
      <c r="M52" s="150">
        <f>M5+M23+M24+M25+M31+M32+M33+M35+M38+M39+M41+M48+3*(M13+M17+M19+M27+M28+M44)+M42</f>
        <v>96.620999999999995</v>
      </c>
      <c r="N52" s="150">
        <f>N5+N23+N24+N25+N31+N32+N33+N35+N38+N39+N41+N48+3*(N13+N17+N19+N27+N28+N44)+N42</f>
        <v>7151.0120000000006</v>
      </c>
      <c r="O52" s="148">
        <f>G52^2/N52</f>
        <v>4.902637221137371</v>
      </c>
      <c r="P52" s="148">
        <v>1</v>
      </c>
      <c r="Q52" s="171">
        <f>P52*L52</f>
        <v>187.23999999999998</v>
      </c>
      <c r="R52" s="171">
        <f>M52*1.1</f>
        <v>106.2831</v>
      </c>
      <c r="S52" s="171">
        <f>SQRT(Q52^2+R52^2)</f>
        <v>215.30191579642295</v>
      </c>
      <c r="T52" s="171">
        <f>S52/(0.38*SQRT(3))</f>
        <v>327.11741853186038</v>
      </c>
      <c r="U52" s="86"/>
      <c r="V52" s="86"/>
      <c r="W52" s="116"/>
      <c r="AE52" s="88"/>
      <c r="AI52" s="2"/>
      <c r="AJ52"/>
      <c r="AK52" s="3"/>
      <c r="AL52"/>
      <c r="AM52"/>
      <c r="AN52"/>
      <c r="AO52"/>
      <c r="AP52"/>
      <c r="AQ52" s="3"/>
      <c r="AR52"/>
      <c r="AS52"/>
      <c r="AT52"/>
      <c r="AU52"/>
      <c r="AV52" s="3"/>
      <c r="AW52"/>
      <c r="AX52"/>
      <c r="AY52"/>
      <c r="AZ52"/>
      <c r="BA52"/>
      <c r="BB52" s="3"/>
      <c r="BC52"/>
      <c r="BD52"/>
      <c r="BE52"/>
      <c r="BF52"/>
      <c r="BG52" s="4"/>
      <c r="BH52"/>
      <c r="BI52"/>
      <c r="BJ52"/>
      <c r="BK52"/>
      <c r="BL52"/>
      <c r="BM52"/>
      <c r="BN52"/>
      <c r="BO52"/>
      <c r="BP52"/>
      <c r="BQ52" s="89"/>
      <c r="BR52" s="89"/>
      <c r="BS52" s="89"/>
      <c r="BT52" s="89"/>
      <c r="BU52" s="85"/>
      <c r="BV52" s="90"/>
      <c r="BW52" s="90"/>
      <c r="BX52" s="91"/>
      <c r="BY52" s="92"/>
      <c r="BZ52" s="91"/>
    </row>
    <row r="53" spans="1:80" s="87" customFormat="1" ht="14.5">
      <c r="A53" s="94">
        <v>12</v>
      </c>
      <c r="B53" s="136"/>
      <c r="C53" s="136"/>
      <c r="D53" s="137" t="s">
        <v>1026</v>
      </c>
      <c r="E53" s="145"/>
      <c r="F53" s="146"/>
      <c r="G53" s="150"/>
      <c r="H53" s="147"/>
      <c r="I53" s="148"/>
      <c r="J53" s="149"/>
      <c r="K53" s="150"/>
      <c r="L53" s="145"/>
      <c r="M53" s="145"/>
      <c r="N53" s="145"/>
      <c r="O53" s="148"/>
      <c r="P53" s="148"/>
      <c r="Q53" s="171"/>
      <c r="R53" s="171">
        <v>50</v>
      </c>
      <c r="S53" s="171"/>
      <c r="T53" s="171">
        <f>(R53*1000)/(1.73*380)</f>
        <v>76.057195010648016</v>
      </c>
      <c r="U53" s="86">
        <f>T53*1.3</f>
        <v>98.874353513842422</v>
      </c>
      <c r="V53" s="86"/>
      <c r="W53" s="116" t="s">
        <v>873</v>
      </c>
      <c r="X53" s="87" t="s">
        <v>302</v>
      </c>
      <c r="Y53" s="87" t="str">
        <f t="shared" ref="Y53:Y54" si="419">IF(U53&lt;=6,6,IF(U53&lt;=10,10,IF(U53&lt;=16,16,IF(U53&lt;=20,20,IF(U53&lt;=25,25,IF(U53&lt;=32,32,IF(U53&lt;=40,40,IF(U53&lt;=50,50,IF(U53&lt;=63,63,"др.выкл")))))))))</f>
        <v>др.выкл</v>
      </c>
      <c r="Z53" s="87" t="e">
        <f>INDEX(автоматы!$B$3:$D$11,MATCH(Y53,автоматы!$A$3:$A$11,0),MATCH(X53,кол_пол,0))</f>
        <v>#N/A</v>
      </c>
      <c r="AA53" s="87" t="str">
        <f t="shared" ref="AA53:AA54" si="420">IF(U53&lt;=0.16,0.16,IF(U53&lt;=0.25,0.25,IF(U53&lt;=0.4,0.4,IF(U53&lt;=0.63,0.63,IF(U53&lt;=1,1,IF(U53&lt;=1.6,1.6,IF(U53&lt;=2.5,2.5,IF(U53&lt;=4,4,IF(U53&lt;=6.3,6.3,IF(U53&lt;=10,10,IF(U53&lt;=14,14,IF(U53&lt;=18,18,IF(U53&lt;=23,23,IF(U53&lt;=25,25,IF(U53&lt;=32,32,"др.авт")))))))))))))))</f>
        <v>др.авт</v>
      </c>
      <c r="AB53" s="87" t="e">
        <f>VLOOKUP(AA53,автоматы!$H$3:$I$17,2,0)</f>
        <v>#N/A</v>
      </c>
      <c r="AC53" s="87">
        <f t="shared" ref="AC53:AC54" si="421">IF(U53&lt;=20,20,IF(U53&lt;=25,25,IF(U53&lt;=32,32,IF(U53&lt;=40,40,IF(U53&lt;=50,50,IF(U53&lt;=63,63,IF(U53&lt;=80,80,IF(U53&lt;=100,100,IF(U53&lt;=125,125,IF(U53&lt;=160,160,IF(U53&lt;=200,200,IF(U53&lt;=250,250,IF(U53&lt;=300,300,IF(U53&lt;=320,320,IF(U53&lt;=400,400,IF(U53&lt;=500,500,IF(U53&lt;=630,630,"др.авт")))))))))))))))))</f>
        <v>100</v>
      </c>
      <c r="AD53" s="87" t="str">
        <f>VLOOKUP(AC53,автоматы!$N$3:$O$19,2,0)</f>
        <v>LZMB1-A100-I</v>
      </c>
      <c r="AE53" s="88" t="str">
        <f t="shared" ref="AE53:AE54" si="422">IF(U53&lt;=6,6,IF(U53&lt;=10,10,IF(U53&lt;=16,16,IF(U53&lt;=20,20,IF(U53&lt;=25,25,IF(U53&lt;=32,32,IF(U53&lt;=40,40,IF(U53&lt;=50,50,IF(U53&lt;=63,63,"др.выкл")))))))))</f>
        <v>др.выкл</v>
      </c>
      <c r="AF53" s="87" t="e">
        <f>INDEX(автоматы!$T$2:$V$15,MATCH(AE53,автоматы!$S$2:$S$15,0),MATCH(X53,автоматы!$T$1:$V$1,0))</f>
        <v>#N/A</v>
      </c>
      <c r="AG53" s="87" t="str">
        <f t="shared" ref="AG53:AG54" si="423">IF(U53&lt;=6,6,IF(U53&lt;=10,10,IF(U53&lt;=16,16,IF(U53&lt;=20,20,IF(U53&lt;=25,25,IF(U53&lt;=32,32,IF(U53&lt;=40,40,"др.выкл")))))))</f>
        <v>др.выкл</v>
      </c>
      <c r="AH53" s="87" t="e">
        <f>VLOOKUP(AG53,автоматы!$Z$3:$AA$9,2,0)</f>
        <v>#N/A</v>
      </c>
      <c r="AI53" s="2">
        <f t="shared" ref="AI53:AI54" si="424">IF(U53&lt;=15,15,IF(U53&lt;=16,16,IF(U53&lt;=20,20,IF(U53&lt;=25,25,IF(U53&lt;=32,32,IF(U53&lt;=40,40,IF(U53&lt;=45,45,IF(U53&lt;=50,50,IF(U53&lt;=60,60,IF(U53&lt;=63,63,IF(U53&lt;=75,75,IF(U53&lt;=80,80,IF(U53&lt;=100,100,IF(U53&lt;=125,125,IF(U53&lt;=150,150,IF(U53&lt;=160,160,IF(U53&lt;=175,175,IF(U53&lt;=200,200,IF(U53&lt;=225,225,IF(U53&lt;=250,250,IF(U53&lt;=320,320,IF(U53&lt;=350,350,IF(U53&lt;=400,400,"др.выкл")))))))))))))))))))))))</f>
        <v>100</v>
      </c>
      <c r="AJ53" t="str">
        <f>VLOOKUP(AI53,автоматы!$AE$3:$AF$26,2,0)</f>
        <v>EZC100F3100</v>
      </c>
      <c r="AK53" s="3" t="str">
        <f t="shared" ref="AK53:AK54" si="425">IF(U53&lt;=0.16,0.16,IF(U53&lt;=0.25,0.25,IF(U53&lt;=0.4,0.4,IF(U53&lt;=0.63,0.63,IF(U53&lt;=1,1,IF(U53&lt;=1.6,1.6,IF(U53&lt;=2.5,2.5,IF(U53&lt;=4,4,IF(U53&lt;=6.3,6.3,IF(U53&lt;=10,10,IF(U53&lt;=14,14,IF(U53&lt;=18,18,IF(U53&lt;=23,23,IF(U53&lt;=25,25,IF(U53&lt;=32,32,"др.авт")))))))))))))))</f>
        <v>др.авт</v>
      </c>
      <c r="AL53" t="e">
        <f>VLOOKUP(AK53,DEKraft!$I$2:$J$16,2,0)</f>
        <v>#N/A</v>
      </c>
      <c r="AM53" t="str">
        <f t="shared" ref="AM53:AM54" si="426">IF(U53&lt;=0.16,0.16,IF(U53&lt;=0.25,0.25,IF(U53&lt;=0.4,0.4,IF(U53&lt;=0.63,0.63,IF(U53&lt;=1,1,IF(U53&lt;=1.6,1.6,IF(U53&lt;=2.5,2.5,IF(U53&lt;=4,4,IF(U53&lt;=6.3,6.3,IF(U53&lt;=10,10,IF(U53&lt;=14,14,IF(U53&lt;=18,18,IF(U53&lt;=23,23,IF(U53&lt;=25,25,IF(U53&lt;=32,32,"др.авт")))))))))))))))</f>
        <v>др.авт</v>
      </c>
      <c r="AN53" t="e">
        <f>VLOOKUP(AM53,systeme!$A$33:$B$47,2,0)</f>
        <v>#N/A</v>
      </c>
      <c r="AO53" t="str">
        <f t="shared" ref="AO53:AO54" si="427">IF(U53&lt;=0.16,0.16,IF(U53&lt;=0.25,0.25,IF(U53&lt;=0.4,0.4,IF(U53&lt;=0.63,0.63,IF(U53&lt;=1,1,IF(U53&lt;=1.6,1.6,IF(U53&lt;=2.5,2.5,IF(U53&lt;=4,4,IF(U53&lt;=6.3,6.3,IF(U53&lt;=10,10,IF(U53&lt;=14,14,IF(U53&lt;=18,18,IF(U53&lt;=23,23,IF(U53&lt;=25,25,IF(U53&lt;=32,32,"др.авт")))))))))))))))</f>
        <v>др.авт</v>
      </c>
      <c r="AP53" t="e">
        <f>VLOOKUP(AO53,chint!$A$34:$B$48,2,0)</f>
        <v>#N/A</v>
      </c>
      <c r="AQ53" s="3" t="str">
        <f t="shared" ref="AQ53:AQ54" si="428">IF(U53&lt;=6,6,IF(U53&lt;=10,10,IF(U53&lt;=16,16,IF(U53&lt;=20,20,IF(U53&lt;=25,25,IF(U53&lt;=32,32,IF(U53&lt;=40,40,IF(U53&lt;=50,50,IF(U53&lt;=63,63,"др.выкл")))))))))</f>
        <v>др.выкл</v>
      </c>
      <c r="AR53" t="e">
        <f>INDEX(DEKraft!$B$2:$D$13,MATCH(AQ53,DEKraft!$A$2:$A$13,0),MATCH(X53,DEKraft!$B$1:$D$1,0))</f>
        <v>#N/A</v>
      </c>
      <c r="AS53" t="e">
        <f>INDEX(DEKraft!$B$21:$D$32,MATCH(AQ53,DEKraft!$A$21:$A$32,0),MATCH(X53,DEKraft!$B$20:$D$20,0))</f>
        <v>#N/A</v>
      </c>
      <c r="AT53" t="e">
        <f>INDEX(systeme!$B$2:$D$10,MATCH(AQ53,systeme!$A$2:$A$10,0),MATCH(X53,systeme!$B$1:$D$1,0))</f>
        <v>#N/A</v>
      </c>
      <c r="AU53" t="e">
        <f>INDEX(chint!$B$2:$D$10,MATCH(AQ53,chint!$A$2:$A$10,0),MATCH(X53,chint!$B$1:$D$1,0))</f>
        <v>#N/A</v>
      </c>
      <c r="AV53" s="3" t="str">
        <f t="shared" ref="AV53:AV54" si="429">IF(U53&lt;=6,6,IF(U53&lt;=10,10,IF(U53&lt;=16,16,IF(U53&lt;=20,20,IF(U53&lt;=25,25,IF(U53&lt;=32,32,IF(U53&lt;=40,40,"др.выкл")))))))</f>
        <v>др.выкл</v>
      </c>
      <c r="AW53" t="e">
        <f>VLOOKUP(AV53,DEKraft!$A$41:$B$47,2,0)</f>
        <v>#N/A</v>
      </c>
      <c r="AX53" t="str">
        <f t="shared" ref="AX53:AX54" si="430">IF(U53&lt;=10,10,IF(U53&lt;=16,16,IF(U53&lt;=20,20,IF(U53&lt;=25,25,IF(U53&lt;=32,32,IF(U53&lt;=40,40,"др.выкл"))))))</f>
        <v>др.выкл</v>
      </c>
      <c r="AY53" t="e">
        <f>VLOOKUP(AX53,systeme!$G$2:$H$7,2,0)</f>
        <v>#N/A</v>
      </c>
      <c r="AZ53" t="str">
        <f t="shared" ref="AZ53:AZ54" si="431">IF(U53&lt;=6,6,IF(U53&lt;=10,10,IF(U53&lt;=16,16,IF(U53&lt;=20,20,IF(U53&lt;=25,25,IF(U53&lt;=32,32,IF(U53&lt;=40,40,"др.выкл")))))))</f>
        <v>др.выкл</v>
      </c>
      <c r="BA53" t="e">
        <f>VLOOKUP(AV53,chint!$G$2:$H$8,2,0)</f>
        <v>#N/A</v>
      </c>
      <c r="BB53" s="3">
        <f t="shared" ref="BB53:BB54" si="432">IF(U53&lt;=25,25,IF(U53&lt;=32,32,IF(U53&lt;=40,40,IF(U53&lt;=50,50,IF(U53&lt;=63,63,IF(U53&lt;=80,80,IF(U53&lt;=100,100,IF(U53&lt;=125,125,IF(U53&lt;=140,140,IF(U53&lt;=160,160,IF(U53&lt;=200,200,IF(U53&lt;=250,250,IF(U53&lt;=320,320,IF(U53&lt;=400,400,IF(U53&lt;=500,500,IF(U53&lt;=630,630,"др.выкл"))))))))))))))))</f>
        <v>100</v>
      </c>
      <c r="BC53" t="str">
        <f>VLOOKUP(BB53,DEKraft!$I$21:$J$36,2,0)</f>
        <v>28106DEK</v>
      </c>
      <c r="BD53">
        <f t="shared" ref="BD53:BD54" si="433">IF(U53&lt;=16,16,IF(U53&lt;=25,25,IF(U53&lt;=32,32,IF(U53&lt;=40,40,IF(U53&lt;=50,50,IF(U53&lt;=63,63,IF(U53&lt;=80,80,IF(U53&lt;=100,100,IF(U53&lt;=125,125,IF(U53&lt;=160,160,IF(U53&lt;=200,200,IF(U53&lt;=250,250,IF(U53&lt;=400,400,IF(U53&lt;=500,500,IF(U53&lt;=600,600,"др.авт")))))))))))))))</f>
        <v>100</v>
      </c>
      <c r="BE53" t="str">
        <f>VLOOKUP(BD53,systeme!$A$16:$B$30,2,0)</f>
        <v>SPC100F100L3DF</v>
      </c>
      <c r="BF53">
        <f t="shared" ref="BF53:BF54" si="434">IF(U53&lt;=16,16,IF(U53&lt;=25,25,IF(U53&lt;=32,32,IF(U53&lt;=40,40,IF(U53&lt;=50,50,IF(U53&lt;=63,63,IF(U53&lt;=80,80,IF(U53&lt;=100,100,IF(U53&lt;=125,125,IF(U53&lt;=160,160,IF(U53&lt;=200,200,IF(U53&lt;=225,225,IF(U53&lt;=250,250,IF(U53&lt;=315,315,IF(U53&lt;=350,350,IF(U53&lt;=400,400,IF(U53&lt;=500,500,IF(U53&lt;=630,630,"др.выкл"))))))))))))))))))</f>
        <v>100</v>
      </c>
      <c r="BG53" s="4">
        <f>VLOOKUP(BF53,chint!$A$14:$B$31,2,0)</f>
        <v>271589</v>
      </c>
      <c r="BH53" t="str">
        <f t="shared" ref="BH53:BH54" si="435">IF(U53&lt;=6,6,IF(U53&lt;=10,10,IF(U53&lt;=16,16,IF(U53&lt;=20,20,IF(U53&lt;=25,25,IF(U53&lt;=32,32,IF(U53&lt;=40,40,IF(U53&lt;=50,50,IF(U53&lt;=63,63,"др.выкл")))))))))</f>
        <v>др.выкл</v>
      </c>
      <c r="BI53" t="e">
        <f>INDEX(КЭАЗ!$B$2:$E$14,MATCH(BH53,КЭАЗ!$A$2:$A$14,0),MATCH(X53,КЭАЗ!$B$1:$D$1,0))</f>
        <v>#N/A</v>
      </c>
      <c r="BJ53">
        <f t="shared" ref="BJ53:BJ54" si="436">IF(U53&lt;=6,6,IF(U53&lt;=10,10,IF(U53&lt;=16,16,IF(U53&lt;=20,20,IF(U53&lt;=25,25,IF(U53&lt;=32,32,IF(U53&lt;=40,40,IF(U53&lt;=50,50,IF(U53&lt;=63,63,IF(U53&lt;=80,80,IF(U53&lt;=100,100,IF(U53&lt;=125,125,"др.выкл"))))))))))))</f>
        <v>100</v>
      </c>
      <c r="BK53" t="str">
        <f>INDEX(hy!$B$2:$D$18,MATCH(BJ53,hy!$A$2:$A$18,0),MATCH(X53,hy!$B$1:$D$1,0))</f>
        <v>HGD63M 3PMCS0000C 00100</v>
      </c>
      <c r="BL53" t="e">
        <f>VLOOKUP(BJ53,hy!$G$2:$H$15,2,0)</f>
        <v>#N/A</v>
      </c>
      <c r="BM53" t="str">
        <f t="shared" ref="BM53:BM54" si="437">IF(U53&lt;=0.16,0.16,IF(U53&lt;=0.25,0.25,IF(U53&lt;=0.4,0.4,IF(U53&lt;=0.63,0.63,IF(U53&lt;=1,1,IF(U53&lt;=1.6,1.6,IF(U53&lt;=2.5,2.5,IF(U53&lt;=4,4,IF(U53&lt;=6.3,6.3,IF(U53&lt;=10,10,IF(U53&lt;=14,14,IF(U53&lt;=18,18,IF(U53&lt;=23,23,IF(U53&lt;=25,25,IF(U53&lt;=32,32,"др.авт")))))))))))))))</f>
        <v>др.авт</v>
      </c>
      <c r="BN53" t="e">
        <f>VLOOKUP(BM53,hy!$A$41:$B$55,2,0)</f>
        <v>#N/A</v>
      </c>
      <c r="BO53">
        <f t="shared" ref="BO53:BO54" si="438">IF(U53&lt;=100,100,IF(U53&lt;=125,125,IF(U53&lt;=150,150,IF(U53&lt;=160,160,IF(U53&lt;=175,175,IF(U53&lt;=200,200,IF(U53&lt;=225,225,IF(U53&lt;=250,250,IF(U53&lt;=300,300,IF(U53&lt;=350,350,IF(U53&lt;=400,400,IF(U53&lt;=500,500,IF(U53&lt;=630,630,IF(U53&lt;=700,700,IF(U53&lt;=800,800,"др.выкл")))))))))))))))</f>
        <v>100</v>
      </c>
      <c r="BP53" t="str">
        <f>VLOOKUP(BO53,hy!$A$21:$B$35,2,0)</f>
        <v>HGP100S-G 3PT4S0000C 00100H</v>
      </c>
      <c r="BQ53" s="89">
        <f>IF($W53=автоматы!$D$45,Z53,IF($W53=автоматы!$D$46,AF53,IF($W53=автоматы!$D$47,AH53,IF($W53=автоматы!$D$48,AB53,IF($W53=автоматы!$D$49,AJ53,IF($W53=автоматы!$D$50,AD53,IF($W53=автоматы!$D$51,BI53,IF($W53=автоматы!$D$52,AR53,IF($W53=автоматы!$D$53,AS53,IF($W53=автоматы!$D$54,AW53,IF($W53=автоматы!$D$55,AL53,IF($W53=автоматы!$D$56,BC53,IF($W53=автоматы!$D$57,AT53,IF($W53=автоматы!$D$58,AY53,IF($W53=автоматы!$D$59,AN53,IF($W53=автоматы!$D$60,BE53,IF($W53=автоматы!$D$61,AU53,IF($W53=автоматы!$D$62,BA53,IF($W53=автоматы!$D$63,AP53,IF($W53=автоматы!$D$64,BG53,IF($W53=автоматы!$D$65,BK53,IF($W53=автоматы!$D$66,BL53,IF($W53=автоматы!$D$67,BN53,IF($W53=автоматы!$D$68,BP53,"др"))))))))))))))))))))))))</f>
        <v>271589</v>
      </c>
      <c r="BR53" s="89">
        <f>IF($W53=автоматы!$D$45,Y53,IF($W53=автоматы!$D$46,AE53,IF($W53=автоматы!$D$47,AG53,IF($W53=автоматы!$D$48,AA53,IF($W53=автоматы!$D$49,AI53,IF($W53=автоматы!$D$50,AC53,IF($W53=автоматы!$D$51,BH53,IF($W53=автоматы!$D$52,AQ53,IF($W53=автоматы!$D$53,AQ53,IF($W53=автоматы!$D$54,AV53,IF($W53=автоматы!$D$55,AK53,IF($W53=автоматы!$D$56,BB53,IF($W53=автоматы!$D$57,AQ53,IF($W53=автоматы!$D$58,AX53,IF($W53=автоматы!$D$59,AM53,IF($W53=автоматы!$D$60,BD53,IF($W53=автоматы!$D$61,AQ53,IF($W53=автоматы!$D$62,AZ53,IF($W53=автоматы!$D$63,AO53,IF($W53=автоматы!$D$64,BF53,IF($W53=автоматы!$D$65,BJ53,IF($W53=автоматы!$D$66,BJ53,IF($W53=автоматы!$D$67,BM53,IF($W53=автоматы!$D$68,BO53,"др"))))))))))))))))))))))))</f>
        <v>100</v>
      </c>
      <c r="BS53" s="89" t="str">
        <f>CONCATENATE(IF($W53=автоматы!$A$1,Y53,IF($W53=автоматы!$H$1,VLOOKUP(AA53,автоматы!$H$3:$K$17,3,0),IF($W53=автоматы!$N$1,VLOOKUP(AC53,автоматы!$N$3:$Q$19,3,0),IF($W53=автоматы!$S$17,AE53,IF($W53=автоматы!$Z$1,AG53,IF($W53=автоматы!$AE$1,AI53,"др"))))))," А")</f>
        <v>др А</v>
      </c>
      <c r="BT53" s="89" t="str">
        <f>IF($W53=автоматы!$A$1,Y53*10,IF($W53=автоматы!$H$1,VLOOKUP(AA53,автоматы!$H$3:$K$17,4,0),IF($W53=автоматы!$N$1,VLOOKUP(AC53,автоматы!$N$3:$Q$19,4,0),IF($W53=автоматы!$S$17,AE53*10,IF($W53=автоматы!$Z$1,AG53*10,IF($W53=автоматы!$AE$1,AI53*10,"др"))))))</f>
        <v>др</v>
      </c>
      <c r="BU53" s="85"/>
      <c r="BV53" s="90" t="s">
        <v>147</v>
      </c>
      <c r="BW53" s="90">
        <v>1</v>
      </c>
      <c r="BX53" s="91">
        <v>4</v>
      </c>
      <c r="BY53" s="92">
        <v>10</v>
      </c>
      <c r="BZ53" s="91">
        <f>HLOOKUP(BV53,каталог!$CG$1:$CO$22,MATCH(BY53,каталог!$CF$1:$CF$22,0),0)*BW53</f>
        <v>55</v>
      </c>
      <c r="CA53" s="87" t="str">
        <f t="shared" ref="CA53" si="439">CONCATENATE("н",C53,"")</f>
        <v>н</v>
      </c>
      <c r="CB53" s="87" t="str">
        <f t="shared" ref="CB53" si="440">CONCATENATE(BV53," ",BX53,"x",BY53)</f>
        <v>ВВГнг(А)-LS 4x10</v>
      </c>
    </row>
    <row r="54" spans="1:80" s="87" customFormat="1" ht="25">
      <c r="A54" s="94">
        <v>12</v>
      </c>
      <c r="B54" s="136"/>
      <c r="C54" s="136"/>
      <c r="D54" s="137" t="s">
        <v>1029</v>
      </c>
      <c r="E54" s="145"/>
      <c r="F54" s="146"/>
      <c r="G54" s="150"/>
      <c r="H54" s="147"/>
      <c r="I54" s="148"/>
      <c r="J54" s="160">
        <f>Q54/S54</f>
        <v>0.95766974723873832</v>
      </c>
      <c r="K54" s="161">
        <f t="shared" ref="K54" si="441">ROUND(SQRT(1-(J54)^2)/J54,2)</f>
        <v>0.3</v>
      </c>
      <c r="L54" s="162"/>
      <c r="M54" s="162"/>
      <c r="N54" s="162"/>
      <c r="O54" s="163"/>
      <c r="P54" s="163"/>
      <c r="Q54" s="172">
        <f>Q52-Q53</f>
        <v>187.23999999999998</v>
      </c>
      <c r="R54" s="172">
        <f>R52-R53</f>
        <v>56.283100000000005</v>
      </c>
      <c r="S54" s="172">
        <f>SQRT(Q54^2+R54^2)</f>
        <v>195.51625238227638</v>
      </c>
      <c r="T54" s="172">
        <f>S54/(0.38*SQRT(3))</f>
        <v>297.0562130101423</v>
      </c>
      <c r="U54" s="86">
        <f>T54*1.1</f>
        <v>326.76183431115658</v>
      </c>
      <c r="V54" s="86"/>
      <c r="W54" s="116" t="s">
        <v>873</v>
      </c>
      <c r="X54" s="87" t="s">
        <v>302</v>
      </c>
      <c r="Y54" s="87" t="str">
        <f t="shared" si="419"/>
        <v>др.выкл</v>
      </c>
      <c r="Z54" s="87" t="e">
        <f>INDEX(автоматы!$B$3:$D$11,MATCH(Y54,автоматы!$A$3:$A$11,0),MATCH(X54,кол_пол,0))</f>
        <v>#N/A</v>
      </c>
      <c r="AA54" s="87" t="str">
        <f t="shared" si="420"/>
        <v>др.авт</v>
      </c>
      <c r="AB54" s="87" t="e">
        <f>VLOOKUP(AA54,автоматы!$H$3:$I$17,2,0)</f>
        <v>#N/A</v>
      </c>
      <c r="AC54" s="87">
        <f t="shared" si="421"/>
        <v>400</v>
      </c>
      <c r="AD54" s="87" t="str">
        <f>VLOOKUP(AC54,автоматы!$N$3:$O$19,2,0)</f>
        <v>LZMC3-A400-I</v>
      </c>
      <c r="AE54" s="88" t="str">
        <f t="shared" si="422"/>
        <v>др.выкл</v>
      </c>
      <c r="AF54" s="87" t="e">
        <f>INDEX(автоматы!$T$2:$V$15,MATCH(AE54,автоматы!$S$2:$S$15,0),MATCH(X54,автоматы!$T$1:$V$1,0))</f>
        <v>#N/A</v>
      </c>
      <c r="AG54" s="87" t="str">
        <f t="shared" si="423"/>
        <v>др.выкл</v>
      </c>
      <c r="AH54" s="87" t="e">
        <f>VLOOKUP(AG54,автоматы!$Z$3:$AA$9,2,0)</f>
        <v>#N/A</v>
      </c>
      <c r="AI54" s="2">
        <f t="shared" si="424"/>
        <v>350</v>
      </c>
      <c r="AJ54" t="str">
        <f>VLOOKUP(AI54,автоматы!$AE$3:$AF$26,2,0)</f>
        <v>EZC400N3350N</v>
      </c>
      <c r="AK54" s="3" t="str">
        <f t="shared" si="425"/>
        <v>др.авт</v>
      </c>
      <c r="AL54" t="e">
        <f>VLOOKUP(AK54,DEKraft!$I$2:$J$16,2,0)</f>
        <v>#N/A</v>
      </c>
      <c r="AM54" t="str">
        <f t="shared" si="426"/>
        <v>др.авт</v>
      </c>
      <c r="AN54" t="e">
        <f>VLOOKUP(AM54,systeme!$A$33:$B$47,2,0)</f>
        <v>#N/A</v>
      </c>
      <c r="AO54" t="str">
        <f t="shared" si="427"/>
        <v>др.авт</v>
      </c>
      <c r="AP54" t="e">
        <f>VLOOKUP(AO54,chint!$A$34:$B$48,2,0)</f>
        <v>#N/A</v>
      </c>
      <c r="AQ54" s="3" t="str">
        <f t="shared" si="428"/>
        <v>др.выкл</v>
      </c>
      <c r="AR54" t="e">
        <f>INDEX(DEKraft!$B$2:$D$13,MATCH(AQ54,DEKraft!$A$2:$A$13,0),MATCH(X54,DEKraft!$B$1:$D$1,0))</f>
        <v>#N/A</v>
      </c>
      <c r="AS54" t="e">
        <f>INDEX(DEKraft!$B$21:$D$32,MATCH(AQ54,DEKraft!$A$21:$A$32,0),MATCH(X54,DEKraft!$B$20:$D$20,0))</f>
        <v>#N/A</v>
      </c>
      <c r="AT54" t="e">
        <f>INDEX(systeme!$B$2:$D$10,MATCH(AQ54,systeme!$A$2:$A$10,0),MATCH(X54,systeme!$B$1:$D$1,0))</f>
        <v>#N/A</v>
      </c>
      <c r="AU54" t="e">
        <f>INDEX(chint!$B$2:$D$10,MATCH(AQ54,chint!$A$2:$A$10,0),MATCH(X54,chint!$B$1:$D$1,0))</f>
        <v>#N/A</v>
      </c>
      <c r="AV54" s="3" t="str">
        <f t="shared" si="429"/>
        <v>др.выкл</v>
      </c>
      <c r="AW54" t="e">
        <f>VLOOKUP(AV54,DEKraft!$A$41:$B$47,2,0)</f>
        <v>#N/A</v>
      </c>
      <c r="AX54" t="str">
        <f t="shared" si="430"/>
        <v>др.выкл</v>
      </c>
      <c r="AY54" t="e">
        <f>VLOOKUP(AX54,systeme!$G$2:$H$7,2,0)</f>
        <v>#N/A</v>
      </c>
      <c r="AZ54" t="str">
        <f t="shared" si="431"/>
        <v>др.выкл</v>
      </c>
      <c r="BA54" t="e">
        <f>VLOOKUP(AV54,chint!$G$2:$H$8,2,0)</f>
        <v>#N/A</v>
      </c>
      <c r="BB54" s="3">
        <f t="shared" si="432"/>
        <v>400</v>
      </c>
      <c r="BC54" t="str">
        <f>VLOOKUP(BB54,DEKraft!$I$21:$J$36,2,0)</f>
        <v>28130DEK</v>
      </c>
      <c r="BD54">
        <f t="shared" si="433"/>
        <v>400</v>
      </c>
      <c r="BE54" t="str">
        <f>VLOOKUP(BD54,systeme!$A$16:$B$30,2,0)</f>
        <v>SPC400F400L3DF</v>
      </c>
      <c r="BF54">
        <f t="shared" si="434"/>
        <v>350</v>
      </c>
      <c r="BG54" s="4">
        <f>VLOOKUP(BF54,chint!$A$14:$B$31,2,0)</f>
        <v>268949</v>
      </c>
      <c r="BH54" t="str">
        <f t="shared" si="435"/>
        <v>др.выкл</v>
      </c>
      <c r="BI54" t="e">
        <f>INDEX(КЭАЗ!$B$2:$E$14,MATCH(BH54,КЭАЗ!$A$2:$A$14,0),MATCH(X54,КЭАЗ!$B$1:$D$1,0))</f>
        <v>#N/A</v>
      </c>
      <c r="BJ54" t="str">
        <f t="shared" si="436"/>
        <v>др.выкл</v>
      </c>
      <c r="BK54" t="e">
        <f>INDEX(hy!$B$2:$D$18,MATCH(BJ54,hy!$A$2:$A$18,0),MATCH(X54,hy!$B$1:$D$1,0))</f>
        <v>#N/A</v>
      </c>
      <c r="BL54" t="e">
        <f>VLOOKUP(BJ54,hy!$G$2:$H$15,2,0)</f>
        <v>#N/A</v>
      </c>
      <c r="BM54" t="str">
        <f t="shared" si="437"/>
        <v>др.авт</v>
      </c>
      <c r="BN54" t="e">
        <f>VLOOKUP(BM54,hy!$A$41:$B$55,2,0)</f>
        <v>#N/A</v>
      </c>
      <c r="BO54">
        <f t="shared" si="438"/>
        <v>350</v>
      </c>
      <c r="BP54" t="str">
        <f>VLOOKUP(BO54,hy!$A$21:$B$35,2,0)</f>
        <v>HGP400S-G 3PT4S0000C 00350H</v>
      </c>
      <c r="BQ54" s="89">
        <f>IF($W54=автоматы!$D$45,Z54,IF($W54=автоматы!$D$46,AF54,IF($W54=автоматы!$D$47,AH54,IF($W54=автоматы!$D$48,AB54,IF($W54=автоматы!$D$49,AJ54,IF($W54=автоматы!$D$50,AD54,IF($W54=автоматы!$D$51,BI54,IF($W54=автоматы!$D$52,AR54,IF($W54=автоматы!$D$53,AS54,IF($W54=автоматы!$D$54,AW54,IF($W54=автоматы!$D$55,AL54,IF($W54=автоматы!$D$56,BC54,IF($W54=автоматы!$D$57,AT54,IF($W54=автоматы!$D$58,AY54,IF($W54=автоматы!$D$59,AN54,IF($W54=автоматы!$D$60,BE54,IF($W54=автоматы!$D$61,AU54,IF($W54=автоматы!$D$62,BA54,IF($W54=автоматы!$D$63,AP54,IF($W54=автоматы!$D$64,BG54,IF($W54=автоматы!$D$65,BK54,IF($W54=автоматы!$D$66,BL54,IF($W54=автоматы!$D$67,BN54,IF($W54=автоматы!$D$68,BP54,"др"))))))))))))))))))))))))</f>
        <v>268949</v>
      </c>
      <c r="BR54" s="89">
        <f>IF($W54=автоматы!$D$45,Y54,IF($W54=автоматы!$D$46,AE54,IF($W54=автоматы!$D$47,AG54,IF($W54=автоматы!$D$48,AA54,IF($W54=автоматы!$D$49,AI54,IF($W54=автоматы!$D$50,AC54,IF($W54=автоматы!$D$51,BH54,IF($W54=автоматы!$D$52,AQ54,IF($W54=автоматы!$D$53,AQ54,IF($W54=автоматы!$D$54,AV54,IF($W54=автоматы!$D$55,AK54,IF($W54=автоматы!$D$56,BB54,IF($W54=автоматы!$D$57,AQ54,IF($W54=автоматы!$D$58,AX54,IF($W54=автоматы!$D$59,AM54,IF($W54=автоматы!$D$60,BD54,IF($W54=автоматы!$D$61,AQ54,IF($W54=автоматы!$D$62,AZ54,IF($W54=автоматы!$D$63,AO54,IF($W54=автоматы!$D$64,BF54,IF($W54=автоматы!$D$65,BJ54,IF($W54=автоматы!$D$66,BJ54,IF($W54=автоматы!$D$67,BM54,IF($W54=автоматы!$D$68,BO54,"др"))))))))))))))))))))))))</f>
        <v>350</v>
      </c>
      <c r="BS54" s="89" t="str">
        <f>CONCATENATE(IF($W54=автоматы!$A$1,Y54,IF($W54=автоматы!$H$1,VLOOKUP(AA54,автоматы!$H$3:$K$17,3,0),IF($W54=автоматы!$N$1,VLOOKUP(AC54,автоматы!$N$3:$Q$19,3,0),IF($W54=автоматы!$S$17,AE54,IF($W54=автоматы!$Z$1,AG54,IF($W54=автоматы!$AE$1,AI54,"др"))))))," А")</f>
        <v>др А</v>
      </c>
      <c r="BT54" s="89" t="str">
        <f>IF($W54=автоматы!$A$1,Y54*10,IF($W54=автоматы!$H$1,VLOOKUP(AA54,автоматы!$H$3:$K$17,4,0),IF($W54=автоматы!$N$1,VLOOKUP(AC54,автоматы!$N$3:$Q$19,4,0),IF($W54=автоматы!$S$17,AE54*10,IF($W54=автоматы!$Z$1,AG54*10,IF($W54=автоматы!$AE$1,AI54*10,"др"))))))</f>
        <v>др</v>
      </c>
      <c r="BU54" s="85"/>
      <c r="BV54" s="90"/>
      <c r="BW54" s="90"/>
      <c r="BX54" s="91"/>
      <c r="BY54" s="92"/>
      <c r="BZ54" s="91"/>
    </row>
    <row r="55" spans="1:80" s="87" customFormat="1" ht="25">
      <c r="A55" s="94">
        <v>11</v>
      </c>
      <c r="B55" s="175" t="s">
        <v>1030</v>
      </c>
      <c r="C55" s="176"/>
      <c r="D55" s="135" t="s">
        <v>1031</v>
      </c>
      <c r="E55" s="139">
        <v>380</v>
      </c>
      <c r="F55" s="140" t="s">
        <v>580</v>
      </c>
      <c r="G55" s="144">
        <f>G5+G22+G30+G34+G37+G40+3*(G6+G10+G20)+G47</f>
        <v>122.26</v>
      </c>
      <c r="H55" s="141"/>
      <c r="I55" s="142"/>
      <c r="J55" s="143">
        <f>Q55/S55</f>
        <v>0.88059857187962309</v>
      </c>
      <c r="K55" s="144">
        <f t="shared" si="356"/>
        <v>0.54</v>
      </c>
      <c r="L55" s="144">
        <f>L5+L22+L30+L34+L37+L40+3*(L6+L10+L20)+L47</f>
        <v>122.26</v>
      </c>
      <c r="M55" s="144">
        <f>M5+M22+M30+M34+M37+M40+3*(M6+M10+M20)+M47</f>
        <v>59.808999999999997</v>
      </c>
      <c r="N55" s="144">
        <f>N5+N22+N30+N34+N37+N40+3*(N6+N10+N20)+N47</f>
        <v>6158.8692000000001</v>
      </c>
      <c r="O55" s="142">
        <f>G55^2/N55</f>
        <v>2.4269889673903124</v>
      </c>
      <c r="P55" s="142">
        <v>1</v>
      </c>
      <c r="Q55" s="169">
        <f>P55*L55</f>
        <v>122.26</v>
      </c>
      <c r="R55" s="169">
        <f>M55*1.1</f>
        <v>65.789900000000003</v>
      </c>
      <c r="S55" s="169">
        <f>SQRT(Q55^2+R55^2)</f>
        <v>138.83738164489418</v>
      </c>
      <c r="T55" s="169">
        <f>S55/(0.38*SQRT(3))</f>
        <v>210.94157806911176</v>
      </c>
      <c r="U55" s="86"/>
      <c r="V55" s="86"/>
      <c r="W55" s="116"/>
      <c r="AE55" s="88"/>
      <c r="AI55" s="2"/>
      <c r="AJ55"/>
      <c r="AK55" s="3"/>
      <c r="AL55"/>
      <c r="AM55"/>
      <c r="AN55"/>
      <c r="AO55"/>
      <c r="AP55"/>
      <c r="AQ55" s="3"/>
      <c r="AR55"/>
      <c r="AS55"/>
      <c r="AT55"/>
      <c r="AU55"/>
      <c r="AV55" s="3"/>
      <c r="AW55"/>
      <c r="AX55"/>
      <c r="AY55"/>
      <c r="AZ55"/>
      <c r="BA55"/>
      <c r="BB55" s="3"/>
      <c r="BC55"/>
      <c r="BD55"/>
      <c r="BE55"/>
      <c r="BF55"/>
      <c r="BG55" s="4"/>
      <c r="BH55"/>
      <c r="BI55"/>
      <c r="BJ55"/>
      <c r="BK55"/>
      <c r="BL55"/>
      <c r="BM55"/>
      <c r="BN55"/>
      <c r="BO55"/>
      <c r="BP55"/>
      <c r="BQ55" s="89"/>
      <c r="BR55" s="89"/>
      <c r="BS55" s="89"/>
      <c r="BT55" s="89"/>
      <c r="BU55" s="85"/>
      <c r="BV55" s="90"/>
      <c r="BW55" s="90"/>
      <c r="BX55" s="91"/>
      <c r="BY55" s="92"/>
      <c r="BZ55" s="91"/>
    </row>
    <row r="56" spans="1:80" s="87" customFormat="1" ht="14.5">
      <c r="A56" s="94">
        <v>11</v>
      </c>
      <c r="B56" s="177"/>
      <c r="C56" s="178"/>
      <c r="D56" s="135" t="s">
        <v>1032</v>
      </c>
      <c r="E56" s="139"/>
      <c r="F56" s="140"/>
      <c r="G56" s="144"/>
      <c r="H56" s="141"/>
      <c r="I56" s="142"/>
      <c r="J56" s="143"/>
      <c r="K56" s="144"/>
      <c r="L56" s="139"/>
      <c r="M56" s="139"/>
      <c r="N56" s="139"/>
      <c r="O56" s="142"/>
      <c r="P56" s="142"/>
      <c r="Q56" s="169"/>
      <c r="R56" s="169">
        <v>50</v>
      </c>
      <c r="S56" s="169"/>
      <c r="T56" s="169"/>
      <c r="U56" s="86"/>
      <c r="V56" s="86"/>
      <c r="W56" s="116"/>
      <c r="AE56" s="88"/>
      <c r="AI56" s="2"/>
      <c r="AJ56"/>
      <c r="AK56" s="3"/>
      <c r="AL56"/>
      <c r="AM56"/>
      <c r="AN56"/>
      <c r="AO56"/>
      <c r="AP56"/>
      <c r="AQ56" s="3"/>
      <c r="AR56"/>
      <c r="AS56"/>
      <c r="AT56"/>
      <c r="AU56"/>
      <c r="AV56" s="3"/>
      <c r="AW56"/>
      <c r="AX56"/>
      <c r="AY56"/>
      <c r="AZ56"/>
      <c r="BA56"/>
      <c r="BB56" s="3"/>
      <c r="BC56"/>
      <c r="BD56"/>
      <c r="BE56"/>
      <c r="BF56"/>
      <c r="BG56" s="4"/>
      <c r="BH56"/>
      <c r="BI56"/>
      <c r="BJ56"/>
      <c r="BK56"/>
      <c r="BL56"/>
      <c r="BM56"/>
      <c r="BN56"/>
      <c r="BO56"/>
      <c r="BP56"/>
      <c r="BQ56" s="89"/>
      <c r="BR56" s="89"/>
      <c r="BS56" s="89"/>
      <c r="BT56" s="89"/>
      <c r="BU56" s="85"/>
      <c r="BV56" s="90"/>
      <c r="BW56" s="90"/>
      <c r="BX56" s="91"/>
      <c r="BY56" s="92"/>
      <c r="BZ56" s="91"/>
    </row>
    <row r="57" spans="1:80" s="87" customFormat="1" ht="25">
      <c r="A57" s="94">
        <v>11</v>
      </c>
      <c r="B57" s="177"/>
      <c r="C57" s="178"/>
      <c r="D57" s="135" t="s">
        <v>1033</v>
      </c>
      <c r="E57" s="139"/>
      <c r="F57" s="140"/>
      <c r="G57" s="144"/>
      <c r="H57" s="141"/>
      <c r="I57" s="142"/>
      <c r="J57" s="156">
        <f>Q57/S57</f>
        <v>0.99176301772864306</v>
      </c>
      <c r="K57" s="157">
        <f t="shared" ref="K57" si="442">ROUND(SQRT(1-(J57)^2)/J57,2)</f>
        <v>0.13</v>
      </c>
      <c r="L57" s="158"/>
      <c r="M57" s="158"/>
      <c r="N57" s="158"/>
      <c r="O57" s="159"/>
      <c r="P57" s="159"/>
      <c r="Q57" s="170">
        <f>Q55-Q56</f>
        <v>122.26</v>
      </c>
      <c r="R57" s="170">
        <f>R55-R56</f>
        <v>15.789900000000003</v>
      </c>
      <c r="S57" s="170">
        <f>SQRT(Q57^2+R57^2)</f>
        <v>123.27541742784732</v>
      </c>
      <c r="T57" s="170">
        <f>S57/(0.38*SQRT(3))</f>
        <v>187.29761956955562</v>
      </c>
      <c r="U57" s="86"/>
      <c r="V57" s="86"/>
      <c r="W57" s="116"/>
      <c r="AE57" s="88"/>
      <c r="AI57" s="2"/>
      <c r="AJ57"/>
      <c r="AK57" s="3"/>
      <c r="AL57"/>
      <c r="AM57"/>
      <c r="AN57"/>
      <c r="AO57"/>
      <c r="AP57"/>
      <c r="AQ57" s="3"/>
      <c r="AR57"/>
      <c r="AS57"/>
      <c r="AT57"/>
      <c r="AU57"/>
      <c r="AV57" s="3"/>
      <c r="AW57"/>
      <c r="AX57"/>
      <c r="AY57"/>
      <c r="AZ57"/>
      <c r="BA57"/>
      <c r="BB57" s="3"/>
      <c r="BC57"/>
      <c r="BD57"/>
      <c r="BE57"/>
      <c r="BF57"/>
      <c r="BG57" s="4"/>
      <c r="BH57"/>
      <c r="BI57"/>
      <c r="BJ57"/>
      <c r="BK57"/>
      <c r="BL57"/>
      <c r="BM57"/>
      <c r="BN57"/>
      <c r="BO57"/>
      <c r="BP57"/>
      <c r="BQ57" s="89"/>
      <c r="BR57" s="89"/>
      <c r="BS57" s="89"/>
      <c r="BT57" s="89"/>
      <c r="BU57" s="85"/>
      <c r="BV57" s="90"/>
      <c r="BW57" s="90"/>
      <c r="BX57" s="91"/>
      <c r="BY57" s="92"/>
      <c r="BZ57" s="91"/>
    </row>
    <row r="58" spans="1:80" s="87" customFormat="1" ht="25">
      <c r="A58" s="94">
        <v>12</v>
      </c>
      <c r="B58" s="177"/>
      <c r="C58" s="178"/>
      <c r="D58" s="137" t="s">
        <v>1034</v>
      </c>
      <c r="E58" s="145">
        <v>380</v>
      </c>
      <c r="F58" s="146" t="s">
        <v>580</v>
      </c>
      <c r="G58" s="150">
        <f>G5+G23+G24+G25+G31+G32+G33+G35+G39+G48+3*(G13+G17+G19+G27+G44)+G42</f>
        <v>169.54</v>
      </c>
      <c r="H58" s="147"/>
      <c r="I58" s="148"/>
      <c r="J58" s="149">
        <f>Q58/S58</f>
        <v>0.87444678242786766</v>
      </c>
      <c r="K58" s="150">
        <f t="shared" si="356"/>
        <v>0.55000000000000004</v>
      </c>
      <c r="L58" s="150">
        <f>L5+L23+L24+L25+L31+L32+L33+L35+L39+L48+3*(L13+L17+L19+L27+L44)+L42</f>
        <v>169.54</v>
      </c>
      <c r="M58" s="150">
        <f>M5+M23+M24+M25+M31+M32+M33+M35+M39+M48+3*(M13+M17+M19+M27+M44)+M42</f>
        <v>85.505999999999986</v>
      </c>
      <c r="N58" s="150">
        <f>N5+N23+N24+N25+N31+N32+N33+N35+N39+N48+3*(N13+N17+N19+N27+N44)+N42</f>
        <v>6920.2219999999998</v>
      </c>
      <c r="O58" s="148">
        <f>G58^2/N58</f>
        <v>4.153596748774822</v>
      </c>
      <c r="P58" s="148">
        <v>1</v>
      </c>
      <c r="Q58" s="171">
        <f>P58*L58</f>
        <v>169.54</v>
      </c>
      <c r="R58" s="171">
        <f>M58*1.1</f>
        <v>94.056599999999989</v>
      </c>
      <c r="S58" s="171">
        <f>SQRT(Q58^2+R58^2)</f>
        <v>193.8825820014784</v>
      </c>
      <c r="T58" s="171">
        <f>S58/(0.38*SQRT(3))</f>
        <v>294.57410765719277</v>
      </c>
      <c r="U58" s="86"/>
      <c r="V58" s="86"/>
      <c r="W58" s="116"/>
      <c r="AE58" s="88"/>
      <c r="AI58" s="2"/>
      <c r="AJ58"/>
      <c r="AK58" s="3"/>
      <c r="AL58"/>
      <c r="AM58"/>
      <c r="AN58"/>
      <c r="AO58"/>
      <c r="AP58"/>
      <c r="AQ58" s="3"/>
      <c r="AR58"/>
      <c r="AS58"/>
      <c r="AT58"/>
      <c r="AU58"/>
      <c r="AV58" s="3"/>
      <c r="AW58"/>
      <c r="AX58"/>
      <c r="AY58"/>
      <c r="AZ58"/>
      <c r="BA58"/>
      <c r="BB58" s="3"/>
      <c r="BC58"/>
      <c r="BD58"/>
      <c r="BE58"/>
      <c r="BF58"/>
      <c r="BG58" s="4"/>
      <c r="BH58"/>
      <c r="BI58"/>
      <c r="BJ58"/>
      <c r="BK58"/>
      <c r="BL58"/>
      <c r="BM58"/>
      <c r="BN58"/>
      <c r="BO58"/>
      <c r="BP58"/>
      <c r="BQ58" s="89"/>
      <c r="BR58" s="89"/>
      <c r="BS58" s="89"/>
      <c r="BT58" s="89"/>
      <c r="BU58" s="85"/>
      <c r="BV58" s="90"/>
      <c r="BW58" s="90"/>
      <c r="BX58" s="91"/>
      <c r="BY58" s="92"/>
      <c r="BZ58" s="91"/>
    </row>
    <row r="59" spans="1:80" s="87" customFormat="1" ht="14.5">
      <c r="A59" s="94">
        <v>12</v>
      </c>
      <c r="B59" s="177"/>
      <c r="C59" s="178"/>
      <c r="D59" s="137" t="s">
        <v>1032</v>
      </c>
      <c r="E59" s="145"/>
      <c r="F59" s="146"/>
      <c r="G59" s="150"/>
      <c r="H59" s="147"/>
      <c r="I59" s="148"/>
      <c r="J59" s="149"/>
      <c r="K59" s="150"/>
      <c r="L59" s="145"/>
      <c r="M59" s="145"/>
      <c r="N59" s="145"/>
      <c r="O59" s="148"/>
      <c r="P59" s="148"/>
      <c r="Q59" s="171"/>
      <c r="R59" s="171">
        <v>50</v>
      </c>
      <c r="S59" s="171"/>
      <c r="T59" s="171"/>
      <c r="U59" s="86"/>
      <c r="V59" s="86"/>
      <c r="W59" s="116"/>
      <c r="AE59" s="88"/>
      <c r="AI59" s="2"/>
      <c r="AJ59"/>
      <c r="AK59" s="3"/>
      <c r="AL59"/>
      <c r="AM59"/>
      <c r="AN59"/>
      <c r="AO59"/>
      <c r="AP59"/>
      <c r="AQ59" s="3"/>
      <c r="AR59"/>
      <c r="AS59"/>
      <c r="AT59"/>
      <c r="AU59"/>
      <c r="AV59" s="3"/>
      <c r="AW59"/>
      <c r="AX59"/>
      <c r="AY59"/>
      <c r="AZ59"/>
      <c r="BA59"/>
      <c r="BB59" s="3"/>
      <c r="BC59"/>
      <c r="BD59"/>
      <c r="BE59"/>
      <c r="BF59"/>
      <c r="BG59" s="4"/>
      <c r="BH59"/>
      <c r="BI59"/>
      <c r="BJ59"/>
      <c r="BK59"/>
      <c r="BL59"/>
      <c r="BM59"/>
      <c r="BN59"/>
      <c r="BO59"/>
      <c r="BP59"/>
      <c r="BQ59" s="89"/>
      <c r="BR59" s="89"/>
      <c r="BS59" s="89"/>
      <c r="BT59" s="89"/>
      <c r="BU59" s="85"/>
      <c r="BV59" s="90"/>
      <c r="BW59" s="90"/>
      <c r="BX59" s="91"/>
      <c r="BY59" s="92"/>
      <c r="BZ59" s="91"/>
    </row>
    <row r="60" spans="1:80" s="87" customFormat="1" ht="25">
      <c r="A60" s="94">
        <v>12</v>
      </c>
      <c r="B60" s="179"/>
      <c r="C60" s="180"/>
      <c r="D60" s="137" t="s">
        <v>1035</v>
      </c>
      <c r="E60" s="145"/>
      <c r="F60" s="146"/>
      <c r="G60" s="150"/>
      <c r="H60" s="147"/>
      <c r="I60" s="148"/>
      <c r="J60" s="160">
        <f>Q60/S60</f>
        <v>0.96785558715275311</v>
      </c>
      <c r="K60" s="161">
        <f t="shared" ref="K60" si="443">ROUND(SQRT(1-(J60)^2)/J60,2)</f>
        <v>0.26</v>
      </c>
      <c r="L60" s="162"/>
      <c r="M60" s="162"/>
      <c r="N60" s="162"/>
      <c r="O60" s="163"/>
      <c r="P60" s="163"/>
      <c r="Q60" s="172">
        <f>Q58-Q59</f>
        <v>169.54</v>
      </c>
      <c r="R60" s="172">
        <f>R58-R59</f>
        <v>44.056599999999989</v>
      </c>
      <c r="S60" s="172">
        <f>SQRT(Q60^2+R60^2)</f>
        <v>175.17076126899715</v>
      </c>
      <c r="T60" s="172">
        <f>S60/(0.38*SQRT(3))</f>
        <v>266.14443729686104</v>
      </c>
      <c r="U60" s="86"/>
      <c r="V60" s="86"/>
      <c r="W60" s="116"/>
      <c r="AE60" s="88"/>
      <c r="AI60" s="2"/>
      <c r="AJ60"/>
      <c r="AK60" s="3"/>
      <c r="AL60"/>
      <c r="AM60"/>
      <c r="AN60"/>
      <c r="AO60"/>
      <c r="AP60"/>
      <c r="AQ60" s="3"/>
      <c r="AR60"/>
      <c r="AS60"/>
      <c r="AT60"/>
      <c r="AU60"/>
      <c r="AV60" s="3"/>
      <c r="AW60"/>
      <c r="AX60"/>
      <c r="AY60"/>
      <c r="AZ60"/>
      <c r="BA60"/>
      <c r="BB60" s="3"/>
      <c r="BC60"/>
      <c r="BD60"/>
      <c r="BE60"/>
      <c r="BF60"/>
      <c r="BG60" s="4"/>
      <c r="BH60"/>
      <c r="BI60"/>
      <c r="BJ60"/>
      <c r="BK60"/>
      <c r="BL60"/>
      <c r="BM60"/>
      <c r="BN60"/>
      <c r="BO60"/>
      <c r="BP60"/>
      <c r="BQ60" s="89"/>
      <c r="BR60" s="89"/>
      <c r="BS60" s="89"/>
      <c r="BT60" s="89"/>
      <c r="BU60" s="85"/>
      <c r="BV60" s="90"/>
      <c r="BW60" s="90"/>
      <c r="BX60" s="91"/>
      <c r="BY60" s="92"/>
      <c r="BZ60" s="91"/>
    </row>
    <row r="61" spans="1:80" s="87" customFormat="1" ht="25">
      <c r="A61" s="94" t="s">
        <v>706</v>
      </c>
      <c r="B61" s="9"/>
      <c r="C61" s="9"/>
      <c r="D61" s="138" t="s">
        <v>1014</v>
      </c>
      <c r="E61" s="151">
        <v>380</v>
      </c>
      <c r="F61" s="152" t="s">
        <v>580</v>
      </c>
      <c r="G61" s="153"/>
      <c r="H61" s="154"/>
      <c r="I61" s="155"/>
      <c r="J61" s="164">
        <f>Q61/S61</f>
        <v>0.97960924916371406</v>
      </c>
      <c r="K61" s="165">
        <f>ROUND(SQRT(1-(J61)^2)/J61,2)</f>
        <v>0.21</v>
      </c>
      <c r="L61" s="166"/>
      <c r="M61" s="166"/>
      <c r="N61" s="166"/>
      <c r="O61" s="164"/>
      <c r="P61" s="167"/>
      <c r="Q61" s="173">
        <f>Q57+Q60</f>
        <v>291.8</v>
      </c>
      <c r="R61" s="173">
        <f>R57+R60</f>
        <v>59.846499999999992</v>
      </c>
      <c r="S61" s="173">
        <f>SQRT(Q61^2+R61^2)</f>
        <v>297.8738719026058</v>
      </c>
      <c r="T61" s="173">
        <f>S61/(0.38*SQRT(3))</f>
        <v>452.5725266513831</v>
      </c>
      <c r="U61" s="86">
        <f>T61*1.1</f>
        <v>497.82977931652147</v>
      </c>
      <c r="V61" s="86"/>
      <c r="W61" s="116" t="s">
        <v>873</v>
      </c>
      <c r="X61" s="87" t="s">
        <v>302</v>
      </c>
      <c r="Y61" s="87" t="str">
        <f t="shared" ref="Y61" si="444">IF(U61&lt;=6,6,IF(U61&lt;=10,10,IF(U61&lt;=16,16,IF(U61&lt;=20,20,IF(U61&lt;=25,25,IF(U61&lt;=32,32,IF(U61&lt;=40,40,IF(U61&lt;=50,50,IF(U61&lt;=63,63,"др.выкл")))))))))</f>
        <v>др.выкл</v>
      </c>
      <c r="Z61" s="87" t="e">
        <f>INDEX(автоматы!$B$3:$D$11,MATCH(Y61,автоматы!$A$3:$A$11,0),MATCH(X61,кол_пол,0))</f>
        <v>#N/A</v>
      </c>
      <c r="AA61" s="87" t="str">
        <f t="shared" ref="AA61" si="445">IF(U61&lt;=0.16,0.16,IF(U61&lt;=0.25,0.25,IF(U61&lt;=0.4,0.4,IF(U61&lt;=0.63,0.63,IF(U61&lt;=1,1,IF(U61&lt;=1.6,1.6,IF(U61&lt;=2.5,2.5,IF(U61&lt;=4,4,IF(U61&lt;=6.3,6.3,IF(U61&lt;=10,10,IF(U61&lt;=14,14,IF(U61&lt;=18,18,IF(U61&lt;=23,23,IF(U61&lt;=25,25,IF(U61&lt;=32,32,"др.авт")))))))))))))))</f>
        <v>др.авт</v>
      </c>
      <c r="AB61" s="87" t="e">
        <f>VLOOKUP(AA61,автоматы!$H$3:$I$17,2,0)</f>
        <v>#N/A</v>
      </c>
      <c r="AC61" s="87">
        <f t="shared" ref="AC61" si="446">IF(U61&lt;=20,20,IF(U61&lt;=25,25,IF(U61&lt;=32,32,IF(U61&lt;=40,40,IF(U61&lt;=50,50,IF(U61&lt;=63,63,IF(U61&lt;=80,80,IF(U61&lt;=100,100,IF(U61&lt;=125,125,IF(U61&lt;=160,160,IF(U61&lt;=200,200,IF(U61&lt;=250,250,IF(U61&lt;=300,300,IF(U61&lt;=320,320,IF(U61&lt;=400,400,IF(U61&lt;=500,500,IF(U61&lt;=630,630,"др.авт")))))))))))))))))</f>
        <v>500</v>
      </c>
      <c r="AD61" s="87" t="str">
        <f>VLOOKUP(AC61,автоматы!$N$3:$O$19,2,0)</f>
        <v>LZMC3-A500-I</v>
      </c>
      <c r="AE61" s="88" t="str">
        <f t="shared" ref="AE61" si="447">IF(U61&lt;=6,6,IF(U61&lt;=10,10,IF(U61&lt;=16,16,IF(U61&lt;=20,20,IF(U61&lt;=25,25,IF(U61&lt;=32,32,IF(U61&lt;=40,40,IF(U61&lt;=50,50,IF(U61&lt;=63,63,"др.выкл")))))))))</f>
        <v>др.выкл</v>
      </c>
      <c r="AF61" s="87" t="e">
        <f>INDEX(автоматы!$T$2:$V$15,MATCH(AE61,автоматы!$S$2:$S$15,0),MATCH(X61,автоматы!$T$1:$V$1,0))</f>
        <v>#N/A</v>
      </c>
      <c r="AG61" s="87" t="str">
        <f t="shared" ref="AG61" si="448">IF(U61&lt;=6,6,IF(U61&lt;=10,10,IF(U61&lt;=16,16,IF(U61&lt;=20,20,IF(U61&lt;=25,25,IF(U61&lt;=32,32,IF(U61&lt;=40,40,"др.выкл")))))))</f>
        <v>др.выкл</v>
      </c>
      <c r="AH61" s="87" t="e">
        <f>VLOOKUP(AG61,автоматы!$Z$3:$AA$9,2,0)</f>
        <v>#N/A</v>
      </c>
      <c r="AI61" s="2" t="str">
        <f t="shared" ref="AI61" si="449">IF(U61&lt;=15,15,IF(U61&lt;=16,16,IF(U61&lt;=20,20,IF(U61&lt;=25,25,IF(U61&lt;=32,32,IF(U61&lt;=40,40,IF(U61&lt;=45,45,IF(U61&lt;=50,50,IF(U61&lt;=60,60,IF(U61&lt;=63,63,IF(U61&lt;=75,75,IF(U61&lt;=80,80,IF(U61&lt;=100,100,IF(U61&lt;=125,125,IF(U61&lt;=150,150,IF(U61&lt;=160,160,IF(U61&lt;=175,175,IF(U61&lt;=200,200,IF(U61&lt;=225,225,IF(U61&lt;=250,250,IF(U61&lt;=320,320,IF(U61&lt;=350,350,IF(U61&lt;=400,400,"др.выкл")))))))))))))))))))))))</f>
        <v>др.выкл</v>
      </c>
      <c r="AJ61" t="e">
        <f>VLOOKUP(AI61,автоматы!$AE$3:$AF$26,2,0)</f>
        <v>#N/A</v>
      </c>
      <c r="AK61" s="3" t="str">
        <f t="shared" ref="AK61" si="450">IF(U61&lt;=0.16,0.16,IF(U61&lt;=0.25,0.25,IF(U61&lt;=0.4,0.4,IF(U61&lt;=0.63,0.63,IF(U61&lt;=1,1,IF(U61&lt;=1.6,1.6,IF(U61&lt;=2.5,2.5,IF(U61&lt;=4,4,IF(U61&lt;=6.3,6.3,IF(U61&lt;=10,10,IF(U61&lt;=14,14,IF(U61&lt;=18,18,IF(U61&lt;=23,23,IF(U61&lt;=25,25,IF(U61&lt;=32,32,"др.авт")))))))))))))))</f>
        <v>др.авт</v>
      </c>
      <c r="AL61" t="e">
        <f>VLOOKUP(AK61,DEKraft!$I$2:$J$16,2,0)</f>
        <v>#N/A</v>
      </c>
      <c r="AM61" t="str">
        <f t="shared" ref="AM61" si="451">IF(U61&lt;=0.16,0.16,IF(U61&lt;=0.25,0.25,IF(U61&lt;=0.4,0.4,IF(U61&lt;=0.63,0.63,IF(U61&lt;=1,1,IF(U61&lt;=1.6,1.6,IF(U61&lt;=2.5,2.5,IF(U61&lt;=4,4,IF(U61&lt;=6.3,6.3,IF(U61&lt;=10,10,IF(U61&lt;=14,14,IF(U61&lt;=18,18,IF(U61&lt;=23,23,IF(U61&lt;=25,25,IF(U61&lt;=32,32,"др.авт")))))))))))))))</f>
        <v>др.авт</v>
      </c>
      <c r="AN61" t="e">
        <f>VLOOKUP(AM61,systeme!$A$33:$B$47,2,0)</f>
        <v>#N/A</v>
      </c>
      <c r="AO61" t="str">
        <f t="shared" ref="AO61" si="452">IF(U61&lt;=0.16,0.16,IF(U61&lt;=0.25,0.25,IF(U61&lt;=0.4,0.4,IF(U61&lt;=0.63,0.63,IF(U61&lt;=1,1,IF(U61&lt;=1.6,1.6,IF(U61&lt;=2.5,2.5,IF(U61&lt;=4,4,IF(U61&lt;=6.3,6.3,IF(U61&lt;=10,10,IF(U61&lt;=14,14,IF(U61&lt;=18,18,IF(U61&lt;=23,23,IF(U61&lt;=25,25,IF(U61&lt;=32,32,"др.авт")))))))))))))))</f>
        <v>др.авт</v>
      </c>
      <c r="AP61" t="e">
        <f>VLOOKUP(AO61,chint!$A$34:$B$48,2,0)</f>
        <v>#N/A</v>
      </c>
      <c r="AQ61" s="3" t="str">
        <f t="shared" ref="AQ61" si="453">IF(U61&lt;=6,6,IF(U61&lt;=10,10,IF(U61&lt;=16,16,IF(U61&lt;=20,20,IF(U61&lt;=25,25,IF(U61&lt;=32,32,IF(U61&lt;=40,40,IF(U61&lt;=50,50,IF(U61&lt;=63,63,"др.выкл")))))))))</f>
        <v>др.выкл</v>
      </c>
      <c r="AR61" t="e">
        <f>INDEX(DEKraft!$B$2:$D$13,MATCH(AQ61,DEKraft!$A$2:$A$13,0),MATCH(X61,DEKraft!$B$1:$D$1,0))</f>
        <v>#N/A</v>
      </c>
      <c r="AS61" t="e">
        <f>INDEX(DEKraft!$B$21:$D$32,MATCH(AQ61,DEKraft!$A$21:$A$32,0),MATCH(X61,DEKraft!$B$20:$D$20,0))</f>
        <v>#N/A</v>
      </c>
      <c r="AT61" t="e">
        <f>INDEX(systeme!$B$2:$D$10,MATCH(AQ61,systeme!$A$2:$A$10,0),MATCH(X61,systeme!$B$1:$D$1,0))</f>
        <v>#N/A</v>
      </c>
      <c r="AU61" t="e">
        <f>INDEX(chint!$B$2:$D$10,MATCH(AQ61,chint!$A$2:$A$10,0),MATCH(X61,chint!$B$1:$D$1,0))</f>
        <v>#N/A</v>
      </c>
      <c r="AV61" s="3" t="str">
        <f t="shared" ref="AV61" si="454">IF(U61&lt;=6,6,IF(U61&lt;=10,10,IF(U61&lt;=16,16,IF(U61&lt;=20,20,IF(U61&lt;=25,25,IF(U61&lt;=32,32,IF(U61&lt;=40,40,"др.выкл")))))))</f>
        <v>др.выкл</v>
      </c>
      <c r="AW61" t="e">
        <f>VLOOKUP(AV61,DEKraft!$A$41:$B$47,2,0)</f>
        <v>#N/A</v>
      </c>
      <c r="AX61" t="str">
        <f t="shared" ref="AX61" si="455">IF(U61&lt;=10,10,IF(U61&lt;=16,16,IF(U61&lt;=20,20,IF(U61&lt;=25,25,IF(U61&lt;=32,32,IF(U61&lt;=40,40,"др.выкл"))))))</f>
        <v>др.выкл</v>
      </c>
      <c r="AY61" t="e">
        <f>VLOOKUP(AX61,systeme!$G$2:$H$7,2,0)</f>
        <v>#N/A</v>
      </c>
      <c r="AZ61" t="str">
        <f t="shared" ref="AZ61" si="456">IF(U61&lt;=6,6,IF(U61&lt;=10,10,IF(U61&lt;=16,16,IF(U61&lt;=20,20,IF(U61&lt;=25,25,IF(U61&lt;=32,32,IF(U61&lt;=40,40,"др.выкл")))))))</f>
        <v>др.выкл</v>
      </c>
      <c r="BA61" t="e">
        <f>VLOOKUP(AV61,chint!$G$2:$H$8,2,0)</f>
        <v>#N/A</v>
      </c>
      <c r="BB61" s="3">
        <f t="shared" ref="BB61" si="457">IF(U61&lt;=25,25,IF(U61&lt;=32,32,IF(U61&lt;=40,40,IF(U61&lt;=50,50,IF(U61&lt;=63,63,IF(U61&lt;=80,80,IF(U61&lt;=100,100,IF(U61&lt;=125,125,IF(U61&lt;=140,140,IF(U61&lt;=160,160,IF(U61&lt;=200,200,IF(U61&lt;=250,250,IF(U61&lt;=320,320,IF(U61&lt;=400,400,IF(U61&lt;=500,500,IF(U61&lt;=630,630,"др.выкл"))))))))))))))))</f>
        <v>500</v>
      </c>
      <c r="BC61" t="str">
        <f>VLOOKUP(BB61,DEKraft!$I$21:$J$36,2,0)</f>
        <v>28135DEK</v>
      </c>
      <c r="BD61">
        <f t="shared" ref="BD61" si="458">IF(U61&lt;=16,16,IF(U61&lt;=25,25,IF(U61&lt;=32,32,IF(U61&lt;=40,40,IF(U61&lt;=50,50,IF(U61&lt;=63,63,IF(U61&lt;=80,80,IF(U61&lt;=100,100,IF(U61&lt;=125,125,IF(U61&lt;=160,160,IF(U61&lt;=200,200,IF(U61&lt;=250,250,IF(U61&lt;=400,400,IF(U61&lt;=500,500,IF(U61&lt;=600,600,"др.авт")))))))))))))))</f>
        <v>500</v>
      </c>
      <c r="BE61" t="str">
        <f>VLOOKUP(BD61,systeme!$A$16:$B$30,2,0)</f>
        <v>SPC630F500L3DF</v>
      </c>
      <c r="BF61">
        <f t="shared" ref="BF61" si="459">IF(U61&lt;=16,16,IF(U61&lt;=25,25,IF(U61&lt;=32,32,IF(U61&lt;=40,40,IF(U61&lt;=50,50,IF(U61&lt;=63,63,IF(U61&lt;=80,80,IF(U61&lt;=100,100,IF(U61&lt;=125,125,IF(U61&lt;=160,160,IF(U61&lt;=200,200,IF(U61&lt;=225,225,IF(U61&lt;=250,250,IF(U61&lt;=315,315,IF(U61&lt;=350,350,IF(U61&lt;=400,400,IF(U61&lt;=500,500,IF(U61&lt;=630,630,"др.выкл"))))))))))))))))))</f>
        <v>500</v>
      </c>
      <c r="BG61" s="4">
        <f>VLOOKUP(BF61,chint!$A$14:$B$31,2,0)</f>
        <v>269252</v>
      </c>
      <c r="BH61" t="str">
        <f t="shared" ref="BH61" si="460">IF(U61&lt;=6,6,IF(U61&lt;=10,10,IF(U61&lt;=16,16,IF(U61&lt;=20,20,IF(U61&lt;=25,25,IF(U61&lt;=32,32,IF(U61&lt;=40,40,IF(U61&lt;=50,50,IF(U61&lt;=63,63,"др.выкл")))))))))</f>
        <v>др.выкл</v>
      </c>
      <c r="BI61" t="e">
        <f>INDEX(КЭАЗ!$B$2:$E$14,MATCH(BH61,КЭАЗ!$A$2:$A$14,0),MATCH(X61,КЭАЗ!$B$1:$D$1,0))</f>
        <v>#N/A</v>
      </c>
      <c r="BJ61" t="str">
        <f t="shared" ref="BJ61" si="461">IF(U61&lt;=6,6,IF(U61&lt;=10,10,IF(U61&lt;=16,16,IF(U61&lt;=20,20,IF(U61&lt;=25,25,IF(U61&lt;=32,32,IF(U61&lt;=40,40,IF(U61&lt;=50,50,IF(U61&lt;=63,63,IF(U61&lt;=80,80,IF(U61&lt;=100,100,IF(U61&lt;=125,125,"др.выкл"))))))))))))</f>
        <v>др.выкл</v>
      </c>
      <c r="BK61" t="e">
        <f>INDEX(hy!$B$2:$D$18,MATCH(BJ61,hy!$A$2:$A$18,0),MATCH(X61,hy!$B$1:$D$1,0))</f>
        <v>#N/A</v>
      </c>
      <c r="BL61" t="e">
        <f>VLOOKUP(BJ61,hy!$G$2:$H$15,2,0)</f>
        <v>#N/A</v>
      </c>
      <c r="BM61" t="str">
        <f t="shared" ref="BM61" si="462">IF(U61&lt;=0.16,0.16,IF(U61&lt;=0.25,0.25,IF(U61&lt;=0.4,0.4,IF(U61&lt;=0.63,0.63,IF(U61&lt;=1,1,IF(U61&lt;=1.6,1.6,IF(U61&lt;=2.5,2.5,IF(U61&lt;=4,4,IF(U61&lt;=6.3,6.3,IF(U61&lt;=10,10,IF(U61&lt;=14,14,IF(U61&lt;=18,18,IF(U61&lt;=23,23,IF(U61&lt;=25,25,IF(U61&lt;=32,32,"др.авт")))))))))))))))</f>
        <v>др.авт</v>
      </c>
      <c r="BN61" t="e">
        <f>VLOOKUP(BM61,hy!$A$41:$B$55,2,0)</f>
        <v>#N/A</v>
      </c>
      <c r="BO61">
        <f t="shared" ref="BO61" si="463">IF(U61&lt;=100,100,IF(U61&lt;=125,125,IF(U61&lt;=150,150,IF(U61&lt;=160,160,IF(U61&lt;=175,175,IF(U61&lt;=200,200,IF(U61&lt;=225,225,IF(U61&lt;=250,250,IF(U61&lt;=300,300,IF(U61&lt;=350,350,IF(U61&lt;=400,400,IF(U61&lt;=500,500,IF(U61&lt;=630,630,IF(U61&lt;=700,700,IF(U61&lt;=800,800,"др.выкл")))))))))))))))</f>
        <v>500</v>
      </c>
      <c r="BP61" t="str">
        <f>VLOOKUP(BO61,hy!$A$21:$B$35,2,0)</f>
        <v>HGP630S-G 3PT4S0000C 00500H</v>
      </c>
      <c r="BQ61" s="89">
        <f>IF($W61=автоматы!$D$45,Z61,IF($W61=автоматы!$D$46,AF61,IF($W61=автоматы!$D$47,AH61,IF($W61=автоматы!$D$48,AB61,IF($W61=автоматы!$D$49,AJ61,IF($W61=автоматы!$D$50,AD61,IF($W61=автоматы!$D$51,BI61,IF($W61=автоматы!$D$52,AR61,IF($W61=автоматы!$D$53,AS61,IF($W61=автоматы!$D$54,AW61,IF($W61=автоматы!$D$55,AL61,IF($W61=автоматы!$D$56,BC61,IF($W61=автоматы!$D$57,AT61,IF($W61=автоматы!$D$58,AY61,IF($W61=автоматы!$D$59,AN61,IF($W61=автоматы!$D$60,BE61,IF($W61=автоматы!$D$61,AU61,IF($W61=автоматы!$D$62,BA61,IF($W61=автоматы!$D$63,AP61,IF($W61=автоматы!$D$64,BG61,IF($W61=автоматы!$D$65,BK61,IF($W61=автоматы!$D$66,BL61,IF($W61=автоматы!$D$67,BN61,IF($W61=автоматы!$D$68,BP61,"др"))))))))))))))))))))))))</f>
        <v>269252</v>
      </c>
      <c r="BR61" s="89">
        <f>IF($W61=автоматы!$D$45,Y61,IF($W61=автоматы!$D$46,AE61,IF($W61=автоматы!$D$47,AG61,IF($W61=автоматы!$D$48,AA61,IF($W61=автоматы!$D$49,AI61,IF($W61=автоматы!$D$50,AC61,IF($W61=автоматы!$D$51,BH61,IF($W61=автоматы!$D$52,AQ61,IF($W61=автоматы!$D$53,AQ61,IF($W61=автоматы!$D$54,AV61,IF($W61=автоматы!$D$55,AK61,IF($W61=автоматы!$D$56,BB61,IF($W61=автоматы!$D$57,AQ61,IF($W61=автоматы!$D$58,AX61,IF($W61=автоматы!$D$59,AM61,IF($W61=автоматы!$D$60,BD61,IF($W61=автоматы!$D$61,AQ61,IF($W61=автоматы!$D$62,AZ61,IF($W61=автоматы!$D$63,AO61,IF($W61=автоматы!$D$64,BF61,IF($W61=автоматы!$D$65,BJ61,IF($W61=автоматы!$D$66,BJ61,IF($W61=автоматы!$D$67,BM61,IF($W61=автоматы!$D$68,BO61,"др"))))))))))))))))))))))))</f>
        <v>500</v>
      </c>
      <c r="BS61" s="89" t="str">
        <f>CONCATENATE(IF($W61=автоматы!$A$1,Y61,IF($W61=автоматы!$H$1,VLOOKUP(AA61,автоматы!$H$3:$K$17,3,0),IF($W61=автоматы!$N$1,VLOOKUP(AC61,автоматы!$N$3:$Q$19,3,0),IF($W61=автоматы!$S$17,AE61,IF($W61=автоматы!$Z$1,AG61,IF($W61=автоматы!$AE$1,AI61,"др"))))))," А")</f>
        <v>др А</v>
      </c>
      <c r="BT61" s="89" t="str">
        <f>IF($W61=автоматы!$A$1,Y61*10,IF($W61=автоматы!$H$1,VLOOKUP(AA61,автоматы!$H$3:$K$17,4,0),IF($W61=автоматы!$N$1,VLOOKUP(AC61,автоматы!$N$3:$Q$19,4,0),IF($W61=автоматы!$S$17,AE61*10,IF($W61=автоматы!$Z$1,AG61*10,IF($W61=автоматы!$AE$1,AI61*10,"др"))))))</f>
        <v>др</v>
      </c>
      <c r="BU61" s="85"/>
      <c r="BV61" s="90"/>
      <c r="BW61" s="90"/>
      <c r="BX61" s="91"/>
      <c r="BY61" s="92"/>
      <c r="BZ61" s="91"/>
    </row>
    <row r="62" spans="1:80" s="87" customFormat="1" ht="14.5">
      <c r="A62" s="120"/>
      <c r="B62"/>
      <c r="C62"/>
      <c r="D62" s="121"/>
      <c r="E62" s="122"/>
      <c r="F62" s="122"/>
      <c r="G62" s="123" t="e">
        <f>G5+G22+G23+G34+G31+G38+G39+G40+G43+#REF!+G48</f>
        <v>#REF!</v>
      </c>
      <c r="H62" s="124"/>
      <c r="I62" s="125"/>
      <c r="J62" s="126"/>
      <c r="K62" s="123"/>
      <c r="L62" s="122"/>
      <c r="M62" s="122"/>
      <c r="N62" s="122"/>
      <c r="O62" s="126"/>
      <c r="P62" s="125"/>
      <c r="Q62" s="125"/>
      <c r="R62" s="125"/>
      <c r="S62" s="125"/>
      <c r="T62" s="125"/>
      <c r="U62" s="86"/>
      <c r="V62" s="86"/>
      <c r="W62" s="116"/>
      <c r="AE62" s="88"/>
      <c r="AI62" s="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 s="89"/>
      <c r="BR62" s="89"/>
      <c r="BS62" s="89"/>
      <c r="BT62" s="89"/>
      <c r="BU62" s="85"/>
      <c r="BV62" s="90"/>
      <c r="BW62" s="90"/>
      <c r="BX62" s="91"/>
      <c r="BY62" s="92"/>
      <c r="BZ62" s="91"/>
    </row>
    <row r="63" spans="1:80" s="87" customFormat="1" ht="14.5">
      <c r="A63" s="120"/>
      <c r="B63"/>
      <c r="C63"/>
      <c r="D63" s="121"/>
      <c r="E63" s="122"/>
      <c r="F63" s="122"/>
      <c r="G63" s="123"/>
      <c r="L63" s="27" t="s">
        <v>1017</v>
      </c>
      <c r="N63" s="27" t="s">
        <v>1016</v>
      </c>
      <c r="O63" s="2"/>
      <c r="P63" s="27" t="s">
        <v>1017</v>
      </c>
      <c r="Q63" s="125"/>
      <c r="R63" s="125"/>
      <c r="S63" s="125"/>
      <c r="T63" s="125"/>
      <c r="U63" s="86"/>
      <c r="V63" s="86"/>
      <c r="W63" s="116"/>
      <c r="AE63" s="88"/>
      <c r="AI63" s="2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 s="89"/>
      <c r="BR63" s="89"/>
      <c r="BS63" s="89"/>
      <c r="BT63" s="89"/>
      <c r="BU63" s="85"/>
      <c r="BV63" s="90"/>
      <c r="BW63" s="90"/>
      <c r="BX63" s="91"/>
      <c r="BY63" s="92"/>
      <c r="BZ63" s="91"/>
    </row>
    <row r="64" spans="1:80" ht="14.5">
      <c r="E64">
        <v>11</v>
      </c>
      <c r="F64" s="19" t="s">
        <v>888</v>
      </c>
      <c r="G64" s="99">
        <f>SUMIFS($G$6:$G$48,$A$6:$A$48,E64,$F$6:$F$48,F64)</f>
        <v>1.92</v>
      </c>
      <c r="H64" s="117" t="e">
        <f>G5+G22+G30+G34+G37+G41+#REF!</f>
        <v>#REF!</v>
      </c>
      <c r="I64" s="127"/>
      <c r="J64" t="e">
        <f>(G64/H64)*100</f>
        <v>#REF!</v>
      </c>
      <c r="L64" s="130">
        <f>(G64/$G$55)*100</f>
        <v>1.570423687223949</v>
      </c>
      <c r="AK64"/>
      <c r="AQ64"/>
      <c r="AV64"/>
      <c r="BB64"/>
      <c r="BG64"/>
    </row>
    <row r="65" spans="5:16" ht="14.5">
      <c r="E65">
        <v>11</v>
      </c>
      <c r="F65" s="19" t="s">
        <v>889</v>
      </c>
      <c r="G65" s="99">
        <f>SUMIFS($G$6:$G$48,$A$6:$A$48,E65,$F$6:$F$48,F65)</f>
        <v>1.68</v>
      </c>
      <c r="H65"/>
      <c r="L65" s="130">
        <f>(G65/$G$55)*100</f>
        <v>1.3741207263209554</v>
      </c>
    </row>
    <row r="66" spans="5:16" ht="14.5">
      <c r="E66">
        <v>11</v>
      </c>
      <c r="F66" s="19" t="s">
        <v>890</v>
      </c>
      <c r="G66" s="99">
        <f>SUMIFS($G$6:$G$48,$A$6:$A$48,E66,$F$6:$F$48,F66)</f>
        <v>1.86</v>
      </c>
      <c r="H66"/>
      <c r="L66" s="130">
        <f>(G66/$G$55)*100</f>
        <v>1.5213479469982005</v>
      </c>
    </row>
    <row r="67" spans="5:16" ht="14.5">
      <c r="F67" s="128"/>
      <c r="G67" s="99"/>
      <c r="H67"/>
    </row>
    <row r="68" spans="5:16" ht="14.5">
      <c r="G68" s="99"/>
      <c r="H68"/>
    </row>
    <row r="69" spans="5:16" ht="14.5">
      <c r="E69">
        <v>12</v>
      </c>
      <c r="F69" s="19" t="s">
        <v>888</v>
      </c>
      <c r="G69" s="99">
        <f>SUMIFS($G$6:$G$48,$A$6:$A$48,E69,$F$6:$F$48,F69)</f>
        <v>2.13</v>
      </c>
      <c r="H69"/>
      <c r="L69" s="130">
        <f>(G69/$G$52)*100</f>
        <v>1.1375774407177954</v>
      </c>
      <c r="N69" s="129">
        <f>G69</f>
        <v>2.13</v>
      </c>
      <c r="P69" s="130">
        <f>(N69/$G$58)*100</f>
        <v>1.2563406865636428</v>
      </c>
    </row>
    <row r="70" spans="5:16" ht="14.5">
      <c r="E70">
        <v>12</v>
      </c>
      <c r="F70" s="19" t="s">
        <v>889</v>
      </c>
      <c r="G70" s="99">
        <f>SUMIFS($G$6:$G$48,$A$6:$A$48,E70,$F$6:$F$48,F70)</f>
        <v>1.7799999999999998</v>
      </c>
      <c r="H70"/>
      <c r="L70" s="130">
        <f>(G70/$G$52)*100</f>
        <v>0.95065157017731261</v>
      </c>
      <c r="N70" s="129">
        <f>G70-G15</f>
        <v>1.5199999999999998</v>
      </c>
      <c r="P70" s="130">
        <f>(N70/$G$58)*100</f>
        <v>0.89654358853367921</v>
      </c>
    </row>
    <row r="71" spans="5:16" ht="14.5">
      <c r="E71">
        <v>12</v>
      </c>
      <c r="F71" s="19" t="s">
        <v>890</v>
      </c>
      <c r="G71" s="99">
        <f>SUMIFS($G$6:$G$48,$A$6:$A$48,E71,$F$6:$F$48,F71)</f>
        <v>1.5</v>
      </c>
      <c r="H71"/>
      <c r="L71" s="130">
        <f>(G71/$G$52)*100</f>
        <v>0.8011108737449264</v>
      </c>
      <c r="N71" s="129">
        <f>G71</f>
        <v>1.5</v>
      </c>
      <c r="P71" s="130">
        <f>(N71/$G$58)*100</f>
        <v>0.8847469623687626</v>
      </c>
    </row>
    <row r="72" spans="5:16" ht="14.5">
      <c r="G72" s="99"/>
    </row>
    <row r="73" spans="5:16" ht="14.5">
      <c r="G73" s="99"/>
    </row>
    <row r="74" spans="5:16" ht="14.5">
      <c r="G74" s="99"/>
    </row>
    <row r="75" spans="5:16" ht="14.5">
      <c r="G75" s="99"/>
    </row>
    <row r="76" spans="5:16" ht="14.5">
      <c r="G76" s="99"/>
    </row>
    <row r="77" spans="5:16" ht="14.5">
      <c r="G77" s="99"/>
    </row>
    <row r="78" spans="5:16" ht="14.5">
      <c r="G78" s="99"/>
    </row>
    <row r="79" spans="5:16" ht="14.5">
      <c r="G79" s="99"/>
    </row>
    <row r="80" spans="5:16" ht="14.5">
      <c r="G80" s="99"/>
    </row>
    <row r="81" spans="7:7" ht="14.5">
      <c r="G81" s="99"/>
    </row>
    <row r="82" spans="7:7" ht="14.5">
      <c r="G82" s="99"/>
    </row>
    <row r="83" spans="7:7" ht="14.5">
      <c r="G83" s="99"/>
    </row>
    <row r="84" spans="7:7" ht="14.5">
      <c r="G84" s="99"/>
    </row>
    <row r="85" spans="7:7" ht="14.5">
      <c r="G85" s="99"/>
    </row>
    <row r="86" spans="7:7" ht="14.5">
      <c r="G86" s="99"/>
    </row>
    <row r="87" spans="7:7" ht="14.5">
      <c r="G87" s="99"/>
    </row>
    <row r="88" spans="7:7" ht="14.5">
      <c r="G88" s="99"/>
    </row>
    <row r="89" spans="7:7" ht="14.5">
      <c r="G89" s="99"/>
    </row>
    <row r="90" spans="7:7" ht="14.5">
      <c r="G90" s="99"/>
    </row>
    <row r="91" spans="7:7" ht="14.5">
      <c r="G91" s="99"/>
    </row>
    <row r="92" spans="7:7" ht="14.5">
      <c r="G92" s="99"/>
    </row>
    <row r="93" spans="7:7" ht="14.5">
      <c r="G93" s="99"/>
    </row>
    <row r="94" spans="7:7" ht="14.5">
      <c r="G94" s="99"/>
    </row>
    <row r="95" spans="7:7" ht="14.5">
      <c r="G95" s="99"/>
    </row>
    <row r="96" spans="7:7" ht="14.5">
      <c r="G96" s="99"/>
    </row>
    <row r="97" spans="7:7" ht="14.5">
      <c r="G97" s="99"/>
    </row>
    <row r="98" spans="7:7" ht="14.5">
      <c r="G98" s="99"/>
    </row>
    <row r="99" spans="7:7" ht="14.5">
      <c r="G99" s="99"/>
    </row>
    <row r="100" spans="7:7" ht="14.5">
      <c r="G100" s="99"/>
    </row>
    <row r="101" spans="7:7" ht="14.5">
      <c r="G101" s="99"/>
    </row>
    <row r="102" spans="7:7" ht="14.5">
      <c r="G102" s="99"/>
    </row>
    <row r="103" spans="7:7" ht="14.5">
      <c r="G103" s="99"/>
    </row>
    <row r="104" spans="7:7" ht="14.5">
      <c r="G104" s="99"/>
    </row>
    <row r="105" spans="7:7" ht="14.5">
      <c r="G105" s="99"/>
    </row>
    <row r="106" spans="7:7" ht="14.5">
      <c r="G106" s="99"/>
    </row>
    <row r="107" spans="7:7" ht="14.5">
      <c r="G107" s="99"/>
    </row>
    <row r="108" spans="7:7" ht="14.5">
      <c r="G108" s="99"/>
    </row>
    <row r="109" spans="7:7" ht="14.5">
      <c r="G109" s="99"/>
    </row>
    <row r="110" spans="7:7" ht="14.5">
      <c r="G110" s="99"/>
    </row>
    <row r="111" spans="7:7" ht="14.5">
      <c r="G111" s="99"/>
    </row>
    <row r="112" spans="7:7" ht="14.5">
      <c r="G112" s="99"/>
    </row>
    <row r="113" spans="7:7" ht="14.5">
      <c r="G113" s="99"/>
    </row>
    <row r="114" spans="7:7" ht="14.5">
      <c r="G114" s="99"/>
    </row>
    <row r="115" spans="7:7" ht="14.5">
      <c r="G115" s="99"/>
    </row>
    <row r="116" spans="7:7" ht="14.5">
      <c r="G116" s="99"/>
    </row>
    <row r="117" spans="7:7" ht="14.5">
      <c r="G117" s="99"/>
    </row>
    <row r="118" spans="7:7" ht="14.5">
      <c r="G118" s="99"/>
    </row>
    <row r="119" spans="7:7" ht="14.5">
      <c r="G119" s="99"/>
    </row>
    <row r="120" spans="7:7" ht="14.5">
      <c r="G120" s="99"/>
    </row>
    <row r="121" spans="7:7" ht="14.5">
      <c r="G121" s="99"/>
    </row>
    <row r="122" spans="7:7" ht="14.5">
      <c r="G122" s="99"/>
    </row>
    <row r="123" spans="7:7" ht="14.5">
      <c r="G123" s="99"/>
    </row>
    <row r="124" spans="7:7" ht="14.5">
      <c r="G124" s="99"/>
    </row>
    <row r="125" spans="7:7" ht="14.5">
      <c r="G125" s="99"/>
    </row>
    <row r="126" spans="7:7" ht="14.5">
      <c r="G126" s="99"/>
    </row>
    <row r="127" spans="7:7" ht="14.5">
      <c r="G127" s="99"/>
    </row>
    <row r="128" spans="7:7" ht="14.5">
      <c r="G128" s="99"/>
    </row>
    <row r="129" spans="7:7" ht="14.5">
      <c r="G129" s="99"/>
    </row>
    <row r="130" spans="7:7" ht="14.5">
      <c r="G130" s="99"/>
    </row>
    <row r="131" spans="7:7" ht="14.5">
      <c r="G131" s="99"/>
    </row>
    <row r="132" spans="7:7" ht="14.5">
      <c r="G132" s="99"/>
    </row>
    <row r="133" spans="7:7" ht="14.5">
      <c r="G133" s="99"/>
    </row>
    <row r="134" spans="7:7" ht="14.5">
      <c r="G134" s="99"/>
    </row>
    <row r="135" spans="7:7" ht="14.5">
      <c r="G135" s="99"/>
    </row>
    <row r="136" spans="7:7" ht="14.5">
      <c r="G136" s="99"/>
    </row>
    <row r="137" spans="7:7" ht="14.5">
      <c r="G137" s="99"/>
    </row>
    <row r="138" spans="7:7" ht="14.5">
      <c r="G138" s="99"/>
    </row>
    <row r="139" spans="7:7" ht="14.5">
      <c r="G139" s="99"/>
    </row>
    <row r="140" spans="7:7" ht="14.5">
      <c r="G140" s="99"/>
    </row>
    <row r="141" spans="7:7" ht="14.5">
      <c r="G141" s="99"/>
    </row>
    <row r="142" spans="7:7" ht="14.5">
      <c r="G142" s="99"/>
    </row>
    <row r="143" spans="7:7" ht="14.5">
      <c r="G143" s="99"/>
    </row>
    <row r="144" spans="7:7" ht="14.5">
      <c r="G144" s="99"/>
    </row>
    <row r="145" spans="7:7" ht="14.5">
      <c r="G145" s="99"/>
    </row>
    <row r="146" spans="7:7" ht="14.5">
      <c r="G146" s="99"/>
    </row>
    <row r="147" spans="7:7" ht="14.5">
      <c r="G147" s="99"/>
    </row>
    <row r="148" spans="7:7" ht="14.5">
      <c r="G148" s="99"/>
    </row>
    <row r="149" spans="7:7" ht="14.5"/>
    <row r="150" spans="7:7" ht="14.5"/>
    <row r="151" spans="7:7" ht="14.5"/>
    <row r="152" spans="7:7" ht="14.5"/>
    <row r="153" spans="7:7" ht="14.5"/>
    <row r="154" spans="7:7" ht="14.5"/>
    <row r="155" spans="7:7" ht="14.5"/>
    <row r="156" spans="7:7" ht="14.5"/>
    <row r="157" spans="7:7" ht="14.5"/>
    <row r="158" spans="7:7" ht="14.5"/>
    <row r="159" spans="7:7" ht="14.5"/>
    <row r="160" spans="7:7" ht="14.5"/>
    <row r="161" ht="14.5"/>
    <row r="162" ht="14.5"/>
    <row r="163" ht="14.5"/>
    <row r="164" ht="14.5"/>
    <row r="165" ht="14.5"/>
    <row r="166" ht="14.5"/>
    <row r="167" ht="14.5"/>
    <row r="168" ht="14.5"/>
    <row r="169" ht="14.5"/>
    <row r="170" ht="14.5"/>
    <row r="171" ht="14.5"/>
    <row r="172" ht="14.5"/>
    <row r="173" ht="14.5"/>
    <row r="174" ht="14.5"/>
    <row r="175" ht="14.5"/>
    <row r="176" ht="14.5"/>
    <row r="177" ht="14.5"/>
    <row r="178" ht="14.5"/>
    <row r="179" ht="14.5"/>
    <row r="180" ht="14.5"/>
    <row r="181" ht="14.5"/>
    <row r="182" ht="14.5"/>
    <row r="183" ht="14.5"/>
    <row r="184" ht="14.5"/>
    <row r="185" ht="14.5"/>
    <row r="186" ht="14.5"/>
    <row r="187" ht="14.5"/>
    <row r="188" ht="14.5"/>
    <row r="189" ht="14.5"/>
    <row r="190" ht="14.5"/>
    <row r="191" ht="14.5"/>
    <row r="192" ht="14.5"/>
    <row r="193" ht="14.5"/>
    <row r="194" ht="14.5"/>
    <row r="195" ht="14.5"/>
    <row r="196" ht="14.5"/>
    <row r="197" ht="14.5"/>
    <row r="198" ht="14.5"/>
    <row r="199" ht="14.5"/>
    <row r="200" ht="14.5"/>
    <row r="201" ht="14.5"/>
    <row r="202" ht="14.5"/>
    <row r="203" ht="14.5"/>
    <row r="204" ht="14.5"/>
    <row r="205" ht="14.5"/>
    <row r="206" ht="14.5"/>
    <row r="207" ht="14.5"/>
    <row r="208" ht="14.5"/>
    <row r="209" ht="14.5"/>
    <row r="210" ht="14.5"/>
    <row r="211" ht="14.5"/>
    <row r="212" ht="14.5"/>
    <row r="213" ht="14.5"/>
    <row r="214" ht="14.5"/>
    <row r="215" ht="14.5"/>
    <row r="216" ht="14.5"/>
    <row r="217" ht="14.5"/>
    <row r="218" ht="14.5"/>
    <row r="219" ht="14.5"/>
    <row r="220" ht="14.5"/>
    <row r="221" ht="14.5"/>
    <row r="222" ht="14.5"/>
    <row r="223" ht="14.5"/>
    <row r="224" ht="14.5"/>
    <row r="225" ht="14.5"/>
    <row r="226" ht="14.5"/>
    <row r="227" ht="14.5"/>
    <row r="228" ht="14.5"/>
    <row r="229" ht="14.5"/>
    <row r="230" ht="14.5"/>
    <row r="231" ht="14.5"/>
    <row r="232" ht="14.5"/>
    <row r="233" ht="14.5"/>
    <row r="234" ht="14.5"/>
    <row r="235" ht="14.5"/>
    <row r="236" ht="14.5"/>
    <row r="237" ht="14.5"/>
    <row r="238" ht="14.5"/>
    <row r="239" ht="14.5"/>
    <row r="240" ht="14.5"/>
    <row r="241" ht="14.5"/>
    <row r="242" ht="14.5"/>
    <row r="243" ht="14.5"/>
    <row r="244" ht="14.5"/>
    <row r="245" ht="14.5"/>
    <row r="246" ht="14.5"/>
    <row r="247" ht="14.5"/>
    <row r="248" ht="14.5"/>
    <row r="249" ht="14.5"/>
    <row r="250" ht="14.5"/>
    <row r="251" ht="14.5"/>
  </sheetData>
  <autoFilter ref="A4:T66" xr:uid="{00000000-0009-0000-0000-000002000000}"/>
  <mergeCells count="30">
    <mergeCell ref="C1:T1"/>
    <mergeCell ref="C2:C3"/>
    <mergeCell ref="D2:D3"/>
    <mergeCell ref="E2:H2"/>
    <mergeCell ref="I2:K2"/>
    <mergeCell ref="L2:N2"/>
    <mergeCell ref="T2:T3"/>
    <mergeCell ref="O2:O3"/>
    <mergeCell ref="P2:P3"/>
    <mergeCell ref="Q2:S2"/>
    <mergeCell ref="W1:BU1"/>
    <mergeCell ref="BD3:BE3"/>
    <mergeCell ref="AM3:AN3"/>
    <mergeCell ref="AO3:AP3"/>
    <mergeCell ref="AK2:AP2"/>
    <mergeCell ref="AQ2:AU2"/>
    <mergeCell ref="AV3:AW3"/>
    <mergeCell ref="AX3:AY3"/>
    <mergeCell ref="AZ3:BA3"/>
    <mergeCell ref="AV2:BA2"/>
    <mergeCell ref="BB2:BG2"/>
    <mergeCell ref="BB3:BC3"/>
    <mergeCell ref="BF3:BG3"/>
    <mergeCell ref="BM3:BN3"/>
    <mergeCell ref="BO3:BP3"/>
    <mergeCell ref="B55:C60"/>
    <mergeCell ref="B2:B3"/>
    <mergeCell ref="A2:A3"/>
    <mergeCell ref="AK3:AL3"/>
    <mergeCell ref="BH3:BI3"/>
  </mergeCells>
  <phoneticPr fontId="28" type="noConversion"/>
  <conditionalFormatting sqref="BZ5:BZ63">
    <cfRule type="expression" dxfId="0" priority="1">
      <formula>BR5&gt;BZ5</formula>
    </cfRule>
  </conditionalFormatting>
  <dataValidations disablePrompts="1" count="4">
    <dataValidation type="list" allowBlank="1" showInputMessage="1" showErrorMessage="1" sqref="X5:X63" xr:uid="{00000000-0002-0000-0200-000000000000}">
      <formula1>кол_пол</formula1>
    </dataValidation>
    <dataValidation type="list" allowBlank="1" showInputMessage="1" showErrorMessage="1" sqref="W5:W63" xr:uid="{00000000-0002-0000-0200-000001000000}">
      <formula1>тип_авт</formula1>
    </dataValidation>
    <dataValidation type="list" allowBlank="1" showInputMessage="1" showErrorMessage="1" sqref="BY5:BY63" xr:uid="{00000000-0002-0000-0200-000002000000}">
      <formula1>сечение</formula1>
    </dataValidation>
    <dataValidation type="list" allowBlank="1" showInputMessage="1" showErrorMessage="1" sqref="BV5:BV63" xr:uid="{00000000-0002-0000-0200-000003000000}">
      <formula1>Тип_кабеля</formula1>
    </dataValidation>
  </dataValidations>
  <pageMargins left="0.7" right="0.7" top="0.75" bottom="0.75" header="0.3" footer="0.3"/>
  <pageSetup paperSize="9" scale="4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CD524-C044-46A2-9971-2ADA5CEFE173}">
  <dimension ref="A1:H55"/>
  <sheetViews>
    <sheetView workbookViewId="0">
      <selection sqref="A1:XFD1048576"/>
    </sheetView>
  </sheetViews>
  <sheetFormatPr defaultColWidth="9.1796875" defaultRowHeight="14.5"/>
  <sheetData>
    <row r="1" spans="1:8">
      <c r="A1" t="s">
        <v>893</v>
      </c>
      <c r="B1" t="s">
        <v>300</v>
      </c>
      <c r="C1" t="s">
        <v>301</v>
      </c>
      <c r="D1" t="s">
        <v>302</v>
      </c>
      <c r="G1" t="s">
        <v>894</v>
      </c>
    </row>
    <row r="2" spans="1:8">
      <c r="A2">
        <v>1</v>
      </c>
      <c r="B2" t="s">
        <v>895</v>
      </c>
      <c r="C2" t="s">
        <v>896</v>
      </c>
      <c r="D2" t="s">
        <v>897</v>
      </c>
      <c r="G2">
        <v>1</v>
      </c>
      <c r="H2" t="s">
        <v>898</v>
      </c>
    </row>
    <row r="3" spans="1:8">
      <c r="A3">
        <v>2</v>
      </c>
      <c r="B3" t="s">
        <v>899</v>
      </c>
      <c r="C3" t="s">
        <v>900</v>
      </c>
      <c r="D3" t="s">
        <v>901</v>
      </c>
      <c r="G3">
        <v>2</v>
      </c>
      <c r="H3" t="s">
        <v>902</v>
      </c>
    </row>
    <row r="4" spans="1:8">
      <c r="A4">
        <v>3</v>
      </c>
      <c r="B4" t="s">
        <v>903</v>
      </c>
      <c r="C4" t="s">
        <v>904</v>
      </c>
      <c r="D4" t="s">
        <v>905</v>
      </c>
      <c r="G4">
        <v>3</v>
      </c>
      <c r="H4" t="s">
        <v>906</v>
      </c>
    </row>
    <row r="5" spans="1:8">
      <c r="A5">
        <v>4</v>
      </c>
      <c r="B5" t="s">
        <v>907</v>
      </c>
      <c r="C5" t="s">
        <v>908</v>
      </c>
      <c r="D5" t="s">
        <v>909</v>
      </c>
      <c r="G5">
        <v>4</v>
      </c>
      <c r="H5" t="s">
        <v>910</v>
      </c>
    </row>
    <row r="6" spans="1:8">
      <c r="A6">
        <v>5</v>
      </c>
      <c r="B6" t="s">
        <v>911</v>
      </c>
      <c r="C6" t="s">
        <v>912</v>
      </c>
      <c r="D6" t="s">
        <v>913</v>
      </c>
      <c r="G6">
        <v>5</v>
      </c>
      <c r="H6" t="s">
        <v>914</v>
      </c>
    </row>
    <row r="7" spans="1:8">
      <c r="A7">
        <v>6</v>
      </c>
      <c r="B7" t="s">
        <v>915</v>
      </c>
      <c r="C7" t="s">
        <v>916</v>
      </c>
      <c r="D7" t="s">
        <v>917</v>
      </c>
      <c r="G7">
        <v>6</v>
      </c>
      <c r="H7" t="s">
        <v>918</v>
      </c>
    </row>
    <row r="8" spans="1:8">
      <c r="A8">
        <v>10</v>
      </c>
      <c r="B8" t="s">
        <v>919</v>
      </c>
      <c r="C8" t="s">
        <v>920</v>
      </c>
      <c r="D8" t="s">
        <v>921</v>
      </c>
      <c r="G8">
        <v>10</v>
      </c>
      <c r="H8" t="s">
        <v>922</v>
      </c>
    </row>
    <row r="9" spans="1:8">
      <c r="A9">
        <v>16</v>
      </c>
      <c r="B9" t="s">
        <v>923</v>
      </c>
      <c r="C9" t="s">
        <v>924</v>
      </c>
      <c r="D9" t="s">
        <v>925</v>
      </c>
      <c r="G9">
        <v>16</v>
      </c>
      <c r="H9" t="s">
        <v>926</v>
      </c>
    </row>
    <row r="10" spans="1:8">
      <c r="A10">
        <v>20</v>
      </c>
      <c r="B10" t="s">
        <v>927</v>
      </c>
      <c r="C10" t="s">
        <v>928</v>
      </c>
      <c r="D10" t="s">
        <v>929</v>
      </c>
      <c r="G10">
        <v>20</v>
      </c>
      <c r="H10" t="s">
        <v>930</v>
      </c>
    </row>
    <row r="11" spans="1:8">
      <c r="A11">
        <v>25</v>
      </c>
      <c r="B11" t="s">
        <v>931</v>
      </c>
      <c r="C11" t="s">
        <v>932</v>
      </c>
      <c r="D11" t="s">
        <v>933</v>
      </c>
      <c r="G11">
        <v>25</v>
      </c>
      <c r="H11" t="s">
        <v>934</v>
      </c>
    </row>
    <row r="12" spans="1:8">
      <c r="A12">
        <v>32</v>
      </c>
      <c r="B12" t="s">
        <v>935</v>
      </c>
      <c r="C12" t="s">
        <v>936</v>
      </c>
      <c r="D12" t="s">
        <v>937</v>
      </c>
      <c r="G12">
        <v>32</v>
      </c>
      <c r="H12" t="s">
        <v>938</v>
      </c>
    </row>
    <row r="13" spans="1:8">
      <c r="A13">
        <v>40</v>
      </c>
      <c r="B13" t="s">
        <v>939</v>
      </c>
      <c r="C13" t="s">
        <v>940</v>
      </c>
      <c r="D13" t="s">
        <v>941</v>
      </c>
      <c r="G13">
        <v>40</v>
      </c>
      <c r="H13" t="s">
        <v>942</v>
      </c>
    </row>
    <row r="14" spans="1:8">
      <c r="A14">
        <v>50</v>
      </c>
      <c r="B14" t="s">
        <v>943</v>
      </c>
      <c r="C14" t="s">
        <v>944</v>
      </c>
      <c r="D14" t="s">
        <v>945</v>
      </c>
      <c r="G14">
        <v>50</v>
      </c>
      <c r="H14" t="s">
        <v>946</v>
      </c>
    </row>
    <row r="15" spans="1:8">
      <c r="A15">
        <v>63</v>
      </c>
      <c r="B15" t="s">
        <v>947</v>
      </c>
      <c r="C15" t="s">
        <v>948</v>
      </c>
      <c r="D15" t="s">
        <v>949</v>
      </c>
      <c r="G15">
        <v>63</v>
      </c>
      <c r="H15" t="s">
        <v>950</v>
      </c>
    </row>
    <row r="16" spans="1:8">
      <c r="A16">
        <v>80</v>
      </c>
      <c r="B16" t="s">
        <v>951</v>
      </c>
      <c r="C16" t="s">
        <v>952</v>
      </c>
      <c r="D16" t="s">
        <v>953</v>
      </c>
    </row>
    <row r="17" spans="1:4">
      <c r="A17">
        <v>100</v>
      </c>
      <c r="B17" t="s">
        <v>954</v>
      </c>
      <c r="C17" t="s">
        <v>955</v>
      </c>
      <c r="D17" t="s">
        <v>956</v>
      </c>
    </row>
    <row r="18" spans="1:4">
      <c r="A18">
        <v>125</v>
      </c>
      <c r="B18" t="s">
        <v>957</v>
      </c>
      <c r="C18" t="s">
        <v>958</v>
      </c>
      <c r="D18" t="s">
        <v>959</v>
      </c>
    </row>
    <row r="20" spans="1:4">
      <c r="A20" t="s">
        <v>960</v>
      </c>
    </row>
    <row r="21" spans="1:4">
      <c r="A21">
        <v>100</v>
      </c>
      <c r="B21" t="s">
        <v>961</v>
      </c>
    </row>
    <row r="22" spans="1:4">
      <c r="A22">
        <v>125</v>
      </c>
      <c r="B22" t="s">
        <v>962</v>
      </c>
    </row>
    <row r="23" spans="1:4">
      <c r="A23">
        <v>150</v>
      </c>
      <c r="B23" t="s">
        <v>963</v>
      </c>
    </row>
    <row r="24" spans="1:4">
      <c r="A24">
        <v>160</v>
      </c>
      <c r="B24" t="s">
        <v>964</v>
      </c>
    </row>
    <row r="25" spans="1:4">
      <c r="A25">
        <v>175</v>
      </c>
      <c r="B25" t="s">
        <v>965</v>
      </c>
    </row>
    <row r="26" spans="1:4">
      <c r="A26">
        <v>200</v>
      </c>
      <c r="B26" t="s">
        <v>966</v>
      </c>
    </row>
    <row r="27" spans="1:4">
      <c r="A27">
        <v>225</v>
      </c>
      <c r="B27" t="s">
        <v>967</v>
      </c>
    </row>
    <row r="28" spans="1:4">
      <c r="A28">
        <v>250</v>
      </c>
      <c r="B28" t="s">
        <v>968</v>
      </c>
    </row>
    <row r="29" spans="1:4">
      <c r="A29">
        <v>300</v>
      </c>
      <c r="B29" t="s">
        <v>969</v>
      </c>
    </row>
    <row r="30" spans="1:4">
      <c r="A30">
        <v>350</v>
      </c>
      <c r="B30" t="s">
        <v>970</v>
      </c>
    </row>
    <row r="31" spans="1:4">
      <c r="A31">
        <v>400</v>
      </c>
      <c r="B31" t="s">
        <v>971</v>
      </c>
    </row>
    <row r="32" spans="1:4">
      <c r="A32">
        <v>500</v>
      </c>
      <c r="B32" t="s">
        <v>972</v>
      </c>
    </row>
    <row r="33" spans="1:2">
      <c r="A33">
        <v>630</v>
      </c>
      <c r="B33" t="s">
        <v>973</v>
      </c>
    </row>
    <row r="34" spans="1:2">
      <c r="A34">
        <v>700</v>
      </c>
      <c r="B34" t="s">
        <v>974</v>
      </c>
    </row>
    <row r="35" spans="1:2">
      <c r="A35">
        <v>800</v>
      </c>
      <c r="B35" t="s">
        <v>975</v>
      </c>
    </row>
    <row r="40" spans="1:2">
      <c r="A40" t="s">
        <v>976</v>
      </c>
    </row>
    <row r="41" spans="1:2">
      <c r="A41">
        <v>0.16</v>
      </c>
      <c r="B41" t="s">
        <v>977</v>
      </c>
    </row>
    <row r="42" spans="1:2">
      <c r="A42">
        <v>0.25</v>
      </c>
      <c r="B42" t="s">
        <v>978</v>
      </c>
    </row>
    <row r="43" spans="1:2">
      <c r="A43">
        <v>0.4</v>
      </c>
      <c r="B43" t="s">
        <v>979</v>
      </c>
    </row>
    <row r="44" spans="1:2">
      <c r="A44">
        <v>0.63</v>
      </c>
      <c r="B44" t="s">
        <v>980</v>
      </c>
    </row>
    <row r="45" spans="1:2">
      <c r="A45">
        <v>1</v>
      </c>
      <c r="B45" t="s">
        <v>981</v>
      </c>
    </row>
    <row r="46" spans="1:2">
      <c r="A46">
        <v>1.6</v>
      </c>
      <c r="B46" t="s">
        <v>982</v>
      </c>
    </row>
    <row r="47" spans="1:2">
      <c r="A47">
        <v>2.5</v>
      </c>
      <c r="B47" t="s">
        <v>983</v>
      </c>
    </row>
    <row r="48" spans="1:2">
      <c r="A48">
        <v>4</v>
      </c>
      <c r="B48" t="s">
        <v>984</v>
      </c>
    </row>
    <row r="49" spans="1:2">
      <c r="A49">
        <v>6.3</v>
      </c>
      <c r="B49" t="s">
        <v>985</v>
      </c>
    </row>
    <row r="50" spans="1:2">
      <c r="A50">
        <v>10</v>
      </c>
      <c r="B50" t="s">
        <v>986</v>
      </c>
    </row>
    <row r="51" spans="1:2">
      <c r="A51">
        <v>14</v>
      </c>
      <c r="B51" t="s">
        <v>987</v>
      </c>
    </row>
    <row r="52" spans="1:2">
      <c r="A52">
        <v>18</v>
      </c>
      <c r="B52" t="s">
        <v>988</v>
      </c>
    </row>
    <row r="53" spans="1:2">
      <c r="A53">
        <v>23</v>
      </c>
      <c r="B53" t="s">
        <v>989</v>
      </c>
    </row>
    <row r="54" spans="1:2">
      <c r="A54">
        <v>25</v>
      </c>
      <c r="B54" t="s">
        <v>990</v>
      </c>
    </row>
    <row r="55" spans="1:2">
      <c r="A55">
        <v>32</v>
      </c>
      <c r="B55" t="s">
        <v>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79FAD-521F-4CDE-B170-211B7ADC891D}">
  <dimension ref="A1:H48"/>
  <sheetViews>
    <sheetView workbookViewId="0">
      <selection activeCell="D47" sqref="D47"/>
    </sheetView>
  </sheetViews>
  <sheetFormatPr defaultRowHeight="14.5"/>
  <cols>
    <col min="1" max="1" width="10.26953125" customWidth="1"/>
    <col min="7" max="7" width="9.7265625" customWidth="1"/>
  </cols>
  <sheetData>
    <row r="1" spans="1:8">
      <c r="A1" t="s">
        <v>872</v>
      </c>
      <c r="B1" t="s">
        <v>300</v>
      </c>
      <c r="C1" t="s">
        <v>301</v>
      </c>
      <c r="D1" t="s">
        <v>302</v>
      </c>
      <c r="G1" t="s">
        <v>875</v>
      </c>
    </row>
    <row r="2" spans="1:8">
      <c r="A2">
        <v>6</v>
      </c>
      <c r="B2">
        <v>179625</v>
      </c>
      <c r="C2">
        <v>179667</v>
      </c>
      <c r="D2">
        <v>179709</v>
      </c>
      <c r="G2">
        <v>6</v>
      </c>
      <c r="H2">
        <v>689000</v>
      </c>
    </row>
    <row r="3" spans="1:8">
      <c r="A3">
        <v>10</v>
      </c>
      <c r="B3">
        <v>179614</v>
      </c>
      <c r="C3">
        <v>179656</v>
      </c>
      <c r="D3">
        <v>179698</v>
      </c>
      <c r="G3">
        <v>10</v>
      </c>
      <c r="H3">
        <v>689001</v>
      </c>
    </row>
    <row r="4" spans="1:8">
      <c r="A4">
        <v>16</v>
      </c>
      <c r="B4">
        <v>179616</v>
      </c>
      <c r="C4">
        <v>179658</v>
      </c>
      <c r="D4">
        <v>179700</v>
      </c>
      <c r="G4">
        <v>16</v>
      </c>
      <c r="H4">
        <v>689002</v>
      </c>
    </row>
    <row r="5" spans="1:8">
      <c r="A5">
        <v>20</v>
      </c>
      <c r="B5">
        <v>179618</v>
      </c>
      <c r="C5">
        <v>179660</v>
      </c>
      <c r="D5">
        <v>179702</v>
      </c>
      <c r="G5">
        <v>20</v>
      </c>
      <c r="H5">
        <v>689003</v>
      </c>
    </row>
    <row r="6" spans="1:8">
      <c r="A6">
        <v>25</v>
      </c>
      <c r="B6">
        <v>179619</v>
      </c>
      <c r="C6">
        <v>179661</v>
      </c>
      <c r="D6">
        <v>179703</v>
      </c>
      <c r="G6">
        <v>25</v>
      </c>
      <c r="H6">
        <v>689004</v>
      </c>
    </row>
    <row r="7" spans="1:8">
      <c r="A7">
        <v>32</v>
      </c>
      <c r="B7">
        <v>179621</v>
      </c>
      <c r="C7">
        <v>179663</v>
      </c>
      <c r="D7">
        <v>179705</v>
      </c>
      <c r="G7">
        <v>32</v>
      </c>
      <c r="H7">
        <v>252634</v>
      </c>
    </row>
    <row r="8" spans="1:8">
      <c r="A8">
        <v>40</v>
      </c>
      <c r="B8">
        <v>179623</v>
      </c>
      <c r="C8">
        <v>179665</v>
      </c>
      <c r="D8">
        <v>179707</v>
      </c>
      <c r="G8">
        <v>40</v>
      </c>
      <c r="H8">
        <v>252635</v>
      </c>
    </row>
    <row r="9" spans="1:8">
      <c r="A9">
        <v>50</v>
      </c>
      <c r="B9">
        <v>179624</v>
      </c>
      <c r="C9">
        <v>179666</v>
      </c>
      <c r="D9">
        <v>179708</v>
      </c>
    </row>
    <row r="10" spans="1:8">
      <c r="A10">
        <v>63</v>
      </c>
      <c r="B10">
        <v>179626</v>
      </c>
      <c r="C10">
        <v>179668</v>
      </c>
      <c r="D10">
        <v>179710</v>
      </c>
    </row>
    <row r="13" spans="1:8">
      <c r="A13" t="s">
        <v>873</v>
      </c>
    </row>
    <row r="14" spans="1:8">
      <c r="A14">
        <v>16</v>
      </c>
      <c r="B14">
        <v>271581</v>
      </c>
    </row>
    <row r="15" spans="1:8">
      <c r="A15">
        <v>25</v>
      </c>
      <c r="B15">
        <v>271583</v>
      </c>
    </row>
    <row r="16" spans="1:8">
      <c r="A16">
        <v>32</v>
      </c>
      <c r="B16">
        <v>271584</v>
      </c>
    </row>
    <row r="17" spans="1:2">
      <c r="A17">
        <v>40</v>
      </c>
      <c r="B17">
        <v>271585</v>
      </c>
    </row>
    <row r="18" spans="1:2">
      <c r="A18">
        <v>50</v>
      </c>
      <c r="B18">
        <v>271586</v>
      </c>
    </row>
    <row r="19" spans="1:2">
      <c r="A19">
        <v>63</v>
      </c>
      <c r="B19">
        <v>271587</v>
      </c>
    </row>
    <row r="20" spans="1:2">
      <c r="A20">
        <v>80</v>
      </c>
      <c r="B20">
        <v>271588</v>
      </c>
    </row>
    <row r="21" spans="1:2">
      <c r="A21">
        <v>100</v>
      </c>
      <c r="B21">
        <v>271589</v>
      </c>
    </row>
    <row r="22" spans="1:2">
      <c r="A22">
        <v>125</v>
      </c>
      <c r="B22">
        <v>271590</v>
      </c>
    </row>
    <row r="23" spans="1:2">
      <c r="A23">
        <v>160</v>
      </c>
      <c r="B23">
        <v>271172</v>
      </c>
    </row>
    <row r="24" spans="1:2">
      <c r="A24">
        <v>200</v>
      </c>
      <c r="B24">
        <v>271174</v>
      </c>
    </row>
    <row r="25" spans="1:2">
      <c r="A25">
        <v>225</v>
      </c>
      <c r="B25">
        <v>271175</v>
      </c>
    </row>
    <row r="26" spans="1:2">
      <c r="A26">
        <v>250</v>
      </c>
      <c r="B26">
        <v>271176</v>
      </c>
    </row>
    <row r="27" spans="1:2">
      <c r="A27">
        <v>315</v>
      </c>
      <c r="B27">
        <v>268948</v>
      </c>
    </row>
    <row r="28" spans="1:2">
      <c r="A28">
        <v>350</v>
      </c>
      <c r="B28">
        <v>268949</v>
      </c>
    </row>
    <row r="29" spans="1:2">
      <c r="A29">
        <v>400</v>
      </c>
      <c r="B29">
        <v>268950</v>
      </c>
    </row>
    <row r="30" spans="1:2">
      <c r="A30">
        <v>500</v>
      </c>
      <c r="B30">
        <v>269252</v>
      </c>
    </row>
    <row r="31" spans="1:2">
      <c r="A31">
        <v>630</v>
      </c>
      <c r="B31">
        <v>272927</v>
      </c>
    </row>
    <row r="33" spans="1:3">
      <c r="A33" t="s">
        <v>874</v>
      </c>
    </row>
    <row r="34" spans="1:3">
      <c r="A34">
        <v>0.16</v>
      </c>
      <c r="B34">
        <v>495072</v>
      </c>
    </row>
    <row r="35" spans="1:3">
      <c r="A35">
        <v>0.25</v>
      </c>
      <c r="B35">
        <v>495073</v>
      </c>
    </row>
    <row r="36" spans="1:3">
      <c r="A36">
        <v>0.4</v>
      </c>
      <c r="B36">
        <v>495074</v>
      </c>
    </row>
    <row r="37" spans="1:3">
      <c r="A37">
        <v>0.63</v>
      </c>
      <c r="B37">
        <v>495075</v>
      </c>
      <c r="C37" s="111"/>
    </row>
    <row r="38" spans="1:3">
      <c r="A38">
        <v>1</v>
      </c>
      <c r="B38">
        <v>495076</v>
      </c>
    </row>
    <row r="39" spans="1:3">
      <c r="A39">
        <v>1.6</v>
      </c>
      <c r="B39">
        <v>495077</v>
      </c>
      <c r="C39" s="111"/>
    </row>
    <row r="40" spans="1:3">
      <c r="A40">
        <v>2.5</v>
      </c>
      <c r="B40">
        <v>495078</v>
      </c>
      <c r="C40" s="111"/>
    </row>
    <row r="41" spans="1:3">
      <c r="A41">
        <v>4</v>
      </c>
      <c r="B41">
        <v>495079</v>
      </c>
    </row>
    <row r="42" spans="1:3">
      <c r="A42">
        <v>6.3</v>
      </c>
      <c r="B42">
        <v>495080</v>
      </c>
    </row>
    <row r="43" spans="1:3">
      <c r="A43">
        <v>10</v>
      </c>
      <c r="B43">
        <v>495081</v>
      </c>
    </row>
    <row r="44" spans="1:3">
      <c r="A44">
        <v>14</v>
      </c>
      <c r="B44">
        <v>495082</v>
      </c>
    </row>
    <row r="45" spans="1:3">
      <c r="A45">
        <v>18</v>
      </c>
      <c r="B45">
        <v>495083</v>
      </c>
    </row>
    <row r="46" spans="1:3">
      <c r="A46">
        <v>23</v>
      </c>
      <c r="B46">
        <v>495084</v>
      </c>
    </row>
    <row r="47" spans="1:3">
      <c r="A47">
        <v>25</v>
      </c>
      <c r="B47">
        <v>495085</v>
      </c>
    </row>
    <row r="48" spans="1:3">
      <c r="A48">
        <v>32</v>
      </c>
      <c r="B48">
        <v>146475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E1F0E-D5D5-4F8B-98B5-4995BF6A0669}">
  <dimension ref="A1:K47"/>
  <sheetViews>
    <sheetView topLeftCell="A16" workbookViewId="0">
      <selection activeCell="I35" sqref="I35"/>
    </sheetView>
  </sheetViews>
  <sheetFormatPr defaultRowHeight="14.5"/>
  <cols>
    <col min="1" max="1" width="17.7265625" customWidth="1"/>
    <col min="2" max="3" width="10.7265625" customWidth="1"/>
    <col min="4" max="4" width="12.81640625" customWidth="1"/>
    <col min="5" max="5" width="10.7265625" customWidth="1"/>
    <col min="9" max="9" width="13.81640625" customWidth="1"/>
    <col min="10" max="10" width="12.453125" customWidth="1"/>
    <col min="11" max="11" width="22.81640625" customWidth="1"/>
    <col min="14" max="14" width="31.1796875" customWidth="1"/>
    <col min="15" max="15" width="23.453125" customWidth="1"/>
  </cols>
  <sheetData>
    <row r="1" spans="1:10">
      <c r="A1" t="s">
        <v>581</v>
      </c>
      <c r="B1" t="s">
        <v>300</v>
      </c>
      <c r="C1" t="s">
        <v>301</v>
      </c>
      <c r="D1" t="s">
        <v>302</v>
      </c>
      <c r="E1" t="s">
        <v>582</v>
      </c>
      <c r="F1" t="s">
        <v>303</v>
      </c>
      <c r="I1" t="s">
        <v>583</v>
      </c>
    </row>
    <row r="2" spans="1:10">
      <c r="A2">
        <v>1</v>
      </c>
      <c r="B2" t="s">
        <v>584</v>
      </c>
      <c r="C2" t="s">
        <v>585</v>
      </c>
      <c r="D2" t="s">
        <v>586</v>
      </c>
      <c r="E2" t="s">
        <v>587</v>
      </c>
      <c r="F2">
        <v>10000</v>
      </c>
      <c r="I2">
        <v>0.16</v>
      </c>
      <c r="J2" t="s">
        <v>588</v>
      </c>
    </row>
    <row r="3" spans="1:10">
      <c r="A3">
        <v>2</v>
      </c>
      <c r="B3" t="s">
        <v>589</v>
      </c>
      <c r="C3" t="s">
        <v>590</v>
      </c>
      <c r="D3" t="s">
        <v>591</v>
      </c>
      <c r="E3" t="s">
        <v>592</v>
      </c>
      <c r="F3">
        <v>10000</v>
      </c>
      <c r="I3">
        <v>0.25</v>
      </c>
      <c r="J3" t="s">
        <v>593</v>
      </c>
    </row>
    <row r="4" spans="1:10">
      <c r="A4">
        <v>4</v>
      </c>
      <c r="B4" t="s">
        <v>594</v>
      </c>
      <c r="C4" t="s">
        <v>595</v>
      </c>
      <c r="D4" t="s">
        <v>596</v>
      </c>
      <c r="E4" t="s">
        <v>597</v>
      </c>
      <c r="F4">
        <v>10000</v>
      </c>
      <c r="I4">
        <v>0.4</v>
      </c>
      <c r="J4" t="s">
        <v>598</v>
      </c>
    </row>
    <row r="5" spans="1:10">
      <c r="A5">
        <v>6</v>
      </c>
      <c r="B5" t="s">
        <v>599</v>
      </c>
      <c r="C5" t="s">
        <v>600</v>
      </c>
      <c r="D5" t="s">
        <v>601</v>
      </c>
      <c r="E5" t="s">
        <v>602</v>
      </c>
      <c r="F5">
        <v>10000</v>
      </c>
      <c r="I5">
        <v>0.63</v>
      </c>
      <c r="J5" t="s">
        <v>603</v>
      </c>
    </row>
    <row r="6" spans="1:10">
      <c r="A6">
        <v>10</v>
      </c>
      <c r="B6" t="s">
        <v>604</v>
      </c>
      <c r="C6" t="s">
        <v>605</v>
      </c>
      <c r="D6" t="s">
        <v>606</v>
      </c>
      <c r="E6" t="s">
        <v>607</v>
      </c>
      <c r="F6">
        <v>10000</v>
      </c>
      <c r="I6">
        <v>1</v>
      </c>
      <c r="J6" t="s">
        <v>608</v>
      </c>
    </row>
    <row r="7" spans="1:10">
      <c r="A7">
        <v>16</v>
      </c>
      <c r="B7" t="s">
        <v>609</v>
      </c>
      <c r="C7" t="s">
        <v>610</v>
      </c>
      <c r="D7" t="s">
        <v>611</v>
      </c>
      <c r="E7" t="s">
        <v>612</v>
      </c>
      <c r="F7">
        <v>10000</v>
      </c>
      <c r="I7">
        <v>1.6</v>
      </c>
      <c r="J7" t="s">
        <v>613</v>
      </c>
    </row>
    <row r="8" spans="1:10">
      <c r="A8">
        <v>20</v>
      </c>
      <c r="B8" t="s">
        <v>614</v>
      </c>
      <c r="C8" t="s">
        <v>615</v>
      </c>
      <c r="D8" t="s">
        <v>616</v>
      </c>
      <c r="E8" t="s">
        <v>617</v>
      </c>
      <c r="F8">
        <v>10000</v>
      </c>
      <c r="I8">
        <v>2.5</v>
      </c>
      <c r="J8" t="s">
        <v>618</v>
      </c>
    </row>
    <row r="9" spans="1:10">
      <c r="A9">
        <v>25</v>
      </c>
      <c r="B9" t="s">
        <v>619</v>
      </c>
      <c r="C9" t="s">
        <v>620</v>
      </c>
      <c r="D9" t="s">
        <v>621</v>
      </c>
      <c r="E9" t="s">
        <v>622</v>
      </c>
      <c r="F9">
        <v>10000</v>
      </c>
      <c r="I9">
        <v>4</v>
      </c>
      <c r="J9" t="s">
        <v>623</v>
      </c>
    </row>
    <row r="10" spans="1:10">
      <c r="A10">
        <v>32</v>
      </c>
      <c r="B10" t="s">
        <v>624</v>
      </c>
      <c r="C10" t="s">
        <v>625</v>
      </c>
      <c r="D10" t="s">
        <v>626</v>
      </c>
      <c r="E10" t="s">
        <v>627</v>
      </c>
      <c r="F10">
        <v>10000</v>
      </c>
      <c r="I10">
        <v>6.3</v>
      </c>
      <c r="J10" t="s">
        <v>628</v>
      </c>
    </row>
    <row r="11" spans="1:10">
      <c r="A11">
        <v>40</v>
      </c>
      <c r="B11" t="s">
        <v>629</v>
      </c>
      <c r="C11" t="s">
        <v>630</v>
      </c>
      <c r="D11" t="s">
        <v>631</v>
      </c>
      <c r="E11" t="s">
        <v>632</v>
      </c>
      <c r="F11">
        <v>10000</v>
      </c>
      <c r="I11">
        <v>10</v>
      </c>
      <c r="J11" t="s">
        <v>633</v>
      </c>
    </row>
    <row r="12" spans="1:10">
      <c r="A12">
        <v>50</v>
      </c>
      <c r="B12" t="s">
        <v>634</v>
      </c>
      <c r="C12" t="s">
        <v>635</v>
      </c>
      <c r="D12" t="s">
        <v>636</v>
      </c>
      <c r="E12" t="s">
        <v>637</v>
      </c>
      <c r="F12">
        <v>10000</v>
      </c>
      <c r="I12">
        <v>14</v>
      </c>
      <c r="J12" t="s">
        <v>638</v>
      </c>
    </row>
    <row r="13" spans="1:10">
      <c r="A13">
        <v>63</v>
      </c>
      <c r="B13" t="s">
        <v>639</v>
      </c>
      <c r="C13" t="s">
        <v>640</v>
      </c>
      <c r="D13" t="s">
        <v>641</v>
      </c>
      <c r="E13" t="s">
        <v>642</v>
      </c>
      <c r="F13">
        <v>10000</v>
      </c>
      <c r="I13">
        <v>18</v>
      </c>
      <c r="J13" t="s">
        <v>643</v>
      </c>
    </row>
    <row r="14" spans="1:10">
      <c r="I14">
        <v>23</v>
      </c>
      <c r="J14" t="s">
        <v>644</v>
      </c>
    </row>
    <row r="15" spans="1:10">
      <c r="I15">
        <v>25</v>
      </c>
      <c r="J15" t="s">
        <v>645</v>
      </c>
    </row>
    <row r="16" spans="1:10">
      <c r="I16">
        <v>32</v>
      </c>
      <c r="J16" t="s">
        <v>646</v>
      </c>
    </row>
    <row r="20" spans="1:11">
      <c r="A20" t="s">
        <v>707</v>
      </c>
      <c r="B20" t="s">
        <v>300</v>
      </c>
      <c r="C20" t="s">
        <v>301</v>
      </c>
      <c r="D20" t="s">
        <v>302</v>
      </c>
      <c r="E20" t="s">
        <v>582</v>
      </c>
      <c r="F20" t="s">
        <v>303</v>
      </c>
      <c r="I20" t="s">
        <v>830</v>
      </c>
    </row>
    <row r="21" spans="1:11">
      <c r="A21">
        <v>1</v>
      </c>
      <c r="B21" t="s">
        <v>708</v>
      </c>
      <c r="C21" t="s">
        <v>720</v>
      </c>
      <c r="D21" t="s">
        <v>732</v>
      </c>
      <c r="E21" t="s">
        <v>744</v>
      </c>
      <c r="F21">
        <v>6000</v>
      </c>
      <c r="I21">
        <v>25</v>
      </c>
      <c r="J21" t="s">
        <v>815</v>
      </c>
      <c r="K21" t="s">
        <v>831</v>
      </c>
    </row>
    <row r="22" spans="1:11">
      <c r="A22">
        <v>2</v>
      </c>
      <c r="B22" t="s">
        <v>710</v>
      </c>
      <c r="C22" t="s">
        <v>721</v>
      </c>
      <c r="D22" t="s">
        <v>733</v>
      </c>
      <c r="E22" t="s">
        <v>745</v>
      </c>
      <c r="F22">
        <v>6000</v>
      </c>
      <c r="I22">
        <v>32</v>
      </c>
      <c r="J22" t="s">
        <v>816</v>
      </c>
      <c r="K22" t="s">
        <v>832</v>
      </c>
    </row>
    <row r="23" spans="1:11">
      <c r="A23">
        <v>4</v>
      </c>
      <c r="B23" t="s">
        <v>711</v>
      </c>
      <c r="C23" t="s">
        <v>722</v>
      </c>
      <c r="D23" t="s">
        <v>734</v>
      </c>
      <c r="E23" t="s">
        <v>746</v>
      </c>
      <c r="F23">
        <v>6000</v>
      </c>
      <c r="I23">
        <v>40</v>
      </c>
      <c r="J23" t="s">
        <v>817</v>
      </c>
      <c r="K23" t="s">
        <v>833</v>
      </c>
    </row>
    <row r="24" spans="1:11">
      <c r="A24">
        <v>6</v>
      </c>
      <c r="B24" t="s">
        <v>712</v>
      </c>
      <c r="C24" t="s">
        <v>723</v>
      </c>
      <c r="D24" t="s">
        <v>735</v>
      </c>
      <c r="E24" t="s">
        <v>747</v>
      </c>
      <c r="F24">
        <v>6000</v>
      </c>
      <c r="I24">
        <v>50</v>
      </c>
      <c r="J24" t="s">
        <v>818</v>
      </c>
      <c r="K24" t="s">
        <v>834</v>
      </c>
    </row>
    <row r="25" spans="1:11">
      <c r="A25">
        <v>10</v>
      </c>
      <c r="B25" t="s">
        <v>709</v>
      </c>
      <c r="C25" t="s">
        <v>724</v>
      </c>
      <c r="D25" t="s">
        <v>736</v>
      </c>
      <c r="E25" t="s">
        <v>748</v>
      </c>
      <c r="F25">
        <v>6000</v>
      </c>
      <c r="I25">
        <v>63</v>
      </c>
      <c r="J25" t="s">
        <v>819</v>
      </c>
      <c r="K25" t="s">
        <v>835</v>
      </c>
    </row>
    <row r="26" spans="1:11">
      <c r="A26">
        <v>16</v>
      </c>
      <c r="B26" t="s">
        <v>713</v>
      </c>
      <c r="C26" t="s">
        <v>725</v>
      </c>
      <c r="D26" t="s">
        <v>737</v>
      </c>
      <c r="E26" t="s">
        <v>749</v>
      </c>
      <c r="F26">
        <v>6000</v>
      </c>
      <c r="I26">
        <v>80</v>
      </c>
      <c r="J26" t="s">
        <v>820</v>
      </c>
      <c r="K26" t="s">
        <v>836</v>
      </c>
    </row>
    <row r="27" spans="1:11">
      <c r="A27">
        <v>20</v>
      </c>
      <c r="B27" t="s">
        <v>714</v>
      </c>
      <c r="C27" t="s">
        <v>726</v>
      </c>
      <c r="D27" t="s">
        <v>738</v>
      </c>
      <c r="E27" t="s">
        <v>750</v>
      </c>
      <c r="F27">
        <v>6000</v>
      </c>
      <c r="I27">
        <v>100</v>
      </c>
      <c r="J27" t="s">
        <v>814</v>
      </c>
      <c r="K27" t="s">
        <v>837</v>
      </c>
    </row>
    <row r="28" spans="1:11">
      <c r="A28">
        <v>25</v>
      </c>
      <c r="B28" t="s">
        <v>715</v>
      </c>
      <c r="C28" t="s">
        <v>727</v>
      </c>
      <c r="D28" t="s">
        <v>739</v>
      </c>
      <c r="E28" t="s">
        <v>751</v>
      </c>
      <c r="F28">
        <v>6000</v>
      </c>
      <c r="I28">
        <v>125</v>
      </c>
      <c r="J28" t="s">
        <v>821</v>
      </c>
      <c r="K28" t="s">
        <v>838</v>
      </c>
    </row>
    <row r="29" spans="1:11">
      <c r="A29">
        <v>32</v>
      </c>
      <c r="B29" t="s">
        <v>716</v>
      </c>
      <c r="C29" t="s">
        <v>728</v>
      </c>
      <c r="D29" t="s">
        <v>740</v>
      </c>
      <c r="E29" t="s">
        <v>752</v>
      </c>
      <c r="F29">
        <v>6000</v>
      </c>
      <c r="I29">
        <v>140</v>
      </c>
      <c r="J29" t="s">
        <v>822</v>
      </c>
      <c r="K29" t="s">
        <v>839</v>
      </c>
    </row>
    <row r="30" spans="1:11">
      <c r="A30">
        <v>40</v>
      </c>
      <c r="B30" t="s">
        <v>717</v>
      </c>
      <c r="C30" t="s">
        <v>729</v>
      </c>
      <c r="D30" t="s">
        <v>741</v>
      </c>
      <c r="E30" t="s">
        <v>753</v>
      </c>
      <c r="F30">
        <v>6000</v>
      </c>
      <c r="I30">
        <v>160</v>
      </c>
      <c r="J30" t="s">
        <v>823</v>
      </c>
      <c r="K30" t="s">
        <v>840</v>
      </c>
    </row>
    <row r="31" spans="1:11">
      <c r="A31">
        <v>50</v>
      </c>
      <c r="B31" t="s">
        <v>718</v>
      </c>
      <c r="C31" t="s">
        <v>730</v>
      </c>
      <c r="D31" t="s">
        <v>742</v>
      </c>
      <c r="E31" t="s">
        <v>754</v>
      </c>
      <c r="F31">
        <v>6000</v>
      </c>
      <c r="I31">
        <v>200</v>
      </c>
      <c r="J31" t="s">
        <v>824</v>
      </c>
      <c r="K31" t="s">
        <v>841</v>
      </c>
    </row>
    <row r="32" spans="1:11">
      <c r="A32">
        <v>63</v>
      </c>
      <c r="B32" t="s">
        <v>719</v>
      </c>
      <c r="C32" t="s">
        <v>731</v>
      </c>
      <c r="D32" t="s">
        <v>743</v>
      </c>
      <c r="E32" t="s">
        <v>755</v>
      </c>
      <c r="F32">
        <v>6000</v>
      </c>
      <c r="I32">
        <v>250</v>
      </c>
      <c r="J32" t="s">
        <v>825</v>
      </c>
      <c r="K32" t="s">
        <v>842</v>
      </c>
    </row>
    <row r="33" spans="1:11">
      <c r="I33">
        <v>320</v>
      </c>
      <c r="J33" t="s">
        <v>826</v>
      </c>
      <c r="K33" t="s">
        <v>843</v>
      </c>
    </row>
    <row r="34" spans="1:11">
      <c r="I34">
        <v>400</v>
      </c>
      <c r="J34" t="s">
        <v>827</v>
      </c>
      <c r="K34" t="s">
        <v>844</v>
      </c>
    </row>
    <row r="35" spans="1:11">
      <c r="I35">
        <v>500</v>
      </c>
      <c r="J35" t="s">
        <v>828</v>
      </c>
      <c r="K35" t="s">
        <v>845</v>
      </c>
    </row>
    <row r="36" spans="1:11">
      <c r="I36">
        <v>630</v>
      </c>
      <c r="J36" t="s">
        <v>829</v>
      </c>
      <c r="K36" t="s">
        <v>846</v>
      </c>
    </row>
    <row r="40" spans="1:11">
      <c r="A40" t="s">
        <v>861</v>
      </c>
      <c r="E40" t="s">
        <v>303</v>
      </c>
    </row>
    <row r="41" spans="1:11">
      <c r="A41">
        <v>6</v>
      </c>
      <c r="B41" t="s">
        <v>848</v>
      </c>
      <c r="C41" t="s">
        <v>847</v>
      </c>
      <c r="E41">
        <v>6000</v>
      </c>
    </row>
    <row r="42" spans="1:11">
      <c r="A42">
        <v>10</v>
      </c>
      <c r="B42" t="s">
        <v>850</v>
      </c>
      <c r="C42" t="s">
        <v>849</v>
      </c>
      <c r="E42">
        <v>6000</v>
      </c>
    </row>
    <row r="43" spans="1:11">
      <c r="A43">
        <v>16</v>
      </c>
      <c r="B43" t="s">
        <v>852</v>
      </c>
      <c r="C43" t="s">
        <v>851</v>
      </c>
      <c r="E43">
        <v>6000</v>
      </c>
    </row>
    <row r="44" spans="1:11">
      <c r="A44">
        <v>20</v>
      </c>
      <c r="B44" t="s">
        <v>854</v>
      </c>
      <c r="C44" t="s">
        <v>853</v>
      </c>
      <c r="E44">
        <v>6000</v>
      </c>
    </row>
    <row r="45" spans="1:11">
      <c r="A45">
        <v>25</v>
      </c>
      <c r="B45" t="s">
        <v>856</v>
      </c>
      <c r="C45" t="s">
        <v>855</v>
      </c>
      <c r="E45">
        <v>6000</v>
      </c>
    </row>
    <row r="46" spans="1:11">
      <c r="A46">
        <v>32</v>
      </c>
      <c r="B46" t="s">
        <v>858</v>
      </c>
      <c r="C46" t="s">
        <v>857</v>
      </c>
      <c r="E46">
        <v>6000</v>
      </c>
    </row>
    <row r="47" spans="1:11">
      <c r="A47">
        <v>40</v>
      </c>
      <c r="B47" t="s">
        <v>860</v>
      </c>
      <c r="C47" t="s">
        <v>859</v>
      </c>
      <c r="E47">
        <v>6000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38356-FB09-4260-9A74-DF17713586FB}">
  <dimension ref="A1:H47"/>
  <sheetViews>
    <sheetView topLeftCell="A7" workbookViewId="0">
      <selection activeCell="A15" sqref="A15"/>
    </sheetView>
  </sheetViews>
  <sheetFormatPr defaultRowHeight="14.5"/>
  <cols>
    <col min="1" max="1" width="19.1796875" customWidth="1"/>
    <col min="2" max="2" width="11.26953125" customWidth="1"/>
  </cols>
  <sheetData>
    <row r="1" spans="1:8">
      <c r="A1" t="s">
        <v>862</v>
      </c>
      <c r="B1" t="s">
        <v>300</v>
      </c>
      <c r="C1" t="s">
        <v>301</v>
      </c>
      <c r="D1" t="s">
        <v>302</v>
      </c>
      <c r="G1" t="s">
        <v>865</v>
      </c>
    </row>
    <row r="2" spans="1:8">
      <c r="A2">
        <v>6</v>
      </c>
      <c r="B2" t="s">
        <v>756</v>
      </c>
      <c r="C2" t="s">
        <v>765</v>
      </c>
      <c r="D2" t="s">
        <v>774</v>
      </c>
      <c r="E2">
        <v>6000</v>
      </c>
      <c r="G2">
        <v>10</v>
      </c>
      <c r="H2" t="s">
        <v>866</v>
      </c>
    </row>
    <row r="3" spans="1:8">
      <c r="A3">
        <v>10</v>
      </c>
      <c r="B3" t="s">
        <v>757</v>
      </c>
      <c r="C3" t="s">
        <v>766</v>
      </c>
      <c r="D3" t="s">
        <v>775</v>
      </c>
      <c r="E3">
        <v>6000</v>
      </c>
      <c r="G3">
        <v>16</v>
      </c>
      <c r="H3" t="s">
        <v>867</v>
      </c>
    </row>
    <row r="4" spans="1:8">
      <c r="A4">
        <v>16</v>
      </c>
      <c r="B4" t="s">
        <v>758</v>
      </c>
      <c r="C4" t="s">
        <v>767</v>
      </c>
      <c r="D4" t="s">
        <v>776</v>
      </c>
      <c r="E4">
        <v>6000</v>
      </c>
      <c r="G4">
        <v>20</v>
      </c>
      <c r="H4" t="s">
        <v>868</v>
      </c>
    </row>
    <row r="5" spans="1:8">
      <c r="A5">
        <v>20</v>
      </c>
      <c r="B5" t="s">
        <v>759</v>
      </c>
      <c r="C5" t="s">
        <v>768</v>
      </c>
      <c r="D5" t="s">
        <v>777</v>
      </c>
      <c r="E5">
        <v>6000</v>
      </c>
      <c r="G5">
        <v>25</v>
      </c>
      <c r="H5" t="s">
        <v>869</v>
      </c>
    </row>
    <row r="6" spans="1:8">
      <c r="A6">
        <v>25</v>
      </c>
      <c r="B6" t="s">
        <v>760</v>
      </c>
      <c r="C6" t="s">
        <v>769</v>
      </c>
      <c r="D6" t="s">
        <v>778</v>
      </c>
      <c r="E6">
        <v>6000</v>
      </c>
      <c r="G6">
        <v>32</v>
      </c>
      <c r="H6" t="s">
        <v>870</v>
      </c>
    </row>
    <row r="7" spans="1:8">
      <c r="A7">
        <v>32</v>
      </c>
      <c r="B7" t="s">
        <v>761</v>
      </c>
      <c r="C7" t="s">
        <v>770</v>
      </c>
      <c r="D7" t="s">
        <v>779</v>
      </c>
      <c r="E7">
        <v>6000</v>
      </c>
      <c r="G7">
        <v>40</v>
      </c>
      <c r="H7" t="s">
        <v>871</v>
      </c>
    </row>
    <row r="8" spans="1:8">
      <c r="A8">
        <v>40</v>
      </c>
      <c r="B8" t="s">
        <v>762</v>
      </c>
      <c r="C8" t="s">
        <v>771</v>
      </c>
      <c r="D8" t="s">
        <v>780</v>
      </c>
      <c r="E8">
        <v>6000</v>
      </c>
    </row>
    <row r="9" spans="1:8">
      <c r="A9">
        <v>50</v>
      </c>
      <c r="B9" t="s">
        <v>763</v>
      </c>
      <c r="C9" t="s">
        <v>772</v>
      </c>
      <c r="D9" t="s">
        <v>781</v>
      </c>
      <c r="E9">
        <v>6000</v>
      </c>
    </row>
    <row r="10" spans="1:8">
      <c r="A10">
        <v>63</v>
      </c>
      <c r="B10" t="s">
        <v>764</v>
      </c>
      <c r="C10" t="s">
        <v>773</v>
      </c>
      <c r="D10" t="s">
        <v>782</v>
      </c>
      <c r="E10">
        <v>6000</v>
      </c>
    </row>
    <row r="15" spans="1:8">
      <c r="A15" t="s">
        <v>863</v>
      </c>
    </row>
    <row r="16" spans="1:8">
      <c r="A16">
        <v>16</v>
      </c>
      <c r="B16" t="s">
        <v>783</v>
      </c>
    </row>
    <row r="17" spans="1:2">
      <c r="A17">
        <v>25</v>
      </c>
      <c r="B17" t="s">
        <v>784</v>
      </c>
    </row>
    <row r="18" spans="1:2">
      <c r="A18">
        <v>32</v>
      </c>
      <c r="B18" t="s">
        <v>785</v>
      </c>
    </row>
    <row r="19" spans="1:2">
      <c r="A19">
        <v>40</v>
      </c>
      <c r="B19" t="s">
        <v>786</v>
      </c>
    </row>
    <row r="20" spans="1:2">
      <c r="A20">
        <v>50</v>
      </c>
      <c r="B20" t="s">
        <v>787</v>
      </c>
    </row>
    <row r="21" spans="1:2">
      <c r="A21">
        <v>63</v>
      </c>
      <c r="B21" t="s">
        <v>788</v>
      </c>
    </row>
    <row r="22" spans="1:2">
      <c r="A22">
        <v>80</v>
      </c>
      <c r="B22" t="s">
        <v>789</v>
      </c>
    </row>
    <row r="23" spans="1:2">
      <c r="A23">
        <v>100</v>
      </c>
      <c r="B23" t="s">
        <v>790</v>
      </c>
    </row>
    <row r="24" spans="1:2">
      <c r="A24">
        <v>125</v>
      </c>
      <c r="B24" t="s">
        <v>791</v>
      </c>
    </row>
    <row r="25" spans="1:2">
      <c r="A25">
        <v>160</v>
      </c>
      <c r="B25" t="s">
        <v>792</v>
      </c>
    </row>
    <row r="26" spans="1:2">
      <c r="A26">
        <v>200</v>
      </c>
      <c r="B26" t="s">
        <v>793</v>
      </c>
    </row>
    <row r="27" spans="1:2">
      <c r="A27">
        <v>250</v>
      </c>
      <c r="B27" t="s">
        <v>794</v>
      </c>
    </row>
    <row r="28" spans="1:2">
      <c r="A28">
        <v>400</v>
      </c>
      <c r="B28" t="s">
        <v>795</v>
      </c>
    </row>
    <row r="29" spans="1:2">
      <c r="A29">
        <v>500</v>
      </c>
      <c r="B29" t="s">
        <v>796</v>
      </c>
    </row>
    <row r="30" spans="1:2">
      <c r="A30">
        <v>600</v>
      </c>
      <c r="B30" t="s">
        <v>797</v>
      </c>
    </row>
    <row r="32" spans="1:2">
      <c r="A32" t="s">
        <v>864</v>
      </c>
    </row>
    <row r="33" spans="1:2">
      <c r="A33">
        <v>0.16</v>
      </c>
      <c r="B33" t="s">
        <v>799</v>
      </c>
    </row>
    <row r="34" spans="1:2">
      <c r="A34">
        <v>0.25</v>
      </c>
      <c r="B34" t="s">
        <v>800</v>
      </c>
    </row>
    <row r="35" spans="1:2">
      <c r="A35">
        <v>0.4</v>
      </c>
      <c r="B35" t="s">
        <v>801</v>
      </c>
    </row>
    <row r="36" spans="1:2">
      <c r="A36">
        <v>0.63</v>
      </c>
      <c r="B36" t="s">
        <v>802</v>
      </c>
    </row>
    <row r="37" spans="1:2">
      <c r="A37">
        <v>1</v>
      </c>
      <c r="B37" t="s">
        <v>803</v>
      </c>
    </row>
    <row r="38" spans="1:2">
      <c r="A38">
        <v>1.6</v>
      </c>
      <c r="B38" t="s">
        <v>804</v>
      </c>
    </row>
    <row r="39" spans="1:2">
      <c r="A39">
        <v>2.5</v>
      </c>
      <c r="B39" t="s">
        <v>805</v>
      </c>
    </row>
    <row r="40" spans="1:2">
      <c r="A40">
        <v>4</v>
      </c>
      <c r="B40" t="s">
        <v>806</v>
      </c>
    </row>
    <row r="41" spans="1:2">
      <c r="A41">
        <v>6.3</v>
      </c>
      <c r="B41" t="s">
        <v>807</v>
      </c>
    </row>
    <row r="42" spans="1:2">
      <c r="A42">
        <v>10</v>
      </c>
      <c r="B42" t="s">
        <v>808</v>
      </c>
    </row>
    <row r="43" spans="1:2">
      <c r="A43">
        <v>14</v>
      </c>
      <c r="B43" t="s">
        <v>809</v>
      </c>
    </row>
    <row r="44" spans="1:2">
      <c r="A44">
        <v>18</v>
      </c>
      <c r="B44" t="s">
        <v>810</v>
      </c>
    </row>
    <row r="45" spans="1:2">
      <c r="A45">
        <v>23</v>
      </c>
      <c r="B45" t="s">
        <v>811</v>
      </c>
    </row>
    <row r="46" spans="1:2">
      <c r="A46">
        <v>25</v>
      </c>
      <c r="B46" t="s">
        <v>812</v>
      </c>
    </row>
    <row r="47" spans="1:2">
      <c r="A47">
        <v>32</v>
      </c>
      <c r="B47" t="s">
        <v>813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C69F5-B971-4F32-904D-B5113A840B6C}">
  <dimension ref="A1:F14"/>
  <sheetViews>
    <sheetView workbookViewId="0">
      <selection activeCell="J15" sqref="J15"/>
    </sheetView>
  </sheetViews>
  <sheetFormatPr defaultRowHeight="14.5"/>
  <sheetData>
    <row r="1" spans="1:6">
      <c r="A1" t="s">
        <v>647</v>
      </c>
      <c r="B1" t="s">
        <v>300</v>
      </c>
      <c r="C1" t="s">
        <v>301</v>
      </c>
      <c r="D1" t="s">
        <v>302</v>
      </c>
      <c r="E1" t="s">
        <v>582</v>
      </c>
      <c r="F1" t="s">
        <v>303</v>
      </c>
    </row>
    <row r="2" spans="1:6">
      <c r="A2">
        <v>1</v>
      </c>
      <c r="B2" t="s">
        <v>648</v>
      </c>
      <c r="C2" t="s">
        <v>649</v>
      </c>
      <c r="D2" t="s">
        <v>650</v>
      </c>
      <c r="E2" t="s">
        <v>651</v>
      </c>
      <c r="F2">
        <v>15000</v>
      </c>
    </row>
    <row r="3" spans="1:6">
      <c r="A3">
        <v>2</v>
      </c>
      <c r="B3" t="s">
        <v>652</v>
      </c>
      <c r="C3" t="s">
        <v>653</v>
      </c>
      <c r="D3" t="s">
        <v>654</v>
      </c>
      <c r="E3" t="s">
        <v>655</v>
      </c>
      <c r="F3">
        <v>15000</v>
      </c>
    </row>
    <row r="4" spans="1:6">
      <c r="A4">
        <v>3</v>
      </c>
      <c r="B4" t="s">
        <v>656</v>
      </c>
      <c r="C4" t="s">
        <v>657</v>
      </c>
      <c r="D4" t="s">
        <v>658</v>
      </c>
      <c r="E4" t="s">
        <v>659</v>
      </c>
      <c r="F4">
        <v>15000</v>
      </c>
    </row>
    <row r="5" spans="1:6">
      <c r="A5">
        <v>4</v>
      </c>
      <c r="B5" t="s">
        <v>660</v>
      </c>
      <c r="C5" t="s">
        <v>661</v>
      </c>
      <c r="D5" t="s">
        <v>662</v>
      </c>
      <c r="E5" t="s">
        <v>663</v>
      </c>
      <c r="F5">
        <v>15000</v>
      </c>
    </row>
    <row r="6" spans="1:6">
      <c r="A6">
        <v>5</v>
      </c>
      <c r="B6" t="s">
        <v>664</v>
      </c>
      <c r="C6" t="s">
        <v>665</v>
      </c>
      <c r="D6" t="s">
        <v>666</v>
      </c>
      <c r="E6" t="s">
        <v>667</v>
      </c>
      <c r="F6">
        <v>15000</v>
      </c>
    </row>
    <row r="7" spans="1:6">
      <c r="A7">
        <v>6</v>
      </c>
      <c r="B7" t="s">
        <v>668</v>
      </c>
      <c r="C7" t="s">
        <v>669</v>
      </c>
      <c r="D7" t="s">
        <v>670</v>
      </c>
      <c r="E7" t="s">
        <v>671</v>
      </c>
      <c r="F7">
        <v>15000</v>
      </c>
    </row>
    <row r="8" spans="1:6">
      <c r="A8">
        <v>8</v>
      </c>
      <c r="B8" t="s">
        <v>672</v>
      </c>
      <c r="C8" t="s">
        <v>673</v>
      </c>
      <c r="D8" t="s">
        <v>674</v>
      </c>
      <c r="E8" t="s">
        <v>675</v>
      </c>
      <c r="F8">
        <v>15000</v>
      </c>
    </row>
    <row r="9" spans="1:6">
      <c r="A9">
        <v>10</v>
      </c>
      <c r="B9" t="s">
        <v>676</v>
      </c>
      <c r="C9" t="s">
        <v>677</v>
      </c>
      <c r="D9" t="s">
        <v>678</v>
      </c>
      <c r="E9" t="s">
        <v>679</v>
      </c>
      <c r="F9">
        <v>15000</v>
      </c>
    </row>
    <row r="10" spans="1:6">
      <c r="A10">
        <v>13</v>
      </c>
      <c r="B10" t="s">
        <v>680</v>
      </c>
      <c r="C10" t="s">
        <v>681</v>
      </c>
      <c r="D10" t="s">
        <v>682</v>
      </c>
      <c r="E10" t="s">
        <v>683</v>
      </c>
      <c r="F10">
        <v>15000</v>
      </c>
    </row>
    <row r="11" spans="1:6">
      <c r="A11">
        <v>16</v>
      </c>
      <c r="B11" t="s">
        <v>684</v>
      </c>
      <c r="C11" t="s">
        <v>685</v>
      </c>
      <c r="D11" t="s">
        <v>686</v>
      </c>
      <c r="E11" t="s">
        <v>687</v>
      </c>
      <c r="F11">
        <v>15000</v>
      </c>
    </row>
    <row r="12" spans="1:6">
      <c r="A12">
        <v>20</v>
      </c>
      <c r="B12" t="s">
        <v>688</v>
      </c>
      <c r="C12" t="s">
        <v>689</v>
      </c>
      <c r="D12" t="s">
        <v>690</v>
      </c>
      <c r="E12" t="s">
        <v>691</v>
      </c>
      <c r="F12">
        <v>15000</v>
      </c>
    </row>
    <row r="13" spans="1:6">
      <c r="A13">
        <v>25</v>
      </c>
      <c r="B13" t="s">
        <v>692</v>
      </c>
      <c r="C13" t="s">
        <v>693</v>
      </c>
      <c r="D13" t="s">
        <v>694</v>
      </c>
      <c r="E13" t="s">
        <v>695</v>
      </c>
      <c r="F13">
        <v>15000</v>
      </c>
    </row>
    <row r="14" spans="1:6">
      <c r="A14">
        <v>32</v>
      </c>
      <c r="B14" t="s">
        <v>696</v>
      </c>
      <c r="C14" t="s">
        <v>697</v>
      </c>
      <c r="D14" t="s">
        <v>698</v>
      </c>
      <c r="E14" t="s">
        <v>699</v>
      </c>
      <c r="F14">
        <v>15000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11"/>
  <dimension ref="A1:AS68"/>
  <sheetViews>
    <sheetView topLeftCell="A37" workbookViewId="0">
      <selection activeCell="D65" sqref="D65:D68"/>
    </sheetView>
  </sheetViews>
  <sheetFormatPr defaultRowHeight="14.5"/>
  <cols>
    <col min="1" max="1" width="8.7265625" bestFit="1" customWidth="1"/>
    <col min="2" max="4" width="10" bestFit="1" customWidth="1"/>
    <col min="8" max="8" width="8.7265625" customWidth="1"/>
    <col min="9" max="10" width="12.453125" customWidth="1"/>
    <col min="11" max="11" width="9.7265625" customWidth="1"/>
    <col min="12" max="12" width="9.54296875" customWidth="1"/>
    <col min="13" max="13" width="8.81640625" customWidth="1"/>
    <col min="14" max="14" width="4" bestFit="1" customWidth="1"/>
    <col min="15" max="15" width="14.54296875" bestFit="1" customWidth="1"/>
    <col min="16" max="16" width="8.81640625" bestFit="1" customWidth="1"/>
    <col min="17" max="17" width="12" bestFit="1" customWidth="1"/>
    <col min="19" max="19" width="8.54296875" customWidth="1"/>
    <col min="20" max="20" width="14" customWidth="1"/>
    <col min="21" max="21" width="14.54296875" customWidth="1"/>
    <col min="22" max="22" width="13.453125" customWidth="1"/>
    <col min="23" max="23" width="14.54296875" customWidth="1"/>
    <col min="26" max="26" width="7" customWidth="1"/>
    <col min="27" max="27" width="10.1796875" customWidth="1"/>
    <col min="29" max="29" width="12.26953125" customWidth="1"/>
    <col min="32" max="32" width="16" customWidth="1"/>
    <col min="33" max="33" width="13.453125" customWidth="1"/>
  </cols>
  <sheetData>
    <row r="1" spans="1:45" ht="15" thickBot="1">
      <c r="A1" s="225" t="s">
        <v>296</v>
      </c>
      <c r="B1" s="226"/>
      <c r="C1" s="226"/>
      <c r="D1" s="226"/>
      <c r="E1" s="226"/>
      <c r="F1" s="226"/>
      <c r="G1" s="227"/>
      <c r="H1" s="225" t="s">
        <v>297</v>
      </c>
      <c r="I1" s="226"/>
      <c r="J1" s="226"/>
      <c r="K1" s="226"/>
      <c r="L1" s="226"/>
      <c r="M1" s="227"/>
      <c r="N1" s="228" t="s">
        <v>298</v>
      </c>
      <c r="O1" s="229"/>
      <c r="P1" s="229"/>
      <c r="Q1" s="229"/>
      <c r="R1" s="229"/>
      <c r="S1" s="51" t="s">
        <v>299</v>
      </c>
      <c r="T1" s="78" t="s">
        <v>300</v>
      </c>
      <c r="U1" s="78" t="s">
        <v>301</v>
      </c>
      <c r="V1" s="78" t="s">
        <v>302</v>
      </c>
      <c r="W1" s="78" t="s">
        <v>303</v>
      </c>
      <c r="X1" s="52"/>
      <c r="Y1" s="53"/>
      <c r="Z1" s="1" t="s">
        <v>553</v>
      </c>
      <c r="AA1" s="52"/>
      <c r="AB1" s="52"/>
      <c r="AC1" s="53"/>
      <c r="AE1" s="82" t="s">
        <v>578</v>
      </c>
      <c r="AF1" s="52"/>
      <c r="AG1" s="53"/>
      <c r="AO1" s="51" t="s">
        <v>299</v>
      </c>
      <c r="AP1" s="78" t="s">
        <v>300</v>
      </c>
      <c r="AQ1" s="78" t="s">
        <v>301</v>
      </c>
      <c r="AR1" s="78" t="s">
        <v>302</v>
      </c>
      <c r="AS1" s="78" t="s">
        <v>303</v>
      </c>
    </row>
    <row r="2" spans="1:45">
      <c r="A2" s="3" t="s">
        <v>299</v>
      </c>
      <c r="B2" s="2" t="s">
        <v>300</v>
      </c>
      <c r="C2" s="2" t="s">
        <v>301</v>
      </c>
      <c r="D2" s="2" t="s">
        <v>302</v>
      </c>
      <c r="E2" s="2" t="s">
        <v>303</v>
      </c>
      <c r="G2" s="4"/>
      <c r="H2" s="51"/>
      <c r="I2" s="52"/>
      <c r="J2" s="66" t="s">
        <v>304</v>
      </c>
      <c r="K2" s="52" t="s">
        <v>305</v>
      </c>
      <c r="L2" s="52"/>
      <c r="M2" s="53"/>
      <c r="N2" s="51"/>
      <c r="O2" s="52"/>
      <c r="P2" s="66" t="s">
        <v>304</v>
      </c>
      <c r="Q2" s="52" t="s">
        <v>305</v>
      </c>
      <c r="R2" s="52"/>
      <c r="S2" s="3">
        <v>0.5</v>
      </c>
      <c r="T2" t="s">
        <v>420</v>
      </c>
      <c r="U2" t="s">
        <v>423</v>
      </c>
      <c r="V2" t="s">
        <v>426</v>
      </c>
      <c r="W2">
        <v>6000</v>
      </c>
      <c r="Y2" s="4"/>
      <c r="Z2" s="3"/>
      <c r="AA2" t="s">
        <v>552</v>
      </c>
      <c r="AB2" s="78" t="s">
        <v>303</v>
      </c>
      <c r="AC2" s="4"/>
      <c r="AE2" s="3"/>
      <c r="AG2" s="4"/>
      <c r="AO2" s="3">
        <v>0.5</v>
      </c>
      <c r="AP2" t="s">
        <v>420</v>
      </c>
      <c r="AQ2" t="s">
        <v>423</v>
      </c>
      <c r="AR2" t="s">
        <v>426</v>
      </c>
      <c r="AS2">
        <v>6000</v>
      </c>
    </row>
    <row r="3" spans="1:45">
      <c r="A3" s="3">
        <v>6</v>
      </c>
      <c r="B3" s="2" t="s">
        <v>306</v>
      </c>
      <c r="C3" s="2" t="s">
        <v>307</v>
      </c>
      <c r="D3" s="2" t="s">
        <v>308</v>
      </c>
      <c r="E3">
        <v>4500</v>
      </c>
      <c r="G3" s="4"/>
      <c r="H3" s="3">
        <v>0.16</v>
      </c>
      <c r="I3" t="s">
        <v>309</v>
      </c>
      <c r="J3" t="s">
        <v>310</v>
      </c>
      <c r="K3">
        <v>1.5</v>
      </c>
      <c r="M3" s="4"/>
      <c r="N3" s="3">
        <v>20</v>
      </c>
      <c r="O3" t="s">
        <v>311</v>
      </c>
      <c r="P3" t="s">
        <v>312</v>
      </c>
      <c r="Q3">
        <v>350</v>
      </c>
      <c r="S3" s="3">
        <v>1</v>
      </c>
      <c r="T3" t="s">
        <v>429</v>
      </c>
      <c r="U3" t="s">
        <v>432</v>
      </c>
      <c r="V3" t="s">
        <v>435</v>
      </c>
      <c r="W3">
        <v>6000</v>
      </c>
      <c r="Y3" s="4"/>
      <c r="Z3" s="3">
        <v>6</v>
      </c>
      <c r="AA3" t="s">
        <v>545</v>
      </c>
      <c r="AB3">
        <v>6000</v>
      </c>
      <c r="AC3" s="4"/>
      <c r="AE3" s="3">
        <v>15</v>
      </c>
      <c r="AF3" t="s">
        <v>554</v>
      </c>
      <c r="AG3" s="4"/>
      <c r="AO3" s="3">
        <v>1</v>
      </c>
      <c r="AP3" t="s">
        <v>429</v>
      </c>
      <c r="AQ3" t="s">
        <v>432</v>
      </c>
      <c r="AR3" t="s">
        <v>435</v>
      </c>
      <c r="AS3">
        <v>6000</v>
      </c>
    </row>
    <row r="4" spans="1:45">
      <c r="A4" s="3">
        <v>10</v>
      </c>
      <c r="B4" s="2" t="s">
        <v>313</v>
      </c>
      <c r="C4" s="2" t="s">
        <v>314</v>
      </c>
      <c r="D4" s="2" t="s">
        <v>315</v>
      </c>
      <c r="E4">
        <v>4500</v>
      </c>
      <c r="G4" s="4"/>
      <c r="H4" s="3">
        <v>0.25</v>
      </c>
      <c r="I4" t="s">
        <v>316</v>
      </c>
      <c r="J4" t="s">
        <v>317</v>
      </c>
      <c r="K4">
        <v>2.4</v>
      </c>
      <c r="M4" s="4"/>
      <c r="N4" s="3">
        <v>25</v>
      </c>
      <c r="O4" t="s">
        <v>318</v>
      </c>
      <c r="P4" t="s">
        <v>319</v>
      </c>
      <c r="Q4">
        <v>350</v>
      </c>
      <c r="S4" s="3">
        <v>2</v>
      </c>
      <c r="T4" t="s">
        <v>456</v>
      </c>
      <c r="U4" t="s">
        <v>459</v>
      </c>
      <c r="V4" t="s">
        <v>462</v>
      </c>
      <c r="W4">
        <v>6000</v>
      </c>
      <c r="Y4" s="4"/>
      <c r="Z4" s="3">
        <v>10</v>
      </c>
      <c r="AA4" t="s">
        <v>546</v>
      </c>
      <c r="AB4">
        <v>6000</v>
      </c>
      <c r="AC4" s="4"/>
      <c r="AE4" s="3">
        <v>16</v>
      </c>
      <c r="AF4" t="s">
        <v>555</v>
      </c>
      <c r="AG4" s="4"/>
      <c r="AO4" s="3">
        <v>2</v>
      </c>
      <c r="AP4" t="s">
        <v>456</v>
      </c>
      <c r="AQ4" t="s">
        <v>459</v>
      </c>
      <c r="AR4" t="s">
        <v>462</v>
      </c>
      <c r="AS4">
        <v>6000</v>
      </c>
    </row>
    <row r="5" spans="1:45">
      <c r="A5" s="3">
        <v>16</v>
      </c>
      <c r="B5" s="2" t="s">
        <v>320</v>
      </c>
      <c r="C5" s="2" t="s">
        <v>321</v>
      </c>
      <c r="D5" s="2" t="s">
        <v>322</v>
      </c>
      <c r="E5">
        <v>4500</v>
      </c>
      <c r="G5" s="4"/>
      <c r="H5" s="3">
        <v>0.4</v>
      </c>
      <c r="I5" t="s">
        <v>323</v>
      </c>
      <c r="J5" t="s">
        <v>324</v>
      </c>
      <c r="K5">
        <v>5</v>
      </c>
      <c r="M5" s="4"/>
      <c r="N5" s="3">
        <v>32</v>
      </c>
      <c r="O5" t="s">
        <v>325</v>
      </c>
      <c r="P5" t="s">
        <v>326</v>
      </c>
      <c r="Q5">
        <v>350</v>
      </c>
      <c r="S5" s="3">
        <v>3</v>
      </c>
      <c r="T5" t="s">
        <v>483</v>
      </c>
      <c r="U5" t="s">
        <v>486</v>
      </c>
      <c r="V5" t="s">
        <v>489</v>
      </c>
      <c r="W5">
        <v>6000</v>
      </c>
      <c r="Y5" s="4"/>
      <c r="Z5" s="3">
        <v>16</v>
      </c>
      <c r="AA5" t="s">
        <v>547</v>
      </c>
      <c r="AB5">
        <v>6000</v>
      </c>
      <c r="AC5" s="4"/>
      <c r="AE5" s="3">
        <v>20</v>
      </c>
      <c r="AF5" t="s">
        <v>556</v>
      </c>
      <c r="AG5" s="4"/>
      <c r="AO5" s="3">
        <v>3</v>
      </c>
      <c r="AP5" t="s">
        <v>483</v>
      </c>
      <c r="AQ5" t="s">
        <v>486</v>
      </c>
      <c r="AR5" t="s">
        <v>489</v>
      </c>
      <c r="AS5">
        <v>6000</v>
      </c>
    </row>
    <row r="6" spans="1:45">
      <c r="A6" s="3">
        <v>20</v>
      </c>
      <c r="B6" s="2" t="s">
        <v>327</v>
      </c>
      <c r="C6" s="2" t="s">
        <v>328</v>
      </c>
      <c r="D6" s="2" t="s">
        <v>329</v>
      </c>
      <c r="E6">
        <v>4500</v>
      </c>
      <c r="G6" s="4"/>
      <c r="H6" s="3">
        <v>0.63</v>
      </c>
      <c r="I6" t="s">
        <v>330</v>
      </c>
      <c r="J6" t="s">
        <v>331</v>
      </c>
      <c r="K6">
        <v>6</v>
      </c>
      <c r="M6" s="4"/>
      <c r="N6" s="3">
        <v>40</v>
      </c>
      <c r="O6" t="s">
        <v>332</v>
      </c>
      <c r="P6" t="s">
        <v>333</v>
      </c>
      <c r="Q6" t="s">
        <v>334</v>
      </c>
      <c r="S6" s="3">
        <v>4</v>
      </c>
      <c r="T6" t="s">
        <v>501</v>
      </c>
      <c r="U6" t="s">
        <v>504</v>
      </c>
      <c r="V6" t="s">
        <v>507</v>
      </c>
      <c r="W6">
        <v>6000</v>
      </c>
      <c r="Y6" s="4"/>
      <c r="Z6" s="3">
        <v>20</v>
      </c>
      <c r="AA6" t="s">
        <v>548</v>
      </c>
      <c r="AB6">
        <v>6000</v>
      </c>
      <c r="AC6" s="4"/>
      <c r="AE6" s="3">
        <v>25</v>
      </c>
      <c r="AF6" t="s">
        <v>557</v>
      </c>
      <c r="AG6" s="4"/>
      <c r="AO6" s="3">
        <v>4</v>
      </c>
      <c r="AP6" t="s">
        <v>501</v>
      </c>
      <c r="AQ6" t="s">
        <v>504</v>
      </c>
      <c r="AR6" t="s">
        <v>507</v>
      </c>
      <c r="AS6">
        <v>6000</v>
      </c>
    </row>
    <row r="7" spans="1:45">
      <c r="A7" s="3">
        <v>25</v>
      </c>
      <c r="B7" s="2" t="s">
        <v>335</v>
      </c>
      <c r="C7" s="2" t="s">
        <v>336</v>
      </c>
      <c r="D7" s="2" t="s">
        <v>337</v>
      </c>
      <c r="E7">
        <v>4500</v>
      </c>
      <c r="G7" s="4"/>
      <c r="H7" s="3">
        <v>1</v>
      </c>
      <c r="I7" t="s">
        <v>338</v>
      </c>
      <c r="J7" t="s">
        <v>339</v>
      </c>
      <c r="K7">
        <v>13</v>
      </c>
      <c r="M7" s="4"/>
      <c r="N7" s="3">
        <v>50</v>
      </c>
      <c r="O7" t="s">
        <v>340</v>
      </c>
      <c r="P7" t="s">
        <v>341</v>
      </c>
      <c r="Q7" t="s">
        <v>342</v>
      </c>
      <c r="S7" s="3">
        <v>6</v>
      </c>
      <c r="T7" t="s">
        <v>528</v>
      </c>
      <c r="U7" t="s">
        <v>531</v>
      </c>
      <c r="V7" t="s">
        <v>534</v>
      </c>
      <c r="W7">
        <v>6000</v>
      </c>
      <c r="Y7" s="4"/>
      <c r="Z7" s="3">
        <v>25</v>
      </c>
      <c r="AA7" t="s">
        <v>549</v>
      </c>
      <c r="AB7">
        <v>6000</v>
      </c>
      <c r="AC7" s="4"/>
      <c r="AE7" s="3">
        <v>30</v>
      </c>
      <c r="AF7" t="s">
        <v>558</v>
      </c>
      <c r="AG7" s="4"/>
      <c r="AO7" s="3">
        <v>6</v>
      </c>
      <c r="AP7" t="s">
        <v>528</v>
      </c>
      <c r="AQ7" t="s">
        <v>531</v>
      </c>
      <c r="AR7" t="s">
        <v>534</v>
      </c>
      <c r="AS7">
        <v>6000</v>
      </c>
    </row>
    <row r="8" spans="1:45">
      <c r="A8" s="3">
        <v>32</v>
      </c>
      <c r="B8" s="2" t="s">
        <v>343</v>
      </c>
      <c r="C8" s="2" t="s">
        <v>344</v>
      </c>
      <c r="D8" s="2" t="s">
        <v>345</v>
      </c>
      <c r="E8">
        <v>4500</v>
      </c>
      <c r="G8" s="4"/>
      <c r="H8" s="3">
        <v>1.6</v>
      </c>
      <c r="I8" t="s">
        <v>346</v>
      </c>
      <c r="J8" t="s">
        <v>347</v>
      </c>
      <c r="K8">
        <v>22.5</v>
      </c>
      <c r="M8" s="4"/>
      <c r="N8" s="3">
        <v>63</v>
      </c>
      <c r="O8" t="s">
        <v>348</v>
      </c>
      <c r="P8" t="s">
        <v>349</v>
      </c>
      <c r="Q8" t="s">
        <v>350</v>
      </c>
      <c r="S8" s="3">
        <v>10</v>
      </c>
      <c r="T8" t="s">
        <v>438</v>
      </c>
      <c r="U8" t="s">
        <v>441</v>
      </c>
      <c r="V8" t="s">
        <v>444</v>
      </c>
      <c r="W8">
        <v>6000</v>
      </c>
      <c r="Y8" s="4"/>
      <c r="Z8" s="3">
        <v>32</v>
      </c>
      <c r="AA8" t="s">
        <v>550</v>
      </c>
      <c r="AB8">
        <v>6000</v>
      </c>
      <c r="AC8" s="4"/>
      <c r="AE8" s="3">
        <v>32</v>
      </c>
      <c r="AF8" t="s">
        <v>559</v>
      </c>
      <c r="AG8" s="4"/>
      <c r="AO8" s="3">
        <v>10</v>
      </c>
      <c r="AP8" t="s">
        <v>438</v>
      </c>
      <c r="AQ8" t="s">
        <v>441</v>
      </c>
      <c r="AR8" t="s">
        <v>444</v>
      </c>
      <c r="AS8">
        <v>6000</v>
      </c>
    </row>
    <row r="9" spans="1:45">
      <c r="A9" s="3">
        <v>40</v>
      </c>
      <c r="B9" s="2" t="s">
        <v>351</v>
      </c>
      <c r="C9" s="2" t="s">
        <v>352</v>
      </c>
      <c r="D9" s="2" t="s">
        <v>353</v>
      </c>
      <c r="E9">
        <v>4500</v>
      </c>
      <c r="G9" s="4"/>
      <c r="H9" s="3">
        <v>2.5</v>
      </c>
      <c r="I9" t="s">
        <v>354</v>
      </c>
      <c r="J9" t="s">
        <v>355</v>
      </c>
      <c r="K9">
        <v>33.5</v>
      </c>
      <c r="M9" s="4"/>
      <c r="N9" s="3">
        <v>80</v>
      </c>
      <c r="O9" t="s">
        <v>356</v>
      </c>
      <c r="P9" t="s">
        <v>357</v>
      </c>
      <c r="Q9" t="s">
        <v>358</v>
      </c>
      <c r="S9" s="3">
        <v>16</v>
      </c>
      <c r="T9" t="s">
        <v>447</v>
      </c>
      <c r="U9" t="s">
        <v>450</v>
      </c>
      <c r="V9" t="s">
        <v>453</v>
      </c>
      <c r="W9">
        <v>6000</v>
      </c>
      <c r="Y9" s="4"/>
      <c r="Z9" s="3">
        <v>40</v>
      </c>
      <c r="AA9" t="s">
        <v>551</v>
      </c>
      <c r="AB9">
        <v>6000</v>
      </c>
      <c r="AC9" s="4"/>
      <c r="AE9" s="3">
        <v>40</v>
      </c>
      <c r="AF9" t="s">
        <v>560</v>
      </c>
      <c r="AG9" s="4"/>
      <c r="AO9" s="3">
        <v>16</v>
      </c>
      <c r="AP9" t="s">
        <v>447</v>
      </c>
      <c r="AQ9" t="s">
        <v>450</v>
      </c>
      <c r="AR9" t="s">
        <v>453</v>
      </c>
      <c r="AS9">
        <v>6000</v>
      </c>
    </row>
    <row r="10" spans="1:45">
      <c r="A10" s="3">
        <v>50</v>
      </c>
      <c r="B10" s="2" t="s">
        <v>359</v>
      </c>
      <c r="C10" s="2" t="s">
        <v>360</v>
      </c>
      <c r="D10" s="2" t="s">
        <v>361</v>
      </c>
      <c r="E10">
        <v>4500</v>
      </c>
      <c r="G10" s="4"/>
      <c r="H10" s="3">
        <v>4</v>
      </c>
      <c r="I10" t="s">
        <v>362</v>
      </c>
      <c r="J10" t="s">
        <v>363</v>
      </c>
      <c r="K10">
        <v>51</v>
      </c>
      <c r="M10" s="4"/>
      <c r="N10" s="3">
        <v>100</v>
      </c>
      <c r="O10" t="s">
        <v>364</v>
      </c>
      <c r="P10" t="s">
        <v>365</v>
      </c>
      <c r="Q10" t="s">
        <v>366</v>
      </c>
      <c r="S10" s="3">
        <v>20</v>
      </c>
      <c r="T10" t="s">
        <v>465</v>
      </c>
      <c r="U10" t="s">
        <v>468</v>
      </c>
      <c r="V10" t="s">
        <v>471</v>
      </c>
      <c r="W10">
        <v>6000</v>
      </c>
      <c r="Y10" s="4"/>
      <c r="Z10" s="3"/>
      <c r="AC10" s="4"/>
      <c r="AE10" s="3">
        <v>45</v>
      </c>
      <c r="AF10" t="s">
        <v>561</v>
      </c>
      <c r="AG10" s="4"/>
      <c r="AO10" s="3">
        <v>20</v>
      </c>
      <c r="AP10" t="s">
        <v>465</v>
      </c>
      <c r="AQ10" t="s">
        <v>468</v>
      </c>
      <c r="AR10" t="s">
        <v>471</v>
      </c>
      <c r="AS10">
        <v>6000</v>
      </c>
    </row>
    <row r="11" spans="1:45">
      <c r="A11" s="3">
        <v>63</v>
      </c>
      <c r="B11" s="2" t="s">
        <v>367</v>
      </c>
      <c r="C11" s="2" t="s">
        <v>368</v>
      </c>
      <c r="D11" s="2" t="s">
        <v>369</v>
      </c>
      <c r="E11">
        <v>4500</v>
      </c>
      <c r="G11" s="4"/>
      <c r="H11" s="3">
        <v>6.3</v>
      </c>
      <c r="I11" t="s">
        <v>370</v>
      </c>
      <c r="J11" t="s">
        <v>371</v>
      </c>
      <c r="K11">
        <v>78</v>
      </c>
      <c r="M11" s="4"/>
      <c r="N11" s="3">
        <v>125</v>
      </c>
      <c r="O11" t="s">
        <v>372</v>
      </c>
      <c r="P11" t="s">
        <v>373</v>
      </c>
      <c r="Q11" t="s">
        <v>374</v>
      </c>
      <c r="S11" s="3">
        <v>25</v>
      </c>
      <c r="T11" t="s">
        <v>474</v>
      </c>
      <c r="U11" t="s">
        <v>477</v>
      </c>
      <c r="V11" t="s">
        <v>480</v>
      </c>
      <c r="W11">
        <v>6000</v>
      </c>
      <c r="Y11" s="4"/>
      <c r="Z11" s="3"/>
      <c r="AA11" s="2" t="s">
        <v>407</v>
      </c>
      <c r="AB11" s="2" t="s">
        <v>409</v>
      </c>
      <c r="AC11" s="4"/>
      <c r="AE11" s="3">
        <v>50</v>
      </c>
      <c r="AF11" t="s">
        <v>562</v>
      </c>
      <c r="AG11" s="4"/>
      <c r="AO11" s="3">
        <v>25</v>
      </c>
      <c r="AP11" t="s">
        <v>474</v>
      </c>
      <c r="AQ11" t="s">
        <v>477</v>
      </c>
      <c r="AR11" t="s">
        <v>480</v>
      </c>
      <c r="AS11">
        <v>6000</v>
      </c>
    </row>
    <row r="12" spans="1:45" ht="15" thickBot="1">
      <c r="A12" s="3"/>
      <c r="G12" s="4"/>
      <c r="H12" s="3">
        <v>10</v>
      </c>
      <c r="I12" t="s">
        <v>375</v>
      </c>
      <c r="J12" t="s">
        <v>376</v>
      </c>
      <c r="K12">
        <v>138</v>
      </c>
      <c r="M12" s="4"/>
      <c r="N12" s="3">
        <v>160</v>
      </c>
      <c r="O12" t="s">
        <v>377</v>
      </c>
      <c r="P12" t="s">
        <v>378</v>
      </c>
      <c r="Q12">
        <v>1280</v>
      </c>
      <c r="S12" s="3">
        <v>32</v>
      </c>
      <c r="T12" t="s">
        <v>492</v>
      </c>
      <c r="U12" t="s">
        <v>495</v>
      </c>
      <c r="V12" t="s">
        <v>498</v>
      </c>
      <c r="W12">
        <v>6000</v>
      </c>
      <c r="Y12" s="4"/>
      <c r="Z12" s="69"/>
      <c r="AA12" s="79">
        <v>10</v>
      </c>
      <c r="AB12" s="80">
        <f>IF(AA12&lt;=6,6,IF(AA12&lt;=10,10,IF(AA12&lt;=16,16,IF(AA12&lt;=20,20,IF(AA12&lt;=25,25,IF(AA12&lt;=32,32,IF(AA12&lt;=40,40,"др.выкл")))))))</f>
        <v>10</v>
      </c>
      <c r="AC12" s="81" t="str">
        <f>VLOOKUP(AB12,$Z$3:$AA$9,2,0)</f>
        <v>A9D31610</v>
      </c>
      <c r="AE12" s="3">
        <v>60</v>
      </c>
      <c r="AF12" t="s">
        <v>563</v>
      </c>
      <c r="AG12" s="4"/>
      <c r="AO12" s="3">
        <v>32</v>
      </c>
      <c r="AP12" t="s">
        <v>492</v>
      </c>
      <c r="AQ12" t="s">
        <v>495</v>
      </c>
      <c r="AR12" t="s">
        <v>498</v>
      </c>
      <c r="AS12">
        <v>6000</v>
      </c>
    </row>
    <row r="13" spans="1:45">
      <c r="A13" s="3"/>
      <c r="G13" s="4"/>
      <c r="H13" s="3">
        <v>14</v>
      </c>
      <c r="I13" t="s">
        <v>379</v>
      </c>
      <c r="J13" t="s">
        <v>380</v>
      </c>
      <c r="K13">
        <v>170</v>
      </c>
      <c r="M13" s="4"/>
      <c r="N13" s="3">
        <v>200</v>
      </c>
      <c r="O13" t="s">
        <v>381</v>
      </c>
      <c r="P13" t="s">
        <v>382</v>
      </c>
      <c r="Q13" t="s">
        <v>383</v>
      </c>
      <c r="S13" s="3">
        <v>40</v>
      </c>
      <c r="T13" t="s">
        <v>510</v>
      </c>
      <c r="U13" t="s">
        <v>513</v>
      </c>
      <c r="V13" t="s">
        <v>516</v>
      </c>
      <c r="W13">
        <v>6000</v>
      </c>
      <c r="Y13" s="4"/>
      <c r="AE13" s="3">
        <v>63</v>
      </c>
      <c r="AF13" t="s">
        <v>564</v>
      </c>
      <c r="AG13" s="4"/>
      <c r="AO13" s="3">
        <v>40</v>
      </c>
      <c r="AP13" t="s">
        <v>510</v>
      </c>
      <c r="AQ13" t="s">
        <v>513</v>
      </c>
      <c r="AR13" t="s">
        <v>516</v>
      </c>
      <c r="AS13">
        <v>6000</v>
      </c>
    </row>
    <row r="14" spans="1:45">
      <c r="A14" s="3"/>
      <c r="G14" s="4"/>
      <c r="H14" s="3">
        <v>18</v>
      </c>
      <c r="I14" t="s">
        <v>384</v>
      </c>
      <c r="J14" t="s">
        <v>385</v>
      </c>
      <c r="K14">
        <v>223</v>
      </c>
      <c r="M14" s="4"/>
      <c r="N14" s="3">
        <v>250</v>
      </c>
      <c r="O14" t="s">
        <v>386</v>
      </c>
      <c r="P14" t="s">
        <v>387</v>
      </c>
      <c r="Q14" t="s">
        <v>388</v>
      </c>
      <c r="S14" s="3">
        <v>50</v>
      </c>
      <c r="T14" t="s">
        <v>519</v>
      </c>
      <c r="U14" t="s">
        <v>522</v>
      </c>
      <c r="V14" t="s">
        <v>525</v>
      </c>
      <c r="W14">
        <v>6000</v>
      </c>
      <c r="Y14" s="4"/>
      <c r="AE14" s="3">
        <v>75</v>
      </c>
      <c r="AF14" t="s">
        <v>565</v>
      </c>
      <c r="AG14" s="4"/>
      <c r="AO14" s="3">
        <v>50</v>
      </c>
      <c r="AP14" t="s">
        <v>519</v>
      </c>
      <c r="AQ14" t="s">
        <v>522</v>
      </c>
      <c r="AR14" t="s">
        <v>525</v>
      </c>
      <c r="AS14">
        <v>6000</v>
      </c>
    </row>
    <row r="15" spans="1:45">
      <c r="A15" s="3"/>
      <c r="G15" s="4"/>
      <c r="H15" s="3">
        <v>23</v>
      </c>
      <c r="I15" t="s">
        <v>389</v>
      </c>
      <c r="J15" t="s">
        <v>390</v>
      </c>
      <c r="K15">
        <v>327</v>
      </c>
      <c r="M15" s="4"/>
      <c r="N15" s="3">
        <v>300</v>
      </c>
      <c r="O15" t="s">
        <v>391</v>
      </c>
      <c r="P15" t="s">
        <v>392</v>
      </c>
      <c r="Q15" t="s">
        <v>388</v>
      </c>
      <c r="S15" s="3">
        <v>63</v>
      </c>
      <c r="T15" t="s">
        <v>537</v>
      </c>
      <c r="U15" t="s">
        <v>540</v>
      </c>
      <c r="V15" t="s">
        <v>543</v>
      </c>
      <c r="W15">
        <v>6000</v>
      </c>
      <c r="Y15" s="4"/>
      <c r="AE15" s="3">
        <v>80</v>
      </c>
      <c r="AF15" t="s">
        <v>566</v>
      </c>
      <c r="AG15" s="4"/>
      <c r="AO15" s="3">
        <v>63</v>
      </c>
      <c r="AP15" t="s">
        <v>537</v>
      </c>
      <c r="AQ15" t="s">
        <v>540</v>
      </c>
      <c r="AR15" t="s">
        <v>543</v>
      </c>
      <c r="AS15">
        <v>6000</v>
      </c>
    </row>
    <row r="16" spans="1:45" ht="15" thickBot="1">
      <c r="A16" s="3"/>
      <c r="G16" s="4"/>
      <c r="H16" s="3">
        <v>25</v>
      </c>
      <c r="I16" t="s">
        <v>393</v>
      </c>
      <c r="J16" t="s">
        <v>319</v>
      </c>
      <c r="K16">
        <v>327</v>
      </c>
      <c r="M16" s="4"/>
      <c r="N16" s="3">
        <v>320</v>
      </c>
      <c r="O16" t="s">
        <v>394</v>
      </c>
      <c r="P16" t="s">
        <v>395</v>
      </c>
      <c r="Q16" t="s">
        <v>396</v>
      </c>
      <c r="S16" s="3"/>
      <c r="Y16" s="4"/>
      <c r="AE16" s="3">
        <v>100</v>
      </c>
      <c r="AF16" t="s">
        <v>567</v>
      </c>
      <c r="AG16" s="4"/>
    </row>
    <row r="17" spans="1:33" ht="15" thickBot="1">
      <c r="A17" s="3"/>
      <c r="G17" s="4"/>
      <c r="H17" s="3">
        <v>32</v>
      </c>
      <c r="I17" t="s">
        <v>397</v>
      </c>
      <c r="J17" t="s">
        <v>398</v>
      </c>
      <c r="K17">
        <v>416</v>
      </c>
      <c r="M17" s="4"/>
      <c r="N17" s="3">
        <v>400</v>
      </c>
      <c r="O17" t="s">
        <v>399</v>
      </c>
      <c r="P17" t="s">
        <v>334</v>
      </c>
      <c r="Q17" t="s">
        <v>400</v>
      </c>
      <c r="S17" s="75" t="s">
        <v>544</v>
      </c>
      <c r="T17" s="76"/>
      <c r="U17" s="76"/>
      <c r="V17" s="76"/>
      <c r="W17" s="76"/>
      <c r="X17" s="76"/>
      <c r="Y17" s="77"/>
      <c r="AE17" s="3">
        <v>125</v>
      </c>
      <c r="AF17" t="s">
        <v>569</v>
      </c>
      <c r="AG17" s="4"/>
    </row>
    <row r="18" spans="1:33">
      <c r="A18" s="3"/>
      <c r="G18" s="4"/>
      <c r="H18" s="3"/>
      <c r="M18" s="4"/>
      <c r="N18" s="3">
        <v>500</v>
      </c>
      <c r="O18" t="s">
        <v>401</v>
      </c>
      <c r="P18" t="s">
        <v>402</v>
      </c>
      <c r="Q18" t="s">
        <v>403</v>
      </c>
      <c r="S18" s="3"/>
      <c r="T18" s="67" t="s">
        <v>407</v>
      </c>
      <c r="U18" s="2" t="s">
        <v>408</v>
      </c>
      <c r="V18" s="2" t="s">
        <v>409</v>
      </c>
      <c r="Y18" s="4"/>
      <c r="AE18" s="3">
        <v>150</v>
      </c>
      <c r="AF18" t="s">
        <v>570</v>
      </c>
      <c r="AG18" s="4"/>
    </row>
    <row r="19" spans="1:33">
      <c r="A19" s="3"/>
      <c r="G19" s="4"/>
      <c r="H19" s="3"/>
      <c r="M19" s="4"/>
      <c r="N19" s="3">
        <v>630</v>
      </c>
      <c r="O19" t="s">
        <v>404</v>
      </c>
      <c r="P19" t="s">
        <v>405</v>
      </c>
      <c r="Q19" t="s">
        <v>406</v>
      </c>
      <c r="S19" s="3"/>
      <c r="T19" s="68">
        <v>43</v>
      </c>
      <c r="U19" s="27" t="s">
        <v>302</v>
      </c>
      <c r="V19" s="27">
        <f>IF(T19&lt;=6,6,IF(T19&lt;=10,10,IF(T19&lt;=16,16,IF(T19&lt;=20,20,IF(T19&lt;=25,25,IF(T19&lt;=32,32,IF(T19&lt;=40,40,IF(T19&lt;=50,50,IF(T19&lt;=63,63,"др.выкл")))))))))</f>
        <v>50</v>
      </c>
      <c r="W19" s="27" t="str">
        <f>INDEX($T$2:$V$15,MATCH(V19,$S$2:$S$15,0),MATCH(U19,$T$1:$V$1,0))</f>
        <v>iC60N C50 3P</v>
      </c>
      <c r="Y19" s="4"/>
      <c r="AE19" s="3">
        <v>160</v>
      </c>
      <c r="AF19" t="s">
        <v>571</v>
      </c>
      <c r="AG19" s="4"/>
    </row>
    <row r="20" spans="1:33">
      <c r="A20" s="3"/>
      <c r="G20" s="4"/>
      <c r="H20" s="3"/>
      <c r="M20" s="4"/>
      <c r="N20" s="3"/>
      <c r="S20" s="3" t="s">
        <v>420</v>
      </c>
      <c r="T20" t="s">
        <v>418</v>
      </c>
      <c r="U20" t="s">
        <v>419</v>
      </c>
      <c r="Y20" s="4"/>
      <c r="AE20" s="3">
        <v>175</v>
      </c>
      <c r="AF20" t="s">
        <v>572</v>
      </c>
      <c r="AG20" s="4"/>
    </row>
    <row r="21" spans="1:33">
      <c r="A21" s="3"/>
      <c r="G21" s="4"/>
      <c r="H21" s="3"/>
      <c r="M21" s="4"/>
      <c r="N21" s="3"/>
      <c r="S21" s="3" t="s">
        <v>423</v>
      </c>
      <c r="T21" t="s">
        <v>421</v>
      </c>
      <c r="U21" t="s">
        <v>422</v>
      </c>
      <c r="Y21" s="4"/>
      <c r="AE21" s="3">
        <v>200</v>
      </c>
      <c r="AF21" t="s">
        <v>573</v>
      </c>
      <c r="AG21" s="4"/>
    </row>
    <row r="22" spans="1:33">
      <c r="A22" s="3"/>
      <c r="G22" s="4"/>
      <c r="H22" s="3"/>
      <c r="M22" s="4"/>
      <c r="N22" s="3"/>
      <c r="S22" s="3" t="s">
        <v>426</v>
      </c>
      <c r="T22" t="s">
        <v>424</v>
      </c>
      <c r="U22" t="s">
        <v>425</v>
      </c>
      <c r="Y22" s="4"/>
      <c r="AE22" s="3">
        <v>225</v>
      </c>
      <c r="AF22" t="s">
        <v>574</v>
      </c>
      <c r="AG22" s="4"/>
    </row>
    <row r="23" spans="1:33">
      <c r="A23" s="3"/>
      <c r="G23" s="4"/>
      <c r="H23" s="3"/>
      <c r="M23" s="4"/>
      <c r="N23" s="3"/>
      <c r="S23" s="3" t="s">
        <v>429</v>
      </c>
      <c r="T23" t="s">
        <v>427</v>
      </c>
      <c r="U23" t="s">
        <v>428</v>
      </c>
      <c r="Y23" s="4"/>
      <c r="AE23" s="3">
        <v>250</v>
      </c>
      <c r="AF23" t="s">
        <v>568</v>
      </c>
      <c r="AG23" s="4"/>
    </row>
    <row r="24" spans="1:33">
      <c r="A24" s="3"/>
      <c r="G24" s="4"/>
      <c r="H24" s="3"/>
      <c r="M24" s="4"/>
      <c r="N24" s="3"/>
      <c r="S24" s="3" t="s">
        <v>432</v>
      </c>
      <c r="T24" t="s">
        <v>430</v>
      </c>
      <c r="U24" t="s">
        <v>431</v>
      </c>
      <c r="Y24" s="4"/>
      <c r="AE24" s="3">
        <v>320</v>
      </c>
      <c r="AF24" t="s">
        <v>575</v>
      </c>
      <c r="AG24" s="4"/>
    </row>
    <row r="25" spans="1:33">
      <c r="A25" s="3"/>
      <c r="G25" s="4"/>
      <c r="H25" s="3"/>
      <c r="M25" s="4"/>
      <c r="N25" s="3"/>
      <c r="S25" s="3" t="s">
        <v>435</v>
      </c>
      <c r="T25" t="s">
        <v>433</v>
      </c>
      <c r="U25" t="s">
        <v>434</v>
      </c>
      <c r="Y25" s="4"/>
      <c r="AE25" s="3">
        <v>350</v>
      </c>
      <c r="AF25" t="s">
        <v>576</v>
      </c>
      <c r="AG25" s="4"/>
    </row>
    <row r="26" spans="1:33">
      <c r="A26" s="3"/>
      <c r="G26" s="4"/>
      <c r="H26" s="3"/>
      <c r="M26" s="4"/>
      <c r="N26" s="3"/>
      <c r="S26" s="3" t="s">
        <v>438</v>
      </c>
      <c r="T26" t="s">
        <v>436</v>
      </c>
      <c r="U26" t="s">
        <v>437</v>
      </c>
      <c r="Y26" s="4"/>
      <c r="AE26" s="3">
        <v>400</v>
      </c>
      <c r="AF26" t="s">
        <v>577</v>
      </c>
      <c r="AG26" s="4"/>
    </row>
    <row r="27" spans="1:33">
      <c r="A27" s="3"/>
      <c r="G27" s="4"/>
      <c r="H27" s="3"/>
      <c r="M27" s="4"/>
      <c r="N27" s="3"/>
      <c r="S27" s="3" t="s">
        <v>441</v>
      </c>
      <c r="T27" t="s">
        <v>439</v>
      </c>
      <c r="U27" t="s">
        <v>440</v>
      </c>
      <c r="Y27" s="4"/>
      <c r="AE27" s="3"/>
      <c r="AG27" s="4"/>
    </row>
    <row r="28" spans="1:33" ht="15" thickBot="1">
      <c r="A28" s="3"/>
      <c r="G28" s="4"/>
      <c r="H28" s="3"/>
      <c r="M28" s="4"/>
      <c r="N28" s="3"/>
      <c r="S28" s="3" t="s">
        <v>444</v>
      </c>
      <c r="T28" t="s">
        <v>442</v>
      </c>
      <c r="U28" t="s">
        <v>443</v>
      </c>
      <c r="Y28" s="4"/>
      <c r="AE28" s="79">
        <v>10</v>
      </c>
      <c r="AF28" s="80">
        <f>IF(AE28&lt;=15,15,IF(AE28&lt;=16,16,IF(AE28&lt;=20,20,IF(AE28&lt;=25,25,IF(AE28&lt;=32,32,IF(AE28&lt;=40,40,IF(AE28&lt;=45,45,IF(AE28&lt;=50,50,IF(AE28&lt;=60,60,IF(AE28&lt;=63,63,IF(AE28&lt;=75,75,IF(AE28&lt;=80,80,IF(AE28&lt;=100,100,IF(AE28&lt;=125,125,IF(AE28&lt;=150,150,IF(AE28&lt;=160,160,IF(AE28&lt;=175,175,IF(AE28&lt;=200,200,IF(AE28&lt;=225,225,IF(AE28&lt;=250,250,IF(AE28&lt;=320,320,IF(AE28&lt;=350,350,IF(AE28&lt;=400,400,"др.выкл")))))))))))))))))))))))</f>
        <v>15</v>
      </c>
      <c r="AG28" s="81" t="str">
        <f>VLOOKUP(AF28,$AE$3:$AF$26,2,0)</f>
        <v>EZC100F3015</v>
      </c>
    </row>
    <row r="29" spans="1:33">
      <c r="A29" s="3"/>
      <c r="G29" s="4"/>
      <c r="H29" s="3"/>
      <c r="M29" s="4"/>
      <c r="N29" s="3"/>
      <c r="S29" s="3" t="s">
        <v>447</v>
      </c>
      <c r="T29" t="s">
        <v>445</v>
      </c>
      <c r="U29" t="s">
        <v>446</v>
      </c>
      <c r="Y29" s="4"/>
    </row>
    <row r="30" spans="1:33">
      <c r="A30" s="3"/>
      <c r="G30" s="4"/>
      <c r="H30" s="3"/>
      <c r="M30" s="4"/>
      <c r="N30" s="3"/>
      <c r="S30" s="3" t="s">
        <v>450</v>
      </c>
      <c r="T30" t="s">
        <v>448</v>
      </c>
      <c r="U30" t="s">
        <v>449</v>
      </c>
      <c r="Y30" s="4"/>
    </row>
    <row r="31" spans="1:33">
      <c r="A31" s="3"/>
      <c r="G31" s="4"/>
      <c r="H31" s="3"/>
      <c r="M31" s="4"/>
      <c r="N31" s="3"/>
      <c r="S31" s="3" t="s">
        <v>453</v>
      </c>
      <c r="T31" t="s">
        <v>451</v>
      </c>
      <c r="U31" t="s">
        <v>452</v>
      </c>
      <c r="Y31" s="4"/>
    </row>
    <row r="32" spans="1:33">
      <c r="A32" s="3"/>
      <c r="G32" s="4"/>
      <c r="H32" s="3"/>
      <c r="M32" s="4"/>
      <c r="N32" s="3"/>
      <c r="S32" s="3" t="s">
        <v>456</v>
      </c>
      <c r="T32" t="s">
        <v>454</v>
      </c>
      <c r="U32" t="s">
        <v>455</v>
      </c>
      <c r="Y32" s="4"/>
    </row>
    <row r="33" spans="1:25">
      <c r="A33" s="3"/>
      <c r="G33" s="4"/>
      <c r="H33" s="3"/>
      <c r="M33" s="4"/>
      <c r="N33" s="3"/>
      <c r="S33" s="3" t="s">
        <v>459</v>
      </c>
      <c r="T33" t="s">
        <v>457</v>
      </c>
      <c r="U33" t="s">
        <v>458</v>
      </c>
      <c r="Y33" s="4"/>
    </row>
    <row r="34" spans="1:25">
      <c r="A34" s="3"/>
      <c r="G34" s="4"/>
      <c r="H34" s="3"/>
      <c r="M34" s="4"/>
      <c r="N34" s="3"/>
      <c r="S34" s="3" t="s">
        <v>462</v>
      </c>
      <c r="T34" t="s">
        <v>460</v>
      </c>
      <c r="U34" t="s">
        <v>461</v>
      </c>
      <c r="Y34" s="4"/>
    </row>
    <row r="35" spans="1:25">
      <c r="A35" s="3"/>
      <c r="G35" s="4"/>
      <c r="H35" s="3"/>
      <c r="M35" s="4"/>
      <c r="N35" s="3"/>
      <c r="S35" s="3" t="s">
        <v>465</v>
      </c>
      <c r="T35" t="s">
        <v>463</v>
      </c>
      <c r="U35" t="s">
        <v>464</v>
      </c>
      <c r="Y35" s="4"/>
    </row>
    <row r="36" spans="1:25">
      <c r="A36" s="3"/>
      <c r="G36" s="4"/>
      <c r="H36" s="3"/>
      <c r="M36" s="4"/>
      <c r="N36" s="3"/>
      <c r="S36" s="3" t="s">
        <v>468</v>
      </c>
      <c r="T36" t="s">
        <v>466</v>
      </c>
      <c r="U36" t="s">
        <v>467</v>
      </c>
      <c r="Y36" s="4"/>
    </row>
    <row r="37" spans="1:25">
      <c r="A37" s="3"/>
      <c r="G37" s="4"/>
      <c r="H37" s="3"/>
      <c r="M37" s="4"/>
      <c r="N37" s="3"/>
      <c r="S37" s="3" t="s">
        <v>471</v>
      </c>
      <c r="T37" t="s">
        <v>469</v>
      </c>
      <c r="U37" t="s">
        <v>470</v>
      </c>
      <c r="Y37" s="4"/>
    </row>
    <row r="38" spans="1:25">
      <c r="A38" s="3"/>
      <c r="G38" s="4"/>
      <c r="H38" s="3"/>
      <c r="M38" s="4"/>
      <c r="N38" s="3"/>
      <c r="S38" s="3" t="s">
        <v>474</v>
      </c>
      <c r="T38" t="s">
        <v>472</v>
      </c>
      <c r="U38" t="s">
        <v>473</v>
      </c>
      <c r="Y38" s="4"/>
    </row>
    <row r="39" spans="1:25">
      <c r="A39" s="3"/>
      <c r="G39" s="4"/>
      <c r="H39" s="3"/>
      <c r="M39" s="4"/>
      <c r="N39" s="3"/>
      <c r="S39" s="3" t="s">
        <v>477</v>
      </c>
      <c r="T39" t="s">
        <v>475</v>
      </c>
      <c r="U39" t="s">
        <v>476</v>
      </c>
      <c r="Y39" s="4"/>
    </row>
    <row r="40" spans="1:25">
      <c r="A40" s="67" t="s">
        <v>407</v>
      </c>
      <c r="B40" s="2" t="s">
        <v>408</v>
      </c>
      <c r="C40" s="2" t="s">
        <v>409</v>
      </c>
      <c r="G40" s="4"/>
      <c r="H40" s="3"/>
      <c r="I40" s="2" t="s">
        <v>407</v>
      </c>
      <c r="J40" s="2" t="s">
        <v>409</v>
      </c>
      <c r="M40" s="4"/>
      <c r="N40" s="3"/>
      <c r="O40" s="2" t="s">
        <v>407</v>
      </c>
      <c r="P40" s="2" t="s">
        <v>409</v>
      </c>
      <c r="S40" s="3" t="s">
        <v>480</v>
      </c>
      <c r="T40" t="s">
        <v>478</v>
      </c>
      <c r="U40" t="s">
        <v>479</v>
      </c>
      <c r="Y40" s="4"/>
    </row>
    <row r="41" spans="1:25">
      <c r="A41" s="68">
        <v>43</v>
      </c>
      <c r="B41" s="27" t="s">
        <v>302</v>
      </c>
      <c r="C41" s="27">
        <f>IF(A41&lt;=6,6,IF(A41&lt;=10,10,IF(A41&lt;=16,16,IF(A41&lt;=20,20,IF(A41&lt;=25,25,IF(A41&lt;=32,32,IF(A41&lt;=40,40,IF(A41&lt;=50,50,IF(A41&lt;=63,63,"др.выкл")))))))))</f>
        <v>50</v>
      </c>
      <c r="D41" s="27" t="str">
        <f>INDEX($B$3:$D$11,MATCH(C41,$A$3:$A$11,0),MATCH(B41,кол_пол,0))</f>
        <v>EZ9F34350</v>
      </c>
      <c r="G41" s="4"/>
      <c r="H41" s="3"/>
      <c r="I41" s="9">
        <v>0.7</v>
      </c>
      <c r="J41" s="9">
        <f>IF(I41&lt;=0.16,0.16,IF(I41&lt;=0.25,0.25,IF(I41&lt;=0.4,0.4,IF(I41&lt;=0.63,0.63,IF(I41&lt;=1,1,IF(I41&lt;=1.6,1.6,IF(I41&lt;=2.5,2.5,IF(I41&lt;=4,4,IF(I41&lt;=6.3,6.3,IF(I41&lt;=10,10,IF(I41&lt;=14,14,IF(I41&lt;=18,18,IF(I41&lt;=23,23,IF(I41&lt;=25,25,IF(I41&lt;=32,32,"др.авт")))))))))))))))</f>
        <v>1</v>
      </c>
      <c r="K41" s="9" t="str">
        <f>VLOOKUP(J41,$H$3:$I$17,2,0)</f>
        <v>GZ1 E05</v>
      </c>
      <c r="M41" s="4"/>
      <c r="N41" s="3"/>
      <c r="O41" s="9">
        <v>0.17</v>
      </c>
      <c r="P41" s="9">
        <f>IF(O41&lt;=20,20,IF(O41&lt;=25,25,IF(O41&lt;=32,32,IF(O41&lt;=40,40,IF(O41&lt;=50,50,IF(O41&lt;=63,63,IF(O41&lt;=80,80,IF(O41&lt;=100,100,IF(O41&lt;=125,125,IF(O41&lt;=160,160,IF(O41&lt;=200,200,IF(O41&lt;=250,250,IF(O41&lt;=300,300,IF(O41&lt;=320,320,IF(O41&lt;=400,400,IF(O41&lt;=500,500,IF(O41&lt;=630,630,"др.авт")))))))))))))))))</f>
        <v>20</v>
      </c>
      <c r="Q41" s="9" t="str">
        <f>VLOOKUP(P41,$N$3:$O$19,2,0)</f>
        <v>LZMB1-A20-I</v>
      </c>
      <c r="S41" s="3" t="s">
        <v>483</v>
      </c>
      <c r="T41" t="s">
        <v>481</v>
      </c>
      <c r="U41" t="s">
        <v>482</v>
      </c>
      <c r="Y41" s="4"/>
    </row>
    <row r="42" spans="1:25" ht="15" thickBot="1">
      <c r="A42" s="69"/>
      <c r="B42" s="70"/>
      <c r="C42" s="70"/>
      <c r="D42" s="70"/>
      <c r="E42" s="70"/>
      <c r="F42" s="70"/>
      <c r="G42" s="71"/>
      <c r="H42" s="69"/>
      <c r="I42" s="70"/>
      <c r="J42" s="70"/>
      <c r="K42" s="70"/>
      <c r="L42" s="70"/>
      <c r="M42" s="71"/>
      <c r="N42" s="69"/>
      <c r="O42" s="70"/>
      <c r="P42" s="70"/>
      <c r="Q42" s="70"/>
      <c r="R42" s="70"/>
      <c r="S42" s="3" t="s">
        <v>486</v>
      </c>
      <c r="T42" t="s">
        <v>484</v>
      </c>
      <c r="U42" t="s">
        <v>485</v>
      </c>
      <c r="Y42" s="4"/>
    </row>
    <row r="43" spans="1:25">
      <c r="S43" s="3" t="s">
        <v>489</v>
      </c>
      <c r="T43" t="s">
        <v>487</v>
      </c>
      <c r="U43" t="s">
        <v>488</v>
      </c>
      <c r="Y43" s="4"/>
    </row>
    <row r="44" spans="1:25">
      <c r="D44" t="s">
        <v>410</v>
      </c>
      <c r="S44" s="3" t="s">
        <v>492</v>
      </c>
      <c r="T44" t="s">
        <v>490</v>
      </c>
      <c r="U44" t="s">
        <v>491</v>
      </c>
      <c r="Y44" s="4"/>
    </row>
    <row r="45" spans="1:25">
      <c r="D45" t="s">
        <v>296</v>
      </c>
      <c r="S45" s="3" t="s">
        <v>495</v>
      </c>
      <c r="T45" t="s">
        <v>493</v>
      </c>
      <c r="U45" t="s">
        <v>494</v>
      </c>
      <c r="Y45" s="4"/>
    </row>
    <row r="46" spans="1:25">
      <c r="D46" t="s">
        <v>544</v>
      </c>
      <c r="S46" s="3" t="s">
        <v>498</v>
      </c>
      <c r="T46" t="s">
        <v>496</v>
      </c>
      <c r="U46" t="s">
        <v>497</v>
      </c>
      <c r="Y46" s="4"/>
    </row>
    <row r="47" spans="1:25">
      <c r="D47" t="s">
        <v>553</v>
      </c>
      <c r="S47" s="3" t="s">
        <v>501</v>
      </c>
      <c r="T47" t="s">
        <v>499</v>
      </c>
      <c r="U47" t="s">
        <v>500</v>
      </c>
      <c r="Y47" s="4"/>
    </row>
    <row r="48" spans="1:25">
      <c r="D48" t="s">
        <v>297</v>
      </c>
      <c r="S48" s="3" t="s">
        <v>504</v>
      </c>
      <c r="T48" t="s">
        <v>502</v>
      </c>
      <c r="U48" t="s">
        <v>503</v>
      </c>
      <c r="Y48" s="4"/>
    </row>
    <row r="49" spans="4:25">
      <c r="D49" t="s">
        <v>578</v>
      </c>
      <c r="S49" s="3" t="s">
        <v>507</v>
      </c>
      <c r="T49" t="s">
        <v>505</v>
      </c>
      <c r="U49" t="s">
        <v>506</v>
      </c>
      <c r="Y49" s="4"/>
    </row>
    <row r="50" spans="4:25">
      <c r="D50" t="s">
        <v>298</v>
      </c>
      <c r="S50" s="3" t="s">
        <v>510</v>
      </c>
      <c r="T50" t="s">
        <v>508</v>
      </c>
      <c r="U50" t="s">
        <v>509</v>
      </c>
      <c r="Y50" s="4"/>
    </row>
    <row r="51" spans="4:25">
      <c r="D51" t="s">
        <v>647</v>
      </c>
      <c r="S51" s="3" t="s">
        <v>513</v>
      </c>
      <c r="T51" t="s">
        <v>511</v>
      </c>
      <c r="U51" t="s">
        <v>512</v>
      </c>
      <c r="Y51" s="4"/>
    </row>
    <row r="52" spans="4:25">
      <c r="D52" t="s">
        <v>581</v>
      </c>
      <c r="S52" s="3" t="s">
        <v>516</v>
      </c>
      <c r="T52" t="s">
        <v>514</v>
      </c>
      <c r="U52" t="s">
        <v>515</v>
      </c>
      <c r="Y52" s="4"/>
    </row>
    <row r="53" spans="4:25">
      <c r="D53" t="s">
        <v>707</v>
      </c>
      <c r="S53" s="3" t="s">
        <v>519</v>
      </c>
      <c r="T53" t="s">
        <v>517</v>
      </c>
      <c r="U53" t="s">
        <v>518</v>
      </c>
      <c r="Y53" s="4"/>
    </row>
    <row r="54" spans="4:25">
      <c r="D54" t="s">
        <v>861</v>
      </c>
      <c r="S54" s="3" t="s">
        <v>522</v>
      </c>
      <c r="T54" t="s">
        <v>520</v>
      </c>
      <c r="U54" t="s">
        <v>521</v>
      </c>
      <c r="Y54" s="4"/>
    </row>
    <row r="55" spans="4:25">
      <c r="D55" t="s">
        <v>583</v>
      </c>
      <c r="S55" s="3" t="s">
        <v>525</v>
      </c>
      <c r="T55" t="s">
        <v>523</v>
      </c>
      <c r="U55" t="s">
        <v>524</v>
      </c>
      <c r="Y55" s="4"/>
    </row>
    <row r="56" spans="4:25">
      <c r="D56" t="s">
        <v>830</v>
      </c>
      <c r="S56" s="3" t="s">
        <v>528</v>
      </c>
      <c r="T56" t="s">
        <v>526</v>
      </c>
      <c r="U56" t="s">
        <v>527</v>
      </c>
      <c r="Y56" s="4"/>
    </row>
    <row r="57" spans="4:25">
      <c r="D57" t="s">
        <v>862</v>
      </c>
      <c r="S57" s="3" t="s">
        <v>531</v>
      </c>
      <c r="T57" t="s">
        <v>529</v>
      </c>
      <c r="U57" t="s">
        <v>530</v>
      </c>
      <c r="Y57" s="4"/>
    </row>
    <row r="58" spans="4:25">
      <c r="D58" t="s">
        <v>865</v>
      </c>
      <c r="S58" s="3" t="s">
        <v>534</v>
      </c>
      <c r="T58" t="s">
        <v>532</v>
      </c>
      <c r="U58" t="s">
        <v>533</v>
      </c>
      <c r="Y58" s="4"/>
    </row>
    <row r="59" spans="4:25">
      <c r="D59" t="s">
        <v>864</v>
      </c>
      <c r="S59" s="3" t="s">
        <v>537</v>
      </c>
      <c r="T59" t="s">
        <v>535</v>
      </c>
      <c r="U59" t="s">
        <v>536</v>
      </c>
      <c r="Y59" s="4"/>
    </row>
    <row r="60" spans="4:25">
      <c r="D60" t="s">
        <v>863</v>
      </c>
      <c r="S60" s="3" t="s">
        <v>540</v>
      </c>
      <c r="T60" t="s">
        <v>538</v>
      </c>
      <c r="U60" t="s">
        <v>539</v>
      </c>
      <c r="Y60" s="4"/>
    </row>
    <row r="61" spans="4:25" ht="15" thickBot="1">
      <c r="D61" t="s">
        <v>872</v>
      </c>
      <c r="S61" s="69" t="s">
        <v>543</v>
      </c>
      <c r="T61" s="70" t="s">
        <v>541</v>
      </c>
      <c r="U61" s="70" t="s">
        <v>542</v>
      </c>
      <c r="V61" s="70"/>
      <c r="W61" s="70"/>
      <c r="X61" s="70"/>
      <c r="Y61" s="71"/>
    </row>
    <row r="62" spans="4:25">
      <c r="D62" t="s">
        <v>875</v>
      </c>
    </row>
    <row r="63" spans="4:25">
      <c r="D63" t="s">
        <v>874</v>
      </c>
    </row>
    <row r="64" spans="4:25">
      <c r="D64" t="s">
        <v>873</v>
      </c>
    </row>
    <row r="65" spans="4:4">
      <c r="D65" t="s">
        <v>893</v>
      </c>
    </row>
    <row r="66" spans="4:4">
      <c r="D66" t="s">
        <v>894</v>
      </c>
    </row>
    <row r="67" spans="4:4">
      <c r="D67" t="s">
        <v>976</v>
      </c>
    </row>
    <row r="68" spans="4:4">
      <c r="D68" t="s">
        <v>960</v>
      </c>
    </row>
  </sheetData>
  <mergeCells count="3">
    <mergeCell ref="A1:G1"/>
    <mergeCell ref="H1:M1"/>
    <mergeCell ref="N1:R1"/>
  </mergeCells>
  <dataValidations disablePrompts="1" count="1">
    <dataValidation type="list" allowBlank="1" showInputMessage="1" showErrorMessage="1" sqref="B41 U19" xr:uid="{00000000-0002-0000-0300-000000000000}">
      <formula1>кол_пол</formula1>
    </dataValidation>
  </dataValidations>
  <pageMargins left="0.7" right="0.7" top="0.75" bottom="0.75" header="0.3" footer="0.3"/>
  <pageSetup paperSize="9"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12"/>
  <dimension ref="A1:B4"/>
  <sheetViews>
    <sheetView workbookViewId="0">
      <selection activeCell="I21" sqref="I21"/>
    </sheetView>
  </sheetViews>
  <sheetFormatPr defaultRowHeight="14.5"/>
  <cols>
    <col min="1" max="1" width="19.26953125" customWidth="1"/>
    <col min="2" max="2" width="21.81640625" customWidth="1"/>
  </cols>
  <sheetData>
    <row r="1" spans="1:2">
      <c r="A1" t="s">
        <v>288</v>
      </c>
      <c r="B1" t="s">
        <v>294</v>
      </c>
    </row>
    <row r="2" spans="1:2">
      <c r="A2" t="s">
        <v>289</v>
      </c>
      <c r="B2" t="s">
        <v>295</v>
      </c>
    </row>
    <row r="3" spans="1:2">
      <c r="A3" t="s">
        <v>290</v>
      </c>
    </row>
    <row r="4" spans="1:2">
      <c r="A4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84</vt:i4>
      </vt:variant>
    </vt:vector>
  </HeadingPairs>
  <TitlesOfParts>
    <vt:vector size="94" baseType="lpstr">
      <vt:lpstr>выбор кабеля</vt:lpstr>
      <vt:lpstr>каталог</vt:lpstr>
      <vt:lpstr>расчет</vt:lpstr>
      <vt:lpstr>hy</vt:lpstr>
      <vt:lpstr>chint</vt:lpstr>
      <vt:lpstr>DEKraft</vt:lpstr>
      <vt:lpstr>systeme</vt:lpstr>
      <vt:lpstr>КЭАЗ</vt:lpstr>
      <vt:lpstr>автоматы</vt:lpstr>
      <vt:lpstr>для_выбора</vt:lpstr>
      <vt:lpstr>CVS100B</vt:lpstr>
      <vt:lpstr>CVS100F</vt:lpstr>
      <vt:lpstr>CVS100N</vt:lpstr>
      <vt:lpstr>CVS160B</vt:lpstr>
      <vt:lpstr>CVS160F</vt:lpstr>
      <vt:lpstr>CVS160N</vt:lpstr>
      <vt:lpstr>CVS250B</vt:lpstr>
      <vt:lpstr>CVS250F</vt:lpstr>
      <vt:lpstr>CVS250N</vt:lpstr>
      <vt:lpstr>CVS400F</vt:lpstr>
      <vt:lpstr>CVS400N</vt:lpstr>
      <vt:lpstr>CVS630F</vt:lpstr>
      <vt:lpstr>CVS630N</vt:lpstr>
      <vt:lpstr>EZC100B</vt:lpstr>
      <vt:lpstr>EZC100F</vt:lpstr>
      <vt:lpstr>EZC100H</vt:lpstr>
      <vt:lpstr>EZC100N</vt:lpstr>
      <vt:lpstr>EZC250F</vt:lpstr>
      <vt:lpstr>EZC250H</vt:lpstr>
      <vt:lpstr>EZC250N</vt:lpstr>
      <vt:lpstr>EZC400H</vt:lpstr>
      <vt:lpstr>EZC400N</vt:lpstr>
      <vt:lpstr>EZC630H</vt:lpstr>
      <vt:lpstr>EZC630N</vt:lpstr>
      <vt:lpstr>iC60H_B</vt:lpstr>
      <vt:lpstr>iC60H_C</vt:lpstr>
      <vt:lpstr>iC60H_D</vt:lpstr>
      <vt:lpstr>iC60N_B</vt:lpstr>
      <vt:lpstr>iC60N_C</vt:lpstr>
      <vt:lpstr>iC60N_D</vt:lpstr>
      <vt:lpstr>iDif_K</vt:lpstr>
      <vt:lpstr>iK60N</vt:lpstr>
      <vt:lpstr>MVS08H</vt:lpstr>
      <vt:lpstr>MVS08N</vt:lpstr>
      <vt:lpstr>MVS10H</vt:lpstr>
      <vt:lpstr>MVS10N</vt:lpstr>
      <vt:lpstr>MVS12H</vt:lpstr>
      <vt:lpstr>MVS12N</vt:lpstr>
      <vt:lpstr>MVS16H</vt:lpstr>
      <vt:lpstr>MVS16N</vt:lpstr>
      <vt:lpstr>MVS20H</vt:lpstr>
      <vt:lpstr>MVS20N</vt:lpstr>
      <vt:lpstr>MVS25H</vt:lpstr>
      <vt:lpstr>MVS25N</vt:lpstr>
      <vt:lpstr>MVS32H</vt:lpstr>
      <vt:lpstr>MVS32N</vt:lpstr>
      <vt:lpstr>MVS40H</vt:lpstr>
      <vt:lpstr>MVS40N</vt:lpstr>
      <vt:lpstr>NSX100B</vt:lpstr>
      <vt:lpstr>NSX100F</vt:lpstr>
      <vt:lpstr>NSX100H</vt:lpstr>
      <vt:lpstr>NSX100L</vt:lpstr>
      <vt:lpstr>NSX100N</vt:lpstr>
      <vt:lpstr>NSX100S</vt:lpstr>
      <vt:lpstr>NSX160B</vt:lpstr>
      <vt:lpstr>NSX160F</vt:lpstr>
      <vt:lpstr>NSX160H</vt:lpstr>
      <vt:lpstr>NSX160L</vt:lpstr>
      <vt:lpstr>NSX160N</vt:lpstr>
      <vt:lpstr>NSX160S</vt:lpstr>
      <vt:lpstr>NSX250B</vt:lpstr>
      <vt:lpstr>NSX250F</vt:lpstr>
      <vt:lpstr>NSX250H</vt:lpstr>
      <vt:lpstr>NSX250L</vt:lpstr>
      <vt:lpstr>NSX250N</vt:lpstr>
      <vt:lpstr>NSX250S</vt:lpstr>
      <vt:lpstr>NSX400F</vt:lpstr>
      <vt:lpstr>NSX400H</vt:lpstr>
      <vt:lpstr>NSX400L</vt:lpstr>
      <vt:lpstr>NSX400N</vt:lpstr>
      <vt:lpstr>NSX400S</vt:lpstr>
      <vt:lpstr>NSX630F</vt:lpstr>
      <vt:lpstr>NSX630H</vt:lpstr>
      <vt:lpstr>NSX630L</vt:lpstr>
      <vt:lpstr>NSX630N</vt:lpstr>
      <vt:lpstr>NSX630S</vt:lpstr>
      <vt:lpstr>кол_пол</vt:lpstr>
      <vt:lpstr>производители</vt:lpstr>
      <vt:lpstr>сечение</vt:lpstr>
      <vt:lpstr>тип_авт</vt:lpstr>
      <vt:lpstr>тип_выкл</vt:lpstr>
      <vt:lpstr>Тип_кабеля</vt:lpstr>
      <vt:lpstr>Трансформатор</vt:lpstr>
      <vt:lpstr>Характер_нагрузки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2026-03-30T08:38:53Z</dcterms:modified>
</cp:coreProperties>
</file>